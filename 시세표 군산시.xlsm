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9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74" fontId="15" fillId="2" borderId="1" applyAlignment="1" pivotButton="0" quotePrefix="0" xfId="0">
      <alignment horizontal="right" vertical="center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5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58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Type="http://schemas.microsoft.com/office/2006/relationships/vbaProject" Target="vbaProject.bin" Id="rId30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2" sqref="A42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6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7" t="inlineStr">
        <is>
          <t>유사평형제거</t>
        </is>
      </c>
      <c r="K1" s="116" t="n"/>
      <c r="L1" s="43" t="inlineStr">
        <is>
          <t>X</t>
        </is>
      </c>
      <c r="M1" s="78" t="n"/>
      <c r="N1" s="117" t="inlineStr">
        <is>
          <t>추출기준세대수</t>
        </is>
      </c>
      <c r="O1" s="116" t="n"/>
      <c r="P1" s="127" t="n">
        <v>0</v>
      </c>
      <c r="Q1" s="118" t="inlineStr">
        <is>
          <t>세대이상</t>
        </is>
      </c>
      <c r="R1" s="119" t="n"/>
      <c r="S1" s="116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20" t="inlineStr">
        <is>
          <t>인천광역시 연수구 전체 등급</t>
        </is>
      </c>
      <c r="AK1" s="119" t="n"/>
      <c r="AL1" s="119" t="n"/>
      <c r="AM1" s="119" t="n"/>
      <c r="AN1" s="116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7" t="inlineStr">
        <is>
          <t>기준연도</t>
        </is>
      </c>
      <c r="AY1" s="117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6">
      <c r="A2" s="128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5" t="inlineStr">
        <is>
          <t>원금보전</t>
        </is>
      </c>
      <c r="AP2" s="119" t="n"/>
      <c r="AQ2" s="116" t="n"/>
      <c r="AR2" s="115" t="inlineStr">
        <is>
          <t>수익성</t>
        </is>
      </c>
      <c r="AS2" s="116" t="n"/>
      <c r="AT2" s="115" t="inlineStr">
        <is>
          <t>환금성</t>
        </is>
      </c>
      <c r="AU2" s="116" t="n"/>
      <c r="AV2" s="115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6">
      <c r="A3" s="115" t="inlineStr">
        <is>
          <t>단지명</t>
        </is>
      </c>
      <c r="B3" s="115" t="inlineStr">
        <is>
          <t>입주
연도</t>
        </is>
      </c>
      <c r="C3" s="115" t="inlineStr">
        <is>
          <t>총세
대수</t>
        </is>
      </c>
      <c r="D3" s="115" t="inlineStr">
        <is>
          <t>공급
(m2)</t>
        </is>
      </c>
      <c r="E3" s="115" t="inlineStr">
        <is>
          <t>공급
면적</t>
        </is>
      </c>
      <c r="F3" s="115" t="inlineStr">
        <is>
          <t>전용
(m2)</t>
        </is>
      </c>
      <c r="G3" s="115" t="inlineStr">
        <is>
          <t>전용
면적</t>
        </is>
      </c>
      <c r="H3" s="117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7" t="inlineStr">
        <is>
          <t>갭</t>
        </is>
      </c>
      <c r="N3" s="115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5" t="inlineStr">
        <is>
          <t>구
조</t>
        </is>
      </c>
      <c r="T3" s="35" t="inlineStr">
        <is>
          <t>매/전/월
Type</t>
        </is>
      </c>
      <c r="U3" s="117" t="inlineStr">
        <is>
          <t>비고</t>
        </is>
      </c>
      <c r="V3" s="25" t="n"/>
      <c r="W3" s="115" t="inlineStr">
        <is>
          <t>공급
평형</t>
        </is>
      </c>
      <c r="X3" s="115" t="inlineStr">
        <is>
          <t>공급
면적</t>
        </is>
      </c>
      <c r="Y3" s="129" t="inlineStr">
        <is>
          <t>세대</t>
        </is>
      </c>
      <c r="Z3" s="117" t="inlineStr">
        <is>
          <t>매매가</t>
        </is>
      </c>
      <c r="AA3" s="117" t="inlineStr">
        <is>
          <t>전세가</t>
        </is>
      </c>
      <c r="AB3" s="117" t="inlineStr">
        <is>
          <t>갭</t>
        </is>
      </c>
      <c r="AC3" s="115" t="inlineStr">
        <is>
          <t>전세
가율</t>
        </is>
      </c>
      <c r="AD3" s="117" t="inlineStr">
        <is>
          <t>평단가</t>
        </is>
      </c>
      <c r="AE3" s="115" t="inlineStr">
        <is>
          <t>구
조</t>
        </is>
      </c>
      <c r="AF3" s="34" t="inlineStr">
        <is>
          <t>방/
욕실</t>
        </is>
      </c>
      <c r="AG3" s="25" t="n"/>
      <c r="AH3" s="115" t="inlineStr">
        <is>
          <t>단지명</t>
        </is>
      </c>
      <c r="AI3" s="115" t="inlineStr">
        <is>
          <t>공급
면적</t>
        </is>
      </c>
      <c r="AJ3" s="115" t="inlineStr">
        <is>
          <t>직장</t>
        </is>
      </c>
      <c r="AK3" s="115" t="inlineStr">
        <is>
          <t>교통</t>
        </is>
      </c>
      <c r="AL3" s="115" t="inlineStr">
        <is>
          <t>학군</t>
        </is>
      </c>
      <c r="AM3" s="115" t="inlineStr">
        <is>
          <t>환경</t>
        </is>
      </c>
      <c r="AN3" s="115" t="inlineStr">
        <is>
          <t>공급</t>
        </is>
      </c>
      <c r="AO3" s="115" t="inlineStr">
        <is>
          <t>전세가율★
(80%↑)</t>
        </is>
      </c>
      <c r="AP3" s="115" t="inlineStr">
        <is>
          <t>절대가★
(4.5억↓)</t>
        </is>
      </c>
      <c r="AQ3" s="115" t="inlineStr">
        <is>
          <t>평단가
(1000↓)</t>
        </is>
      </c>
      <c r="AR3" s="115" t="inlineStr">
        <is>
          <t>투자규모★
(갭6천↓)</t>
        </is>
      </c>
      <c r="AS3" s="115" t="inlineStr">
        <is>
          <t>전고점
이하</t>
        </is>
      </c>
      <c r="AT3" s="36" t="inlineStr">
        <is>
          <t>평형★
(15~34평)</t>
        </is>
      </c>
      <c r="AU3" s="115" t="inlineStr">
        <is>
          <t>단지규모★
(300^↑)</t>
        </is>
      </c>
      <c r="AV3" s="115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30" t="n">
        <v>2010</v>
      </c>
      <c r="BC3" s="130" t="n">
        <v>2000</v>
      </c>
      <c r="BD3" s="130" t="n">
        <v>1990</v>
      </c>
      <c r="BE3" s="131" t="n">
        <v>1990</v>
      </c>
      <c r="BF3" s="37" t="n"/>
    </row>
    <row r="4" ht="12" customFormat="1" customHeight="1" s="37">
      <c r="A4" s="111" t="inlineStr">
        <is>
          <t>경암동 경암제일오투그란데</t>
        </is>
      </c>
      <c r="B4" s="112" t="inlineStr">
        <is>
          <t>15.11.</t>
        </is>
      </c>
      <c r="C4" s="132" t="n">
        <v>352</v>
      </c>
      <c r="D4" s="133" t="n">
        <v>110.1</v>
      </c>
      <c r="E4" s="134" t="n">
        <v>33</v>
      </c>
      <c r="F4" s="133" t="n">
        <v>84.90000000000001</v>
      </c>
      <c r="G4" s="17" t="n">
        <v>26</v>
      </c>
      <c r="H4" s="135" t="n">
        <v>97</v>
      </c>
      <c r="I4" s="136" t="n">
        <v>29000</v>
      </c>
      <c r="J4" s="136" t="inlineStr">
        <is>
          <t>6</t>
        </is>
      </c>
      <c r="K4" s="136" t="n">
        <v>24000</v>
      </c>
      <c r="L4" s="136" t="inlineStr">
        <is>
          <t>6</t>
        </is>
      </c>
      <c r="M4" s="137">
        <f>I4-K4</f>
        <v/>
      </c>
      <c r="N4" s="4">
        <f>IF(ISERROR(K4/I4),"",K4/I4)</f>
        <v/>
      </c>
      <c r="O4" s="138">
        <f>I4/E4</f>
        <v/>
      </c>
      <c r="P4" s="138">
        <f>K4/E4</f>
        <v/>
      </c>
      <c r="Q4" s="123" t="n">
        <v>3</v>
      </c>
      <c r="R4" s="123" t="n">
        <v>2</v>
      </c>
      <c r="S4" s="123" t="inlineStr">
        <is>
          <t>계</t>
        </is>
      </c>
      <c r="T4" s="5" t="inlineStr">
        <is>
          <t>110A</t>
        </is>
      </c>
      <c r="U4" s="9" t="n"/>
      <c r="W4" s="133">
        <f>D4</f>
        <v/>
      </c>
      <c r="X4" s="134">
        <f>E4</f>
        <v/>
      </c>
      <c r="Y4" s="139">
        <f>H4</f>
        <v/>
      </c>
      <c r="Z4" s="137">
        <f>I4</f>
        <v/>
      </c>
      <c r="AA4" s="137">
        <f>K4</f>
        <v/>
      </c>
      <c r="AB4" s="137">
        <f>M4</f>
        <v/>
      </c>
      <c r="AC4" s="4">
        <f>N4</f>
        <v/>
      </c>
      <c r="AD4" s="138">
        <f>O4</f>
        <v/>
      </c>
      <c r="AE4" s="123">
        <f>S4</f>
        <v/>
      </c>
      <c r="AF4" s="123">
        <f>Q4&amp;"/"&amp;R4</f>
        <v/>
      </c>
      <c r="AH4" s="20">
        <f>IF(A4="","",A4)</f>
        <v/>
      </c>
      <c r="AI4" s="134">
        <f>IF(E4="","",E4)</f>
        <v/>
      </c>
      <c r="AJ4" s="123">
        <f>IF(AI4="","",$AJ$2)</f>
        <v/>
      </c>
      <c r="AK4" s="123" t="inlineStr">
        <is>
          <t>A</t>
        </is>
      </c>
      <c r="AL4" s="123" t="inlineStr">
        <is>
          <t>A+</t>
        </is>
      </c>
      <c r="AM4" s="123" t="inlineStr">
        <is>
          <t>B+</t>
        </is>
      </c>
      <c r="AN4" s="123">
        <f>IF(AI4="","",$AN$2)</f>
        <v/>
      </c>
      <c r="AO4" s="123">
        <f>IF(N4="","",IF(N4&gt;=$AO$1/100,"O","X"))</f>
        <v/>
      </c>
      <c r="AP4" s="123">
        <f>IF(I4="","",IF(I4&lt;=$AP$1,"O","X"))</f>
        <v/>
      </c>
      <c r="AQ4" s="123">
        <f>IF(O4="","",IF(O4&lt;=$AQ$1,"O","X"))</f>
        <v/>
      </c>
      <c r="AR4" s="123">
        <f>IF(M4="","",IF(M4&lt;=$AR$1,"O","X"))</f>
        <v/>
      </c>
      <c r="AS4" s="123" t="inlineStr">
        <is>
          <t>X</t>
        </is>
      </c>
      <c r="AT4" s="123">
        <f>IF(OR(F4="",AI4=""),"",IF(AND((F4&lt;=85),(AI4&gt;=15)),"O","X"))</f>
        <v/>
      </c>
      <c r="AU4" s="123">
        <f>IF(C4="","",IF(C4&gt;=$AU$1,"O","X"))</f>
        <v/>
      </c>
      <c r="AV4" s="123">
        <f>IF(AO4="","",IF(AND(AO4="O",AP4="O",AR4="O",AT4="O",AU4="O"),"후보","X"))</f>
        <v/>
      </c>
    </row>
    <row r="5" ht="12" customFormat="1" customHeight="1" s="37">
      <c r="A5" s="111" t="inlineStr">
        <is>
          <t>나운동 나운현대2차</t>
        </is>
      </c>
      <c r="B5" s="112" t="inlineStr">
        <is>
          <t>93.10.</t>
        </is>
      </c>
      <c r="C5" s="132" t="n">
        <v>899</v>
      </c>
      <c r="D5" s="133" t="n">
        <v>74.2</v>
      </c>
      <c r="E5" s="134" t="n">
        <v>22</v>
      </c>
      <c r="F5" s="133" t="n">
        <v>59.4</v>
      </c>
      <c r="G5" s="17" t="n">
        <v>18</v>
      </c>
      <c r="H5" s="135" t="n">
        <v>344</v>
      </c>
      <c r="I5" s="136" t="n">
        <v>8700</v>
      </c>
      <c r="J5" s="136" t="inlineStr">
        <is>
          <t>13</t>
        </is>
      </c>
      <c r="K5" s="136" t="n">
        <v>7900</v>
      </c>
      <c r="L5" s="136" t="inlineStr">
        <is>
          <t>6</t>
        </is>
      </c>
      <c r="M5" s="137">
        <f>I5-K5</f>
        <v/>
      </c>
      <c r="N5" s="4">
        <f>IF(ISERROR(K5/I5),"",K5/I5)</f>
        <v/>
      </c>
      <c r="O5" s="138">
        <f>I5/E5</f>
        <v/>
      </c>
      <c r="P5" s="138">
        <f>K5/E5</f>
        <v/>
      </c>
      <c r="Q5" s="123" t="n">
        <v>3</v>
      </c>
      <c r="R5" s="123" t="n">
        <v>1</v>
      </c>
      <c r="S5" s="123" t="inlineStr">
        <is>
          <t>계</t>
        </is>
      </c>
      <c r="T5" s="5" t="n">
        <v>74</v>
      </c>
      <c r="U5" s="9" t="n"/>
      <c r="W5" s="133">
        <f>D5</f>
        <v/>
      </c>
      <c r="X5" s="134">
        <f>E5</f>
        <v/>
      </c>
      <c r="Y5" s="139">
        <f>H5</f>
        <v/>
      </c>
      <c r="Z5" s="137">
        <f>I5</f>
        <v/>
      </c>
      <c r="AA5" s="137">
        <f>K5</f>
        <v/>
      </c>
      <c r="AB5" s="137">
        <f>M5</f>
        <v/>
      </c>
      <c r="AC5" s="4">
        <f>N5</f>
        <v/>
      </c>
      <c r="AD5" s="138">
        <f>O5</f>
        <v/>
      </c>
      <c r="AE5" s="123">
        <f>S5</f>
        <v/>
      </c>
      <c r="AF5" s="123">
        <f>Q5&amp;"/"&amp;R5</f>
        <v/>
      </c>
      <c r="AH5" s="20">
        <f>IF(A5="","",A5)</f>
        <v/>
      </c>
      <c r="AI5" s="134">
        <f>IF(E5="","",E5)</f>
        <v/>
      </c>
      <c r="AJ5" s="123">
        <f>IF(AI5="","",$AJ$2)</f>
        <v/>
      </c>
      <c r="AK5" s="123" t="inlineStr">
        <is>
          <t>A</t>
        </is>
      </c>
      <c r="AL5" s="123" t="inlineStr">
        <is>
          <t>A+</t>
        </is>
      </c>
      <c r="AM5" s="123" t="inlineStr">
        <is>
          <t>B+</t>
        </is>
      </c>
      <c r="AN5" s="123">
        <f>IF(AI5="","",$AN$2)</f>
        <v/>
      </c>
      <c r="AO5" s="123">
        <f>IF(N5="","",IF(N5&gt;=$AO$1/100,"O","X"))</f>
        <v/>
      </c>
      <c r="AP5" s="123">
        <f>IF(I5="","",IF(I5&lt;=$AP$1,"O","X"))</f>
        <v/>
      </c>
      <c r="AQ5" s="123">
        <f>IF(O5="","",IF(O5&lt;=$AQ$1,"O","X"))</f>
        <v/>
      </c>
      <c r="AR5" s="123">
        <f>IF(M5="","",IF(M5&lt;=$AR$1,"O","X"))</f>
        <v/>
      </c>
      <c r="AS5" s="123" t="inlineStr">
        <is>
          <t>X</t>
        </is>
      </c>
      <c r="AT5" s="123">
        <f>IF(OR(F5="",AI5=""),"",IF(AND((F5&lt;=85),(AI5&gt;=15)),"O","X"))</f>
        <v/>
      </c>
      <c r="AU5" s="123">
        <f>IF(C5="","",IF(C5&gt;=$AU$1,"O","X"))</f>
        <v/>
      </c>
      <c r="AV5" s="123">
        <f>IF(AO5="","",IF(AND(AO5="O",AP5="O",AR5="O",AT5="O",AU5="O"),"후보","X"))</f>
        <v/>
      </c>
    </row>
    <row r="6" ht="12" customFormat="1" customHeight="1" s="37">
      <c r="A6" s="111" t="inlineStr">
        <is>
          <t>나운동 나운현대2차</t>
        </is>
      </c>
      <c r="B6" s="112" t="inlineStr">
        <is>
          <t>93.10.</t>
        </is>
      </c>
      <c r="C6" s="132" t="n">
        <v>899</v>
      </c>
      <c r="D6" s="133" t="n">
        <v>105.9</v>
      </c>
      <c r="E6" s="134" t="n">
        <v>32</v>
      </c>
      <c r="F6" s="133" t="n">
        <v>84.7</v>
      </c>
      <c r="G6" s="17" t="n">
        <v>26</v>
      </c>
      <c r="H6" s="135" t="n">
        <v>377</v>
      </c>
      <c r="I6" s="136" t="n">
        <v>14000</v>
      </c>
      <c r="J6" s="136" t="inlineStr">
        <is>
          <t>6</t>
        </is>
      </c>
      <c r="K6" s="136" t="n">
        <v>12000</v>
      </c>
      <c r="L6" s="136" t="inlineStr">
        <is>
          <t>고</t>
        </is>
      </c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n">
        <v>105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 ht="12" customFormat="1" customHeight="1" s="37">
      <c r="A7" s="111" t="inlineStr">
        <is>
          <t>나운동 신일</t>
        </is>
      </c>
      <c r="B7" s="112" t="inlineStr">
        <is>
          <t>95.12.</t>
        </is>
      </c>
      <c r="C7" s="132" t="n">
        <v>600</v>
      </c>
      <c r="D7" s="133" t="n">
        <v>75.09999999999999</v>
      </c>
      <c r="E7" s="134" t="n">
        <v>23</v>
      </c>
      <c r="F7" s="133" t="n">
        <v>59.9</v>
      </c>
      <c r="G7" s="17" t="n">
        <v>18</v>
      </c>
      <c r="H7" s="135" t="n">
        <v>600</v>
      </c>
      <c r="I7" s="136" t="n">
        <v>12000</v>
      </c>
      <c r="J7" s="136" t="inlineStr">
        <is>
          <t>15</t>
        </is>
      </c>
      <c r="K7" s="136" t="n">
        <v>10500</v>
      </c>
      <c r="L7" s="136" t="inlineStr">
        <is>
          <t>5</t>
        </is>
      </c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1</v>
      </c>
      <c r="S7" s="123" t="inlineStr">
        <is>
          <t>계</t>
        </is>
      </c>
      <c r="T7" s="5" t="n">
        <v>75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 ht="12" customFormat="1" customHeight="1" s="37">
      <c r="A8" s="111" t="inlineStr">
        <is>
          <t>나운동 금호타운1차</t>
        </is>
      </c>
      <c r="B8" s="112" t="inlineStr">
        <is>
          <t>91.09.</t>
        </is>
      </c>
      <c r="C8" s="132" t="n">
        <v>930</v>
      </c>
      <c r="D8" s="133" t="n">
        <v>101.7</v>
      </c>
      <c r="E8" s="134" t="n">
        <v>31</v>
      </c>
      <c r="F8" s="133" t="n">
        <v>84.8</v>
      </c>
      <c r="G8" s="17" t="n">
        <v>26</v>
      </c>
      <c r="H8" s="135" t="n">
        <v>600</v>
      </c>
      <c r="I8" s="136" t="n">
        <v>14000</v>
      </c>
      <c r="J8" s="136" t="inlineStr">
        <is>
          <t>14</t>
        </is>
      </c>
      <c r="K8" s="136" t="n">
        <v>12000</v>
      </c>
      <c r="L8" s="136" t="inlineStr">
        <is>
          <t>14</t>
        </is>
      </c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n">
        <v>101</v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 ht="12" customFormat="1" customHeight="1" s="37">
      <c r="A9" s="111" t="inlineStr">
        <is>
          <t>나운동 서호</t>
        </is>
      </c>
      <c r="B9" s="112" t="inlineStr">
        <is>
          <t>95.06.</t>
        </is>
      </c>
      <c r="C9" s="132" t="n">
        <v>490</v>
      </c>
      <c r="D9" s="133" t="n">
        <v>103.8</v>
      </c>
      <c r="E9" s="134" t="n">
        <v>31</v>
      </c>
      <c r="F9" s="133" t="n">
        <v>85</v>
      </c>
      <c r="G9" s="17" t="n">
        <v>26</v>
      </c>
      <c r="H9" s="135" t="n">
        <v>228</v>
      </c>
      <c r="I9" s="136" t="n">
        <v>15700</v>
      </c>
      <c r="J9" s="136" t="inlineStr">
        <is>
          <t>8</t>
        </is>
      </c>
      <c r="K9" s="136" t="n">
        <v>14500</v>
      </c>
      <c r="L9" s="136" t="inlineStr">
        <is>
          <t>7</t>
        </is>
      </c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n">
        <v>103</v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 ht="12" customFormat="1" customHeight="1" s="37">
      <c r="A10" s="111" t="inlineStr">
        <is>
          <t>나운동 나운보람더하임</t>
        </is>
      </c>
      <c r="B10" s="112" t="inlineStr">
        <is>
          <t>10.03.</t>
        </is>
      </c>
      <c r="C10" s="132" t="n">
        <v>437</v>
      </c>
      <c r="D10" s="133" t="n">
        <v>78</v>
      </c>
      <c r="E10" s="134" t="n">
        <v>24</v>
      </c>
      <c r="F10" s="133" t="n">
        <v>59.9</v>
      </c>
      <c r="G10" s="17" t="n">
        <v>18</v>
      </c>
      <c r="H10" s="135" t="n">
        <v>155</v>
      </c>
      <c r="I10" s="136" t="n">
        <v>14200</v>
      </c>
      <c r="J10" s="136" t="inlineStr">
        <is>
          <t>5</t>
        </is>
      </c>
      <c r="K10" s="136" t="n">
        <v>13000</v>
      </c>
      <c r="L10" s="136" t="inlineStr">
        <is>
          <t>10</t>
        </is>
      </c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n">
        <v>77</v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 ht="12" customFormat="1" customHeight="1" s="37">
      <c r="A11" s="111" t="inlineStr">
        <is>
          <t>나운동 한울</t>
        </is>
      </c>
      <c r="B11" s="112" t="inlineStr">
        <is>
          <t>96.07.</t>
        </is>
      </c>
      <c r="C11" s="132" t="n">
        <v>840</v>
      </c>
      <c r="D11" s="133" t="n">
        <v>76.09999999999999</v>
      </c>
      <c r="E11" s="134" t="n">
        <v>23</v>
      </c>
      <c r="F11" s="133" t="n">
        <v>59.7</v>
      </c>
      <c r="G11" s="17" t="n">
        <v>18</v>
      </c>
      <c r="H11" s="135" t="n">
        <v>477</v>
      </c>
      <c r="I11" s="136" t="n">
        <v>10100</v>
      </c>
      <c r="J11" s="136" t="inlineStr">
        <is>
          <t>7</t>
        </is>
      </c>
      <c r="K11" s="136" t="n">
        <v>10000</v>
      </c>
      <c r="L11" s="136" t="inlineStr">
        <is>
          <t>14</t>
        </is>
      </c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1</v>
      </c>
      <c r="S11" s="123" t="inlineStr">
        <is>
          <t>계</t>
        </is>
      </c>
      <c r="T11" s="5" t="inlineStr">
        <is>
          <t>76A</t>
        </is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 ht="12" customFormat="1" customHeight="1" s="37">
      <c r="A12" s="111" t="inlineStr">
        <is>
          <t>나운동 현대3차</t>
        </is>
      </c>
      <c r="B12" s="112" t="inlineStr">
        <is>
          <t>95.06.</t>
        </is>
      </c>
      <c r="C12" s="132" t="n">
        <v>479</v>
      </c>
      <c r="D12" s="133" t="n">
        <v>74.3</v>
      </c>
      <c r="E12" s="134" t="n">
        <v>22</v>
      </c>
      <c r="F12" s="133" t="n">
        <v>60</v>
      </c>
      <c r="G12" s="17" t="n">
        <v>18</v>
      </c>
      <c r="H12" s="135" t="n">
        <v>180</v>
      </c>
      <c r="I12" s="136" t="n">
        <v>9300</v>
      </c>
      <c r="J12" s="136" t="inlineStr">
        <is>
          <t>12</t>
        </is>
      </c>
      <c r="K12" s="136" t="n">
        <v>9300</v>
      </c>
      <c r="L12" s="136" t="inlineStr">
        <is>
          <t>20</t>
        </is>
      </c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3</v>
      </c>
      <c r="R12" s="123" t="n">
        <v>1</v>
      </c>
      <c r="S12" s="123" t="inlineStr">
        <is>
          <t>복</t>
        </is>
      </c>
      <c r="T12" s="5" t="n">
        <v>74</v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  <row r="13" ht="12" customFormat="1" customHeight="1" s="37">
      <c r="A13" s="111" t="inlineStr">
        <is>
          <t>나운동 수송금호어울림</t>
        </is>
      </c>
      <c r="B13" s="112" t="inlineStr">
        <is>
          <t>08.08.</t>
        </is>
      </c>
      <c r="C13" s="132" t="n">
        <v>773</v>
      </c>
      <c r="D13" s="133" t="n">
        <v>111.2</v>
      </c>
      <c r="E13" s="134" t="n">
        <v>34</v>
      </c>
      <c r="F13" s="133" t="n">
        <v>85</v>
      </c>
      <c r="G13" s="17" t="n">
        <v>26</v>
      </c>
      <c r="H13" s="135" t="n">
        <v>324</v>
      </c>
      <c r="I13" s="136" t="n">
        <v>27000</v>
      </c>
      <c r="J13" s="136" t="inlineStr">
        <is>
          <t>19</t>
        </is>
      </c>
      <c r="K13" s="136" t="n">
        <v>24000</v>
      </c>
      <c r="L13" s="136" t="inlineStr">
        <is>
          <t>5</t>
        </is>
      </c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3</v>
      </c>
      <c r="R13" s="123" t="n">
        <v>2</v>
      </c>
      <c r="S13" s="123" t="inlineStr">
        <is>
          <t>계</t>
        </is>
      </c>
      <c r="T13" s="5" t="inlineStr">
        <is>
          <t>111B</t>
        </is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 ht="12" customFormat="1" customHeight="1" s="37">
      <c r="A14" s="111" t="inlineStr">
        <is>
          <t>나운동 수송금호어울림</t>
        </is>
      </c>
      <c r="B14" s="112" t="inlineStr">
        <is>
          <t>08.08.</t>
        </is>
      </c>
      <c r="C14" s="132" t="n">
        <v>773</v>
      </c>
      <c r="D14" s="133" t="n">
        <v>111.3</v>
      </c>
      <c r="E14" s="134" t="n">
        <v>34</v>
      </c>
      <c r="F14" s="133" t="n">
        <v>85</v>
      </c>
      <c r="G14" s="17" t="n">
        <v>26</v>
      </c>
      <c r="H14" s="135" t="n">
        <v>37</v>
      </c>
      <c r="I14" s="136" t="n">
        <v>27000</v>
      </c>
      <c r="J14" s="136" t="inlineStr">
        <is>
          <t>고</t>
        </is>
      </c>
      <c r="K14" s="136" t="n">
        <v>23000</v>
      </c>
      <c r="L14" s="136" t="inlineStr">
        <is>
          <t>15</t>
        </is>
      </c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3</v>
      </c>
      <c r="R14" s="123" t="n">
        <v>2</v>
      </c>
      <c r="S14" s="123" t="inlineStr">
        <is>
          <t>계</t>
        </is>
      </c>
      <c r="T14" s="5" t="inlineStr">
        <is>
          <t>111C</t>
        </is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  <row r="15" ht="12" customFormat="1" customHeight="1" s="37">
      <c r="A15" s="111" t="inlineStr">
        <is>
          <t>나운동 영창</t>
        </is>
      </c>
      <c r="B15" s="112" t="inlineStr">
        <is>
          <t>95.06.</t>
        </is>
      </c>
      <c r="C15" s="132" t="n">
        <v>765</v>
      </c>
      <c r="D15" s="133" t="n">
        <v>71.5</v>
      </c>
      <c r="E15" s="134" t="n">
        <v>22</v>
      </c>
      <c r="F15" s="133" t="n">
        <v>49.8</v>
      </c>
      <c r="G15" s="17" t="n">
        <v>15</v>
      </c>
      <c r="H15" s="135" t="n">
        <v>120</v>
      </c>
      <c r="I15" s="136" t="n">
        <v>7500</v>
      </c>
      <c r="J15" s="136" t="inlineStr">
        <is>
          <t>13</t>
        </is>
      </c>
      <c r="K15" s="136" t="n">
        <v>6500</v>
      </c>
      <c r="L15" s="136" t="inlineStr">
        <is>
          <t>10</t>
        </is>
      </c>
      <c r="M15" s="137">
        <f>I15-K15</f>
        <v/>
      </c>
      <c r="N15" s="4">
        <f>IF(ISERROR(K15/I15),"",K15/I15)</f>
        <v/>
      </c>
      <c r="O15" s="138">
        <f>I15/E15</f>
        <v/>
      </c>
      <c r="P15" s="138">
        <f>K15/E15</f>
        <v/>
      </c>
      <c r="Q15" s="123" t="n">
        <v>2</v>
      </c>
      <c r="R15" s="123" t="n">
        <v>1</v>
      </c>
      <c r="S15" s="123" t="inlineStr">
        <is>
          <t>복</t>
        </is>
      </c>
      <c r="T15" s="5" t="n">
        <v>71</v>
      </c>
      <c r="U15" s="9" t="n"/>
      <c r="W15" s="133">
        <f>D15</f>
        <v/>
      </c>
      <c r="X15" s="134">
        <f>E15</f>
        <v/>
      </c>
      <c r="Y15" s="139">
        <f>H15</f>
        <v/>
      </c>
      <c r="Z15" s="137">
        <f>I15</f>
        <v/>
      </c>
      <c r="AA15" s="137">
        <f>K15</f>
        <v/>
      </c>
      <c r="AB15" s="137">
        <f>M15</f>
        <v/>
      </c>
      <c r="AC15" s="4">
        <f>N15</f>
        <v/>
      </c>
      <c r="AD15" s="138">
        <f>O15</f>
        <v/>
      </c>
      <c r="AE15" s="123">
        <f>S15</f>
        <v/>
      </c>
      <c r="AF15" s="123">
        <f>Q15&amp;"/"&amp;R15</f>
        <v/>
      </c>
      <c r="AH15" s="20">
        <f>IF(A15="","",A15)</f>
        <v/>
      </c>
      <c r="AI15" s="134">
        <f>IF(E15="","",E15)</f>
        <v/>
      </c>
      <c r="AJ15" s="123">
        <f>IF(AI15="","",$AJ$2)</f>
        <v/>
      </c>
      <c r="AK15" s="123" t="inlineStr">
        <is>
          <t>A</t>
        </is>
      </c>
      <c r="AL15" s="123" t="inlineStr">
        <is>
          <t>A+</t>
        </is>
      </c>
      <c r="AM15" s="123" t="inlineStr">
        <is>
          <t>B+</t>
        </is>
      </c>
      <c r="AN15" s="123">
        <f>IF(AI15="","",$AN$2)</f>
        <v/>
      </c>
      <c r="AO15" s="123">
        <f>IF(N15="","",IF(N15&gt;=$AO$1/100,"O","X"))</f>
        <v/>
      </c>
      <c r="AP15" s="123">
        <f>IF(I15="","",IF(I15&lt;=$AP$1,"O","X"))</f>
        <v/>
      </c>
      <c r="AQ15" s="123">
        <f>IF(O15="","",IF(O15&lt;=$AQ$1,"O","X"))</f>
        <v/>
      </c>
      <c r="AR15" s="123">
        <f>IF(M15="","",IF(M15&lt;=$AR$1,"O","X"))</f>
        <v/>
      </c>
      <c r="AS15" s="123" t="inlineStr">
        <is>
          <t>X</t>
        </is>
      </c>
      <c r="AT15" s="123">
        <f>IF(OR(F15="",AI15=""),"",IF(AND((F15&lt;=85),(AI15&gt;=15)),"O","X"))</f>
        <v/>
      </c>
      <c r="AU15" s="123">
        <f>IF(C15="","",IF(C15&gt;=$AU$1,"O","X"))</f>
        <v/>
      </c>
      <c r="AV15" s="123">
        <f>IF(AO15="","",IF(AND(AO15="O",AP15="O",AR15="O",AT15="O",AU15="O"),"후보","X"))</f>
        <v/>
      </c>
    </row>
    <row r="16" ht="12" customFormat="1" customHeight="1" s="37">
      <c r="A16" s="111" t="inlineStr">
        <is>
          <t>나운동 나운유원</t>
        </is>
      </c>
      <c r="B16" s="112" t="inlineStr">
        <is>
          <t>90.11.</t>
        </is>
      </c>
      <c r="C16" s="132" t="n">
        <v>458</v>
      </c>
      <c r="D16" s="133" t="n">
        <v>81.3</v>
      </c>
      <c r="E16" s="134" t="n">
        <v>25</v>
      </c>
      <c r="F16" s="133" t="n">
        <v>65.09999999999999</v>
      </c>
      <c r="G16" s="17" t="n">
        <v>20</v>
      </c>
      <c r="H16" s="135" t="n">
        <v>144</v>
      </c>
      <c r="I16" s="136" t="n">
        <v>8000</v>
      </c>
      <c r="J16" s="136" t="inlineStr">
        <is>
          <t>12</t>
        </is>
      </c>
      <c r="K16" s="136" t="n">
        <v>7000</v>
      </c>
      <c r="L16" s="136" t="inlineStr">
        <is>
          <t>고</t>
        </is>
      </c>
      <c r="M16" s="137">
        <f>I16-K16</f>
        <v/>
      </c>
      <c r="N16" s="4">
        <f>IF(ISERROR(K16/I16),"",K16/I16)</f>
        <v/>
      </c>
      <c r="O16" s="138">
        <f>I16/E16</f>
        <v/>
      </c>
      <c r="P16" s="138">
        <f>K16/E16</f>
        <v/>
      </c>
      <c r="Q16" s="123" t="n">
        <v>3</v>
      </c>
      <c r="R16" s="123" t="n">
        <v>1</v>
      </c>
      <c r="S16" s="123" t="inlineStr">
        <is>
          <t>계</t>
        </is>
      </c>
      <c r="T16" s="5" t="n">
        <v>81</v>
      </c>
      <c r="U16" s="9" t="n"/>
      <c r="W16" s="133">
        <f>D16</f>
        <v/>
      </c>
      <c r="X16" s="134">
        <f>E16</f>
        <v/>
      </c>
      <c r="Y16" s="139">
        <f>H16</f>
        <v/>
      </c>
      <c r="Z16" s="137">
        <f>I16</f>
        <v/>
      </c>
      <c r="AA16" s="137">
        <f>K16</f>
        <v/>
      </c>
      <c r="AB16" s="137">
        <f>M16</f>
        <v/>
      </c>
      <c r="AC16" s="4">
        <f>N16</f>
        <v/>
      </c>
      <c r="AD16" s="138">
        <f>O16</f>
        <v/>
      </c>
      <c r="AE16" s="123">
        <f>S16</f>
        <v/>
      </c>
      <c r="AF16" s="123">
        <f>Q16&amp;"/"&amp;R16</f>
        <v/>
      </c>
      <c r="AH16" s="20">
        <f>IF(A16="","",A16)</f>
        <v/>
      </c>
      <c r="AI16" s="134">
        <f>IF(E16="","",E16)</f>
        <v/>
      </c>
      <c r="AJ16" s="123">
        <f>IF(AI16="","",$AJ$2)</f>
        <v/>
      </c>
      <c r="AK16" s="123" t="inlineStr">
        <is>
          <t>A</t>
        </is>
      </c>
      <c r="AL16" s="123" t="inlineStr">
        <is>
          <t>A+</t>
        </is>
      </c>
      <c r="AM16" s="123" t="inlineStr">
        <is>
          <t>B+</t>
        </is>
      </c>
      <c r="AN16" s="123">
        <f>IF(AI16="","",$AN$2)</f>
        <v/>
      </c>
      <c r="AO16" s="123">
        <f>IF(N16="","",IF(N16&gt;=$AO$1/100,"O","X"))</f>
        <v/>
      </c>
      <c r="AP16" s="123">
        <f>IF(I16="","",IF(I16&lt;=$AP$1,"O","X"))</f>
        <v/>
      </c>
      <c r="AQ16" s="123">
        <f>IF(O16="","",IF(O16&lt;=$AQ$1,"O","X"))</f>
        <v/>
      </c>
      <c r="AR16" s="123">
        <f>IF(M16="","",IF(M16&lt;=$AR$1,"O","X"))</f>
        <v/>
      </c>
      <c r="AS16" s="123" t="inlineStr">
        <is>
          <t>X</t>
        </is>
      </c>
      <c r="AT16" s="123">
        <f>IF(OR(F16="",AI16=""),"",IF(AND((F16&lt;=85),(AI16&gt;=15)),"O","X"))</f>
        <v/>
      </c>
      <c r="AU16" s="123">
        <f>IF(C16="","",IF(C16&gt;=$AU$1,"O","X"))</f>
        <v/>
      </c>
      <c r="AV16" s="123">
        <f>IF(AO16="","",IF(AND(AO16="O",AP16="O",AR16="O",AT16="O",AU16="O"),"후보","X"))</f>
        <v/>
      </c>
    </row>
    <row r="17" ht="12" customFormat="1" customHeight="1" s="37">
      <c r="A17" s="111" t="inlineStr">
        <is>
          <t>나운동 주공5단지</t>
        </is>
      </c>
      <c r="B17" s="112" t="inlineStr">
        <is>
          <t>95.07.</t>
        </is>
      </c>
      <c r="C17" s="132" t="n">
        <v>1541</v>
      </c>
      <c r="D17" s="133" t="n">
        <v>79.2</v>
      </c>
      <c r="E17" s="134" t="n">
        <v>24</v>
      </c>
      <c r="F17" s="133" t="n">
        <v>58.1</v>
      </c>
      <c r="G17" s="17" t="n">
        <v>18</v>
      </c>
      <c r="H17" s="135" t="n">
        <v>1243</v>
      </c>
      <c r="I17" s="136" t="n">
        <v>8300</v>
      </c>
      <c r="J17" s="136" t="inlineStr">
        <is>
          <t>8</t>
        </is>
      </c>
      <c r="K17" s="136" t="n">
        <v>7500</v>
      </c>
      <c r="L17" s="136" t="inlineStr">
        <is>
          <t>14</t>
        </is>
      </c>
      <c r="M17" s="137">
        <f>I17-K17</f>
        <v/>
      </c>
      <c r="N17" s="4">
        <f>IF(ISERROR(K17/I17),"",K17/I17)</f>
        <v/>
      </c>
      <c r="O17" s="138">
        <f>I17/E17</f>
        <v/>
      </c>
      <c r="P17" s="138">
        <f>K17/E17</f>
        <v/>
      </c>
      <c r="Q17" s="123" t="n">
        <v>3</v>
      </c>
      <c r="R17" s="123" t="n">
        <v>1</v>
      </c>
      <c r="S17" s="123" t="inlineStr">
        <is>
          <t>복</t>
        </is>
      </c>
      <c r="T17" s="5" t="n">
        <v>79</v>
      </c>
      <c r="U17" s="9" t="n"/>
      <c r="W17" s="133">
        <f>D17</f>
        <v/>
      </c>
      <c r="X17" s="134">
        <f>E17</f>
        <v/>
      </c>
      <c r="Y17" s="139">
        <f>H17</f>
        <v/>
      </c>
      <c r="Z17" s="137">
        <f>I17</f>
        <v/>
      </c>
      <c r="AA17" s="137">
        <f>K17</f>
        <v/>
      </c>
      <c r="AB17" s="137">
        <f>M17</f>
        <v/>
      </c>
      <c r="AC17" s="4">
        <f>N17</f>
        <v/>
      </c>
      <c r="AD17" s="138">
        <f>O17</f>
        <v/>
      </c>
      <c r="AE17" s="123">
        <f>S17</f>
        <v/>
      </c>
      <c r="AF17" s="123">
        <f>Q17&amp;"/"&amp;R17</f>
        <v/>
      </c>
      <c r="AH17" s="20">
        <f>IF(A17="","",A17)</f>
        <v/>
      </c>
      <c r="AI17" s="134">
        <f>IF(E17="","",E17)</f>
        <v/>
      </c>
      <c r="AJ17" s="123">
        <f>IF(AI17="","",$AJ$2)</f>
        <v/>
      </c>
      <c r="AK17" s="123" t="inlineStr">
        <is>
          <t>A</t>
        </is>
      </c>
      <c r="AL17" s="123" t="inlineStr">
        <is>
          <t>A+</t>
        </is>
      </c>
      <c r="AM17" s="123" t="inlineStr">
        <is>
          <t>B+</t>
        </is>
      </c>
      <c r="AN17" s="123">
        <f>IF(AI17="","",$AN$2)</f>
        <v/>
      </c>
      <c r="AO17" s="123">
        <f>IF(N17="","",IF(N17&gt;=$AO$1/100,"O","X"))</f>
        <v/>
      </c>
      <c r="AP17" s="123">
        <f>IF(I17="","",IF(I17&lt;=$AP$1,"O","X"))</f>
        <v/>
      </c>
      <c r="AQ17" s="123">
        <f>IF(O17="","",IF(O17&lt;=$AQ$1,"O","X"))</f>
        <v/>
      </c>
      <c r="AR17" s="123">
        <f>IF(M17="","",IF(M17&lt;=$AR$1,"O","X"))</f>
        <v/>
      </c>
      <c r="AS17" s="123" t="inlineStr">
        <is>
          <t>X</t>
        </is>
      </c>
      <c r="AT17" s="123">
        <f>IF(OR(F17="",AI17=""),"",IF(AND((F17&lt;=85),(AI17&gt;=15)),"O","X"))</f>
        <v/>
      </c>
      <c r="AU17" s="123">
        <f>IF(C17="","",IF(C17&gt;=$AU$1,"O","X"))</f>
        <v/>
      </c>
      <c r="AV17" s="123">
        <f>IF(AO17="","",IF(AND(AO17="O",AP17="O",AR17="O",AT17="O",AU17="O"),"후보","X"))</f>
        <v/>
      </c>
    </row>
    <row r="18" ht="12" customFormat="1" customHeight="1" s="37">
      <c r="A18" s="111" t="inlineStr">
        <is>
          <t>문화동 삼성</t>
        </is>
      </c>
      <c r="B18" s="112" t="inlineStr">
        <is>
          <t>92.08.</t>
        </is>
      </c>
      <c r="C18" s="132" t="n">
        <v>716</v>
      </c>
      <c r="D18" s="133" t="n">
        <v>104</v>
      </c>
      <c r="E18" s="134" t="n">
        <v>31</v>
      </c>
      <c r="F18" s="133" t="n">
        <v>84.90000000000001</v>
      </c>
      <c r="G18" s="17" t="n">
        <v>26</v>
      </c>
      <c r="H18" s="135" t="n">
        <v>462</v>
      </c>
      <c r="I18" s="136" t="n">
        <v>13500</v>
      </c>
      <c r="J18" s="136" t="inlineStr">
        <is>
          <t>6</t>
        </is>
      </c>
      <c r="K18" s="136" t="n">
        <v>14000</v>
      </c>
      <c r="L18" s="136" t="inlineStr">
        <is>
          <t>12</t>
        </is>
      </c>
      <c r="M18" s="137">
        <f>I18-K18</f>
        <v/>
      </c>
      <c r="N18" s="4">
        <f>IF(ISERROR(K18/I18),"",K18/I18)</f>
        <v/>
      </c>
      <c r="O18" s="138">
        <f>I18/E18</f>
        <v/>
      </c>
      <c r="P18" s="138">
        <f>K18/E18</f>
        <v/>
      </c>
      <c r="Q18" s="123" t="n">
        <v>3</v>
      </c>
      <c r="R18" s="123" t="n">
        <v>2</v>
      </c>
      <c r="S18" s="123" t="inlineStr">
        <is>
          <t>계</t>
        </is>
      </c>
      <c r="T18" s="5" t="n">
        <v>104</v>
      </c>
      <c r="U18" s="9" t="n"/>
      <c r="W18" s="133">
        <f>D18</f>
        <v/>
      </c>
      <c r="X18" s="134">
        <f>E18</f>
        <v/>
      </c>
      <c r="Y18" s="139">
        <f>H18</f>
        <v/>
      </c>
      <c r="Z18" s="137">
        <f>I18</f>
        <v/>
      </c>
      <c r="AA18" s="137">
        <f>K18</f>
        <v/>
      </c>
      <c r="AB18" s="137">
        <f>M18</f>
        <v/>
      </c>
      <c r="AC18" s="4">
        <f>N18</f>
        <v/>
      </c>
      <c r="AD18" s="138">
        <f>O18</f>
        <v/>
      </c>
      <c r="AE18" s="123">
        <f>S18</f>
        <v/>
      </c>
      <c r="AF18" s="123">
        <f>Q18&amp;"/"&amp;R18</f>
        <v/>
      </c>
      <c r="AH18" s="20">
        <f>IF(A18="","",A18)</f>
        <v/>
      </c>
      <c r="AI18" s="134">
        <f>IF(E18="","",E18)</f>
        <v/>
      </c>
      <c r="AJ18" s="123">
        <f>IF(AI18="","",$AJ$2)</f>
        <v/>
      </c>
      <c r="AK18" s="123" t="inlineStr">
        <is>
          <t>A</t>
        </is>
      </c>
      <c r="AL18" s="123" t="inlineStr">
        <is>
          <t>A+</t>
        </is>
      </c>
      <c r="AM18" s="123" t="inlineStr">
        <is>
          <t>B+</t>
        </is>
      </c>
      <c r="AN18" s="123">
        <f>IF(AI18="","",$AN$2)</f>
        <v/>
      </c>
      <c r="AO18" s="123">
        <f>IF(N18="","",IF(N18&gt;=$AO$1/100,"O","X"))</f>
        <v/>
      </c>
      <c r="AP18" s="123">
        <f>IF(I18="","",IF(I18&lt;=$AP$1,"O","X"))</f>
        <v/>
      </c>
      <c r="AQ18" s="123">
        <f>IF(O18="","",IF(O18&lt;=$AQ$1,"O","X"))</f>
        <v/>
      </c>
      <c r="AR18" s="123">
        <f>IF(M18="","",IF(M18&lt;=$AR$1,"O","X"))</f>
        <v/>
      </c>
      <c r="AS18" s="123" t="inlineStr">
        <is>
          <t>X</t>
        </is>
      </c>
      <c r="AT18" s="123">
        <f>IF(OR(F18="",AI18=""),"",IF(AND((F18&lt;=85),(AI18&gt;=15)),"O","X"))</f>
        <v/>
      </c>
      <c r="AU18" s="123">
        <f>IF(C18="","",IF(C18&gt;=$AU$1,"O","X"))</f>
        <v/>
      </c>
      <c r="AV18" s="123">
        <f>IF(AO18="","",IF(AND(AO18="O",AP18="O",AR18="O",AT18="O",AU18="O"),"후보","X"))</f>
        <v/>
      </c>
    </row>
    <row r="19" ht="12" customFormat="1" customHeight="1" s="37">
      <c r="A19" s="111" t="inlineStr">
        <is>
          <t>미룡동 미룡대명1차</t>
        </is>
      </c>
      <c r="B19" s="112" t="inlineStr">
        <is>
          <t>98.06.</t>
        </is>
      </c>
      <c r="C19" s="132" t="n">
        <v>498</v>
      </c>
      <c r="D19" s="133" t="n">
        <v>53.9</v>
      </c>
      <c r="E19" s="134" t="n">
        <v>16</v>
      </c>
      <c r="F19" s="133" t="n">
        <v>40</v>
      </c>
      <c r="G19" s="17" t="n">
        <v>12</v>
      </c>
      <c r="H19" s="135" t="n">
        <v>498</v>
      </c>
      <c r="I19" s="136" t="n">
        <v>3600</v>
      </c>
      <c r="J19" s="136" t="inlineStr">
        <is>
          <t>18</t>
        </is>
      </c>
      <c r="K19" s="136" t="n">
        <v>4500</v>
      </c>
      <c r="L19" s="136" t="inlineStr">
        <is>
          <t>11</t>
        </is>
      </c>
      <c r="M19" s="137">
        <f>I19-K19</f>
        <v/>
      </c>
      <c r="N19" s="4">
        <f>IF(ISERROR(K19/I19),"",K19/I19)</f>
        <v/>
      </c>
      <c r="O19" s="138">
        <f>I19/E19</f>
        <v/>
      </c>
      <c r="P19" s="138">
        <f>K19/E19</f>
        <v/>
      </c>
      <c r="Q19" s="123" t="n">
        <v>2</v>
      </c>
      <c r="R19" s="123" t="n">
        <v>1</v>
      </c>
      <c r="S19" s="123" t="inlineStr">
        <is>
          <t>계</t>
        </is>
      </c>
      <c r="T19" s="5" t="n">
        <v>53</v>
      </c>
      <c r="U19" s="9" t="n"/>
      <c r="W19" s="133">
        <f>D19</f>
        <v/>
      </c>
      <c r="X19" s="134">
        <f>E19</f>
        <v/>
      </c>
      <c r="Y19" s="139">
        <f>H19</f>
        <v/>
      </c>
      <c r="Z19" s="137">
        <f>I19</f>
        <v/>
      </c>
      <c r="AA19" s="137">
        <f>K19</f>
        <v/>
      </c>
      <c r="AB19" s="137">
        <f>M19</f>
        <v/>
      </c>
      <c r="AC19" s="4">
        <f>N19</f>
        <v/>
      </c>
      <c r="AD19" s="138">
        <f>O19</f>
        <v/>
      </c>
      <c r="AE19" s="123">
        <f>S19</f>
        <v/>
      </c>
      <c r="AF19" s="123">
        <f>Q19&amp;"/"&amp;R19</f>
        <v/>
      </c>
      <c r="AH19" s="20">
        <f>IF(A19="","",A19)</f>
        <v/>
      </c>
      <c r="AI19" s="134">
        <f>IF(E19="","",E19)</f>
        <v/>
      </c>
      <c r="AJ19" s="123">
        <f>IF(AI19="","",$AJ$2)</f>
        <v/>
      </c>
      <c r="AK19" s="123" t="inlineStr">
        <is>
          <t>A</t>
        </is>
      </c>
      <c r="AL19" s="123" t="inlineStr">
        <is>
          <t>A+</t>
        </is>
      </c>
      <c r="AM19" s="123" t="inlineStr">
        <is>
          <t>B+</t>
        </is>
      </c>
      <c r="AN19" s="123">
        <f>IF(AI19="","",$AN$2)</f>
        <v/>
      </c>
      <c r="AO19" s="123">
        <f>IF(N19="","",IF(N19&gt;=$AO$1/100,"O","X"))</f>
        <v/>
      </c>
      <c r="AP19" s="123">
        <f>IF(I19="","",IF(I19&lt;=$AP$1,"O","X"))</f>
        <v/>
      </c>
      <c r="AQ19" s="123">
        <f>IF(O19="","",IF(O19&lt;=$AQ$1,"O","X"))</f>
        <v/>
      </c>
      <c r="AR19" s="123">
        <f>IF(M19="","",IF(M19&lt;=$AR$1,"O","X"))</f>
        <v/>
      </c>
      <c r="AS19" s="123" t="inlineStr">
        <is>
          <t>X</t>
        </is>
      </c>
      <c r="AT19" s="123">
        <f>IF(OR(F19="",AI19=""),"",IF(AND((F19&lt;=85),(AI19&gt;=15)),"O","X"))</f>
        <v/>
      </c>
      <c r="AU19" s="123">
        <f>IF(C19="","",IF(C19&gt;=$AU$1,"O","X"))</f>
        <v/>
      </c>
      <c r="AV19" s="123">
        <f>IF(AO19="","",IF(AND(AO19="O",AP19="O",AR19="O",AT19="O",AU19="O"),"후보","X"))</f>
        <v/>
      </c>
    </row>
    <row r="20" ht="12" customFormat="1" customHeight="1" s="37">
      <c r="A20" s="111" t="inlineStr">
        <is>
          <t>미룡동 미룡주공3단지</t>
        </is>
      </c>
      <c r="B20" s="112" t="inlineStr">
        <is>
          <t>01.06.</t>
        </is>
      </c>
      <c r="C20" s="132" t="n">
        <v>1460</v>
      </c>
      <c r="D20" s="133" t="n">
        <v>65.40000000000001</v>
      </c>
      <c r="E20" s="134" t="n">
        <v>20</v>
      </c>
      <c r="F20" s="133" t="n">
        <v>49.9</v>
      </c>
      <c r="G20" s="17" t="n">
        <v>15</v>
      </c>
      <c r="H20" s="135" t="n">
        <v>529</v>
      </c>
      <c r="I20" s="136" t="n">
        <v>8000</v>
      </c>
      <c r="J20" s="136" t="inlineStr">
        <is>
          <t>15</t>
        </is>
      </c>
      <c r="K20" s="136" t="n">
        <v>7500</v>
      </c>
      <c r="L20" s="136" t="inlineStr">
        <is>
          <t>18</t>
        </is>
      </c>
      <c r="M20" s="137">
        <f>I20-K20</f>
        <v/>
      </c>
      <c r="N20" s="4">
        <f>IF(ISERROR(K20/I20),"",K20/I20)</f>
        <v/>
      </c>
      <c r="O20" s="138">
        <f>I20/E20</f>
        <v/>
      </c>
      <c r="P20" s="138">
        <f>K20/E20</f>
        <v/>
      </c>
      <c r="Q20" s="123" t="n">
        <v>2</v>
      </c>
      <c r="R20" s="123" t="n">
        <v>1</v>
      </c>
      <c r="S20" s="123" t="inlineStr">
        <is>
          <t>계</t>
        </is>
      </c>
      <c r="T20" s="5" t="inlineStr">
        <is>
          <t>65C</t>
        </is>
      </c>
      <c r="U20" s="9" t="n"/>
      <c r="W20" s="133">
        <f>D20</f>
        <v/>
      </c>
      <c r="X20" s="134">
        <f>E20</f>
        <v/>
      </c>
      <c r="Y20" s="139">
        <f>H20</f>
        <v/>
      </c>
      <c r="Z20" s="137">
        <f>I20</f>
        <v/>
      </c>
      <c r="AA20" s="137">
        <f>K20</f>
        <v/>
      </c>
      <c r="AB20" s="137">
        <f>M20</f>
        <v/>
      </c>
      <c r="AC20" s="4">
        <f>N20</f>
        <v/>
      </c>
      <c r="AD20" s="138">
        <f>O20</f>
        <v/>
      </c>
      <c r="AE20" s="123">
        <f>S20</f>
        <v/>
      </c>
      <c r="AF20" s="123">
        <f>Q20&amp;"/"&amp;R20</f>
        <v/>
      </c>
      <c r="AH20" s="20">
        <f>IF(A20="","",A20)</f>
        <v/>
      </c>
      <c r="AI20" s="134">
        <f>IF(E20="","",E20)</f>
        <v/>
      </c>
      <c r="AJ20" s="123">
        <f>IF(AI20="","",$AJ$2)</f>
        <v/>
      </c>
      <c r="AK20" s="123" t="inlineStr">
        <is>
          <t>A</t>
        </is>
      </c>
      <c r="AL20" s="123" t="inlineStr">
        <is>
          <t>A+</t>
        </is>
      </c>
      <c r="AM20" s="123" t="inlineStr">
        <is>
          <t>B+</t>
        </is>
      </c>
      <c r="AN20" s="123">
        <f>IF(AI20="","",$AN$2)</f>
        <v/>
      </c>
      <c r="AO20" s="123">
        <f>IF(N20="","",IF(N20&gt;=$AO$1/100,"O","X"))</f>
        <v/>
      </c>
      <c r="AP20" s="123">
        <f>IF(I20="","",IF(I20&lt;=$AP$1,"O","X"))</f>
        <v/>
      </c>
      <c r="AQ20" s="123">
        <f>IF(O20="","",IF(O20&lt;=$AQ$1,"O","X"))</f>
        <v/>
      </c>
      <c r="AR20" s="123">
        <f>IF(M20="","",IF(M20&lt;=$AR$1,"O","X"))</f>
        <v/>
      </c>
      <c r="AS20" s="123" t="inlineStr">
        <is>
          <t>X</t>
        </is>
      </c>
      <c r="AT20" s="123">
        <f>IF(OR(F20="",AI20=""),"",IF(AND((F20&lt;=85),(AI20&gt;=15)),"O","X"))</f>
        <v/>
      </c>
      <c r="AU20" s="123">
        <f>IF(C20="","",IF(C20&gt;=$AU$1,"O","X"))</f>
        <v/>
      </c>
      <c r="AV20" s="123">
        <f>IF(AO20="","",IF(AND(AO20="O",AP20="O",AR20="O",AT20="O",AU20="O"),"후보","X"))</f>
        <v/>
      </c>
    </row>
    <row r="21" ht="12" customFormat="1" customHeight="1" s="37">
      <c r="A21" s="111" t="inlineStr">
        <is>
          <t>미룡동 미룡주공3단지</t>
        </is>
      </c>
      <c r="B21" s="112" t="inlineStr">
        <is>
          <t>01.06.</t>
        </is>
      </c>
      <c r="C21" s="132" t="n">
        <v>1460</v>
      </c>
      <c r="D21" s="133" t="n">
        <v>77.90000000000001</v>
      </c>
      <c r="E21" s="134" t="n">
        <v>24</v>
      </c>
      <c r="F21" s="133" t="n">
        <v>59.4</v>
      </c>
      <c r="G21" s="17" t="n">
        <v>18</v>
      </c>
      <c r="H21" s="135" t="n">
        <v>759</v>
      </c>
      <c r="I21" s="136" t="n">
        <v>11400</v>
      </c>
      <c r="J21" s="136" t="inlineStr">
        <is>
          <t>18</t>
        </is>
      </c>
      <c r="K21" s="136" t="n">
        <v>12000</v>
      </c>
      <c r="L21" s="136" t="inlineStr">
        <is>
          <t>12</t>
        </is>
      </c>
      <c r="M21" s="137">
        <f>I21-K21</f>
        <v/>
      </c>
      <c r="N21" s="4">
        <f>IF(ISERROR(K21/I21),"",K21/I21)</f>
        <v/>
      </c>
      <c r="O21" s="138">
        <f>I21/E21</f>
        <v/>
      </c>
      <c r="P21" s="138">
        <f>K21/E21</f>
        <v/>
      </c>
      <c r="Q21" s="123" t="n">
        <v>3</v>
      </c>
      <c r="R21" s="123" t="n">
        <v>1</v>
      </c>
      <c r="S21" s="123" t="inlineStr">
        <is>
          <t>계</t>
        </is>
      </c>
      <c r="T21" s="5" t="inlineStr">
        <is>
          <t>77A</t>
        </is>
      </c>
      <c r="U21" s="9" t="n"/>
      <c r="W21" s="133">
        <f>D21</f>
        <v/>
      </c>
      <c r="X21" s="134">
        <f>E21</f>
        <v/>
      </c>
      <c r="Y21" s="139">
        <f>H21</f>
        <v/>
      </c>
      <c r="Z21" s="137">
        <f>I21</f>
        <v/>
      </c>
      <c r="AA21" s="137">
        <f>K21</f>
        <v/>
      </c>
      <c r="AB21" s="137">
        <f>M21</f>
        <v/>
      </c>
      <c r="AC21" s="4">
        <f>N21</f>
        <v/>
      </c>
      <c r="AD21" s="138">
        <f>O21</f>
        <v/>
      </c>
      <c r="AE21" s="123">
        <f>S21</f>
        <v/>
      </c>
      <c r="AF21" s="123">
        <f>Q21&amp;"/"&amp;R21</f>
        <v/>
      </c>
      <c r="AH21" s="20">
        <f>IF(A21="","",A21)</f>
        <v/>
      </c>
      <c r="AI21" s="134">
        <f>IF(E21="","",E21)</f>
        <v/>
      </c>
      <c r="AJ21" s="123">
        <f>IF(AI21="","",$AJ$2)</f>
        <v/>
      </c>
      <c r="AK21" s="123" t="inlineStr">
        <is>
          <t>A</t>
        </is>
      </c>
      <c r="AL21" s="123" t="inlineStr">
        <is>
          <t>A+</t>
        </is>
      </c>
      <c r="AM21" s="123" t="inlineStr">
        <is>
          <t>B+</t>
        </is>
      </c>
      <c r="AN21" s="123">
        <f>IF(AI21="","",$AN$2)</f>
        <v/>
      </c>
      <c r="AO21" s="123">
        <f>IF(N21="","",IF(N21&gt;=$AO$1/100,"O","X"))</f>
        <v/>
      </c>
      <c r="AP21" s="123">
        <f>IF(I21="","",IF(I21&lt;=$AP$1,"O","X"))</f>
        <v/>
      </c>
      <c r="AQ21" s="123">
        <f>IF(O21="","",IF(O21&lt;=$AQ$1,"O","X"))</f>
        <v/>
      </c>
      <c r="AR21" s="123">
        <f>IF(M21="","",IF(M21&lt;=$AR$1,"O","X"))</f>
        <v/>
      </c>
      <c r="AS21" s="123" t="inlineStr">
        <is>
          <t>X</t>
        </is>
      </c>
      <c r="AT21" s="123">
        <f>IF(OR(F21="",AI21=""),"",IF(AND((F21&lt;=85),(AI21&gt;=15)),"O","X"))</f>
        <v/>
      </c>
      <c r="AU21" s="123">
        <f>IF(C21="","",IF(C21&gt;=$AU$1,"O","X"))</f>
        <v/>
      </c>
      <c r="AV21" s="123">
        <f>IF(AO21="","",IF(AND(AO21="O",AP21="O",AR21="O",AT21="O",AU21="O"),"후보","X"))</f>
        <v/>
      </c>
    </row>
    <row r="22" ht="12" customFormat="1" customHeight="1" s="37">
      <c r="A22" s="111" t="inlineStr">
        <is>
          <t>미룡동 미룡주공2단지</t>
        </is>
      </c>
      <c r="B22" s="112" t="inlineStr">
        <is>
          <t>01.03.</t>
        </is>
      </c>
      <c r="C22" s="132" t="n">
        <v>874</v>
      </c>
      <c r="D22" s="133" t="n">
        <v>80.7</v>
      </c>
      <c r="E22" s="134" t="n">
        <v>24</v>
      </c>
      <c r="F22" s="133" t="n">
        <v>59.4</v>
      </c>
      <c r="G22" s="17" t="n">
        <v>18</v>
      </c>
      <c r="H22" s="135" t="n">
        <v>267</v>
      </c>
      <c r="I22" s="136" t="n">
        <v>11500</v>
      </c>
      <c r="J22" s="136" t="inlineStr">
        <is>
          <t>9</t>
        </is>
      </c>
      <c r="K22" s="136" t="n">
        <v>12500</v>
      </c>
      <c r="L22" s="136" t="inlineStr">
        <is>
          <t>8</t>
        </is>
      </c>
      <c r="M22" s="137">
        <f>I22-K22</f>
        <v/>
      </c>
      <c r="N22" s="4">
        <f>IF(ISERROR(K22/I22),"",K22/I22)</f>
        <v/>
      </c>
      <c r="O22" s="138">
        <f>I22/E22</f>
        <v/>
      </c>
      <c r="P22" s="138">
        <f>K22/E22</f>
        <v/>
      </c>
      <c r="Q22" s="123" t="n">
        <v>3</v>
      </c>
      <c r="R22" s="123" t="n">
        <v>1</v>
      </c>
      <c r="S22" s="123" t="inlineStr">
        <is>
          <t>계</t>
        </is>
      </c>
      <c r="T22" s="5" t="inlineStr">
        <is>
          <t>80B</t>
        </is>
      </c>
      <c r="U22" s="9" t="n"/>
      <c r="W22" s="133">
        <f>D22</f>
        <v/>
      </c>
      <c r="X22" s="134">
        <f>E22</f>
        <v/>
      </c>
      <c r="Y22" s="139">
        <f>H22</f>
        <v/>
      </c>
      <c r="Z22" s="137">
        <f>I22</f>
        <v/>
      </c>
      <c r="AA22" s="137">
        <f>K22</f>
        <v/>
      </c>
      <c r="AB22" s="137">
        <f>M22</f>
        <v/>
      </c>
      <c r="AC22" s="4">
        <f>N22</f>
        <v/>
      </c>
      <c r="AD22" s="138">
        <f>O22</f>
        <v/>
      </c>
      <c r="AE22" s="123">
        <f>S22</f>
        <v/>
      </c>
      <c r="AF22" s="123">
        <f>Q22&amp;"/"&amp;R22</f>
        <v/>
      </c>
      <c r="AH22" s="20">
        <f>IF(A22="","",A22)</f>
        <v/>
      </c>
      <c r="AI22" s="134">
        <f>IF(E22="","",E22)</f>
        <v/>
      </c>
      <c r="AJ22" s="123">
        <f>IF(AI22="","",$AJ$2)</f>
        <v/>
      </c>
      <c r="AK22" s="123" t="inlineStr">
        <is>
          <t>A</t>
        </is>
      </c>
      <c r="AL22" s="123" t="inlineStr">
        <is>
          <t>A+</t>
        </is>
      </c>
      <c r="AM22" s="123" t="inlineStr">
        <is>
          <t>B+</t>
        </is>
      </c>
      <c r="AN22" s="123">
        <f>IF(AI22="","",$AN$2)</f>
        <v/>
      </c>
      <c r="AO22" s="123">
        <f>IF(N22="","",IF(N22&gt;=$AO$1/100,"O","X"))</f>
        <v/>
      </c>
      <c r="AP22" s="123">
        <f>IF(I22="","",IF(I22&lt;=$AP$1,"O","X"))</f>
        <v/>
      </c>
      <c r="AQ22" s="123">
        <f>IF(O22="","",IF(O22&lt;=$AQ$1,"O","X"))</f>
        <v/>
      </c>
      <c r="AR22" s="123">
        <f>IF(M22="","",IF(M22&lt;=$AR$1,"O","X"))</f>
        <v/>
      </c>
      <c r="AS22" s="123" t="inlineStr">
        <is>
          <t>X</t>
        </is>
      </c>
      <c r="AT22" s="123">
        <f>IF(OR(F22="",AI22=""),"",IF(AND((F22&lt;=85),(AI22&gt;=15)),"O","X"))</f>
        <v/>
      </c>
      <c r="AU22" s="123">
        <f>IF(C22="","",IF(C22&gt;=$AU$1,"O","X"))</f>
        <v/>
      </c>
      <c r="AV22" s="123">
        <f>IF(AO22="","",IF(AND(AO22="O",AP22="O",AR22="O",AT22="O",AU22="O"),"후보","X"))</f>
        <v/>
      </c>
    </row>
    <row r="23" ht="12" customFormat="1" customHeight="1" s="37">
      <c r="A23" s="111" t="inlineStr">
        <is>
          <t>미룡동 미룡주공2단지</t>
        </is>
      </c>
      <c r="B23" s="112" t="inlineStr">
        <is>
          <t>01.03.</t>
        </is>
      </c>
      <c r="C23" s="132" t="n">
        <v>874</v>
      </c>
      <c r="D23" s="133" t="n">
        <v>80.7</v>
      </c>
      <c r="E23" s="134" t="n">
        <v>24</v>
      </c>
      <c r="F23" s="133" t="n">
        <v>59.4</v>
      </c>
      <c r="G23" s="17" t="n">
        <v>18</v>
      </c>
      <c r="H23" s="135" t="n">
        <v>76</v>
      </c>
      <c r="I23" s="136" t="n">
        <v>11500</v>
      </c>
      <c r="J23" s="136" t="inlineStr">
        <is>
          <t>9</t>
        </is>
      </c>
      <c r="K23" s="136" t="n">
        <v>12500</v>
      </c>
      <c r="L23" s="136" t="inlineStr">
        <is>
          <t>8</t>
        </is>
      </c>
      <c r="M23" s="137">
        <f>I23-K23</f>
        <v/>
      </c>
      <c r="N23" s="4">
        <f>IF(ISERROR(K23/I23),"",K23/I23)</f>
        <v/>
      </c>
      <c r="O23" s="138">
        <f>I23/E23</f>
        <v/>
      </c>
      <c r="P23" s="138">
        <f>K23/E23</f>
        <v/>
      </c>
      <c r="Q23" s="123" t="n">
        <v>3</v>
      </c>
      <c r="R23" s="123" t="n">
        <v>1</v>
      </c>
      <c r="S23" s="123" t="inlineStr">
        <is>
          <t>계</t>
        </is>
      </c>
      <c r="T23" s="5" t="inlineStr">
        <is>
          <t>80C</t>
        </is>
      </c>
      <c r="U23" s="9" t="n"/>
      <c r="W23" s="133">
        <f>D23</f>
        <v/>
      </c>
      <c r="X23" s="134">
        <f>E23</f>
        <v/>
      </c>
      <c r="Y23" s="139">
        <f>H23</f>
        <v/>
      </c>
      <c r="Z23" s="137">
        <f>I23</f>
        <v/>
      </c>
      <c r="AA23" s="137">
        <f>K23</f>
        <v/>
      </c>
      <c r="AB23" s="137">
        <f>M23</f>
        <v/>
      </c>
      <c r="AC23" s="4">
        <f>N23</f>
        <v/>
      </c>
      <c r="AD23" s="138">
        <f>O23</f>
        <v/>
      </c>
      <c r="AE23" s="123">
        <f>S23</f>
        <v/>
      </c>
      <c r="AF23" s="123">
        <f>Q23&amp;"/"&amp;R23</f>
        <v/>
      </c>
      <c r="AH23" s="20">
        <f>IF(A23="","",A23)</f>
        <v/>
      </c>
      <c r="AI23" s="134">
        <f>IF(E23="","",E23)</f>
        <v/>
      </c>
      <c r="AJ23" s="123">
        <f>IF(AI23="","",$AJ$2)</f>
        <v/>
      </c>
      <c r="AK23" s="123" t="inlineStr">
        <is>
          <t>A</t>
        </is>
      </c>
      <c r="AL23" s="123" t="inlineStr">
        <is>
          <t>A+</t>
        </is>
      </c>
      <c r="AM23" s="123" t="inlineStr">
        <is>
          <t>B+</t>
        </is>
      </c>
      <c r="AN23" s="123">
        <f>IF(AI23="","",$AN$2)</f>
        <v/>
      </c>
      <c r="AO23" s="123">
        <f>IF(N23="","",IF(N23&gt;=$AO$1/100,"O","X"))</f>
        <v/>
      </c>
      <c r="AP23" s="123">
        <f>IF(I23="","",IF(I23&lt;=$AP$1,"O","X"))</f>
        <v/>
      </c>
      <c r="AQ23" s="123">
        <f>IF(O23="","",IF(O23&lt;=$AQ$1,"O","X"))</f>
        <v/>
      </c>
      <c r="AR23" s="123">
        <f>IF(M23="","",IF(M23&lt;=$AR$1,"O","X"))</f>
        <v/>
      </c>
      <c r="AS23" s="123" t="inlineStr">
        <is>
          <t>X</t>
        </is>
      </c>
      <c r="AT23" s="123">
        <f>IF(OR(F23="",AI23=""),"",IF(AND((F23&lt;=85),(AI23&gt;=15)),"O","X"))</f>
        <v/>
      </c>
      <c r="AU23" s="123">
        <f>IF(C23="","",IF(C23&gt;=$AU$1,"O","X"))</f>
        <v/>
      </c>
      <c r="AV23" s="123">
        <f>IF(AO23="","",IF(AND(AO23="O",AP23="O",AR23="O",AT23="O",AU23="O"),"후보","X"))</f>
        <v/>
      </c>
    </row>
    <row r="24" ht="12" customFormat="1" customHeight="1" s="37">
      <c r="A24" s="111" t="inlineStr">
        <is>
          <t>미룡동 미룡주공2단지</t>
        </is>
      </c>
      <c r="B24" s="112" t="inlineStr">
        <is>
          <t>01.03.</t>
        </is>
      </c>
      <c r="C24" s="132" t="n">
        <v>874</v>
      </c>
      <c r="D24" s="133" t="n">
        <v>80.59999999999999</v>
      </c>
      <c r="E24" s="134" t="n">
        <v>24</v>
      </c>
      <c r="F24" s="133" t="n">
        <v>59.3</v>
      </c>
      <c r="G24" s="17" t="n">
        <v>18</v>
      </c>
      <c r="H24" s="135" t="n">
        <v>15</v>
      </c>
      <c r="I24" s="136" t="n">
        <v>11000</v>
      </c>
      <c r="J24" s="136" t="inlineStr">
        <is>
          <t>9</t>
        </is>
      </c>
      <c r="K24" s="136" t="n">
        <v>11000</v>
      </c>
      <c r="L24" s="136" t="inlineStr">
        <is>
          <t>14</t>
        </is>
      </c>
      <c r="M24" s="137">
        <f>I24-K24</f>
        <v/>
      </c>
      <c r="N24" s="4">
        <f>IF(ISERROR(K24/I24),"",K24/I24)</f>
        <v/>
      </c>
      <c r="O24" s="138">
        <f>I24/E24</f>
        <v/>
      </c>
      <c r="P24" s="138">
        <f>K24/E24</f>
        <v/>
      </c>
      <c r="Q24" s="123" t="n">
        <v>3</v>
      </c>
      <c r="R24" s="123" t="n">
        <v>1</v>
      </c>
      <c r="S24" s="123" t="inlineStr">
        <is>
          <t>계</t>
        </is>
      </c>
      <c r="T24" s="5" t="inlineStr">
        <is>
          <t>80A</t>
        </is>
      </c>
      <c r="U24" s="9" t="n"/>
      <c r="W24" s="133">
        <f>D24</f>
        <v/>
      </c>
      <c r="X24" s="134">
        <f>E24</f>
        <v/>
      </c>
      <c r="Y24" s="139">
        <f>H24</f>
        <v/>
      </c>
      <c r="Z24" s="137">
        <f>I24</f>
        <v/>
      </c>
      <c r="AA24" s="137">
        <f>K24</f>
        <v/>
      </c>
      <c r="AB24" s="137">
        <f>M24</f>
        <v/>
      </c>
      <c r="AC24" s="4">
        <f>N24</f>
        <v/>
      </c>
      <c r="AD24" s="138">
        <f>O24</f>
        <v/>
      </c>
      <c r="AE24" s="123">
        <f>S24</f>
        <v/>
      </c>
      <c r="AF24" s="123">
        <f>Q24&amp;"/"&amp;R24</f>
        <v/>
      </c>
      <c r="AH24" s="20">
        <f>IF(A24="","",A24)</f>
        <v/>
      </c>
      <c r="AI24" s="134">
        <f>IF(E24="","",E24)</f>
        <v/>
      </c>
      <c r="AJ24" s="123">
        <f>IF(AI24="","",$AJ$2)</f>
        <v/>
      </c>
      <c r="AK24" s="123" t="inlineStr">
        <is>
          <t>A</t>
        </is>
      </c>
      <c r="AL24" s="123" t="inlineStr">
        <is>
          <t>A+</t>
        </is>
      </c>
      <c r="AM24" s="123" t="inlineStr">
        <is>
          <t>B+</t>
        </is>
      </c>
      <c r="AN24" s="123">
        <f>IF(AI24="","",$AN$2)</f>
        <v/>
      </c>
      <c r="AO24" s="123">
        <f>IF(N24="","",IF(N24&gt;=$AO$1/100,"O","X"))</f>
        <v/>
      </c>
      <c r="AP24" s="123">
        <f>IF(I24="","",IF(I24&lt;=$AP$1,"O","X"))</f>
        <v/>
      </c>
      <c r="AQ24" s="123">
        <f>IF(O24="","",IF(O24&lt;=$AQ$1,"O","X"))</f>
        <v/>
      </c>
      <c r="AR24" s="123">
        <f>IF(M24="","",IF(M24&lt;=$AR$1,"O","X"))</f>
        <v/>
      </c>
      <c r="AS24" s="123" t="inlineStr">
        <is>
          <t>X</t>
        </is>
      </c>
      <c r="AT24" s="123">
        <f>IF(OR(F24="",AI24=""),"",IF(AND((F24&lt;=85),(AI24&gt;=15)),"O","X"))</f>
        <v/>
      </c>
      <c r="AU24" s="123">
        <f>IF(C24="","",IF(C24&gt;=$AU$1,"O","X"))</f>
        <v/>
      </c>
      <c r="AV24" s="123">
        <f>IF(AO24="","",IF(AND(AO24="O",AP24="O",AR24="O",AT24="O",AU24="O"),"후보","X"))</f>
        <v/>
      </c>
    </row>
    <row r="25" ht="12" customFormat="1" customHeight="1" s="37">
      <c r="A25" s="111" t="inlineStr">
        <is>
          <t>미장동 파인빌2차</t>
        </is>
      </c>
      <c r="B25" s="112" t="inlineStr">
        <is>
          <t>06.06.</t>
        </is>
      </c>
      <c r="C25" s="132" t="n">
        <v>351</v>
      </c>
      <c r="D25" s="133" t="n">
        <v>119.9</v>
      </c>
      <c r="E25" s="134" t="n">
        <v>36</v>
      </c>
      <c r="F25" s="133" t="n">
        <v>85</v>
      </c>
      <c r="G25" s="17" t="n">
        <v>26</v>
      </c>
      <c r="H25" s="135" t="n">
        <v>202</v>
      </c>
      <c r="I25" s="136" t="n">
        <v>20500</v>
      </c>
      <c r="J25" s="136" t="inlineStr">
        <is>
          <t>14</t>
        </is>
      </c>
      <c r="K25" s="136" t="n">
        <v>19000</v>
      </c>
      <c r="L25" s="136" t="inlineStr">
        <is>
          <t>9</t>
        </is>
      </c>
      <c r="M25" s="137">
        <f>I25-K25</f>
        <v/>
      </c>
      <c r="N25" s="4">
        <f>IF(ISERROR(K25/I25),"",K25/I25)</f>
        <v/>
      </c>
      <c r="O25" s="138">
        <f>I25/E25</f>
        <v/>
      </c>
      <c r="P25" s="138">
        <f>K25/E25</f>
        <v/>
      </c>
      <c r="Q25" s="123" t="n">
        <v>3</v>
      </c>
      <c r="R25" s="123" t="n">
        <v>2</v>
      </c>
      <c r="S25" s="123" t="inlineStr">
        <is>
          <t>복</t>
        </is>
      </c>
      <c r="T25" s="5" t="n">
        <v>119</v>
      </c>
      <c r="U25" s="9" t="n"/>
      <c r="W25" s="133">
        <f>D25</f>
        <v/>
      </c>
      <c r="X25" s="134">
        <f>E25</f>
        <v/>
      </c>
      <c r="Y25" s="139">
        <f>H25</f>
        <v/>
      </c>
      <c r="Z25" s="137">
        <f>I25</f>
        <v/>
      </c>
      <c r="AA25" s="137">
        <f>K25</f>
        <v/>
      </c>
      <c r="AB25" s="137">
        <f>M25</f>
        <v/>
      </c>
      <c r="AC25" s="4">
        <f>N25</f>
        <v/>
      </c>
      <c r="AD25" s="138">
        <f>O25</f>
        <v/>
      </c>
      <c r="AE25" s="123">
        <f>S25</f>
        <v/>
      </c>
      <c r="AF25" s="123">
        <f>Q25&amp;"/"&amp;R25</f>
        <v/>
      </c>
      <c r="AH25" s="20">
        <f>IF(A25="","",A25)</f>
        <v/>
      </c>
      <c r="AI25" s="134">
        <f>IF(E25="","",E25)</f>
        <v/>
      </c>
      <c r="AJ25" s="123">
        <f>IF(AI25="","",$AJ$2)</f>
        <v/>
      </c>
      <c r="AK25" s="123" t="inlineStr">
        <is>
          <t>A</t>
        </is>
      </c>
      <c r="AL25" s="123" t="inlineStr">
        <is>
          <t>A+</t>
        </is>
      </c>
      <c r="AM25" s="123" t="inlineStr">
        <is>
          <t>B+</t>
        </is>
      </c>
      <c r="AN25" s="123">
        <f>IF(AI25="","",$AN$2)</f>
        <v/>
      </c>
      <c r="AO25" s="123">
        <f>IF(N25="","",IF(N25&gt;=$AO$1/100,"O","X"))</f>
        <v/>
      </c>
      <c r="AP25" s="123">
        <f>IF(I25="","",IF(I25&lt;=$AP$1,"O","X"))</f>
        <v/>
      </c>
      <c r="AQ25" s="123">
        <f>IF(O25="","",IF(O25&lt;=$AQ$1,"O","X"))</f>
        <v/>
      </c>
      <c r="AR25" s="123">
        <f>IF(M25="","",IF(M25&lt;=$AR$1,"O","X"))</f>
        <v/>
      </c>
      <c r="AS25" s="123" t="inlineStr">
        <is>
          <t>X</t>
        </is>
      </c>
      <c r="AT25" s="123">
        <f>IF(OR(F25="",AI25=""),"",IF(AND((F25&lt;=85),(AI25&gt;=15)),"O","X"))</f>
        <v/>
      </c>
      <c r="AU25" s="123">
        <f>IF(C25="","",IF(C25&gt;=$AU$1,"O","X"))</f>
        <v/>
      </c>
      <c r="AV25" s="123">
        <f>IF(AO25="","",IF(AND(AO25="O",AP25="O",AR25="O",AT25="O",AU25="O"),"후보","X"))</f>
        <v/>
      </c>
    </row>
    <row r="26" ht="12" customFormat="1" customHeight="1" s="37">
      <c r="A26" s="111" t="inlineStr">
        <is>
          <t>미장동 파인빌1차</t>
        </is>
      </c>
      <c r="B26" s="112" t="inlineStr">
        <is>
          <t>04.11.</t>
        </is>
      </c>
      <c r="C26" s="132" t="n">
        <v>499</v>
      </c>
      <c r="D26" s="133" t="n">
        <v>80.09999999999999</v>
      </c>
      <c r="E26" s="134" t="n">
        <v>24</v>
      </c>
      <c r="F26" s="133" t="n">
        <v>60</v>
      </c>
      <c r="G26" s="17" t="n">
        <v>18</v>
      </c>
      <c r="H26" s="135" t="n">
        <v>139</v>
      </c>
      <c r="I26" s="136" t="n">
        <v>15500</v>
      </c>
      <c r="J26" s="136" t="inlineStr">
        <is>
          <t>7</t>
        </is>
      </c>
      <c r="K26" s="136" t="n">
        <v>14000</v>
      </c>
      <c r="L26" s="136" t="inlineStr">
        <is>
          <t>13</t>
        </is>
      </c>
      <c r="M26" s="137">
        <f>I26-K26</f>
        <v/>
      </c>
      <c r="N26" s="4">
        <f>IF(ISERROR(K26/I26),"",K26/I26)</f>
        <v/>
      </c>
      <c r="O26" s="138">
        <f>I26/E26</f>
        <v/>
      </c>
      <c r="P26" s="138">
        <f>K26/E26</f>
        <v/>
      </c>
      <c r="Q26" s="123" t="n">
        <v>3</v>
      </c>
      <c r="R26" s="123" t="n">
        <v>1</v>
      </c>
      <c r="S26" s="123" t="inlineStr">
        <is>
          <t>계</t>
        </is>
      </c>
      <c r="T26" s="5" t="n">
        <v>80</v>
      </c>
      <c r="U26" s="9" t="n"/>
      <c r="W26" s="133">
        <f>D26</f>
        <v/>
      </c>
      <c r="X26" s="134">
        <f>E26</f>
        <v/>
      </c>
      <c r="Y26" s="139">
        <f>H26</f>
        <v/>
      </c>
      <c r="Z26" s="137">
        <f>I26</f>
        <v/>
      </c>
      <c r="AA26" s="137">
        <f>K26</f>
        <v/>
      </c>
      <c r="AB26" s="137">
        <f>M26</f>
        <v/>
      </c>
      <c r="AC26" s="4">
        <f>N26</f>
        <v/>
      </c>
      <c r="AD26" s="138">
        <f>O26</f>
        <v/>
      </c>
      <c r="AE26" s="123">
        <f>S26</f>
        <v/>
      </c>
      <c r="AF26" s="123">
        <f>Q26&amp;"/"&amp;R26</f>
        <v/>
      </c>
      <c r="AH26" s="20">
        <f>IF(A26="","",A26)</f>
        <v/>
      </c>
      <c r="AI26" s="134">
        <f>IF(E26="","",E26)</f>
        <v/>
      </c>
      <c r="AJ26" s="123">
        <f>IF(AI26="","",$AJ$2)</f>
        <v/>
      </c>
      <c r="AK26" s="123" t="inlineStr">
        <is>
          <t>A</t>
        </is>
      </c>
      <c r="AL26" s="123" t="inlineStr">
        <is>
          <t>A+</t>
        </is>
      </c>
      <c r="AM26" s="123" t="inlineStr">
        <is>
          <t>B+</t>
        </is>
      </c>
      <c r="AN26" s="123">
        <f>IF(AI26="","",$AN$2)</f>
        <v/>
      </c>
      <c r="AO26" s="123">
        <f>IF(N26="","",IF(N26&gt;=$AO$1/100,"O","X"))</f>
        <v/>
      </c>
      <c r="AP26" s="123">
        <f>IF(I26="","",IF(I26&lt;=$AP$1,"O","X"))</f>
        <v/>
      </c>
      <c r="AQ26" s="123">
        <f>IF(O26="","",IF(O26&lt;=$AQ$1,"O","X"))</f>
        <v/>
      </c>
      <c r="AR26" s="123">
        <f>IF(M26="","",IF(M26&lt;=$AR$1,"O","X"))</f>
        <v/>
      </c>
      <c r="AS26" s="123" t="inlineStr">
        <is>
          <t>X</t>
        </is>
      </c>
      <c r="AT26" s="123">
        <f>IF(OR(F26="",AI26=""),"",IF(AND((F26&lt;=85),(AI26&gt;=15)),"O","X"))</f>
        <v/>
      </c>
      <c r="AU26" s="123">
        <f>IF(C26="","",IF(C26&gt;=$AU$1,"O","X"))</f>
        <v/>
      </c>
      <c r="AV26" s="123">
        <f>IF(AO26="","",IF(AND(AO26="O",AP26="O",AR26="O",AT26="O",AU26="O"),"후보","X"))</f>
        <v/>
      </c>
    </row>
    <row r="27" ht="12" customFormat="1" customHeight="1" s="37">
      <c r="A27" s="111" t="inlineStr">
        <is>
          <t>미장동 군산미장2차아이파크</t>
        </is>
      </c>
      <c r="B27" s="112" t="inlineStr">
        <is>
          <t>17.06.</t>
        </is>
      </c>
      <c r="C27" s="132" t="n">
        <v>540</v>
      </c>
      <c r="D27" s="133" t="n">
        <v>99.8</v>
      </c>
      <c r="E27" s="134" t="n">
        <v>30</v>
      </c>
      <c r="F27" s="133" t="n">
        <v>75</v>
      </c>
      <c r="G27" s="17" t="n">
        <v>23</v>
      </c>
      <c r="H27" s="135" t="n">
        <v>72</v>
      </c>
      <c r="I27" s="136" t="n">
        <v>37000</v>
      </c>
      <c r="J27" s="136" t="inlineStr">
        <is>
          <t>11</t>
        </is>
      </c>
      <c r="K27" s="136" t="n">
        <v>34000</v>
      </c>
      <c r="L27" s="136" t="inlineStr">
        <is>
          <t>16</t>
        </is>
      </c>
      <c r="M27" s="137">
        <f>I27-K27</f>
        <v/>
      </c>
      <c r="N27" s="4">
        <f>IF(ISERROR(K27/I27),"",K27/I27)</f>
        <v/>
      </c>
      <c r="O27" s="138">
        <f>I27/E27</f>
        <v/>
      </c>
      <c r="P27" s="138">
        <f>K27/E27</f>
        <v/>
      </c>
      <c r="Q27" s="123" t="n">
        <v>3</v>
      </c>
      <c r="R27" s="123" t="n">
        <v>2</v>
      </c>
      <c r="S27" s="123" t="inlineStr">
        <is>
          <t>계</t>
        </is>
      </c>
      <c r="T27" s="5" t="inlineStr">
        <is>
          <t>99C</t>
        </is>
      </c>
      <c r="U27" s="9" t="n"/>
      <c r="W27" s="133">
        <f>D27</f>
        <v/>
      </c>
      <c r="X27" s="134">
        <f>E27</f>
        <v/>
      </c>
      <c r="Y27" s="139">
        <f>H27</f>
        <v/>
      </c>
      <c r="Z27" s="137">
        <f>I27</f>
        <v/>
      </c>
      <c r="AA27" s="137">
        <f>K27</f>
        <v/>
      </c>
      <c r="AB27" s="137">
        <f>M27</f>
        <v/>
      </c>
      <c r="AC27" s="4">
        <f>N27</f>
        <v/>
      </c>
      <c r="AD27" s="138">
        <f>O27</f>
        <v/>
      </c>
      <c r="AE27" s="123">
        <f>S27</f>
        <v/>
      </c>
      <c r="AF27" s="123">
        <f>Q27&amp;"/"&amp;R27</f>
        <v/>
      </c>
      <c r="AH27" s="20">
        <f>IF(A27="","",A27)</f>
        <v/>
      </c>
      <c r="AI27" s="134">
        <f>IF(E27="","",E27)</f>
        <v/>
      </c>
      <c r="AJ27" s="123">
        <f>IF(AI27="","",$AJ$2)</f>
        <v/>
      </c>
      <c r="AK27" s="123" t="inlineStr">
        <is>
          <t>A</t>
        </is>
      </c>
      <c r="AL27" s="123" t="inlineStr">
        <is>
          <t>A+</t>
        </is>
      </c>
      <c r="AM27" s="123" t="inlineStr">
        <is>
          <t>B+</t>
        </is>
      </c>
      <c r="AN27" s="123">
        <f>IF(AI27="","",$AN$2)</f>
        <v/>
      </c>
      <c r="AO27" s="123">
        <f>IF(N27="","",IF(N27&gt;=$AO$1/100,"O","X"))</f>
        <v/>
      </c>
      <c r="AP27" s="123">
        <f>IF(I27="","",IF(I27&lt;=$AP$1,"O","X"))</f>
        <v/>
      </c>
      <c r="AQ27" s="123">
        <f>IF(O27="","",IF(O27&lt;=$AQ$1,"O","X"))</f>
        <v/>
      </c>
      <c r="AR27" s="123">
        <f>IF(M27="","",IF(M27&lt;=$AR$1,"O","X"))</f>
        <v/>
      </c>
      <c r="AS27" s="123" t="inlineStr">
        <is>
          <t>X</t>
        </is>
      </c>
      <c r="AT27" s="123">
        <f>IF(OR(F27="",AI27=""),"",IF(AND((F27&lt;=85),(AI27&gt;=15)),"O","X"))</f>
        <v/>
      </c>
      <c r="AU27" s="123">
        <f>IF(C27="","",IF(C27&gt;=$AU$1,"O","X"))</f>
        <v/>
      </c>
      <c r="AV27" s="123">
        <f>IF(AO27="","",IF(AND(AO27="O",AP27="O",AR27="O",AT27="O",AU27="O"),"후보","X"))</f>
        <v/>
      </c>
    </row>
    <row r="28" ht="12" customFormat="1" customHeight="1" s="37">
      <c r="A28" s="111" t="inlineStr">
        <is>
          <t>소룡동 군산성원</t>
        </is>
      </c>
      <c r="B28" s="112" t="inlineStr">
        <is>
          <t>04.07.</t>
        </is>
      </c>
      <c r="C28" s="132" t="n">
        <v>675</v>
      </c>
      <c r="D28" s="133" t="n">
        <v>106.8</v>
      </c>
      <c r="E28" s="134" t="n">
        <v>32</v>
      </c>
      <c r="F28" s="133" t="n">
        <v>85</v>
      </c>
      <c r="G28" s="17" t="n">
        <v>26</v>
      </c>
      <c r="H28" s="135" t="n">
        <v>405</v>
      </c>
      <c r="I28" s="136" t="n">
        <v>10500</v>
      </c>
      <c r="J28" s="136" t="inlineStr">
        <is>
          <t>6</t>
        </is>
      </c>
      <c r="K28" s="136" t="n">
        <v>9500</v>
      </c>
      <c r="L28" s="136" t="inlineStr">
        <is>
          <t>7</t>
        </is>
      </c>
      <c r="M28" s="137">
        <f>I28-K28</f>
        <v/>
      </c>
      <c r="N28" s="4">
        <f>IF(ISERROR(K28/I28),"",K28/I28)</f>
        <v/>
      </c>
      <c r="O28" s="138">
        <f>I28/E28</f>
        <v/>
      </c>
      <c r="P28" s="138">
        <f>K28/E28</f>
        <v/>
      </c>
      <c r="Q28" s="123" t="n">
        <v>3</v>
      </c>
      <c r="R28" s="123" t="n">
        <v>2</v>
      </c>
      <c r="S28" s="123" t="inlineStr">
        <is>
          <t>계</t>
        </is>
      </c>
      <c r="T28" s="5" t="n">
        <v>106</v>
      </c>
      <c r="U28" s="9" t="n"/>
      <c r="W28" s="133">
        <f>D28</f>
        <v/>
      </c>
      <c r="X28" s="134">
        <f>E28</f>
        <v/>
      </c>
      <c r="Y28" s="139">
        <f>H28</f>
        <v/>
      </c>
      <c r="Z28" s="137">
        <f>I28</f>
        <v/>
      </c>
      <c r="AA28" s="137">
        <f>K28</f>
        <v/>
      </c>
      <c r="AB28" s="137">
        <f>M28</f>
        <v/>
      </c>
      <c r="AC28" s="4">
        <f>N28</f>
        <v/>
      </c>
      <c r="AD28" s="138">
        <f>O28</f>
        <v/>
      </c>
      <c r="AE28" s="123">
        <f>S28</f>
        <v/>
      </c>
      <c r="AF28" s="123">
        <f>Q28&amp;"/"&amp;R28</f>
        <v/>
      </c>
      <c r="AH28" s="20">
        <f>IF(A28="","",A28)</f>
        <v/>
      </c>
      <c r="AI28" s="134">
        <f>IF(E28="","",E28)</f>
        <v/>
      </c>
      <c r="AJ28" s="123">
        <f>IF(AI28="","",$AJ$2)</f>
        <v/>
      </c>
      <c r="AK28" s="123" t="inlineStr">
        <is>
          <t>A</t>
        </is>
      </c>
      <c r="AL28" s="123" t="inlineStr">
        <is>
          <t>A+</t>
        </is>
      </c>
      <c r="AM28" s="123" t="inlineStr">
        <is>
          <t>B+</t>
        </is>
      </c>
      <c r="AN28" s="123">
        <f>IF(AI28="","",$AN$2)</f>
        <v/>
      </c>
      <c r="AO28" s="123">
        <f>IF(N28="","",IF(N28&gt;=$AO$1/100,"O","X"))</f>
        <v/>
      </c>
      <c r="AP28" s="123">
        <f>IF(I28="","",IF(I28&lt;=$AP$1,"O","X"))</f>
        <v/>
      </c>
      <c r="AQ28" s="123">
        <f>IF(O28="","",IF(O28&lt;=$AQ$1,"O","X"))</f>
        <v/>
      </c>
      <c r="AR28" s="123">
        <f>IF(M28="","",IF(M28&lt;=$AR$1,"O","X"))</f>
        <v/>
      </c>
      <c r="AS28" s="123" t="inlineStr">
        <is>
          <t>X</t>
        </is>
      </c>
      <c r="AT28" s="123">
        <f>IF(OR(F28="",AI28=""),"",IF(AND((F28&lt;=85),(AI28&gt;=15)),"O","X"))</f>
        <v/>
      </c>
      <c r="AU28" s="123">
        <f>IF(C28="","",IF(C28&gt;=$AU$1,"O","X"))</f>
        <v/>
      </c>
      <c r="AV28" s="123">
        <f>IF(AO28="","",IF(AND(AO28="O",AP28="O",AR28="O",AT28="O",AU28="O"),"후보","X"))</f>
        <v/>
      </c>
    </row>
    <row r="29" ht="12" customFormat="1" customHeight="1" s="37">
      <c r="A29" s="111" t="inlineStr">
        <is>
          <t>수송동 한라비발디2단지</t>
        </is>
      </c>
      <c r="B29" s="112" t="inlineStr">
        <is>
          <t>08.11.</t>
        </is>
      </c>
      <c r="C29" s="132" t="n">
        <v>782</v>
      </c>
      <c r="D29" s="133" t="n">
        <v>113.3</v>
      </c>
      <c r="E29" s="134" t="n">
        <v>34</v>
      </c>
      <c r="F29" s="133" t="n">
        <v>85</v>
      </c>
      <c r="G29" s="17" t="n">
        <v>26</v>
      </c>
      <c r="H29" s="135" t="n">
        <v>480</v>
      </c>
      <c r="I29" s="136" t="n">
        <v>32000</v>
      </c>
      <c r="J29" s="136" t="inlineStr">
        <is>
          <t>18</t>
        </is>
      </c>
      <c r="K29" s="136" t="n">
        <v>27000</v>
      </c>
      <c r="L29" s="136" t="inlineStr">
        <is>
          <t>6</t>
        </is>
      </c>
      <c r="M29" s="137">
        <f>I29-K29</f>
        <v/>
      </c>
      <c r="N29" s="4">
        <f>IF(ISERROR(K29/I29),"",K29/I29)</f>
        <v/>
      </c>
      <c r="O29" s="138">
        <f>I29/E29</f>
        <v/>
      </c>
      <c r="P29" s="138">
        <f>K29/E29</f>
        <v/>
      </c>
      <c r="Q29" s="123" t="n">
        <v>3</v>
      </c>
      <c r="R29" s="123" t="n">
        <v>2</v>
      </c>
      <c r="S29" s="123" t="inlineStr">
        <is>
          <t>계</t>
        </is>
      </c>
      <c r="T29" s="5" t="n">
        <v>113</v>
      </c>
      <c r="U29" s="9" t="n"/>
      <c r="W29" s="133">
        <f>D29</f>
        <v/>
      </c>
      <c r="X29" s="134">
        <f>E29</f>
        <v/>
      </c>
      <c r="Y29" s="139">
        <f>H29</f>
        <v/>
      </c>
      <c r="Z29" s="137">
        <f>I29</f>
        <v/>
      </c>
      <c r="AA29" s="137">
        <f>K29</f>
        <v/>
      </c>
      <c r="AB29" s="137">
        <f>M29</f>
        <v/>
      </c>
      <c r="AC29" s="4">
        <f>N29</f>
        <v/>
      </c>
      <c r="AD29" s="138">
        <f>O29</f>
        <v/>
      </c>
      <c r="AE29" s="123">
        <f>S29</f>
        <v/>
      </c>
      <c r="AF29" s="123">
        <f>Q29&amp;"/"&amp;R29</f>
        <v/>
      </c>
      <c r="AH29" s="20">
        <f>IF(A29="","",A29)</f>
        <v/>
      </c>
      <c r="AI29" s="134">
        <f>IF(E29="","",E29)</f>
        <v/>
      </c>
      <c r="AJ29" s="123">
        <f>IF(AI29="","",$AJ$2)</f>
        <v/>
      </c>
      <c r="AK29" s="123" t="inlineStr">
        <is>
          <t>A</t>
        </is>
      </c>
      <c r="AL29" s="123" t="inlineStr">
        <is>
          <t>A+</t>
        </is>
      </c>
      <c r="AM29" s="123" t="inlineStr">
        <is>
          <t>B+</t>
        </is>
      </c>
      <c r="AN29" s="123">
        <f>IF(AI29="","",$AN$2)</f>
        <v/>
      </c>
      <c r="AO29" s="123">
        <f>IF(N29="","",IF(N29&gt;=$AO$1/100,"O","X"))</f>
        <v/>
      </c>
      <c r="AP29" s="123">
        <f>IF(I29="","",IF(I29&lt;=$AP$1,"O","X"))</f>
        <v/>
      </c>
      <c r="AQ29" s="123">
        <f>IF(O29="","",IF(O29&lt;=$AQ$1,"O","X"))</f>
        <v/>
      </c>
      <c r="AR29" s="123">
        <f>IF(M29="","",IF(M29&lt;=$AR$1,"O","X"))</f>
        <v/>
      </c>
      <c r="AS29" s="123" t="inlineStr">
        <is>
          <t>X</t>
        </is>
      </c>
      <c r="AT29" s="123">
        <f>IF(OR(F29="",AI29=""),"",IF(AND((F29&lt;=85),(AI29&gt;=15)),"O","X"))</f>
        <v/>
      </c>
      <c r="AU29" s="123">
        <f>IF(C29="","",IF(C29&gt;=$AU$1,"O","X"))</f>
        <v/>
      </c>
      <c r="AV29" s="123">
        <f>IF(AO29="","",IF(AND(AO29="O",AP29="O",AR29="O",AT29="O",AU29="O"),"후보","X"))</f>
        <v/>
      </c>
    </row>
    <row r="30" ht="12" customFormat="1" customHeight="1" s="37">
      <c r="A30" s="111" t="inlineStr">
        <is>
          <t>수송동 군산수송세영리첼</t>
        </is>
      </c>
      <c r="B30" s="112" t="inlineStr">
        <is>
          <t>10.06.</t>
        </is>
      </c>
      <c r="C30" s="132" t="n">
        <v>1041</v>
      </c>
      <c r="D30" s="133" t="n">
        <v>108.9</v>
      </c>
      <c r="E30" s="134" t="n">
        <v>33</v>
      </c>
      <c r="F30" s="133" t="n">
        <v>84.7</v>
      </c>
      <c r="G30" s="17" t="n">
        <v>26</v>
      </c>
      <c r="H30" s="135" t="n">
        <v>160</v>
      </c>
      <c r="I30" s="136" t="n">
        <v>29000</v>
      </c>
      <c r="J30" s="136" t="inlineStr">
        <is>
          <t>11</t>
        </is>
      </c>
      <c r="K30" s="136" t="n">
        <v>25000</v>
      </c>
      <c r="L30" s="136" t="inlineStr">
        <is>
          <t>10</t>
        </is>
      </c>
      <c r="M30" s="137">
        <f>I30-K30</f>
        <v/>
      </c>
      <c r="N30" s="4">
        <f>IF(ISERROR(K30/I30),"",K30/I30)</f>
        <v/>
      </c>
      <c r="O30" s="138">
        <f>I30/E30</f>
        <v/>
      </c>
      <c r="P30" s="138">
        <f>K30/E30</f>
        <v/>
      </c>
      <c r="Q30" s="123" t="n">
        <v>3</v>
      </c>
      <c r="R30" s="123" t="n">
        <v>2</v>
      </c>
      <c r="S30" s="123" t="inlineStr">
        <is>
          <t>계</t>
        </is>
      </c>
      <c r="T30" s="5" t="n">
        <v>108</v>
      </c>
      <c r="U30" s="9" t="n"/>
      <c r="W30" s="133">
        <f>D30</f>
        <v/>
      </c>
      <c r="X30" s="134">
        <f>E30</f>
        <v/>
      </c>
      <c r="Y30" s="139">
        <f>H30</f>
        <v/>
      </c>
      <c r="Z30" s="137">
        <f>I30</f>
        <v/>
      </c>
      <c r="AA30" s="137">
        <f>K30</f>
        <v/>
      </c>
      <c r="AB30" s="137">
        <f>M30</f>
        <v/>
      </c>
      <c r="AC30" s="4">
        <f>N30</f>
        <v/>
      </c>
      <c r="AD30" s="138">
        <f>O30</f>
        <v/>
      </c>
      <c r="AE30" s="123">
        <f>S30</f>
        <v/>
      </c>
      <c r="AF30" s="123">
        <f>Q30&amp;"/"&amp;R30</f>
        <v/>
      </c>
      <c r="AH30" s="20">
        <f>IF(A30="","",A30)</f>
        <v/>
      </c>
      <c r="AI30" s="134">
        <f>IF(E30="","",E30)</f>
        <v/>
      </c>
      <c r="AJ30" s="123">
        <f>IF(AI30="","",$AJ$2)</f>
        <v/>
      </c>
      <c r="AK30" s="123" t="inlineStr">
        <is>
          <t>A</t>
        </is>
      </c>
      <c r="AL30" s="123" t="inlineStr">
        <is>
          <t>A+</t>
        </is>
      </c>
      <c r="AM30" s="123" t="inlineStr">
        <is>
          <t>B+</t>
        </is>
      </c>
      <c r="AN30" s="123">
        <f>IF(AI30="","",$AN$2)</f>
        <v/>
      </c>
      <c r="AO30" s="123">
        <f>IF(N30="","",IF(N30&gt;=$AO$1/100,"O","X"))</f>
        <v/>
      </c>
      <c r="AP30" s="123">
        <f>IF(I30="","",IF(I30&lt;=$AP$1,"O","X"))</f>
        <v/>
      </c>
      <c r="AQ30" s="123">
        <f>IF(O30="","",IF(O30&lt;=$AQ$1,"O","X"))</f>
        <v/>
      </c>
      <c r="AR30" s="123">
        <f>IF(M30="","",IF(M30&lt;=$AR$1,"O","X"))</f>
        <v/>
      </c>
      <c r="AS30" s="123" t="inlineStr">
        <is>
          <t>X</t>
        </is>
      </c>
      <c r="AT30" s="123">
        <f>IF(OR(F30="",AI30=""),"",IF(AND((F30&lt;=85),(AI30&gt;=15)),"O","X"))</f>
        <v/>
      </c>
      <c r="AU30" s="123">
        <f>IF(C30="","",IF(C30&gt;=$AU$1,"O","X"))</f>
        <v/>
      </c>
      <c r="AV30" s="123">
        <f>IF(AO30="","",IF(AND(AO30="O",AP30="O",AR30="O",AT30="O",AU30="O"),"후보","X"))</f>
        <v/>
      </c>
    </row>
    <row r="31" ht="12" customFormat="1" customHeight="1" s="37">
      <c r="A31" s="111" t="inlineStr">
        <is>
          <t>수송동 수송오투그란데2차</t>
        </is>
      </c>
      <c r="B31" s="112" t="inlineStr">
        <is>
          <t>11.03.</t>
        </is>
      </c>
      <c r="C31" s="132" t="n">
        <v>570</v>
      </c>
      <c r="D31" s="133" t="n">
        <v>71.8</v>
      </c>
      <c r="E31" s="134" t="n">
        <v>22</v>
      </c>
      <c r="F31" s="133" t="n">
        <v>49.9</v>
      </c>
      <c r="G31" s="17" t="n">
        <v>15</v>
      </c>
      <c r="H31" s="135" t="n">
        <v>104</v>
      </c>
      <c r="I31" s="136" t="n">
        <v>18000</v>
      </c>
      <c r="J31" s="136" t="inlineStr">
        <is>
          <t>13</t>
        </is>
      </c>
      <c r="K31" s="136" t="n">
        <v>16000</v>
      </c>
      <c r="L31" s="136" t="inlineStr">
        <is>
          <t>7</t>
        </is>
      </c>
      <c r="M31" s="137">
        <f>I31-K31</f>
        <v/>
      </c>
      <c r="N31" s="4">
        <f>IF(ISERROR(K31/I31),"",K31/I31)</f>
        <v/>
      </c>
      <c r="O31" s="138">
        <f>I31/E31</f>
        <v/>
      </c>
      <c r="P31" s="138">
        <f>K31/E31</f>
        <v/>
      </c>
      <c r="Q31" s="123" t="n">
        <v>2</v>
      </c>
      <c r="R31" s="123" t="n">
        <v>1</v>
      </c>
      <c r="S31" s="123" t="inlineStr">
        <is>
          <t>계</t>
        </is>
      </c>
      <c r="T31" s="5" t="n">
        <v>71</v>
      </c>
      <c r="U31" s="9" t="n"/>
      <c r="W31" s="133">
        <f>D31</f>
        <v/>
      </c>
      <c r="X31" s="134">
        <f>E31</f>
        <v/>
      </c>
      <c r="Y31" s="139">
        <f>H31</f>
        <v/>
      </c>
      <c r="Z31" s="137">
        <f>I31</f>
        <v/>
      </c>
      <c r="AA31" s="137">
        <f>K31</f>
        <v/>
      </c>
      <c r="AB31" s="137">
        <f>M31</f>
        <v/>
      </c>
      <c r="AC31" s="4">
        <f>N31</f>
        <v/>
      </c>
      <c r="AD31" s="138">
        <f>O31</f>
        <v/>
      </c>
      <c r="AE31" s="123">
        <f>S31</f>
        <v/>
      </c>
      <c r="AF31" s="123">
        <f>Q31&amp;"/"&amp;R31</f>
        <v/>
      </c>
      <c r="AH31" s="20">
        <f>IF(A31="","",A31)</f>
        <v/>
      </c>
      <c r="AI31" s="134">
        <f>IF(E31="","",E31)</f>
        <v/>
      </c>
      <c r="AJ31" s="123">
        <f>IF(AI31="","",$AJ$2)</f>
        <v/>
      </c>
      <c r="AK31" s="123" t="inlineStr">
        <is>
          <t>A</t>
        </is>
      </c>
      <c r="AL31" s="123" t="inlineStr">
        <is>
          <t>A+</t>
        </is>
      </c>
      <c r="AM31" s="123" t="inlineStr">
        <is>
          <t>B+</t>
        </is>
      </c>
      <c r="AN31" s="123">
        <f>IF(AI31="","",$AN$2)</f>
        <v/>
      </c>
      <c r="AO31" s="123">
        <f>IF(N31="","",IF(N31&gt;=$AO$1/100,"O","X"))</f>
        <v/>
      </c>
      <c r="AP31" s="123">
        <f>IF(I31="","",IF(I31&lt;=$AP$1,"O","X"))</f>
        <v/>
      </c>
      <c r="AQ31" s="123">
        <f>IF(O31="","",IF(O31&lt;=$AQ$1,"O","X"))</f>
        <v/>
      </c>
      <c r="AR31" s="123">
        <f>IF(M31="","",IF(M31&lt;=$AR$1,"O","X"))</f>
        <v/>
      </c>
      <c r="AS31" s="123" t="inlineStr">
        <is>
          <t>X</t>
        </is>
      </c>
      <c r="AT31" s="123">
        <f>IF(OR(F31="",AI31=""),"",IF(AND((F31&lt;=85),(AI31&gt;=15)),"O","X"))</f>
        <v/>
      </c>
      <c r="AU31" s="123">
        <f>IF(C31="","",IF(C31&gt;=$AU$1,"O","X"))</f>
        <v/>
      </c>
      <c r="AV31" s="123">
        <f>IF(AO31="","",IF(AND(AO31="O",AP31="O",AR31="O",AT31="O",AU31="O"),"후보","X"))</f>
        <v/>
      </c>
    </row>
    <row r="32" ht="12" customFormat="1" customHeight="1" s="37">
      <c r="A32" s="111" t="inlineStr">
        <is>
          <t>수송동 수송오투그란데2차</t>
        </is>
      </c>
      <c r="B32" s="112" t="inlineStr">
        <is>
          <t>11.03.</t>
        </is>
      </c>
      <c r="C32" s="132" t="n">
        <v>570</v>
      </c>
      <c r="D32" s="133" t="n">
        <v>83</v>
      </c>
      <c r="E32" s="134" t="n">
        <v>25</v>
      </c>
      <c r="F32" s="133" t="n">
        <v>60</v>
      </c>
      <c r="G32" s="17" t="n">
        <v>18</v>
      </c>
      <c r="H32" s="135" t="n">
        <v>235</v>
      </c>
      <c r="I32" s="136" t="n">
        <v>21500</v>
      </c>
      <c r="J32" s="136" t="inlineStr">
        <is>
          <t>5</t>
        </is>
      </c>
      <c r="K32" s="136" t="n">
        <v>18500</v>
      </c>
      <c r="L32" s="136" t="inlineStr">
        <is>
          <t>15</t>
        </is>
      </c>
      <c r="M32" s="137">
        <f>I32-K32</f>
        <v/>
      </c>
      <c r="N32" s="4">
        <f>IF(ISERROR(K32/I32),"",K32/I32)</f>
        <v/>
      </c>
      <c r="O32" s="138">
        <f>I32/E32</f>
        <v/>
      </c>
      <c r="P32" s="138">
        <f>K32/E32</f>
        <v/>
      </c>
      <c r="Q32" s="123" t="n">
        <v>3</v>
      </c>
      <c r="R32" s="123" t="n">
        <v>2</v>
      </c>
      <c r="S32" s="123" t="inlineStr">
        <is>
          <t>계</t>
        </is>
      </c>
      <c r="T32" s="5" t="inlineStr">
        <is>
          <t>82B</t>
        </is>
      </c>
      <c r="U32" s="9" t="n"/>
      <c r="W32" s="133">
        <f>D32</f>
        <v/>
      </c>
      <c r="X32" s="134">
        <f>E32</f>
        <v/>
      </c>
      <c r="Y32" s="139">
        <f>H32</f>
        <v/>
      </c>
      <c r="Z32" s="137">
        <f>I32</f>
        <v/>
      </c>
      <c r="AA32" s="137">
        <f>K32</f>
        <v/>
      </c>
      <c r="AB32" s="137">
        <f>M32</f>
        <v/>
      </c>
      <c r="AC32" s="4">
        <f>N32</f>
        <v/>
      </c>
      <c r="AD32" s="138">
        <f>O32</f>
        <v/>
      </c>
      <c r="AE32" s="123">
        <f>S32</f>
        <v/>
      </c>
      <c r="AF32" s="123">
        <f>Q32&amp;"/"&amp;R32</f>
        <v/>
      </c>
      <c r="AH32" s="20">
        <f>IF(A32="","",A32)</f>
        <v/>
      </c>
      <c r="AI32" s="134">
        <f>IF(E32="","",E32)</f>
        <v/>
      </c>
      <c r="AJ32" s="123">
        <f>IF(AI32="","",$AJ$2)</f>
        <v/>
      </c>
      <c r="AK32" s="123" t="inlineStr">
        <is>
          <t>A</t>
        </is>
      </c>
      <c r="AL32" s="123" t="inlineStr">
        <is>
          <t>A+</t>
        </is>
      </c>
      <c r="AM32" s="123" t="inlineStr">
        <is>
          <t>B+</t>
        </is>
      </c>
      <c r="AN32" s="123">
        <f>IF(AI32="","",$AN$2)</f>
        <v/>
      </c>
      <c r="AO32" s="123">
        <f>IF(N32="","",IF(N32&gt;=$AO$1/100,"O","X"))</f>
        <v/>
      </c>
      <c r="AP32" s="123">
        <f>IF(I32="","",IF(I32&lt;=$AP$1,"O","X"))</f>
        <v/>
      </c>
      <c r="AQ32" s="123">
        <f>IF(O32="","",IF(O32&lt;=$AQ$1,"O","X"))</f>
        <v/>
      </c>
      <c r="AR32" s="123">
        <f>IF(M32="","",IF(M32&lt;=$AR$1,"O","X"))</f>
        <v/>
      </c>
      <c r="AS32" s="123" t="inlineStr">
        <is>
          <t>X</t>
        </is>
      </c>
      <c r="AT32" s="123">
        <f>IF(OR(F32="",AI32=""),"",IF(AND((F32&lt;=85),(AI32&gt;=15)),"O","X"))</f>
        <v/>
      </c>
      <c r="AU32" s="123">
        <f>IF(C32="","",IF(C32&gt;=$AU$1,"O","X"))</f>
        <v/>
      </c>
      <c r="AV32" s="123">
        <f>IF(AO32="","",IF(AND(AO32="O",AP32="O",AR32="O",AT32="O",AU32="O"),"후보","X"))</f>
        <v/>
      </c>
    </row>
    <row r="33" ht="12" customFormat="1" customHeight="1" s="37">
      <c r="A33" s="111" t="inlineStr">
        <is>
          <t>수송동 현대</t>
        </is>
      </c>
      <c r="B33" s="112" t="inlineStr">
        <is>
          <t>97.06.</t>
        </is>
      </c>
      <c r="C33" s="132" t="n">
        <v>657</v>
      </c>
      <c r="D33" s="133" t="n">
        <v>105.2</v>
      </c>
      <c r="E33" s="134" t="n">
        <v>32</v>
      </c>
      <c r="F33" s="133" t="n">
        <v>85</v>
      </c>
      <c r="G33" s="17" t="n">
        <v>26</v>
      </c>
      <c r="H33" s="135" t="n">
        <v>249</v>
      </c>
      <c r="I33" s="136" t="n">
        <v>20000</v>
      </c>
      <c r="J33" s="136" t="inlineStr">
        <is>
          <t>14</t>
        </is>
      </c>
      <c r="K33" s="136" t="n">
        <v>18000</v>
      </c>
      <c r="L33" s="136" t="inlineStr">
        <is>
          <t>12</t>
        </is>
      </c>
      <c r="M33" s="137">
        <f>I33-K33</f>
        <v/>
      </c>
      <c r="N33" s="4">
        <f>IF(ISERROR(K33/I33),"",K33/I33)</f>
        <v/>
      </c>
      <c r="O33" s="138">
        <f>I33/E33</f>
        <v/>
      </c>
      <c r="P33" s="138">
        <f>K33/E33</f>
        <v/>
      </c>
      <c r="Q33" s="123" t="n">
        <v>3</v>
      </c>
      <c r="R33" s="123" t="n">
        <v>2</v>
      </c>
      <c r="S33" s="123" t="inlineStr">
        <is>
          <t>계</t>
        </is>
      </c>
      <c r="T33" s="5" t="n">
        <v>105</v>
      </c>
      <c r="U33" s="9" t="n"/>
      <c r="W33" s="133">
        <f>D33</f>
        <v/>
      </c>
      <c r="X33" s="134">
        <f>E33</f>
        <v/>
      </c>
      <c r="Y33" s="139">
        <f>H33</f>
        <v/>
      </c>
      <c r="Z33" s="137">
        <f>I33</f>
        <v/>
      </c>
      <c r="AA33" s="137">
        <f>K33</f>
        <v/>
      </c>
      <c r="AB33" s="137">
        <f>M33</f>
        <v/>
      </c>
      <c r="AC33" s="4">
        <f>N33</f>
        <v/>
      </c>
      <c r="AD33" s="138">
        <f>O33</f>
        <v/>
      </c>
      <c r="AE33" s="123">
        <f>S33</f>
        <v/>
      </c>
      <c r="AF33" s="123">
        <f>Q33&amp;"/"&amp;R33</f>
        <v/>
      </c>
      <c r="AH33" s="20">
        <f>IF(A33="","",A33)</f>
        <v/>
      </c>
      <c r="AI33" s="134">
        <f>IF(E33="","",E33)</f>
        <v/>
      </c>
      <c r="AJ33" s="123">
        <f>IF(AI33="","",$AJ$2)</f>
        <v/>
      </c>
      <c r="AK33" s="123" t="inlineStr">
        <is>
          <t>A</t>
        </is>
      </c>
      <c r="AL33" s="123" t="inlineStr">
        <is>
          <t>A+</t>
        </is>
      </c>
      <c r="AM33" s="123" t="inlineStr">
        <is>
          <t>B+</t>
        </is>
      </c>
      <c r="AN33" s="123">
        <f>IF(AI33="","",$AN$2)</f>
        <v/>
      </c>
      <c r="AO33" s="123">
        <f>IF(N33="","",IF(N33&gt;=$AO$1/100,"O","X"))</f>
        <v/>
      </c>
      <c r="AP33" s="123">
        <f>IF(I33="","",IF(I33&lt;=$AP$1,"O","X"))</f>
        <v/>
      </c>
      <c r="AQ33" s="123">
        <f>IF(O33="","",IF(O33&lt;=$AQ$1,"O","X"))</f>
        <v/>
      </c>
      <c r="AR33" s="123">
        <f>IF(M33="","",IF(M33&lt;=$AR$1,"O","X"))</f>
        <v/>
      </c>
      <c r="AS33" s="123" t="inlineStr">
        <is>
          <t>X</t>
        </is>
      </c>
      <c r="AT33" s="123">
        <f>IF(OR(F33="",AI33=""),"",IF(AND((F33&lt;=85),(AI33&gt;=15)),"O","X"))</f>
        <v/>
      </c>
      <c r="AU33" s="123">
        <f>IF(C33="","",IF(C33&gt;=$AU$1,"O","X"))</f>
        <v/>
      </c>
      <c r="AV33" s="123">
        <f>IF(AO33="","",IF(AND(AO33="O",AP33="O",AR33="O",AT33="O",AU33="O"),"후보","X"))</f>
        <v/>
      </c>
    </row>
    <row r="34" ht="12" customFormat="1" customHeight="1" s="37">
      <c r="A34" s="111" t="inlineStr">
        <is>
          <t>수송동 수송제일</t>
        </is>
      </c>
      <c r="B34" s="112" t="inlineStr">
        <is>
          <t>02.03.</t>
        </is>
      </c>
      <c r="C34" s="132" t="n">
        <v>941</v>
      </c>
      <c r="D34" s="133" t="n">
        <v>111.5</v>
      </c>
      <c r="E34" s="134" t="n">
        <v>34</v>
      </c>
      <c r="F34" s="133" t="n">
        <v>84.7</v>
      </c>
      <c r="G34" s="17" t="n">
        <v>26</v>
      </c>
      <c r="H34" s="135" t="n">
        <v>729</v>
      </c>
      <c r="I34" s="136" t="n">
        <v>19000</v>
      </c>
      <c r="J34" s="136" t="inlineStr">
        <is>
          <t>17</t>
        </is>
      </c>
      <c r="K34" s="136" t="n">
        <v>17000</v>
      </c>
      <c r="L34" s="136" t="inlineStr">
        <is>
          <t>11</t>
        </is>
      </c>
      <c r="M34" s="137">
        <f>I34-K34</f>
        <v/>
      </c>
      <c r="N34" s="4">
        <f>IF(ISERROR(K34/I34),"",K34/I34)</f>
        <v/>
      </c>
      <c r="O34" s="138">
        <f>I34/E34</f>
        <v/>
      </c>
      <c r="P34" s="138">
        <f>K34/E34</f>
        <v/>
      </c>
      <c r="Q34" s="123" t="n">
        <v>3</v>
      </c>
      <c r="R34" s="123" t="n">
        <v>2</v>
      </c>
      <c r="S34" s="123" t="inlineStr">
        <is>
          <t>계</t>
        </is>
      </c>
      <c r="T34" s="5" t="inlineStr">
        <is>
          <t>111A</t>
        </is>
      </c>
      <c r="U34" s="9" t="n"/>
      <c r="W34" s="133">
        <f>D34</f>
        <v/>
      </c>
      <c r="X34" s="134">
        <f>E34</f>
        <v/>
      </c>
      <c r="Y34" s="139">
        <f>H34</f>
        <v/>
      </c>
      <c r="Z34" s="137">
        <f>I34</f>
        <v/>
      </c>
      <c r="AA34" s="137">
        <f>K34</f>
        <v/>
      </c>
      <c r="AB34" s="137">
        <f>M34</f>
        <v/>
      </c>
      <c r="AC34" s="4">
        <f>N34</f>
        <v/>
      </c>
      <c r="AD34" s="138">
        <f>O34</f>
        <v/>
      </c>
      <c r="AE34" s="123">
        <f>S34</f>
        <v/>
      </c>
      <c r="AF34" s="123">
        <f>Q34&amp;"/"&amp;R34</f>
        <v/>
      </c>
      <c r="AH34" s="20">
        <f>IF(A34="","",A34)</f>
        <v/>
      </c>
      <c r="AI34" s="134">
        <f>IF(E34="","",E34)</f>
        <v/>
      </c>
      <c r="AJ34" s="123">
        <f>IF(AI34="","",$AJ$2)</f>
        <v/>
      </c>
      <c r="AK34" s="123" t="inlineStr">
        <is>
          <t>A</t>
        </is>
      </c>
      <c r="AL34" s="123" t="inlineStr">
        <is>
          <t>A+</t>
        </is>
      </c>
      <c r="AM34" s="123" t="inlineStr">
        <is>
          <t>B+</t>
        </is>
      </c>
      <c r="AN34" s="123">
        <f>IF(AI34="","",$AN$2)</f>
        <v/>
      </c>
      <c r="AO34" s="123">
        <f>IF(N34="","",IF(N34&gt;=$AO$1/100,"O","X"))</f>
        <v/>
      </c>
      <c r="AP34" s="123">
        <f>IF(I34="","",IF(I34&lt;=$AP$1,"O","X"))</f>
        <v/>
      </c>
      <c r="AQ34" s="123">
        <f>IF(O34="","",IF(O34&lt;=$AQ$1,"O","X"))</f>
        <v/>
      </c>
      <c r="AR34" s="123">
        <f>IF(M34="","",IF(M34&lt;=$AR$1,"O","X"))</f>
        <v/>
      </c>
      <c r="AS34" s="123" t="inlineStr">
        <is>
          <t>X</t>
        </is>
      </c>
      <c r="AT34" s="123">
        <f>IF(OR(F34="",AI34=""),"",IF(AND((F34&lt;=85),(AI34&gt;=15)),"O","X"))</f>
        <v/>
      </c>
      <c r="AU34" s="123">
        <f>IF(C34="","",IF(C34&gt;=$AU$1,"O","X"))</f>
        <v/>
      </c>
      <c r="AV34" s="123">
        <f>IF(AO34="","",IF(AND(AO34="O",AP34="O",AR34="O",AT34="O",AU34="O"),"후보","X"))</f>
        <v/>
      </c>
    </row>
    <row r="35" ht="12" customFormat="1" customHeight="1" s="37">
      <c r="A35" s="111" t="inlineStr">
        <is>
          <t>수송동 수송제일</t>
        </is>
      </c>
      <c r="B35" s="112" t="inlineStr">
        <is>
          <t>02.03.</t>
        </is>
      </c>
      <c r="C35" s="132" t="n">
        <v>941</v>
      </c>
      <c r="D35" s="133" t="n">
        <v>111</v>
      </c>
      <c r="E35" s="134" t="n">
        <v>34</v>
      </c>
      <c r="F35" s="133" t="n">
        <v>84.8</v>
      </c>
      <c r="G35" s="17" t="n">
        <v>26</v>
      </c>
      <c r="H35" s="135" t="n">
        <v>178</v>
      </c>
      <c r="I35" s="136" t="n">
        <v>18000</v>
      </c>
      <c r="J35" s="136" t="inlineStr">
        <is>
          <t>9</t>
        </is>
      </c>
      <c r="K35" s="136" t="n">
        <v>16000</v>
      </c>
      <c r="L35" s="136" t="inlineStr">
        <is>
          <t>7</t>
        </is>
      </c>
      <c r="M35" s="137">
        <f>I35-K35</f>
        <v/>
      </c>
      <c r="N35" s="4">
        <f>IF(ISERROR(K35/I35),"",K35/I35)</f>
        <v/>
      </c>
      <c r="O35" s="138">
        <f>I35/E35</f>
        <v/>
      </c>
      <c r="P35" s="138">
        <f>K35/E35</f>
        <v/>
      </c>
      <c r="Q35" s="123" t="n">
        <v>3</v>
      </c>
      <c r="R35" s="123" t="n">
        <v>2</v>
      </c>
      <c r="S35" s="123" t="inlineStr">
        <is>
          <t>계</t>
        </is>
      </c>
      <c r="T35" s="5" t="inlineStr">
        <is>
          <t>111C</t>
        </is>
      </c>
      <c r="U35" s="9" t="n"/>
      <c r="W35" s="133">
        <f>D35</f>
        <v/>
      </c>
      <c r="X35" s="134">
        <f>E35</f>
        <v/>
      </c>
      <c r="Y35" s="139">
        <f>H35</f>
        <v/>
      </c>
      <c r="Z35" s="137">
        <f>I35</f>
        <v/>
      </c>
      <c r="AA35" s="137">
        <f>K35</f>
        <v/>
      </c>
      <c r="AB35" s="137">
        <f>M35</f>
        <v/>
      </c>
      <c r="AC35" s="4">
        <f>N35</f>
        <v/>
      </c>
      <c r="AD35" s="138">
        <f>O35</f>
        <v/>
      </c>
      <c r="AE35" s="123">
        <f>S35</f>
        <v/>
      </c>
      <c r="AF35" s="123">
        <f>Q35&amp;"/"&amp;R35</f>
        <v/>
      </c>
      <c r="AH35" s="20">
        <f>IF(A35="","",A35)</f>
        <v/>
      </c>
      <c r="AI35" s="134">
        <f>IF(E35="","",E35)</f>
        <v/>
      </c>
      <c r="AJ35" s="123">
        <f>IF(AI35="","",$AJ$2)</f>
        <v/>
      </c>
      <c r="AK35" s="123" t="inlineStr">
        <is>
          <t>A</t>
        </is>
      </c>
      <c r="AL35" s="123" t="inlineStr">
        <is>
          <t>A+</t>
        </is>
      </c>
      <c r="AM35" s="123" t="inlineStr">
        <is>
          <t>B+</t>
        </is>
      </c>
      <c r="AN35" s="123">
        <f>IF(AI35="","",$AN$2)</f>
        <v/>
      </c>
      <c r="AO35" s="123">
        <f>IF(N35="","",IF(N35&gt;=$AO$1/100,"O","X"))</f>
        <v/>
      </c>
      <c r="AP35" s="123">
        <f>IF(I35="","",IF(I35&lt;=$AP$1,"O","X"))</f>
        <v/>
      </c>
      <c r="AQ35" s="123">
        <f>IF(O35="","",IF(O35&lt;=$AQ$1,"O","X"))</f>
        <v/>
      </c>
      <c r="AR35" s="123">
        <f>IF(M35="","",IF(M35&lt;=$AR$1,"O","X"))</f>
        <v/>
      </c>
      <c r="AS35" s="123" t="inlineStr">
        <is>
          <t>X</t>
        </is>
      </c>
      <c r="AT35" s="123">
        <f>IF(OR(F35="",AI35=""),"",IF(AND((F35&lt;=85),(AI35&gt;=15)),"O","X"))</f>
        <v/>
      </c>
      <c r="AU35" s="123">
        <f>IF(C35="","",IF(C35&gt;=$AU$1,"O","X"))</f>
        <v/>
      </c>
      <c r="AV35" s="123">
        <f>IF(AO35="","",IF(AND(AO35="O",AP35="O",AR35="O",AT35="O",AU35="O"),"후보","X"))</f>
        <v/>
      </c>
    </row>
    <row r="36" ht="12" customFormat="1" customHeight="1" s="37">
      <c r="A36" s="111" t="inlineStr">
        <is>
          <t>수송동 군산수송제일오투그란데1단지</t>
        </is>
      </c>
      <c r="B36" s="112" t="inlineStr">
        <is>
          <t>08.10.</t>
        </is>
      </c>
      <c r="C36" s="132" t="n">
        <v>724</v>
      </c>
      <c r="D36" s="133" t="n">
        <v>99</v>
      </c>
      <c r="E36" s="134" t="n">
        <v>30</v>
      </c>
      <c r="F36" s="133" t="n">
        <v>69</v>
      </c>
      <c r="G36" s="17" t="n">
        <v>21</v>
      </c>
      <c r="H36" s="135" t="n">
        <v>212</v>
      </c>
      <c r="I36" s="136" t="n">
        <v>27000</v>
      </c>
      <c r="J36" s="136" t="inlineStr">
        <is>
          <t>9</t>
        </is>
      </c>
      <c r="K36" s="136" t="n">
        <v>22500</v>
      </c>
      <c r="L36" s="136" t="inlineStr">
        <is>
          <t>5</t>
        </is>
      </c>
      <c r="M36" s="137">
        <f>I36-K36</f>
        <v/>
      </c>
      <c r="N36" s="4">
        <f>IF(ISERROR(K36/I36),"",K36/I36)</f>
        <v/>
      </c>
      <c r="O36" s="138">
        <f>I36/E36</f>
        <v/>
      </c>
      <c r="P36" s="138">
        <f>K36/E36</f>
        <v/>
      </c>
      <c r="Q36" s="123" t="n">
        <v>3</v>
      </c>
      <c r="R36" s="123" t="n">
        <v>2</v>
      </c>
      <c r="S36" s="123" t="inlineStr">
        <is>
          <t>계</t>
        </is>
      </c>
      <c r="T36" s="5" t="n">
        <v>99</v>
      </c>
      <c r="U36" s="9" t="n"/>
      <c r="W36" s="133">
        <f>D36</f>
        <v/>
      </c>
      <c r="X36" s="134">
        <f>E36</f>
        <v/>
      </c>
      <c r="Y36" s="139">
        <f>H36</f>
        <v/>
      </c>
      <c r="Z36" s="137">
        <f>I36</f>
        <v/>
      </c>
      <c r="AA36" s="137">
        <f>K36</f>
        <v/>
      </c>
      <c r="AB36" s="137">
        <f>M36</f>
        <v/>
      </c>
      <c r="AC36" s="4">
        <f>N36</f>
        <v/>
      </c>
      <c r="AD36" s="138">
        <f>O36</f>
        <v/>
      </c>
      <c r="AE36" s="123">
        <f>S36</f>
        <v/>
      </c>
      <c r="AF36" s="123">
        <f>Q36&amp;"/"&amp;R36</f>
        <v/>
      </c>
      <c r="AH36" s="20">
        <f>IF(A36="","",A36)</f>
        <v/>
      </c>
      <c r="AI36" s="134">
        <f>IF(E36="","",E36)</f>
        <v/>
      </c>
      <c r="AJ36" s="123">
        <f>IF(AI36="","",$AJ$2)</f>
        <v/>
      </c>
      <c r="AK36" s="123" t="inlineStr">
        <is>
          <t>A</t>
        </is>
      </c>
      <c r="AL36" s="123" t="inlineStr">
        <is>
          <t>A+</t>
        </is>
      </c>
      <c r="AM36" s="123" t="inlineStr">
        <is>
          <t>B+</t>
        </is>
      </c>
      <c r="AN36" s="123">
        <f>IF(AI36="","",$AN$2)</f>
        <v/>
      </c>
      <c r="AO36" s="123">
        <f>IF(N36="","",IF(N36&gt;=$AO$1/100,"O","X"))</f>
        <v/>
      </c>
      <c r="AP36" s="123">
        <f>IF(I36="","",IF(I36&lt;=$AP$1,"O","X"))</f>
        <v/>
      </c>
      <c r="AQ36" s="123">
        <f>IF(O36="","",IF(O36&lt;=$AQ$1,"O","X"))</f>
        <v/>
      </c>
      <c r="AR36" s="123">
        <f>IF(M36="","",IF(M36&lt;=$AR$1,"O","X"))</f>
        <v/>
      </c>
      <c r="AS36" s="123" t="inlineStr">
        <is>
          <t>X</t>
        </is>
      </c>
      <c r="AT36" s="123">
        <f>IF(OR(F36="",AI36=""),"",IF(AND((F36&lt;=85),(AI36&gt;=15)),"O","X"))</f>
        <v/>
      </c>
      <c r="AU36" s="123">
        <f>IF(C36="","",IF(C36&gt;=$AU$1,"O","X"))</f>
        <v/>
      </c>
      <c r="AV36" s="123">
        <f>IF(AO36="","",IF(AND(AO36="O",AP36="O",AR36="O",AT36="O",AU36="O"),"후보","X"))</f>
        <v/>
      </c>
    </row>
    <row r="37" ht="12" customFormat="1" customHeight="1" s="37">
      <c r="A37" s="111" t="inlineStr">
        <is>
          <t>수송동 군산수송제일오투그란데1단지</t>
        </is>
      </c>
      <c r="B37" s="112" t="inlineStr">
        <is>
          <t>08.10.</t>
        </is>
      </c>
      <c r="C37" s="132" t="n">
        <v>724</v>
      </c>
      <c r="D37" s="133" t="n">
        <v>115.6</v>
      </c>
      <c r="E37" s="134" t="n">
        <v>35</v>
      </c>
      <c r="F37" s="133" t="n">
        <v>84.90000000000001</v>
      </c>
      <c r="G37" s="17" t="n">
        <v>26</v>
      </c>
      <c r="H37" s="135" t="n">
        <v>206</v>
      </c>
      <c r="I37" s="136" t="n">
        <v>30000</v>
      </c>
      <c r="J37" s="136" t="inlineStr">
        <is>
          <t>15</t>
        </is>
      </c>
      <c r="K37" s="136" t="n">
        <v>28000</v>
      </c>
      <c r="L37" s="136" t="inlineStr">
        <is>
          <t>6</t>
        </is>
      </c>
      <c r="M37" s="137">
        <f>I37-K37</f>
        <v/>
      </c>
      <c r="N37" s="4">
        <f>IF(ISERROR(K37/I37),"",K37/I37)</f>
        <v/>
      </c>
      <c r="O37" s="138">
        <f>I37/E37</f>
        <v/>
      </c>
      <c r="P37" s="138">
        <f>K37/E37</f>
        <v/>
      </c>
      <c r="Q37" s="123" t="n">
        <v>3</v>
      </c>
      <c r="R37" s="123" t="n">
        <v>2</v>
      </c>
      <c r="S37" s="123" t="inlineStr">
        <is>
          <t>계</t>
        </is>
      </c>
      <c r="T37" s="5" t="inlineStr">
        <is>
          <t>115A</t>
        </is>
      </c>
      <c r="U37" s="9" t="n"/>
      <c r="W37" s="133">
        <f>D37</f>
        <v/>
      </c>
      <c r="X37" s="134">
        <f>E37</f>
        <v/>
      </c>
      <c r="Y37" s="139">
        <f>H37</f>
        <v/>
      </c>
      <c r="Z37" s="137">
        <f>I37</f>
        <v/>
      </c>
      <c r="AA37" s="137">
        <f>K37</f>
        <v/>
      </c>
      <c r="AB37" s="137">
        <f>M37</f>
        <v/>
      </c>
      <c r="AC37" s="4">
        <f>N37</f>
        <v/>
      </c>
      <c r="AD37" s="138">
        <f>O37</f>
        <v/>
      </c>
      <c r="AE37" s="123">
        <f>S37</f>
        <v/>
      </c>
      <c r="AF37" s="123">
        <f>Q37&amp;"/"&amp;R37</f>
        <v/>
      </c>
      <c r="AH37" s="20">
        <f>IF(A37="","",A37)</f>
        <v/>
      </c>
      <c r="AI37" s="134">
        <f>IF(E37="","",E37)</f>
        <v/>
      </c>
      <c r="AJ37" s="123">
        <f>IF(AI37="","",$AJ$2)</f>
        <v/>
      </c>
      <c r="AK37" s="123" t="inlineStr">
        <is>
          <t>A</t>
        </is>
      </c>
      <c r="AL37" s="123" t="inlineStr">
        <is>
          <t>A+</t>
        </is>
      </c>
      <c r="AM37" s="123" t="inlineStr">
        <is>
          <t>B+</t>
        </is>
      </c>
      <c r="AN37" s="123">
        <f>IF(AI37="","",$AN$2)</f>
        <v/>
      </c>
      <c r="AO37" s="123">
        <f>IF(N37="","",IF(N37&gt;=$AO$1/100,"O","X"))</f>
        <v/>
      </c>
      <c r="AP37" s="123">
        <f>IF(I37="","",IF(I37&lt;=$AP$1,"O","X"))</f>
        <v/>
      </c>
      <c r="AQ37" s="123">
        <f>IF(O37="","",IF(O37&lt;=$AQ$1,"O","X"))</f>
        <v/>
      </c>
      <c r="AR37" s="123">
        <f>IF(M37="","",IF(M37&lt;=$AR$1,"O","X"))</f>
        <v/>
      </c>
      <c r="AS37" s="123" t="inlineStr">
        <is>
          <t>X</t>
        </is>
      </c>
      <c r="AT37" s="123">
        <f>IF(OR(F37="",AI37=""),"",IF(AND((F37&lt;=85),(AI37&gt;=15)),"O","X"))</f>
        <v/>
      </c>
      <c r="AU37" s="123">
        <f>IF(C37="","",IF(C37&gt;=$AU$1,"O","X"))</f>
        <v/>
      </c>
      <c r="AV37" s="123">
        <f>IF(AO37="","",IF(AND(AO37="O",AP37="O",AR37="O",AT37="O",AU37="O"),"후보","X"))</f>
        <v/>
      </c>
    </row>
    <row r="38" ht="12" customFormat="1" customHeight="1" s="37">
      <c r="A38" s="111" t="inlineStr">
        <is>
          <t>수송동 군산수송제일오투그란데1단지</t>
        </is>
      </c>
      <c r="B38" s="112" t="inlineStr">
        <is>
          <t>08.10.</t>
        </is>
      </c>
      <c r="C38" s="132" t="n">
        <v>724</v>
      </c>
      <c r="D38" s="133" t="n">
        <v>115.6</v>
      </c>
      <c r="E38" s="134" t="n">
        <v>35</v>
      </c>
      <c r="F38" s="133" t="n">
        <v>84.90000000000001</v>
      </c>
      <c r="G38" s="17" t="n">
        <v>26</v>
      </c>
      <c r="H38" s="135" t="n">
        <v>146</v>
      </c>
      <c r="I38" s="136" t="n">
        <v>30000</v>
      </c>
      <c r="J38" s="136" t="inlineStr">
        <is>
          <t>15</t>
        </is>
      </c>
      <c r="K38" s="136" t="n">
        <v>28000</v>
      </c>
      <c r="L38" s="136" t="inlineStr">
        <is>
          <t>6</t>
        </is>
      </c>
      <c r="M38" s="137">
        <f>I38-K38</f>
        <v/>
      </c>
      <c r="N38" s="4">
        <f>IF(ISERROR(K38/I38),"",K38/I38)</f>
        <v/>
      </c>
      <c r="O38" s="138">
        <f>I38/E38</f>
        <v/>
      </c>
      <c r="P38" s="138">
        <f>K38/E38</f>
        <v/>
      </c>
      <c r="Q38" s="123" t="n">
        <v>3</v>
      </c>
      <c r="R38" s="123" t="n">
        <v>2</v>
      </c>
      <c r="S38" s="123" t="inlineStr">
        <is>
          <t>계</t>
        </is>
      </c>
      <c r="T38" s="5" t="inlineStr">
        <is>
          <t>115B</t>
        </is>
      </c>
      <c r="U38" s="9" t="n"/>
      <c r="W38" s="133">
        <f>D38</f>
        <v/>
      </c>
      <c r="X38" s="134">
        <f>E38</f>
        <v/>
      </c>
      <c r="Y38" s="139">
        <f>H38</f>
        <v/>
      </c>
      <c r="Z38" s="137">
        <f>I38</f>
        <v/>
      </c>
      <c r="AA38" s="137">
        <f>K38</f>
        <v/>
      </c>
      <c r="AB38" s="137">
        <f>M38</f>
        <v/>
      </c>
      <c r="AC38" s="4">
        <f>N38</f>
        <v/>
      </c>
      <c r="AD38" s="138">
        <f>O38</f>
        <v/>
      </c>
      <c r="AE38" s="123">
        <f>S38</f>
        <v/>
      </c>
      <c r="AF38" s="123">
        <f>Q38&amp;"/"&amp;R38</f>
        <v/>
      </c>
      <c r="AH38" s="20">
        <f>IF(A38="","",A38)</f>
        <v/>
      </c>
      <c r="AI38" s="134">
        <f>IF(E38="","",E38)</f>
        <v/>
      </c>
      <c r="AJ38" s="123">
        <f>IF(AI38="","",$AJ$2)</f>
        <v/>
      </c>
      <c r="AK38" s="123" t="inlineStr">
        <is>
          <t>A</t>
        </is>
      </c>
      <c r="AL38" s="123" t="inlineStr">
        <is>
          <t>A+</t>
        </is>
      </c>
      <c r="AM38" s="123" t="inlineStr">
        <is>
          <t>B+</t>
        </is>
      </c>
      <c r="AN38" s="123">
        <f>IF(AI38="","",$AN$2)</f>
        <v/>
      </c>
      <c r="AO38" s="123">
        <f>IF(N38="","",IF(N38&gt;=$AO$1/100,"O","X"))</f>
        <v/>
      </c>
      <c r="AP38" s="123">
        <f>IF(I38="","",IF(I38&lt;=$AP$1,"O","X"))</f>
        <v/>
      </c>
      <c r="AQ38" s="123">
        <f>IF(O38="","",IF(O38&lt;=$AQ$1,"O","X"))</f>
        <v/>
      </c>
      <c r="AR38" s="123">
        <f>IF(M38="","",IF(M38&lt;=$AR$1,"O","X"))</f>
        <v/>
      </c>
      <c r="AS38" s="123" t="inlineStr">
        <is>
          <t>X</t>
        </is>
      </c>
      <c r="AT38" s="123">
        <f>IF(OR(F38="",AI38=""),"",IF(AND((F38&lt;=85),(AI38&gt;=15)),"O","X"))</f>
        <v/>
      </c>
      <c r="AU38" s="123">
        <f>IF(C38="","",IF(C38&gt;=$AU$1,"O","X"))</f>
        <v/>
      </c>
      <c r="AV38" s="123">
        <f>IF(AO38="","",IF(AND(AO38="O",AP38="O",AR38="O",AT38="O",AU38="O"),"후보","X"))</f>
        <v/>
      </c>
    </row>
    <row r="39" ht="12" customFormat="1" customHeight="1" s="37">
      <c r="A39" s="111" t="inlineStr">
        <is>
          <t>옥산면 힐스테이트은파</t>
        </is>
      </c>
      <c r="B39" s="112" t="inlineStr">
        <is>
          <t>15.09.</t>
        </is>
      </c>
      <c r="C39" s="132" t="n">
        <v>449</v>
      </c>
      <c r="D39" s="133" t="n">
        <v>110.9</v>
      </c>
      <c r="E39" s="134" t="n">
        <v>34</v>
      </c>
      <c r="F39" s="133" t="n">
        <v>85</v>
      </c>
      <c r="G39" s="17" t="n">
        <v>26</v>
      </c>
      <c r="H39" s="135" t="n">
        <v>449</v>
      </c>
      <c r="I39" s="136" t="n">
        <v>27000</v>
      </c>
      <c r="J39" s="136" t="inlineStr">
        <is>
          <t>18</t>
        </is>
      </c>
      <c r="K39" s="136" t="n">
        <v>23000</v>
      </c>
      <c r="L39" s="136" t="inlineStr">
        <is>
          <t>14</t>
        </is>
      </c>
      <c r="M39" s="137">
        <f>I39-K39</f>
        <v/>
      </c>
      <c r="N39" s="4">
        <f>IF(ISERROR(K39/I39),"",K39/I39)</f>
        <v/>
      </c>
      <c r="O39" s="138">
        <f>I39/E39</f>
        <v/>
      </c>
      <c r="P39" s="138">
        <f>K39/E39</f>
        <v/>
      </c>
      <c r="Q39" s="123" t="n">
        <v>3</v>
      </c>
      <c r="R39" s="123" t="n">
        <v>2</v>
      </c>
      <c r="S39" s="123" t="inlineStr">
        <is>
          <t>계</t>
        </is>
      </c>
      <c r="T39" s="5" t="n">
        <v>110</v>
      </c>
      <c r="U39" s="9" t="n"/>
      <c r="W39" s="133">
        <f>D39</f>
        <v/>
      </c>
      <c r="X39" s="134">
        <f>E39</f>
        <v/>
      </c>
      <c r="Y39" s="139">
        <f>H39</f>
        <v/>
      </c>
      <c r="Z39" s="137">
        <f>I39</f>
        <v/>
      </c>
      <c r="AA39" s="137">
        <f>K39</f>
        <v/>
      </c>
      <c r="AB39" s="137">
        <f>M39</f>
        <v/>
      </c>
      <c r="AC39" s="4">
        <f>N39</f>
        <v/>
      </c>
      <c r="AD39" s="138">
        <f>O39</f>
        <v/>
      </c>
      <c r="AE39" s="123">
        <f>S39</f>
        <v/>
      </c>
      <c r="AF39" s="123">
        <f>Q39&amp;"/"&amp;R39</f>
        <v/>
      </c>
      <c r="AH39" s="20">
        <f>IF(A39="","",A39)</f>
        <v/>
      </c>
      <c r="AI39" s="134">
        <f>IF(E39="","",E39)</f>
        <v/>
      </c>
      <c r="AJ39" s="123">
        <f>IF(AI39="","",$AJ$2)</f>
        <v/>
      </c>
      <c r="AK39" s="123" t="inlineStr">
        <is>
          <t>A</t>
        </is>
      </c>
      <c r="AL39" s="123" t="inlineStr">
        <is>
          <t>A+</t>
        </is>
      </c>
      <c r="AM39" s="123" t="inlineStr">
        <is>
          <t>B+</t>
        </is>
      </c>
      <c r="AN39" s="123">
        <f>IF(AI39="","",$AN$2)</f>
        <v/>
      </c>
      <c r="AO39" s="123">
        <f>IF(N39="","",IF(N39&gt;=$AO$1/100,"O","X"))</f>
        <v/>
      </c>
      <c r="AP39" s="123">
        <f>IF(I39="","",IF(I39&lt;=$AP$1,"O","X"))</f>
        <v/>
      </c>
      <c r="AQ39" s="123">
        <f>IF(O39="","",IF(O39&lt;=$AQ$1,"O","X"))</f>
        <v/>
      </c>
      <c r="AR39" s="123">
        <f>IF(M39="","",IF(M39&lt;=$AR$1,"O","X"))</f>
        <v/>
      </c>
      <c r="AS39" s="123" t="inlineStr">
        <is>
          <t>X</t>
        </is>
      </c>
      <c r="AT39" s="123">
        <f>IF(OR(F39="",AI39=""),"",IF(AND((F39&lt;=85),(AI39&gt;=15)),"O","X"))</f>
        <v/>
      </c>
      <c r="AU39" s="123">
        <f>IF(C39="","",IF(C39&gt;=$AU$1,"O","X"))</f>
        <v/>
      </c>
      <c r="AV39" s="123">
        <f>IF(AO39="","",IF(AND(AO39="O",AP39="O",AR39="O",AT39="O",AU39="O"),"후보","X"))</f>
        <v/>
      </c>
    </row>
    <row r="40" ht="12" customFormat="1" customHeight="1" s="37">
      <c r="A40" s="111" t="inlineStr">
        <is>
          <t>조촌동 타워써미트</t>
        </is>
      </c>
      <c r="B40" s="112" t="inlineStr">
        <is>
          <t>12.06.</t>
        </is>
      </c>
      <c r="C40" s="132" t="n">
        <v>770</v>
      </c>
      <c r="D40" s="133" t="n">
        <v>79.09999999999999</v>
      </c>
      <c r="E40" s="134" t="n">
        <v>24</v>
      </c>
      <c r="F40" s="133" t="n">
        <v>59.9</v>
      </c>
      <c r="G40" s="17" t="n">
        <v>18</v>
      </c>
      <c r="H40" s="135" t="n">
        <v>129</v>
      </c>
      <c r="I40" s="136" t="n">
        <v>21000</v>
      </c>
      <c r="J40" s="136" t="inlineStr">
        <is>
          <t>5</t>
        </is>
      </c>
      <c r="K40" s="136" t="n">
        <v>17000</v>
      </c>
      <c r="L40" s="136" t="inlineStr">
        <is>
          <t>24</t>
        </is>
      </c>
      <c r="M40" s="137">
        <f>I40-K40</f>
        <v/>
      </c>
      <c r="N40" s="4">
        <f>IF(ISERROR(K40/I40),"",K40/I40)</f>
        <v/>
      </c>
      <c r="O40" s="138">
        <f>I40/E40</f>
        <v/>
      </c>
      <c r="P40" s="138">
        <f>K40/E40</f>
        <v/>
      </c>
      <c r="Q40" s="123" t="n">
        <v>3</v>
      </c>
      <c r="R40" s="123" t="n">
        <v>1</v>
      </c>
      <c r="S40" s="123" t="inlineStr">
        <is>
          <t>계</t>
        </is>
      </c>
      <c r="T40" s="5" t="n">
        <v>79</v>
      </c>
      <c r="U40" s="9" t="n"/>
      <c r="W40" s="133">
        <f>D40</f>
        <v/>
      </c>
      <c r="X40" s="134">
        <f>E40</f>
        <v/>
      </c>
      <c r="Y40" s="139">
        <f>H40</f>
        <v/>
      </c>
      <c r="Z40" s="137">
        <f>I40</f>
        <v/>
      </c>
      <c r="AA40" s="137">
        <f>K40</f>
        <v/>
      </c>
      <c r="AB40" s="137">
        <f>M40</f>
        <v/>
      </c>
      <c r="AC40" s="4">
        <f>N40</f>
        <v/>
      </c>
      <c r="AD40" s="138">
        <f>O40</f>
        <v/>
      </c>
      <c r="AE40" s="123">
        <f>S40</f>
        <v/>
      </c>
      <c r="AF40" s="123">
        <f>Q40&amp;"/"&amp;R40</f>
        <v/>
      </c>
      <c r="AH40" s="20">
        <f>IF(A40="","",A40)</f>
        <v/>
      </c>
      <c r="AI40" s="134">
        <f>IF(E40="","",E40)</f>
        <v/>
      </c>
      <c r="AJ40" s="123">
        <f>IF(AI40="","",$AJ$2)</f>
        <v/>
      </c>
      <c r="AK40" s="123" t="inlineStr">
        <is>
          <t>A</t>
        </is>
      </c>
      <c r="AL40" s="123" t="inlineStr">
        <is>
          <t>A+</t>
        </is>
      </c>
      <c r="AM40" s="123" t="inlineStr">
        <is>
          <t>B+</t>
        </is>
      </c>
      <c r="AN40" s="123">
        <f>IF(AI40="","",$AN$2)</f>
        <v/>
      </c>
      <c r="AO40" s="123">
        <f>IF(N40="","",IF(N40&gt;=$AO$1/100,"O","X"))</f>
        <v/>
      </c>
      <c r="AP40" s="123">
        <f>IF(I40="","",IF(I40&lt;=$AP$1,"O","X"))</f>
        <v/>
      </c>
      <c r="AQ40" s="123">
        <f>IF(O40="","",IF(O40&lt;=$AQ$1,"O","X"))</f>
        <v/>
      </c>
      <c r="AR40" s="123">
        <f>IF(M40="","",IF(M40&lt;=$AR$1,"O","X"))</f>
        <v/>
      </c>
      <c r="AS40" s="123" t="inlineStr">
        <is>
          <t>X</t>
        </is>
      </c>
      <c r="AT40" s="123">
        <f>IF(OR(F40="",AI40=""),"",IF(AND((F40&lt;=85),(AI40&gt;=15)),"O","X"))</f>
        <v/>
      </c>
      <c r="AU40" s="123">
        <f>IF(C40="","",IF(C40&gt;=$AU$1,"O","X"))</f>
        <v/>
      </c>
      <c r="AV40" s="123">
        <f>IF(AO40="","",IF(AND(AO40="O",AP40="O",AR40="O",AT40="O",AU40="O"),"후보","X"))</f>
        <v/>
      </c>
    </row>
    <row r="41" ht="12" customFormat="1" customHeight="1" s="37">
      <c r="A41" s="111" t="inlineStr">
        <is>
          <t>조촌동 센트럴파크</t>
        </is>
      </c>
      <c r="B41" s="112" t="inlineStr">
        <is>
          <t>17.10.</t>
        </is>
      </c>
      <c r="C41" s="132" t="n">
        <v>480</v>
      </c>
      <c r="D41" s="133" t="n">
        <v>110.7</v>
      </c>
      <c r="E41" s="134" t="n">
        <v>33</v>
      </c>
      <c r="F41" s="133" t="n">
        <v>84.90000000000001</v>
      </c>
      <c r="G41" s="17" t="n">
        <v>26</v>
      </c>
      <c r="H41" s="135" t="n">
        <v>251</v>
      </c>
      <c r="I41" s="136" t="n">
        <v>27000</v>
      </c>
      <c r="J41" s="136" t="inlineStr">
        <is>
          <t>14</t>
        </is>
      </c>
      <c r="K41" s="136" t="n">
        <v>24000</v>
      </c>
      <c r="L41" s="136" t="inlineStr">
        <is>
          <t>30</t>
        </is>
      </c>
      <c r="M41" s="137">
        <f>I41-K41</f>
        <v/>
      </c>
      <c r="N41" s="4">
        <f>IF(ISERROR(K41/I41),"",K41/I41)</f>
        <v/>
      </c>
      <c r="O41" s="138">
        <f>I41/E41</f>
        <v/>
      </c>
      <c r="P41" s="138">
        <f>K41/E41</f>
        <v/>
      </c>
      <c r="Q41" s="123" t="n">
        <v>3</v>
      </c>
      <c r="R41" s="123" t="n">
        <v>2</v>
      </c>
      <c r="S41" s="123" t="inlineStr">
        <is>
          <t>계</t>
        </is>
      </c>
      <c r="T41" s="5" t="inlineStr">
        <is>
          <t>110A</t>
        </is>
      </c>
      <c r="U41" s="9" t="n"/>
      <c r="W41" s="133">
        <f>D41</f>
        <v/>
      </c>
      <c r="X41" s="134">
        <f>E41</f>
        <v/>
      </c>
      <c r="Y41" s="139">
        <f>H41</f>
        <v/>
      </c>
      <c r="Z41" s="137">
        <f>I41</f>
        <v/>
      </c>
      <c r="AA41" s="137">
        <f>K41</f>
        <v/>
      </c>
      <c r="AB41" s="137">
        <f>M41</f>
        <v/>
      </c>
      <c r="AC41" s="4">
        <f>N41</f>
        <v/>
      </c>
      <c r="AD41" s="138">
        <f>O41</f>
        <v/>
      </c>
      <c r="AE41" s="123">
        <f>S41</f>
        <v/>
      </c>
      <c r="AF41" s="123">
        <f>Q41&amp;"/"&amp;R41</f>
        <v/>
      </c>
      <c r="AH41" s="20">
        <f>IF(A41="","",A41)</f>
        <v/>
      </c>
      <c r="AI41" s="134">
        <f>IF(E41="","",E41)</f>
        <v/>
      </c>
      <c r="AJ41" s="123">
        <f>IF(AI41="","",$AJ$2)</f>
        <v/>
      </c>
      <c r="AK41" s="123" t="inlineStr">
        <is>
          <t>A</t>
        </is>
      </c>
      <c r="AL41" s="123" t="inlineStr">
        <is>
          <t>A+</t>
        </is>
      </c>
      <c r="AM41" s="123" t="inlineStr">
        <is>
          <t>B+</t>
        </is>
      </c>
      <c r="AN41" s="123">
        <f>IF(AI41="","",$AN$2)</f>
        <v/>
      </c>
      <c r="AO41" s="123">
        <f>IF(N41="","",IF(N41&gt;=$AO$1/100,"O","X"))</f>
        <v/>
      </c>
      <c r="AP41" s="123">
        <f>IF(I41="","",IF(I41&lt;=$AP$1,"O","X"))</f>
        <v/>
      </c>
      <c r="AQ41" s="123">
        <f>IF(O41="","",IF(O41&lt;=$AQ$1,"O","X"))</f>
        <v/>
      </c>
      <c r="AR41" s="123">
        <f>IF(M41="","",IF(M41&lt;=$AR$1,"O","X"))</f>
        <v/>
      </c>
      <c r="AS41" s="123" t="inlineStr">
        <is>
          <t>X</t>
        </is>
      </c>
      <c r="AT41" s="123">
        <f>IF(OR(F41="",AI41=""),"",IF(AND((F41&lt;=85),(AI41&gt;=15)),"O","X"))</f>
        <v/>
      </c>
      <c r="AU41" s="123">
        <f>IF(C41="","",IF(C41&gt;=$AU$1,"O","X"))</f>
        <v/>
      </c>
      <c r="AV41" s="123">
        <f>IF(AO41="","",IF(AND(AO41="O",AP41="O",AR41="O",AT41="O",AU41="O"),"후보","X"))</f>
        <v/>
      </c>
    </row>
    <row r="42" ht="12" customFormat="1" customHeight="1" s="37">
      <c r="A42" s="111" t="inlineStr">
        <is>
          <t>조촌동 센트럴파크</t>
        </is>
      </c>
      <c r="B42" s="112" t="inlineStr">
        <is>
          <t>17.10.</t>
        </is>
      </c>
      <c r="C42" s="132" t="n">
        <v>480</v>
      </c>
      <c r="D42" s="133" t="n">
        <v>110.2</v>
      </c>
      <c r="E42" s="134" t="n">
        <v>33</v>
      </c>
      <c r="F42" s="133" t="n">
        <v>85</v>
      </c>
      <c r="G42" s="17" t="n">
        <v>26</v>
      </c>
      <c r="H42" s="135" t="n">
        <v>229</v>
      </c>
      <c r="I42" s="136" t="n">
        <v>28000</v>
      </c>
      <c r="J42" s="136" t="inlineStr">
        <is>
          <t>18</t>
        </is>
      </c>
      <c r="K42" s="136" t="n">
        <v>24000</v>
      </c>
      <c r="L42" s="136" t="inlineStr">
        <is>
          <t>24</t>
        </is>
      </c>
      <c r="M42" s="137">
        <f>I42-K42</f>
        <v/>
      </c>
      <c r="N42" s="4">
        <f>IF(ISERROR(K42/I42),"",K42/I42)</f>
        <v/>
      </c>
      <c r="O42" s="138">
        <f>I42/E42</f>
        <v/>
      </c>
      <c r="P42" s="138">
        <f>K42/E42</f>
        <v/>
      </c>
      <c r="Q42" s="123" t="n">
        <v>3</v>
      </c>
      <c r="R42" s="123" t="n">
        <v>2</v>
      </c>
      <c r="S42" s="123" t="inlineStr">
        <is>
          <t>계</t>
        </is>
      </c>
      <c r="T42" s="5" t="inlineStr">
        <is>
          <t>110B</t>
        </is>
      </c>
      <c r="U42" s="9" t="n"/>
      <c r="W42" s="133">
        <f>D42</f>
        <v/>
      </c>
      <c r="X42" s="134">
        <f>E42</f>
        <v/>
      </c>
      <c r="Y42" s="139">
        <f>H42</f>
        <v/>
      </c>
      <c r="Z42" s="137">
        <f>I42</f>
        <v/>
      </c>
      <c r="AA42" s="137">
        <f>K42</f>
        <v/>
      </c>
      <c r="AB42" s="137">
        <f>M42</f>
        <v/>
      </c>
      <c r="AC42" s="4">
        <f>N42</f>
        <v/>
      </c>
      <c r="AD42" s="138">
        <f>O42</f>
        <v/>
      </c>
      <c r="AE42" s="123">
        <f>S42</f>
        <v/>
      </c>
      <c r="AF42" s="123">
        <f>Q42&amp;"/"&amp;R42</f>
        <v/>
      </c>
      <c r="AH42" s="20">
        <f>IF(A42="","",A42)</f>
        <v/>
      </c>
      <c r="AI42" s="134">
        <f>IF(E42="","",E42)</f>
        <v/>
      </c>
      <c r="AJ42" s="123">
        <f>IF(AI42="","",$AJ$2)</f>
        <v/>
      </c>
      <c r="AK42" s="123" t="inlineStr">
        <is>
          <t>A</t>
        </is>
      </c>
      <c r="AL42" s="123" t="inlineStr">
        <is>
          <t>A+</t>
        </is>
      </c>
      <c r="AM42" s="123" t="inlineStr">
        <is>
          <t>B+</t>
        </is>
      </c>
      <c r="AN42" s="123">
        <f>IF(AI42="","",$AN$2)</f>
        <v/>
      </c>
      <c r="AO42" s="123">
        <f>IF(N42="","",IF(N42&gt;=$AO$1/100,"O","X"))</f>
        <v/>
      </c>
      <c r="AP42" s="123">
        <f>IF(I42="","",IF(I42&lt;=$AP$1,"O","X"))</f>
        <v/>
      </c>
      <c r="AQ42" s="123">
        <f>IF(O42="","",IF(O42&lt;=$AQ$1,"O","X"))</f>
        <v/>
      </c>
      <c r="AR42" s="123">
        <f>IF(M42="","",IF(M42&lt;=$AR$1,"O","X"))</f>
        <v/>
      </c>
      <c r="AS42" s="123" t="inlineStr">
        <is>
          <t>X</t>
        </is>
      </c>
      <c r="AT42" s="123">
        <f>IF(OR(F42="",AI42=""),"",IF(AND((F42&lt;=85),(AI42&gt;=15)),"O","X"))</f>
        <v/>
      </c>
      <c r="AU42" s="123">
        <f>IF(C42="","",IF(C42&gt;=$AU$1,"O","X"))</f>
        <v/>
      </c>
      <c r="AV42" s="123">
        <f>IF(AO42="","",IF(AND(AO42="O",AP42="O",AR42="O",AT42="O",AU42="O"),"후보","X"))</f>
        <v/>
      </c>
    </row>
    <row r="43" ht="16.5" customFormat="1" customHeight="1" s="37">
      <c r="A43" s="73" t="n"/>
      <c r="B43" s="73" t="n"/>
      <c r="C43" s="73" t="n"/>
      <c r="D43" s="73" t="n"/>
      <c r="E43" s="73" t="n"/>
      <c r="F43" s="73" t="n"/>
      <c r="G43" s="73" t="n"/>
      <c r="H43" s="73" t="n"/>
      <c r="I43" s="73" t="n"/>
      <c r="J43" s="73" t="n"/>
      <c r="K43" s="73" t="n"/>
      <c r="L43" s="73" t="n"/>
      <c r="M43" s="73" t="n"/>
      <c r="N43" s="73" t="n"/>
      <c r="O43" s="73" t="n"/>
      <c r="P43" s="73" t="n"/>
      <c r="Q43" s="73" t="n"/>
      <c r="R43" s="73" t="n"/>
      <c r="S43" s="73" t="n"/>
      <c r="T43" s="73" t="n"/>
      <c r="U43" s="73" t="n"/>
      <c r="V43" s="73" t="n"/>
      <c r="W43" s="73" t="n"/>
      <c r="X43" s="73" t="n"/>
      <c r="Y43" s="73" t="n"/>
      <c r="Z43" s="73" t="n"/>
      <c r="AA43" s="73" t="n"/>
      <c r="AB43" s="73" t="n"/>
      <c r="AC43" s="73" t="n"/>
      <c r="AD43" s="73" t="n"/>
      <c r="AE43" s="73" t="n"/>
      <c r="AF43" s="73" t="n"/>
      <c r="AG43" s="73" t="n"/>
      <c r="AH43" s="73" t="n"/>
      <c r="AI43" s="73" t="n"/>
      <c r="AJ43" s="73" t="n"/>
      <c r="AK43" s="73" t="n"/>
      <c r="AL43" s="73" t="n"/>
      <c r="AM43" s="73" t="n"/>
      <c r="AN43" s="73" t="n"/>
      <c r="AO43" s="73" t="n"/>
      <c r="AP43" s="73" t="n"/>
      <c r="AQ43" s="73" t="n"/>
      <c r="AR43" s="73" t="n"/>
      <c r="AS43" s="73" t="n"/>
      <c r="AT43" s="73" t="n"/>
      <c r="AU43" s="73" t="n"/>
      <c r="AV43" s="73" t="n"/>
    </row>
    <row r="44" ht="16.5" customFormat="1" customHeight="1" s="37">
      <c r="A44" s="73" t="n"/>
      <c r="B44" s="73" t="n"/>
      <c r="C44" s="73" t="n"/>
      <c r="D44" s="73" t="n"/>
      <c r="E44" s="73" t="n"/>
      <c r="F44" s="73" t="n"/>
      <c r="G44" s="73" t="n"/>
      <c r="H44" s="73" t="n"/>
      <c r="I44" s="73" t="n"/>
      <c r="J44" s="73" t="n"/>
      <c r="K44" s="73" t="n"/>
      <c r="L44" s="73" t="n"/>
      <c r="M44" s="73" t="n"/>
      <c r="N44" s="73" t="n"/>
      <c r="O44" s="73" t="n"/>
      <c r="P44" s="73" t="n"/>
      <c r="Q44" s="73" t="n"/>
      <c r="R44" s="73" t="n"/>
      <c r="S44" s="73" t="n"/>
      <c r="T44" s="73" t="n"/>
      <c r="U44" s="73" t="n"/>
      <c r="V44" s="73" t="n"/>
      <c r="W44" s="73" t="n"/>
      <c r="X44" s="73" t="n"/>
      <c r="Y44" s="73" t="n"/>
      <c r="Z44" s="73" t="n"/>
      <c r="AA44" s="73" t="n"/>
      <c r="AB44" s="73" t="n"/>
      <c r="AC44" s="73" t="n"/>
      <c r="AD44" s="73" t="n"/>
      <c r="AE44" s="73" t="n"/>
      <c r="AF44" s="73" t="n"/>
      <c r="AG44" s="73" t="n"/>
      <c r="AH44" s="73" t="n"/>
      <c r="AI44" s="73" t="n"/>
      <c r="AJ44" s="73" t="n"/>
      <c r="AK44" s="73" t="n"/>
      <c r="AL44" s="73" t="n"/>
      <c r="AM44" s="73" t="n"/>
      <c r="AN44" s="73" t="n"/>
      <c r="AO44" s="73" t="n"/>
      <c r="AP44" s="73" t="n"/>
      <c r="AQ44" s="73" t="n"/>
      <c r="AR44" s="73" t="n"/>
      <c r="AS44" s="73" t="n"/>
      <c r="AT44" s="73" t="n"/>
      <c r="AU44" s="73" t="n"/>
      <c r="AV44" s="73" t="n"/>
    </row>
    <row r="45" ht="16.5" customFormat="1" customHeight="1" s="37">
      <c r="A45" s="73" t="n"/>
      <c r="B45" s="73" t="n"/>
      <c r="C45" s="73" t="n"/>
      <c r="D45" s="73" t="n"/>
      <c r="E45" s="73" t="n"/>
      <c r="F45" s="73" t="n"/>
      <c r="G45" s="73" t="n"/>
      <c r="H45" s="73" t="n"/>
      <c r="I45" s="73" t="n"/>
      <c r="J45" s="73" t="n"/>
      <c r="K45" s="73" t="n"/>
      <c r="L45" s="73" t="n"/>
      <c r="M45" s="73" t="n"/>
      <c r="N45" s="73" t="n"/>
      <c r="O45" s="73" t="n"/>
      <c r="P45" s="73" t="n"/>
      <c r="Q45" s="73" t="n"/>
      <c r="R45" s="73" t="n"/>
      <c r="S45" s="73" t="n"/>
      <c r="T45" s="73" t="n"/>
      <c r="U45" s="73" t="n"/>
      <c r="V45" s="73" t="n"/>
      <c r="W45" s="73" t="n"/>
      <c r="X45" s="73" t="n"/>
      <c r="Y45" s="73" t="n"/>
      <c r="Z45" s="73" t="n"/>
      <c r="AA45" s="73" t="n"/>
      <c r="AB45" s="73" t="n"/>
      <c r="AC45" s="73" t="n"/>
      <c r="AD45" s="73" t="n"/>
      <c r="AE45" s="73" t="n"/>
      <c r="AF45" s="73" t="n"/>
      <c r="AG45" s="73" t="n"/>
      <c r="AH45" s="73" t="n"/>
      <c r="AI45" s="73" t="n"/>
      <c r="AJ45" s="73" t="n"/>
      <c r="AK45" s="73" t="n"/>
      <c r="AL45" s="73" t="n"/>
      <c r="AM45" s="73" t="n"/>
      <c r="AN45" s="73" t="n"/>
      <c r="AO45" s="73" t="n"/>
      <c r="AP45" s="73" t="n"/>
      <c r="AQ45" s="73" t="n"/>
      <c r="AR45" s="73" t="n"/>
      <c r="AS45" s="73" t="n"/>
      <c r="AT45" s="73" t="n"/>
      <c r="AU45" s="73" t="n"/>
      <c r="AV45" s="73" t="n"/>
    </row>
    <row r="46" ht="16.5" customFormat="1" customHeight="1" s="37">
      <c r="A46" s="73" t="n"/>
      <c r="B46" s="73" t="n"/>
      <c r="C46" s="73" t="n"/>
      <c r="D46" s="73" t="n"/>
      <c r="E46" s="73" t="n"/>
      <c r="F46" s="73" t="n"/>
      <c r="G46" s="73" t="n"/>
      <c r="H46" s="73" t="n"/>
      <c r="I46" s="73" t="n"/>
      <c r="J46" s="73" t="n"/>
      <c r="K46" s="73" t="n"/>
      <c r="L46" s="73" t="n"/>
      <c r="M46" s="73" t="n"/>
      <c r="N46" s="73" t="n"/>
      <c r="O46" s="73" t="n"/>
      <c r="P46" s="73" t="n"/>
      <c r="Q46" s="73" t="n"/>
      <c r="R46" s="73" t="n"/>
      <c r="S46" s="73" t="n"/>
      <c r="T46" s="73" t="n"/>
      <c r="U46" s="73" t="n"/>
      <c r="V46" s="73" t="n"/>
      <c r="W46" s="73" t="n"/>
      <c r="X46" s="73" t="n"/>
      <c r="Y46" s="73" t="n"/>
      <c r="Z46" s="73" t="n"/>
      <c r="AA46" s="73" t="n"/>
      <c r="AB46" s="73" t="n"/>
      <c r="AC46" s="73" t="n"/>
      <c r="AD46" s="73" t="n"/>
      <c r="AE46" s="73" t="n"/>
      <c r="AF46" s="73" t="n"/>
      <c r="AG46" s="73" t="n"/>
      <c r="AH46" s="73" t="n"/>
      <c r="AI46" s="73" t="n"/>
      <c r="AJ46" s="73" t="n"/>
      <c r="AK46" s="73" t="n"/>
      <c r="AL46" s="73" t="n"/>
      <c r="AM46" s="73" t="n"/>
      <c r="AN46" s="73" t="n"/>
      <c r="AO46" s="73" t="n"/>
      <c r="AP46" s="73" t="n"/>
      <c r="AQ46" s="73" t="n"/>
      <c r="AR46" s="73" t="n"/>
      <c r="AS46" s="73" t="n"/>
      <c r="AT46" s="73" t="n"/>
      <c r="AU46" s="73" t="n"/>
      <c r="AV46" s="73" t="n"/>
    </row>
    <row r="47" ht="16.5" customFormat="1" customHeight="1" s="37">
      <c r="A47" s="73" t="n"/>
      <c r="B47" s="73" t="n"/>
      <c r="C47" s="73" t="n"/>
      <c r="D47" s="73" t="n"/>
      <c r="E47" s="73" t="n"/>
      <c r="F47" s="73" t="n"/>
      <c r="G47" s="73" t="n"/>
      <c r="H47" s="73" t="n"/>
      <c r="I47" s="73" t="n"/>
      <c r="J47" s="73" t="n"/>
      <c r="K47" s="73" t="n"/>
      <c r="L47" s="73" t="n"/>
      <c r="M47" s="73" t="n"/>
      <c r="N47" s="73" t="n"/>
      <c r="O47" s="73" t="n"/>
      <c r="P47" s="73" t="n"/>
      <c r="Q47" s="73" t="n"/>
      <c r="R47" s="73" t="n"/>
      <c r="S47" s="73" t="n"/>
      <c r="T47" s="73" t="n"/>
      <c r="U47" s="73" t="n"/>
      <c r="V47" s="73" t="n"/>
      <c r="W47" s="73" t="n"/>
      <c r="X47" s="73" t="n"/>
      <c r="Y47" s="73" t="n"/>
      <c r="Z47" s="73" t="n"/>
      <c r="AA47" s="73" t="n"/>
      <c r="AB47" s="73" t="n"/>
      <c r="AC47" s="73" t="n"/>
      <c r="AD47" s="73" t="n"/>
      <c r="AE47" s="73" t="n"/>
      <c r="AF47" s="73" t="n"/>
      <c r="AG47" s="73" t="n"/>
      <c r="AH47" s="73" t="n"/>
      <c r="AI47" s="73" t="n"/>
      <c r="AJ47" s="73" t="n"/>
      <c r="AK47" s="73" t="n"/>
      <c r="AL47" s="73" t="n"/>
      <c r="AM47" s="73" t="n"/>
      <c r="AN47" s="73" t="n"/>
      <c r="AO47" s="73" t="n"/>
      <c r="AP47" s="73" t="n"/>
      <c r="AQ47" s="73" t="n"/>
      <c r="AR47" s="73" t="n"/>
      <c r="AS47" s="73" t="n"/>
      <c r="AT47" s="73" t="n"/>
      <c r="AU47" s="73" t="n"/>
      <c r="AV47" s="73" t="n"/>
    </row>
    <row r="48" ht="16.5" customFormat="1" customHeight="1" s="37">
      <c r="A48" s="73" t="n"/>
      <c r="B48" s="73" t="n"/>
      <c r="C48" s="73" t="n"/>
      <c r="D48" s="73" t="n"/>
      <c r="E48" s="73" t="n"/>
      <c r="F48" s="73" t="n"/>
      <c r="G48" s="73" t="n"/>
      <c r="H48" s="73" t="n"/>
      <c r="I48" s="73" t="n"/>
      <c r="J48" s="73" t="n"/>
      <c r="K48" s="73" t="n"/>
      <c r="L48" s="73" t="n"/>
      <c r="M48" s="73" t="n"/>
      <c r="N48" s="73" t="n"/>
      <c r="O48" s="73" t="n"/>
      <c r="P48" s="73" t="n"/>
      <c r="Q48" s="73" t="n"/>
      <c r="R48" s="73" t="n"/>
      <c r="S48" s="73" t="n"/>
      <c r="T48" s="73" t="n"/>
      <c r="U48" s="73" t="n"/>
      <c r="V48" s="73" t="n"/>
      <c r="W48" s="73" t="n"/>
      <c r="X48" s="73" t="n"/>
      <c r="Y48" s="73" t="n"/>
      <c r="Z48" s="73" t="n"/>
      <c r="AA48" s="73" t="n"/>
      <c r="AB48" s="73" t="n"/>
      <c r="AC48" s="73" t="n"/>
      <c r="AD48" s="73" t="n"/>
      <c r="AE48" s="73" t="n"/>
      <c r="AF48" s="73" t="n"/>
      <c r="AG48" s="73" t="n"/>
      <c r="AH48" s="73" t="n"/>
      <c r="AI48" s="73" t="n"/>
      <c r="AJ48" s="73" t="n"/>
      <c r="AK48" s="73" t="n"/>
      <c r="AL48" s="73" t="n"/>
      <c r="AM48" s="73" t="n"/>
      <c r="AN48" s="73" t="n"/>
      <c r="AO48" s="73" t="n"/>
      <c r="AP48" s="73" t="n"/>
      <c r="AQ48" s="73" t="n"/>
      <c r="AR48" s="73" t="n"/>
      <c r="AS48" s="73" t="n"/>
      <c r="AT48" s="73" t="n"/>
      <c r="AU48" s="73" t="n"/>
      <c r="AV48" s="73" t="n"/>
    </row>
    <row r="49" ht="16.5" customFormat="1" customHeight="1" s="37">
      <c r="A49" s="73" t="n"/>
      <c r="B49" s="73" t="n"/>
      <c r="C49" s="73" t="n"/>
      <c r="D49" s="73" t="n"/>
      <c r="E49" s="73" t="n"/>
      <c r="F49" s="73" t="n"/>
      <c r="G49" s="73" t="n"/>
      <c r="H49" s="73" t="n"/>
      <c r="I49" s="73" t="n"/>
      <c r="J49" s="73" t="n"/>
      <c r="K49" s="73" t="n"/>
      <c r="L49" s="73" t="n"/>
      <c r="M49" s="73" t="n"/>
      <c r="N49" s="73" t="n"/>
      <c r="O49" s="73" t="n"/>
      <c r="P49" s="73" t="n"/>
      <c r="Q49" s="73" t="n"/>
      <c r="R49" s="73" t="n"/>
      <c r="S49" s="73" t="n"/>
      <c r="T49" s="73" t="n"/>
      <c r="U49" s="73" t="n"/>
      <c r="V49" s="73" t="n"/>
      <c r="W49" s="73" t="n"/>
      <c r="X49" s="73" t="n"/>
      <c r="Y49" s="73" t="n"/>
      <c r="Z49" s="73" t="n"/>
      <c r="AA49" s="73" t="n"/>
      <c r="AB49" s="73" t="n"/>
      <c r="AC49" s="73" t="n"/>
      <c r="AD49" s="73" t="n"/>
      <c r="AE49" s="73" t="n"/>
      <c r="AF49" s="73" t="n"/>
      <c r="AG49" s="73" t="n"/>
      <c r="AH49" s="73" t="n"/>
      <c r="AI49" s="73" t="n"/>
      <c r="AJ49" s="73" t="n"/>
      <c r="AK49" s="73" t="n"/>
      <c r="AL49" s="73" t="n"/>
      <c r="AM49" s="73" t="n"/>
      <c r="AN49" s="73" t="n"/>
      <c r="AO49" s="73" t="n"/>
      <c r="AP49" s="73" t="n"/>
      <c r="AQ49" s="73" t="n"/>
      <c r="AR49" s="73" t="n"/>
      <c r="AS49" s="73" t="n"/>
      <c r="AT49" s="73" t="n"/>
      <c r="AU49" s="73" t="n"/>
      <c r="AV49" s="73" t="n"/>
    </row>
    <row r="50" ht="16.5" customFormat="1" customHeight="1" s="37">
      <c r="A50" s="73" t="n"/>
      <c r="B50" s="73" t="n"/>
      <c r="C50" s="73" t="n"/>
      <c r="D50" s="73" t="n"/>
      <c r="E50" s="73" t="n"/>
      <c r="F50" s="73" t="n"/>
      <c r="G50" s="73" t="n"/>
      <c r="H50" s="73" t="n"/>
      <c r="I50" s="73" t="n"/>
      <c r="J50" s="73" t="n"/>
      <c r="K50" s="73" t="n"/>
      <c r="L50" s="73" t="n"/>
      <c r="M50" s="73" t="n"/>
      <c r="N50" s="73" t="n"/>
      <c r="O50" s="73" t="n"/>
      <c r="P50" s="73" t="n"/>
      <c r="Q50" s="73" t="n"/>
      <c r="R50" s="73" t="n"/>
      <c r="S50" s="73" t="n"/>
      <c r="T50" s="73" t="n"/>
      <c r="U50" s="73" t="n"/>
      <c r="V50" s="73" t="n"/>
      <c r="W50" s="73" t="n"/>
      <c r="X50" s="73" t="n"/>
      <c r="Y50" s="73" t="n"/>
      <c r="Z50" s="73" t="n"/>
      <c r="AA50" s="73" t="n"/>
      <c r="AB50" s="73" t="n"/>
      <c r="AC50" s="73" t="n"/>
      <c r="AD50" s="73" t="n"/>
      <c r="AE50" s="73" t="n"/>
      <c r="AF50" s="73" t="n"/>
      <c r="AG50" s="73" t="n"/>
      <c r="AH50" s="73" t="n"/>
      <c r="AI50" s="73" t="n"/>
      <c r="AJ50" s="73" t="n"/>
      <c r="AK50" s="73" t="n"/>
      <c r="AL50" s="73" t="n"/>
      <c r="AM50" s="73" t="n"/>
      <c r="AN50" s="73" t="n"/>
      <c r="AO50" s="73" t="n"/>
      <c r="AP50" s="73" t="n"/>
      <c r="AQ50" s="73" t="n"/>
      <c r="AR50" s="73" t="n"/>
      <c r="AS50" s="73" t="n"/>
      <c r="AT50" s="73" t="n"/>
      <c r="AU50" s="73" t="n"/>
      <c r="AV50" s="73" t="n"/>
    </row>
    <row r="51" ht="16.5" customFormat="1" customHeight="1" s="37">
      <c r="A51" s="73" t="n"/>
      <c r="B51" s="73" t="n"/>
      <c r="C51" s="73" t="n"/>
      <c r="D51" s="73" t="n"/>
      <c r="E51" s="73" t="n"/>
      <c r="F51" s="73" t="n"/>
      <c r="G51" s="73" t="n"/>
      <c r="H51" s="73" t="n"/>
      <c r="I51" s="73" t="n"/>
      <c r="J51" s="73" t="n"/>
      <c r="K51" s="73" t="n"/>
      <c r="L51" s="73" t="n"/>
      <c r="M51" s="73" t="n"/>
      <c r="N51" s="73" t="n"/>
      <c r="O51" s="73" t="n"/>
      <c r="P51" s="73" t="n"/>
      <c r="Q51" s="73" t="n"/>
      <c r="R51" s="73" t="n"/>
      <c r="S51" s="73" t="n"/>
      <c r="T51" s="73" t="n"/>
      <c r="U51" s="73" t="n"/>
      <c r="V51" s="73" t="n"/>
      <c r="W51" s="73" t="n"/>
      <c r="X51" s="73" t="n"/>
      <c r="Y51" s="73" t="n"/>
      <c r="Z51" s="73" t="n"/>
      <c r="AA51" s="73" t="n"/>
      <c r="AB51" s="73" t="n"/>
      <c r="AC51" s="73" t="n"/>
      <c r="AD51" s="73" t="n"/>
      <c r="AE51" s="73" t="n"/>
      <c r="AF51" s="73" t="n"/>
      <c r="AG51" s="73" t="n"/>
      <c r="AH51" s="73" t="n"/>
      <c r="AI51" s="73" t="n"/>
      <c r="AJ51" s="73" t="n"/>
      <c r="AK51" s="73" t="n"/>
      <c r="AL51" s="73" t="n"/>
      <c r="AM51" s="73" t="n"/>
      <c r="AN51" s="73" t="n"/>
      <c r="AO51" s="73" t="n"/>
      <c r="AP51" s="73" t="n"/>
      <c r="AQ51" s="73" t="n"/>
      <c r="AR51" s="73" t="n"/>
      <c r="AS51" s="73" t="n"/>
      <c r="AT51" s="73" t="n"/>
      <c r="AU51" s="73" t="n"/>
      <c r="AV51" s="73" t="n"/>
    </row>
    <row r="52" ht="16.5" customFormat="1" customHeight="1" s="37">
      <c r="A52" s="73" t="n"/>
      <c r="B52" s="73" t="n"/>
      <c r="C52" s="73" t="n"/>
      <c r="D52" s="73" t="n"/>
      <c r="E52" s="73" t="n"/>
      <c r="F52" s="73" t="n"/>
      <c r="G52" s="73" t="n"/>
      <c r="H52" s="73" t="n"/>
      <c r="I52" s="73" t="n"/>
      <c r="J52" s="73" t="n"/>
      <c r="K52" s="73" t="n"/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  <c r="X52" s="73" t="n"/>
      <c r="Y52" s="73" t="n"/>
      <c r="Z52" s="73" t="n"/>
      <c r="AA52" s="73" t="n"/>
      <c r="AB52" s="73" t="n"/>
      <c r="AC52" s="73" t="n"/>
      <c r="AD52" s="73" t="n"/>
      <c r="AE52" s="73" t="n"/>
      <c r="AF52" s="73" t="n"/>
      <c r="AG52" s="73" t="n"/>
      <c r="AH52" s="73" t="n"/>
      <c r="AI52" s="73" t="n"/>
      <c r="AJ52" s="73" t="n"/>
      <c r="AK52" s="73" t="n"/>
      <c r="AL52" s="73" t="n"/>
      <c r="AM52" s="73" t="n"/>
      <c r="AN52" s="73" t="n"/>
      <c r="AO52" s="73" t="n"/>
      <c r="AP52" s="73" t="n"/>
      <c r="AQ52" s="73" t="n"/>
      <c r="AR52" s="73" t="n"/>
      <c r="AS52" s="73" t="n"/>
      <c r="AT52" s="73" t="n"/>
      <c r="AU52" s="73" t="n"/>
      <c r="AV52" s="73" t="n"/>
    </row>
    <row r="53" ht="16.5" customFormat="1" customHeight="1" s="37">
      <c r="A53" s="73" t="n"/>
      <c r="B53" s="73" t="n"/>
      <c r="C53" s="73" t="n"/>
      <c r="D53" s="73" t="n"/>
      <c r="E53" s="73" t="n"/>
      <c r="F53" s="73" t="n"/>
      <c r="G53" s="73" t="n"/>
      <c r="H53" s="73" t="n"/>
      <c r="I53" s="73" t="n"/>
      <c r="J53" s="73" t="n"/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  <c r="X53" s="73" t="n"/>
      <c r="Y53" s="73" t="n"/>
      <c r="Z53" s="73" t="n"/>
      <c r="AA53" s="73" t="n"/>
      <c r="AB53" s="73" t="n"/>
      <c r="AC53" s="73" t="n"/>
      <c r="AD53" s="73" t="n"/>
      <c r="AE53" s="73" t="n"/>
      <c r="AF53" s="73" t="n"/>
      <c r="AG53" s="73" t="n"/>
      <c r="AH53" s="73" t="n"/>
      <c r="AI53" s="73" t="n"/>
      <c r="AJ53" s="73" t="n"/>
      <c r="AK53" s="73" t="n"/>
      <c r="AL53" s="73" t="n"/>
      <c r="AM53" s="73" t="n"/>
      <c r="AN53" s="73" t="n"/>
      <c r="AO53" s="73" t="n"/>
      <c r="AP53" s="73" t="n"/>
      <c r="AQ53" s="73" t="n"/>
      <c r="AR53" s="73" t="n"/>
      <c r="AS53" s="73" t="n"/>
      <c r="AT53" s="73" t="n"/>
      <c r="AU53" s="73" t="n"/>
      <c r="AV53" s="73" t="n"/>
    </row>
    <row r="54" ht="16.5" customFormat="1" customHeight="1" s="37">
      <c r="A54" s="73" t="n"/>
      <c r="B54" s="73" t="n"/>
      <c r="C54" s="73" t="n"/>
      <c r="D54" s="73" t="n"/>
      <c r="E54" s="73" t="n"/>
      <c r="F54" s="73" t="n"/>
      <c r="G54" s="73" t="n"/>
      <c r="H54" s="73" t="n"/>
      <c r="I54" s="73" t="n"/>
      <c r="J54" s="73" t="n"/>
      <c r="K54" s="73" t="n"/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  <c r="X54" s="73" t="n"/>
      <c r="Y54" s="73" t="n"/>
      <c r="Z54" s="73" t="n"/>
      <c r="AA54" s="73" t="n"/>
      <c r="AB54" s="73" t="n"/>
      <c r="AC54" s="73" t="n"/>
      <c r="AD54" s="73" t="n"/>
      <c r="AE54" s="73" t="n"/>
      <c r="AF54" s="73" t="n"/>
      <c r="AG54" s="73" t="n"/>
      <c r="AH54" s="73" t="n"/>
      <c r="AI54" s="73" t="n"/>
      <c r="AJ54" s="73" t="n"/>
      <c r="AK54" s="73" t="n"/>
      <c r="AL54" s="73" t="n"/>
      <c r="AM54" s="73" t="n"/>
      <c r="AN54" s="73" t="n"/>
      <c r="AO54" s="73" t="n"/>
      <c r="AP54" s="73" t="n"/>
      <c r="AQ54" s="73" t="n"/>
      <c r="AR54" s="73" t="n"/>
      <c r="AS54" s="73" t="n"/>
      <c r="AT54" s="73" t="n"/>
      <c r="AU54" s="73" t="n"/>
      <c r="AV54" s="73" t="n"/>
    </row>
    <row r="55" ht="16.5" customFormat="1" customHeight="1" s="37">
      <c r="A55" s="73" t="n"/>
      <c r="B55" s="73" t="n"/>
      <c r="C55" s="73" t="n"/>
      <c r="D55" s="73" t="n"/>
      <c r="E55" s="73" t="n"/>
      <c r="F55" s="73" t="n"/>
      <c r="G55" s="73" t="n"/>
      <c r="H55" s="73" t="n"/>
      <c r="I55" s="73" t="n"/>
      <c r="J55" s="73" t="n"/>
      <c r="K55" s="73" t="n"/>
      <c r="L55" s="73" t="n"/>
      <c r="M55" s="73" t="n"/>
      <c r="N55" s="73" t="n"/>
      <c r="O55" s="73" t="n"/>
      <c r="P55" s="73" t="n"/>
      <c r="Q55" s="73" t="n"/>
      <c r="R55" s="73" t="n"/>
      <c r="S55" s="73" t="n"/>
      <c r="T55" s="73" t="n"/>
      <c r="U55" s="73" t="n"/>
      <c r="V55" s="73" t="n"/>
      <c r="W55" s="73" t="n"/>
      <c r="X55" s="73" t="n"/>
      <c r="Y55" s="73" t="n"/>
      <c r="Z55" s="73" t="n"/>
      <c r="AA55" s="73" t="n"/>
      <c r="AB55" s="73" t="n"/>
      <c r="AC55" s="73" t="n"/>
      <c r="AD55" s="73" t="n"/>
      <c r="AE55" s="73" t="n"/>
      <c r="AF55" s="73" t="n"/>
      <c r="AG55" s="73" t="n"/>
      <c r="AH55" s="73" t="n"/>
      <c r="AI55" s="73" t="n"/>
      <c r="AJ55" s="73" t="n"/>
      <c r="AK55" s="73" t="n"/>
      <c r="AL55" s="73" t="n"/>
      <c r="AM55" s="73" t="n"/>
      <c r="AN55" s="73" t="n"/>
      <c r="AO55" s="73" t="n"/>
      <c r="AP55" s="73" t="n"/>
      <c r="AQ55" s="73" t="n"/>
      <c r="AR55" s="73" t="n"/>
      <c r="AS55" s="73" t="n"/>
      <c r="AT55" s="73" t="n"/>
      <c r="AU55" s="73" t="n"/>
      <c r="AV55" s="73" t="n"/>
    </row>
    <row r="56" ht="16.5" customFormat="1" customHeight="1" s="37">
      <c r="A56" s="73" t="n"/>
      <c r="B56" s="73" t="n"/>
      <c r="C56" s="73" t="n"/>
      <c r="D56" s="73" t="n"/>
      <c r="E56" s="73" t="n"/>
      <c r="F56" s="73" t="n"/>
      <c r="G56" s="73" t="n"/>
      <c r="H56" s="73" t="n"/>
      <c r="I56" s="73" t="n"/>
      <c r="J56" s="73" t="n"/>
      <c r="K56" s="73" t="n"/>
      <c r="L56" s="73" t="n"/>
      <c r="M56" s="73" t="n"/>
      <c r="N56" s="73" t="n"/>
      <c r="O56" s="73" t="n"/>
      <c r="P56" s="73" t="n"/>
      <c r="Q56" s="73" t="n"/>
      <c r="R56" s="73" t="n"/>
      <c r="S56" s="73" t="n"/>
      <c r="T56" s="73" t="n"/>
      <c r="U56" s="73" t="n"/>
      <c r="V56" s="73" t="n"/>
      <c r="W56" s="73" t="n"/>
      <c r="X56" s="73" t="n"/>
      <c r="Y56" s="73" t="n"/>
      <c r="Z56" s="73" t="n"/>
      <c r="AA56" s="73" t="n"/>
      <c r="AB56" s="73" t="n"/>
      <c r="AC56" s="73" t="n"/>
      <c r="AD56" s="73" t="n"/>
      <c r="AE56" s="73" t="n"/>
      <c r="AF56" s="73" t="n"/>
      <c r="AG56" s="73" t="n"/>
      <c r="AH56" s="73" t="n"/>
      <c r="AI56" s="73" t="n"/>
      <c r="AJ56" s="73" t="n"/>
      <c r="AK56" s="73" t="n"/>
      <c r="AL56" s="73" t="n"/>
      <c r="AM56" s="73" t="n"/>
      <c r="AN56" s="73" t="n"/>
      <c r="AO56" s="73" t="n"/>
      <c r="AP56" s="73" t="n"/>
      <c r="AQ56" s="73" t="n"/>
      <c r="AR56" s="73" t="n"/>
      <c r="AS56" s="73" t="n"/>
      <c r="AT56" s="73" t="n"/>
      <c r="AU56" s="73" t="n"/>
      <c r="AV56" s="73" t="n"/>
    </row>
    <row r="57" ht="16.5" customFormat="1" customHeight="1" s="37">
      <c r="A57" s="73" t="n"/>
      <c r="B57" s="73" t="n"/>
      <c r="C57" s="73" t="n"/>
      <c r="D57" s="73" t="n"/>
      <c r="E57" s="73" t="n"/>
      <c r="F57" s="73" t="n"/>
      <c r="G57" s="73" t="n"/>
      <c r="H57" s="73" t="n"/>
      <c r="I57" s="73" t="n"/>
      <c r="J57" s="73" t="n"/>
      <c r="K57" s="73" t="n"/>
      <c r="L57" s="73" t="n"/>
      <c r="M57" s="73" t="n"/>
      <c r="N57" s="73" t="n"/>
      <c r="O57" s="73" t="n"/>
      <c r="P57" s="73" t="n"/>
      <c r="Q57" s="73" t="n"/>
      <c r="R57" s="73" t="n"/>
      <c r="S57" s="73" t="n"/>
      <c r="T57" s="73" t="n"/>
      <c r="U57" s="73" t="n"/>
      <c r="V57" s="73" t="n"/>
      <c r="W57" s="73" t="n"/>
      <c r="X57" s="73" t="n"/>
      <c r="Y57" s="73" t="n"/>
      <c r="Z57" s="73" t="n"/>
      <c r="AA57" s="73" t="n"/>
      <c r="AB57" s="73" t="n"/>
      <c r="AC57" s="73" t="n"/>
      <c r="AD57" s="73" t="n"/>
      <c r="AE57" s="73" t="n"/>
      <c r="AF57" s="73" t="n"/>
      <c r="AG57" s="73" t="n"/>
      <c r="AH57" s="73" t="n"/>
      <c r="AI57" s="73" t="n"/>
      <c r="AJ57" s="73" t="n"/>
      <c r="AK57" s="73" t="n"/>
      <c r="AL57" s="73" t="n"/>
      <c r="AM57" s="73" t="n"/>
      <c r="AN57" s="73" t="n"/>
      <c r="AO57" s="73" t="n"/>
      <c r="AP57" s="73" t="n"/>
      <c r="AQ57" s="73" t="n"/>
      <c r="AR57" s="73" t="n"/>
      <c r="AS57" s="73" t="n"/>
      <c r="AT57" s="73" t="n"/>
      <c r="AU57" s="73" t="n"/>
      <c r="AV57" s="73" t="n"/>
    </row>
    <row r="58" ht="16.5" customFormat="1" customHeight="1" s="37">
      <c r="A58" s="73" t="n"/>
      <c r="B58" s="73" t="n"/>
      <c r="C58" s="73" t="n"/>
      <c r="D58" s="73" t="n"/>
      <c r="E58" s="73" t="n"/>
      <c r="F58" s="73" t="n"/>
      <c r="G58" s="73" t="n"/>
      <c r="H58" s="73" t="n"/>
      <c r="I58" s="73" t="n"/>
      <c r="J58" s="73" t="n"/>
      <c r="K58" s="73" t="n"/>
      <c r="L58" s="73" t="n"/>
      <c r="M58" s="73" t="n"/>
      <c r="N58" s="73" t="n"/>
      <c r="O58" s="73" t="n"/>
      <c r="P58" s="73" t="n"/>
      <c r="Q58" s="73" t="n"/>
      <c r="R58" s="73" t="n"/>
      <c r="S58" s="73" t="n"/>
      <c r="T58" s="73" t="n"/>
      <c r="U58" s="73" t="n"/>
      <c r="V58" s="73" t="n"/>
      <c r="W58" s="73" t="n"/>
      <c r="X58" s="73" t="n"/>
      <c r="Y58" s="73" t="n"/>
      <c r="Z58" s="73" t="n"/>
      <c r="AA58" s="73" t="n"/>
      <c r="AB58" s="73" t="n"/>
      <c r="AC58" s="73" t="n"/>
      <c r="AD58" s="73" t="n"/>
      <c r="AE58" s="73" t="n"/>
      <c r="AF58" s="73" t="n"/>
      <c r="AG58" s="73" t="n"/>
      <c r="AH58" s="73" t="n"/>
      <c r="AI58" s="73" t="n"/>
      <c r="AJ58" s="73" t="n"/>
      <c r="AK58" s="73" t="n"/>
      <c r="AL58" s="73" t="n"/>
      <c r="AM58" s="73" t="n"/>
      <c r="AN58" s="73" t="n"/>
      <c r="AO58" s="73" t="n"/>
      <c r="AP58" s="73" t="n"/>
      <c r="AQ58" s="73" t="n"/>
      <c r="AR58" s="73" t="n"/>
      <c r="AS58" s="73" t="n"/>
      <c r="AT58" s="73" t="n"/>
      <c r="AU58" s="73" t="n"/>
      <c r="AV58" s="73" t="n"/>
    </row>
    <row r="59" ht="16.5" customFormat="1" customHeight="1" s="37">
      <c r="A59" s="73" t="n"/>
      <c r="B59" s="73" t="n"/>
      <c r="C59" s="73" t="n"/>
      <c r="D59" s="73" t="n"/>
      <c r="E59" s="73" t="n"/>
      <c r="F59" s="73" t="n"/>
      <c r="G59" s="73" t="n"/>
      <c r="H59" s="73" t="n"/>
      <c r="I59" s="73" t="n"/>
      <c r="J59" s="73" t="n"/>
      <c r="K59" s="73" t="n"/>
      <c r="L59" s="73" t="n"/>
      <c r="M59" s="73" t="n"/>
      <c r="N59" s="73" t="n"/>
      <c r="O59" s="73" t="n"/>
      <c r="P59" s="73" t="n"/>
      <c r="Q59" s="73" t="n"/>
      <c r="R59" s="73" t="n"/>
      <c r="S59" s="73" t="n"/>
      <c r="T59" s="73" t="n"/>
      <c r="U59" s="73" t="n"/>
      <c r="V59" s="73" t="n"/>
      <c r="W59" s="73" t="n"/>
      <c r="X59" s="73" t="n"/>
      <c r="Y59" s="73" t="n"/>
      <c r="Z59" s="73" t="n"/>
      <c r="AA59" s="73" t="n"/>
      <c r="AB59" s="73" t="n"/>
      <c r="AC59" s="73" t="n"/>
      <c r="AD59" s="73" t="n"/>
      <c r="AE59" s="73" t="n"/>
      <c r="AF59" s="73" t="n"/>
      <c r="AG59" s="73" t="n"/>
      <c r="AH59" s="73" t="n"/>
      <c r="AI59" s="73" t="n"/>
      <c r="AJ59" s="73" t="n"/>
      <c r="AK59" s="73" t="n"/>
      <c r="AL59" s="73" t="n"/>
      <c r="AM59" s="73" t="n"/>
      <c r="AN59" s="73" t="n"/>
      <c r="AO59" s="73" t="n"/>
      <c r="AP59" s="73" t="n"/>
      <c r="AQ59" s="73" t="n"/>
      <c r="AR59" s="73" t="n"/>
      <c r="AS59" s="73" t="n"/>
      <c r="AT59" s="73" t="n"/>
      <c r="AU59" s="73" t="n"/>
      <c r="AV59" s="73" t="n"/>
    </row>
    <row r="60" ht="16.5" customFormat="1" customHeight="1" s="37">
      <c r="A60" s="73" t="n"/>
      <c r="B60" s="73" t="n"/>
      <c r="C60" s="73" t="n"/>
      <c r="D60" s="73" t="n"/>
      <c r="E60" s="73" t="n"/>
      <c r="F60" s="73" t="n"/>
      <c r="G60" s="73" t="n"/>
      <c r="H60" s="73" t="n"/>
      <c r="I60" s="73" t="n"/>
      <c r="J60" s="73" t="n"/>
      <c r="K60" s="73" t="n"/>
      <c r="L60" s="73" t="n"/>
      <c r="M60" s="73" t="n"/>
      <c r="N60" s="73" t="n"/>
      <c r="O60" s="73" t="n"/>
      <c r="P60" s="73" t="n"/>
      <c r="Q60" s="73" t="n"/>
      <c r="R60" s="73" t="n"/>
      <c r="S60" s="73" t="n"/>
      <c r="T60" s="73" t="n"/>
      <c r="U60" s="73" t="n"/>
      <c r="V60" s="73" t="n"/>
      <c r="W60" s="73" t="n"/>
      <c r="X60" s="73" t="n"/>
      <c r="Y60" s="73" t="n"/>
      <c r="Z60" s="73" t="n"/>
      <c r="AA60" s="73" t="n"/>
      <c r="AB60" s="73" t="n"/>
      <c r="AC60" s="73" t="n"/>
      <c r="AD60" s="73" t="n"/>
      <c r="AE60" s="73" t="n"/>
      <c r="AF60" s="73" t="n"/>
      <c r="AG60" s="73" t="n"/>
      <c r="AH60" s="73" t="n"/>
      <c r="AI60" s="73" t="n"/>
      <c r="AJ60" s="73" t="n"/>
      <c r="AK60" s="73" t="n"/>
      <c r="AL60" s="73" t="n"/>
      <c r="AM60" s="73" t="n"/>
      <c r="AN60" s="73" t="n"/>
      <c r="AO60" s="73" t="n"/>
      <c r="AP60" s="73" t="n"/>
      <c r="AQ60" s="73" t="n"/>
      <c r="AR60" s="73" t="n"/>
      <c r="AS60" s="73" t="n"/>
      <c r="AT60" s="73" t="n"/>
      <c r="AU60" s="73" t="n"/>
      <c r="AV60" s="73" t="n"/>
    </row>
    <row r="61" ht="16.5" customFormat="1" customHeight="1" s="37">
      <c r="A61" s="73" t="n"/>
      <c r="B61" s="73" t="n"/>
      <c r="C61" s="73" t="n"/>
      <c r="D61" s="73" t="n"/>
      <c r="E61" s="73" t="n"/>
      <c r="F61" s="73" t="n"/>
      <c r="G61" s="73" t="n"/>
      <c r="H61" s="73" t="n"/>
      <c r="I61" s="73" t="n"/>
      <c r="J61" s="73" t="n"/>
      <c r="K61" s="73" t="n"/>
      <c r="L61" s="73" t="n"/>
      <c r="M61" s="73" t="n"/>
      <c r="N61" s="73" t="n"/>
      <c r="O61" s="73" t="n"/>
      <c r="P61" s="73" t="n"/>
      <c r="Q61" s="73" t="n"/>
      <c r="R61" s="73" t="n"/>
      <c r="S61" s="73" t="n"/>
      <c r="T61" s="73" t="n"/>
      <c r="U61" s="73" t="n"/>
      <c r="V61" s="73" t="n"/>
      <c r="W61" s="73" t="n"/>
      <c r="X61" s="73" t="n"/>
      <c r="Y61" s="73" t="n"/>
      <c r="Z61" s="73" t="n"/>
      <c r="AA61" s="73" t="n"/>
      <c r="AB61" s="73" t="n"/>
      <c r="AC61" s="73" t="n"/>
      <c r="AD61" s="73" t="n"/>
      <c r="AE61" s="73" t="n"/>
      <c r="AF61" s="73" t="n"/>
      <c r="AG61" s="73" t="n"/>
      <c r="AH61" s="73" t="n"/>
      <c r="AI61" s="73" t="n"/>
      <c r="AJ61" s="73" t="n"/>
      <c r="AK61" s="73" t="n"/>
      <c r="AL61" s="73" t="n"/>
      <c r="AM61" s="73" t="n"/>
      <c r="AN61" s="73" t="n"/>
      <c r="AO61" s="73" t="n"/>
      <c r="AP61" s="73" t="n"/>
      <c r="AQ61" s="73" t="n"/>
      <c r="AR61" s="73" t="n"/>
      <c r="AS61" s="73" t="n"/>
      <c r="AT61" s="73" t="n"/>
      <c r="AU61" s="73" t="n"/>
      <c r="AV61" s="73" t="n"/>
    </row>
    <row r="62" ht="16.5" customFormat="1" customHeight="1" s="37">
      <c r="A62" s="73" t="n"/>
      <c r="B62" s="73" t="n"/>
      <c r="C62" s="73" t="n"/>
      <c r="D62" s="73" t="n"/>
      <c r="E62" s="73" t="n"/>
      <c r="F62" s="73" t="n"/>
      <c r="G62" s="73" t="n"/>
      <c r="H62" s="73" t="n"/>
      <c r="I62" s="73" t="n"/>
      <c r="J62" s="73" t="n"/>
      <c r="K62" s="73" t="n"/>
      <c r="L62" s="73" t="n"/>
      <c r="M62" s="73" t="n"/>
      <c r="N62" s="73" t="n"/>
      <c r="O62" s="73" t="n"/>
      <c r="P62" s="73" t="n"/>
      <c r="Q62" s="73" t="n"/>
      <c r="R62" s="73" t="n"/>
      <c r="S62" s="73" t="n"/>
      <c r="T62" s="73" t="n"/>
      <c r="U62" s="73" t="n"/>
      <c r="V62" s="73" t="n"/>
      <c r="W62" s="73" t="n"/>
      <c r="X62" s="73" t="n"/>
      <c r="Y62" s="73" t="n"/>
      <c r="Z62" s="73" t="n"/>
      <c r="AA62" s="73" t="n"/>
      <c r="AB62" s="73" t="n"/>
      <c r="AC62" s="73" t="n"/>
      <c r="AD62" s="73" t="n"/>
      <c r="AE62" s="73" t="n"/>
      <c r="AF62" s="73" t="n"/>
      <c r="AG62" s="73" t="n"/>
      <c r="AH62" s="73" t="n"/>
      <c r="AI62" s="73" t="n"/>
      <c r="AJ62" s="73" t="n"/>
      <c r="AK62" s="73" t="n"/>
      <c r="AL62" s="73" t="n"/>
      <c r="AM62" s="73" t="n"/>
      <c r="AN62" s="73" t="n"/>
      <c r="AO62" s="73" t="n"/>
      <c r="AP62" s="73" t="n"/>
      <c r="AQ62" s="73" t="n"/>
      <c r="AR62" s="73" t="n"/>
      <c r="AS62" s="73" t="n"/>
      <c r="AT62" s="73" t="n"/>
      <c r="AU62" s="73" t="n"/>
      <c r="AV62" s="73" t="n"/>
    </row>
    <row r="63" ht="16.5" customFormat="1" customHeight="1" s="37">
      <c r="A63" s="73" t="n"/>
      <c r="B63" s="73" t="n"/>
      <c r="C63" s="73" t="n"/>
      <c r="D63" s="73" t="n"/>
      <c r="E63" s="73" t="n"/>
      <c r="F63" s="73" t="n"/>
      <c r="G63" s="73" t="n"/>
      <c r="H63" s="73" t="n"/>
      <c r="I63" s="73" t="n"/>
      <c r="J63" s="73" t="n"/>
      <c r="K63" s="73" t="n"/>
      <c r="L63" s="73" t="n"/>
      <c r="M63" s="73" t="n"/>
      <c r="N63" s="73" t="n"/>
      <c r="O63" s="73" t="n"/>
      <c r="P63" s="73" t="n"/>
      <c r="Q63" s="73" t="n"/>
      <c r="R63" s="73" t="n"/>
      <c r="S63" s="73" t="n"/>
      <c r="T63" s="73" t="n"/>
      <c r="U63" s="73" t="n"/>
      <c r="V63" s="73" t="n"/>
      <c r="W63" s="73" t="n"/>
      <c r="X63" s="73" t="n"/>
      <c r="Y63" s="73" t="n"/>
      <c r="Z63" s="73" t="n"/>
      <c r="AA63" s="73" t="n"/>
      <c r="AB63" s="73" t="n"/>
      <c r="AC63" s="73" t="n"/>
      <c r="AD63" s="73" t="n"/>
      <c r="AE63" s="73" t="n"/>
      <c r="AF63" s="73" t="n"/>
      <c r="AG63" s="73" t="n"/>
      <c r="AH63" s="73" t="n"/>
      <c r="AI63" s="73" t="n"/>
      <c r="AJ63" s="73" t="n"/>
      <c r="AK63" s="73" t="n"/>
      <c r="AL63" s="73" t="n"/>
      <c r="AM63" s="73" t="n"/>
      <c r="AN63" s="73" t="n"/>
      <c r="AO63" s="73" t="n"/>
      <c r="AP63" s="73" t="n"/>
      <c r="AQ63" s="73" t="n"/>
      <c r="AR63" s="73" t="n"/>
      <c r="AS63" s="73" t="n"/>
      <c r="AT63" s="73" t="n"/>
      <c r="AU63" s="73" t="n"/>
      <c r="AV63" s="73" t="n"/>
    </row>
    <row r="64" ht="16.5" customFormat="1" customHeight="1" s="37">
      <c r="A64" s="73" t="n"/>
      <c r="B64" s="73" t="n"/>
      <c r="C64" s="73" t="n"/>
      <c r="D64" s="73" t="n"/>
      <c r="E64" s="73" t="n"/>
      <c r="F64" s="73" t="n"/>
      <c r="G64" s="73" t="n"/>
      <c r="H64" s="73" t="n"/>
      <c r="I64" s="73" t="n"/>
      <c r="J64" s="73" t="n"/>
      <c r="K64" s="73" t="n"/>
      <c r="L64" s="73" t="n"/>
      <c r="M64" s="73" t="n"/>
      <c r="N64" s="73" t="n"/>
      <c r="O64" s="73" t="n"/>
      <c r="P64" s="73" t="n"/>
      <c r="Q64" s="73" t="n"/>
      <c r="R64" s="73" t="n"/>
      <c r="S64" s="73" t="n"/>
      <c r="T64" s="73" t="n"/>
      <c r="U64" s="73" t="n"/>
      <c r="V64" s="73" t="n"/>
      <c r="W64" s="73" t="n"/>
      <c r="X64" s="73" t="n"/>
      <c r="Y64" s="73" t="n"/>
      <c r="Z64" s="73" t="n"/>
      <c r="AA64" s="73" t="n"/>
      <c r="AB64" s="73" t="n"/>
      <c r="AC64" s="73" t="n"/>
      <c r="AD64" s="73" t="n"/>
      <c r="AE64" s="73" t="n"/>
      <c r="AF64" s="73" t="n"/>
      <c r="AG64" s="73" t="n"/>
      <c r="AH64" s="73" t="n"/>
      <c r="AI64" s="73" t="n"/>
      <c r="AJ64" s="73" t="n"/>
      <c r="AK64" s="73" t="n"/>
      <c r="AL64" s="73" t="n"/>
      <c r="AM64" s="73" t="n"/>
      <c r="AN64" s="73" t="n"/>
      <c r="AO64" s="73" t="n"/>
      <c r="AP64" s="73" t="n"/>
      <c r="AQ64" s="73" t="n"/>
      <c r="AR64" s="73" t="n"/>
      <c r="AS64" s="73" t="n"/>
      <c r="AT64" s="73" t="n"/>
      <c r="AU64" s="73" t="n"/>
      <c r="AV64" s="73" t="n"/>
    </row>
    <row r="65" ht="16.5" customFormat="1" customHeight="1" s="37">
      <c r="A65" s="73" t="n"/>
      <c r="B65" s="73" t="n"/>
      <c r="C65" s="73" t="n"/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  <c r="X65" s="73" t="n"/>
      <c r="Y65" s="73" t="n"/>
      <c r="Z65" s="73" t="n"/>
      <c r="AA65" s="73" t="n"/>
      <c r="AB65" s="73" t="n"/>
      <c r="AC65" s="73" t="n"/>
      <c r="AD65" s="73" t="n"/>
      <c r="AE65" s="73" t="n"/>
      <c r="AF65" s="73" t="n"/>
      <c r="AG65" s="73" t="n"/>
      <c r="AH65" s="73" t="n"/>
      <c r="AI65" s="73" t="n"/>
      <c r="AJ65" s="73" t="n"/>
      <c r="AK65" s="73" t="n"/>
      <c r="AL65" s="73" t="n"/>
      <c r="AM65" s="73" t="n"/>
      <c r="AN65" s="73" t="n"/>
      <c r="AO65" s="73" t="n"/>
      <c r="AP65" s="73" t="n"/>
      <c r="AQ65" s="73" t="n"/>
      <c r="AR65" s="73" t="n"/>
      <c r="AS65" s="73" t="n"/>
      <c r="AT65" s="73" t="n"/>
      <c r="AU65" s="73" t="n"/>
      <c r="AV65" s="73" t="n"/>
    </row>
    <row r="66" ht="16.5" customFormat="1" customHeight="1" s="37">
      <c r="A66" s="73" t="n"/>
      <c r="B66" s="73" t="n"/>
      <c r="C66" s="73" t="n"/>
      <c r="D66" s="73" t="n"/>
      <c r="E66" s="73" t="n"/>
      <c r="F66" s="73" t="n"/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  <c r="X66" s="73" t="n"/>
      <c r="Y66" s="73" t="n"/>
      <c r="Z66" s="73" t="n"/>
      <c r="AA66" s="73" t="n"/>
      <c r="AB66" s="73" t="n"/>
      <c r="AC66" s="73" t="n"/>
      <c r="AD66" s="73" t="n"/>
      <c r="AE66" s="73" t="n"/>
      <c r="AF66" s="73" t="n"/>
      <c r="AG66" s="73" t="n"/>
      <c r="AH66" s="73" t="n"/>
      <c r="AI66" s="73" t="n"/>
      <c r="AJ66" s="73" t="n"/>
      <c r="AK66" s="73" t="n"/>
      <c r="AL66" s="73" t="n"/>
      <c r="AM66" s="73" t="n"/>
      <c r="AN66" s="73" t="n"/>
      <c r="AO66" s="73" t="n"/>
      <c r="AP66" s="73" t="n"/>
      <c r="AQ66" s="73" t="n"/>
      <c r="AR66" s="73" t="n"/>
      <c r="AS66" s="73" t="n"/>
      <c r="AT66" s="73" t="n"/>
      <c r="AU66" s="73" t="n"/>
      <c r="AV66" s="73" t="n"/>
    </row>
    <row r="67" ht="16.5" customFormat="1" customHeight="1" s="37">
      <c r="A67" s="73" t="n"/>
      <c r="B67" s="73" t="n"/>
      <c r="C67" s="73" t="n"/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  <c r="X67" s="73" t="n"/>
      <c r="Y67" s="73" t="n"/>
      <c r="Z67" s="73" t="n"/>
      <c r="AA67" s="73" t="n"/>
      <c r="AB67" s="73" t="n"/>
      <c r="AC67" s="73" t="n"/>
      <c r="AD67" s="73" t="n"/>
      <c r="AE67" s="73" t="n"/>
      <c r="AF67" s="73" t="n"/>
      <c r="AG67" s="73" t="n"/>
      <c r="AH67" s="73" t="n"/>
      <c r="AI67" s="73" t="n"/>
      <c r="AJ67" s="73" t="n"/>
      <c r="AK67" s="73" t="n"/>
      <c r="AL67" s="73" t="n"/>
      <c r="AM67" s="73" t="n"/>
      <c r="AN67" s="73" t="n"/>
      <c r="AO67" s="73" t="n"/>
      <c r="AP67" s="73" t="n"/>
      <c r="AQ67" s="73" t="n"/>
      <c r="AR67" s="73" t="n"/>
      <c r="AS67" s="73" t="n"/>
      <c r="AT67" s="73" t="n"/>
      <c r="AU67" s="73" t="n"/>
      <c r="AV67" s="73" t="n"/>
    </row>
    <row r="68" ht="16.5" customFormat="1" customHeight="1" s="37">
      <c r="A68" s="73" t="n"/>
      <c r="B68" s="73" t="n"/>
      <c r="C68" s="73" t="n"/>
      <c r="D68" s="73" t="n"/>
      <c r="E68" s="73" t="n"/>
      <c r="F68" s="73" t="n"/>
      <c r="G68" s="73" t="n"/>
      <c r="H68" s="73" t="n"/>
      <c r="I68" s="73" t="n"/>
      <c r="J68" s="73" t="n"/>
      <c r="K68" s="73" t="n"/>
      <c r="L68" s="73" t="n"/>
      <c r="M68" s="73" t="n"/>
      <c r="N68" s="73" t="n"/>
      <c r="O68" s="73" t="n"/>
      <c r="P68" s="73" t="n"/>
      <c r="Q68" s="73" t="n"/>
      <c r="R68" s="73" t="n"/>
      <c r="S68" s="73" t="n"/>
      <c r="T68" s="73" t="n"/>
      <c r="U68" s="73" t="n"/>
      <c r="V68" s="73" t="n"/>
      <c r="W68" s="73" t="n"/>
      <c r="X68" s="73" t="n"/>
      <c r="Y68" s="73" t="n"/>
      <c r="Z68" s="73" t="n"/>
      <c r="AA68" s="73" t="n"/>
      <c r="AB68" s="73" t="n"/>
      <c r="AC68" s="73" t="n"/>
      <c r="AD68" s="73" t="n"/>
      <c r="AE68" s="73" t="n"/>
      <c r="AF68" s="73" t="n"/>
      <c r="AG68" s="73" t="n"/>
      <c r="AH68" s="73" t="n"/>
      <c r="AI68" s="73" t="n"/>
      <c r="AJ68" s="73" t="n"/>
      <c r="AK68" s="73" t="n"/>
      <c r="AL68" s="73" t="n"/>
      <c r="AM68" s="73" t="n"/>
      <c r="AN68" s="73" t="n"/>
      <c r="AO68" s="73" t="n"/>
      <c r="AP68" s="73" t="n"/>
      <c r="AQ68" s="73" t="n"/>
      <c r="AR68" s="73" t="n"/>
      <c r="AS68" s="73" t="n"/>
      <c r="AT68" s="73" t="n"/>
      <c r="AU68" s="73" t="n"/>
      <c r="AV68" s="73" t="n"/>
    </row>
    <row r="69" ht="16.5" customFormat="1" customHeight="1" s="37">
      <c r="A69" s="73" t="n"/>
      <c r="B69" s="73" t="n"/>
      <c r="C69" s="73" t="n"/>
      <c r="D69" s="73" t="n"/>
      <c r="E69" s="73" t="n"/>
      <c r="F69" s="73" t="n"/>
      <c r="G69" s="73" t="n"/>
      <c r="H69" s="73" t="n"/>
      <c r="I69" s="73" t="n"/>
      <c r="J69" s="73" t="n"/>
      <c r="K69" s="73" t="n"/>
      <c r="L69" s="73" t="n"/>
      <c r="M69" s="73" t="n"/>
      <c r="N69" s="73" t="n"/>
      <c r="O69" s="73" t="n"/>
      <c r="P69" s="73" t="n"/>
      <c r="Q69" s="73" t="n"/>
      <c r="R69" s="73" t="n"/>
      <c r="S69" s="73" t="n"/>
      <c r="T69" s="73" t="n"/>
      <c r="U69" s="73" t="n"/>
      <c r="V69" s="73" t="n"/>
      <c r="W69" s="73" t="n"/>
      <c r="X69" s="73" t="n"/>
      <c r="Y69" s="73" t="n"/>
      <c r="Z69" s="73" t="n"/>
      <c r="AA69" s="73" t="n"/>
      <c r="AB69" s="73" t="n"/>
      <c r="AC69" s="73" t="n"/>
      <c r="AD69" s="73" t="n"/>
      <c r="AE69" s="73" t="n"/>
      <c r="AF69" s="73" t="n"/>
      <c r="AG69" s="73" t="n"/>
      <c r="AH69" s="73" t="n"/>
      <c r="AI69" s="73" t="n"/>
      <c r="AJ69" s="73" t="n"/>
      <c r="AK69" s="73" t="n"/>
      <c r="AL69" s="73" t="n"/>
      <c r="AM69" s="73" t="n"/>
      <c r="AN69" s="73" t="n"/>
      <c r="AO69" s="73" t="n"/>
      <c r="AP69" s="73" t="n"/>
      <c r="AQ69" s="73" t="n"/>
      <c r="AR69" s="73" t="n"/>
      <c r="AS69" s="73" t="n"/>
      <c r="AT69" s="73" t="n"/>
      <c r="AU69" s="73" t="n"/>
      <c r="AV69" s="73" t="n"/>
    </row>
    <row r="70" ht="16.5" customFormat="1" customHeight="1" s="37">
      <c r="A70" s="73" t="n"/>
      <c r="B70" s="73" t="n"/>
      <c r="C70" s="73" t="n"/>
      <c r="D70" s="73" t="n"/>
      <c r="E70" s="73" t="n"/>
      <c r="F70" s="73" t="n"/>
      <c r="G70" s="73" t="n"/>
      <c r="H70" s="73" t="n"/>
      <c r="I70" s="73" t="n"/>
      <c r="J70" s="73" t="n"/>
      <c r="K70" s="73" t="n"/>
      <c r="L70" s="73" t="n"/>
      <c r="M70" s="73" t="n"/>
      <c r="N70" s="73" t="n"/>
      <c r="O70" s="73" t="n"/>
      <c r="P70" s="73" t="n"/>
      <c r="Q70" s="73" t="n"/>
      <c r="R70" s="73" t="n"/>
      <c r="S70" s="73" t="n"/>
      <c r="T70" s="73" t="n"/>
      <c r="U70" s="73" t="n"/>
      <c r="V70" s="73" t="n"/>
      <c r="W70" s="73" t="n"/>
      <c r="X70" s="73" t="n"/>
      <c r="Y70" s="73" t="n"/>
      <c r="Z70" s="73" t="n"/>
      <c r="AA70" s="73" t="n"/>
      <c r="AB70" s="73" t="n"/>
      <c r="AC70" s="73" t="n"/>
      <c r="AD70" s="73" t="n"/>
      <c r="AE70" s="73" t="n"/>
      <c r="AF70" s="73" t="n"/>
      <c r="AG70" s="73" t="n"/>
      <c r="AH70" s="73" t="n"/>
      <c r="AI70" s="73" t="n"/>
      <c r="AJ70" s="73" t="n"/>
      <c r="AK70" s="73" t="n"/>
      <c r="AL70" s="73" t="n"/>
      <c r="AM70" s="73" t="n"/>
      <c r="AN70" s="73" t="n"/>
      <c r="AO70" s="73" t="n"/>
      <c r="AP70" s="73" t="n"/>
      <c r="AQ70" s="73" t="n"/>
      <c r="AR70" s="73" t="n"/>
      <c r="AS70" s="73" t="n"/>
      <c r="AT70" s="73" t="n"/>
      <c r="AU70" s="73" t="n"/>
      <c r="AV70" s="73" t="n"/>
    </row>
    <row r="71" ht="16.5" customFormat="1" customHeight="1" s="37">
      <c r="A71" s="73" t="n"/>
      <c r="B71" s="73" t="n"/>
      <c r="C71" s="73" t="n"/>
      <c r="D71" s="73" t="n"/>
      <c r="E71" s="73" t="n"/>
      <c r="F71" s="73" t="n"/>
      <c r="G71" s="73" t="n"/>
      <c r="H71" s="73" t="n"/>
      <c r="I71" s="73" t="n"/>
      <c r="J71" s="73" t="n"/>
      <c r="K71" s="73" t="n"/>
      <c r="L71" s="73" t="n"/>
      <c r="M71" s="73" t="n"/>
      <c r="N71" s="73" t="n"/>
      <c r="O71" s="73" t="n"/>
      <c r="P71" s="73" t="n"/>
      <c r="Q71" s="73" t="n"/>
      <c r="R71" s="73" t="n"/>
      <c r="S71" s="73" t="n"/>
      <c r="T71" s="73" t="n"/>
      <c r="U71" s="73" t="n"/>
      <c r="V71" s="73" t="n"/>
      <c r="W71" s="73" t="n"/>
      <c r="X71" s="73" t="n"/>
      <c r="Y71" s="73" t="n"/>
      <c r="Z71" s="73" t="n"/>
      <c r="AA71" s="73" t="n"/>
      <c r="AB71" s="73" t="n"/>
      <c r="AC71" s="73" t="n"/>
      <c r="AD71" s="73" t="n"/>
      <c r="AE71" s="73" t="n"/>
      <c r="AF71" s="73" t="n"/>
      <c r="AG71" s="73" t="n"/>
      <c r="AH71" s="73" t="n"/>
      <c r="AI71" s="73" t="n"/>
      <c r="AJ71" s="73" t="n"/>
      <c r="AK71" s="73" t="n"/>
      <c r="AL71" s="73" t="n"/>
      <c r="AM71" s="73" t="n"/>
      <c r="AN71" s="73" t="n"/>
      <c r="AO71" s="73" t="n"/>
      <c r="AP71" s="73" t="n"/>
      <c r="AQ71" s="73" t="n"/>
      <c r="AR71" s="73" t="n"/>
      <c r="AS71" s="73" t="n"/>
      <c r="AT71" s="73" t="n"/>
      <c r="AU71" s="73" t="n"/>
      <c r="AV71" s="73" t="n"/>
    </row>
    <row r="72" ht="16.5" customFormat="1" customHeight="1" s="37">
      <c r="A72" s="73" t="n"/>
      <c r="B72" s="73" t="n"/>
      <c r="C72" s="73" t="n"/>
      <c r="D72" s="73" t="n"/>
      <c r="E72" s="73" t="n"/>
      <c r="F72" s="73" t="n"/>
      <c r="G72" s="73" t="n"/>
      <c r="H72" s="73" t="n"/>
      <c r="I72" s="73" t="n"/>
      <c r="J72" s="73" t="n"/>
      <c r="K72" s="73" t="n"/>
      <c r="L72" s="73" t="n"/>
      <c r="M72" s="73" t="n"/>
      <c r="N72" s="73" t="n"/>
      <c r="O72" s="73" t="n"/>
      <c r="P72" s="73" t="n"/>
      <c r="Q72" s="73" t="n"/>
      <c r="R72" s="73" t="n"/>
      <c r="S72" s="73" t="n"/>
      <c r="T72" s="73" t="n"/>
      <c r="U72" s="73" t="n"/>
      <c r="V72" s="73" t="n"/>
      <c r="W72" s="73" t="n"/>
      <c r="X72" s="73" t="n"/>
      <c r="Y72" s="73" t="n"/>
      <c r="Z72" s="73" t="n"/>
      <c r="AA72" s="73" t="n"/>
      <c r="AB72" s="73" t="n"/>
      <c r="AC72" s="73" t="n"/>
      <c r="AD72" s="73" t="n"/>
      <c r="AE72" s="73" t="n"/>
      <c r="AF72" s="73" t="n"/>
      <c r="AG72" s="73" t="n"/>
      <c r="AH72" s="73" t="n"/>
      <c r="AI72" s="73" t="n"/>
      <c r="AJ72" s="73" t="n"/>
      <c r="AK72" s="73" t="n"/>
      <c r="AL72" s="73" t="n"/>
      <c r="AM72" s="73" t="n"/>
      <c r="AN72" s="73" t="n"/>
      <c r="AO72" s="73" t="n"/>
      <c r="AP72" s="73" t="n"/>
      <c r="AQ72" s="73" t="n"/>
      <c r="AR72" s="73" t="n"/>
      <c r="AS72" s="73" t="n"/>
      <c r="AT72" s="73" t="n"/>
      <c r="AU72" s="73" t="n"/>
      <c r="AV72" s="73" t="n"/>
    </row>
    <row r="73" ht="16.5" customFormat="1" customHeight="1" s="37">
      <c r="A73" s="73" t="n"/>
      <c r="B73" s="73" t="n"/>
      <c r="C73" s="73" t="n"/>
      <c r="D73" s="73" t="n"/>
      <c r="E73" s="73" t="n"/>
      <c r="F73" s="73" t="n"/>
      <c r="G73" s="73" t="n"/>
      <c r="H73" s="73" t="n"/>
      <c r="I73" s="73" t="n"/>
      <c r="J73" s="73" t="n"/>
      <c r="K73" s="73" t="n"/>
      <c r="L73" s="73" t="n"/>
      <c r="M73" s="73" t="n"/>
      <c r="N73" s="73" t="n"/>
      <c r="O73" s="73" t="n"/>
      <c r="P73" s="73" t="n"/>
      <c r="Q73" s="73" t="n"/>
      <c r="R73" s="73" t="n"/>
      <c r="S73" s="73" t="n"/>
      <c r="T73" s="73" t="n"/>
      <c r="U73" s="73" t="n"/>
      <c r="V73" s="73" t="n"/>
      <c r="W73" s="73" t="n"/>
      <c r="X73" s="73" t="n"/>
      <c r="Y73" s="73" t="n"/>
      <c r="Z73" s="73" t="n"/>
      <c r="AA73" s="73" t="n"/>
      <c r="AB73" s="73" t="n"/>
      <c r="AC73" s="73" t="n"/>
      <c r="AD73" s="73" t="n"/>
      <c r="AE73" s="73" t="n"/>
      <c r="AF73" s="73" t="n"/>
      <c r="AG73" s="73" t="n"/>
      <c r="AH73" s="73" t="n"/>
      <c r="AI73" s="73" t="n"/>
      <c r="AJ73" s="73" t="n"/>
      <c r="AK73" s="73" t="n"/>
      <c r="AL73" s="73" t="n"/>
      <c r="AM73" s="73" t="n"/>
      <c r="AN73" s="73" t="n"/>
      <c r="AO73" s="73" t="n"/>
      <c r="AP73" s="73" t="n"/>
      <c r="AQ73" s="73" t="n"/>
      <c r="AR73" s="73" t="n"/>
      <c r="AS73" s="73" t="n"/>
      <c r="AT73" s="73" t="n"/>
      <c r="AU73" s="73" t="n"/>
      <c r="AV73" s="73" t="n"/>
    </row>
    <row r="74" ht="16.5" customFormat="1" customHeight="1" s="37">
      <c r="A74" s="73" t="n"/>
      <c r="B74" s="73" t="n"/>
      <c r="C74" s="73" t="n"/>
      <c r="D74" s="73" t="n"/>
      <c r="E74" s="73" t="n"/>
      <c r="F74" s="73" t="n"/>
      <c r="G74" s="73" t="n"/>
      <c r="H74" s="73" t="n"/>
      <c r="I74" s="73" t="n"/>
      <c r="J74" s="73" t="n"/>
      <c r="K74" s="73" t="n"/>
      <c r="L74" s="73" t="n"/>
      <c r="M74" s="73" t="n"/>
      <c r="N74" s="73" t="n"/>
      <c r="O74" s="73" t="n"/>
      <c r="P74" s="73" t="n"/>
      <c r="Q74" s="73" t="n"/>
      <c r="R74" s="73" t="n"/>
      <c r="S74" s="73" t="n"/>
      <c r="T74" s="73" t="n"/>
      <c r="U74" s="73" t="n"/>
      <c r="V74" s="73" t="n"/>
      <c r="W74" s="73" t="n"/>
      <c r="X74" s="73" t="n"/>
      <c r="Y74" s="73" t="n"/>
      <c r="Z74" s="73" t="n"/>
      <c r="AA74" s="73" t="n"/>
      <c r="AB74" s="73" t="n"/>
      <c r="AC74" s="73" t="n"/>
      <c r="AD74" s="73" t="n"/>
      <c r="AE74" s="73" t="n"/>
      <c r="AF74" s="73" t="n"/>
      <c r="AG74" s="73" t="n"/>
      <c r="AH74" s="73" t="n"/>
      <c r="AI74" s="73" t="n"/>
      <c r="AJ74" s="73" t="n"/>
      <c r="AK74" s="73" t="n"/>
      <c r="AL74" s="73" t="n"/>
      <c r="AM74" s="73" t="n"/>
      <c r="AN74" s="73" t="n"/>
      <c r="AO74" s="73" t="n"/>
      <c r="AP74" s="73" t="n"/>
      <c r="AQ74" s="73" t="n"/>
      <c r="AR74" s="73" t="n"/>
      <c r="AS74" s="73" t="n"/>
      <c r="AT74" s="73" t="n"/>
      <c r="AU74" s="73" t="n"/>
      <c r="AV74" s="73" t="n"/>
    </row>
    <row r="75" ht="16.5" customFormat="1" customHeight="1" s="37">
      <c r="A75" s="73" t="n"/>
      <c r="B75" s="73" t="n"/>
      <c r="C75" s="73" t="n"/>
      <c r="D75" s="73" t="n"/>
      <c r="E75" s="73" t="n"/>
      <c r="F75" s="73" t="n"/>
      <c r="G75" s="73" t="n"/>
      <c r="H75" s="73" t="n"/>
      <c r="I75" s="73" t="n"/>
      <c r="J75" s="73" t="n"/>
      <c r="K75" s="73" t="n"/>
      <c r="L75" s="73" t="n"/>
      <c r="M75" s="73" t="n"/>
      <c r="N75" s="73" t="n"/>
      <c r="O75" s="73" t="n"/>
      <c r="P75" s="73" t="n"/>
      <c r="Q75" s="73" t="n"/>
      <c r="R75" s="73" t="n"/>
      <c r="S75" s="73" t="n"/>
      <c r="T75" s="73" t="n"/>
      <c r="U75" s="73" t="n"/>
      <c r="V75" s="73" t="n"/>
      <c r="W75" s="73" t="n"/>
      <c r="X75" s="73" t="n"/>
      <c r="Y75" s="73" t="n"/>
      <c r="Z75" s="73" t="n"/>
      <c r="AA75" s="73" t="n"/>
      <c r="AB75" s="73" t="n"/>
      <c r="AC75" s="73" t="n"/>
      <c r="AD75" s="73" t="n"/>
      <c r="AE75" s="73" t="n"/>
      <c r="AF75" s="73" t="n"/>
      <c r="AG75" s="73" t="n"/>
      <c r="AH75" s="73" t="n"/>
      <c r="AI75" s="73" t="n"/>
      <c r="AJ75" s="73" t="n"/>
      <c r="AK75" s="73" t="n"/>
      <c r="AL75" s="73" t="n"/>
      <c r="AM75" s="73" t="n"/>
      <c r="AN75" s="73" t="n"/>
      <c r="AO75" s="73" t="n"/>
      <c r="AP75" s="73" t="n"/>
      <c r="AQ75" s="73" t="n"/>
      <c r="AR75" s="73" t="n"/>
      <c r="AS75" s="73" t="n"/>
      <c r="AT75" s="73" t="n"/>
      <c r="AU75" s="73" t="n"/>
      <c r="AV75" s="73" t="n"/>
    </row>
    <row r="76" ht="16.5" customFormat="1" customHeight="1" s="37">
      <c r="A76" s="73" t="n"/>
      <c r="B76" s="73" t="n"/>
      <c r="C76" s="73" t="n"/>
      <c r="D76" s="73" t="n"/>
      <c r="E76" s="73" t="n"/>
      <c r="F76" s="73" t="n"/>
      <c r="G76" s="73" t="n"/>
      <c r="H76" s="73" t="n"/>
      <c r="I76" s="73" t="n"/>
      <c r="J76" s="73" t="n"/>
      <c r="K76" s="73" t="n"/>
      <c r="L76" s="73" t="n"/>
      <c r="M76" s="73" t="n"/>
      <c r="N76" s="73" t="n"/>
      <c r="O76" s="73" t="n"/>
      <c r="P76" s="73" t="n"/>
      <c r="Q76" s="73" t="n"/>
      <c r="R76" s="73" t="n"/>
      <c r="S76" s="73" t="n"/>
      <c r="T76" s="73" t="n"/>
      <c r="U76" s="73" t="n"/>
      <c r="V76" s="73" t="n"/>
      <c r="W76" s="73" t="n"/>
      <c r="X76" s="73" t="n"/>
      <c r="Y76" s="73" t="n"/>
      <c r="Z76" s="73" t="n"/>
      <c r="AA76" s="73" t="n"/>
      <c r="AB76" s="73" t="n"/>
      <c r="AC76" s="73" t="n"/>
      <c r="AD76" s="73" t="n"/>
      <c r="AE76" s="73" t="n"/>
      <c r="AF76" s="73" t="n"/>
      <c r="AG76" s="73" t="n"/>
      <c r="AH76" s="73" t="n"/>
      <c r="AI76" s="73" t="n"/>
      <c r="AJ76" s="73" t="n"/>
      <c r="AK76" s="73" t="n"/>
      <c r="AL76" s="73" t="n"/>
      <c r="AM76" s="73" t="n"/>
      <c r="AN76" s="73" t="n"/>
      <c r="AO76" s="73" t="n"/>
      <c r="AP76" s="73" t="n"/>
      <c r="AQ76" s="73" t="n"/>
      <c r="AR76" s="73" t="n"/>
      <c r="AS76" s="73" t="n"/>
      <c r="AT76" s="73" t="n"/>
      <c r="AU76" s="73" t="n"/>
      <c r="AV76" s="73" t="n"/>
    </row>
    <row r="77" ht="16.5" customFormat="1" customHeight="1" s="37">
      <c r="A77" s="73" t="n"/>
      <c r="B77" s="73" t="n"/>
      <c r="C77" s="73" t="n"/>
      <c r="D77" s="73" t="n"/>
      <c r="E77" s="73" t="n"/>
      <c r="F77" s="73" t="n"/>
      <c r="G77" s="73" t="n"/>
      <c r="H77" s="73" t="n"/>
      <c r="I77" s="73" t="n"/>
      <c r="J77" s="73" t="n"/>
      <c r="K77" s="73" t="n"/>
      <c r="L77" s="73" t="n"/>
      <c r="M77" s="73" t="n"/>
      <c r="N77" s="73" t="n"/>
      <c r="O77" s="73" t="n"/>
      <c r="P77" s="73" t="n"/>
      <c r="Q77" s="73" t="n"/>
      <c r="R77" s="73" t="n"/>
      <c r="S77" s="73" t="n"/>
      <c r="T77" s="73" t="n"/>
      <c r="U77" s="73" t="n"/>
      <c r="V77" s="73" t="n"/>
      <c r="W77" s="73" t="n"/>
      <c r="X77" s="73" t="n"/>
      <c r="Y77" s="73" t="n"/>
      <c r="Z77" s="73" t="n"/>
      <c r="AA77" s="73" t="n"/>
      <c r="AB77" s="73" t="n"/>
      <c r="AC77" s="73" t="n"/>
      <c r="AD77" s="73" t="n"/>
      <c r="AE77" s="73" t="n"/>
      <c r="AF77" s="73" t="n"/>
      <c r="AG77" s="73" t="n"/>
      <c r="AH77" s="73" t="n"/>
      <c r="AI77" s="73" t="n"/>
      <c r="AJ77" s="73" t="n"/>
      <c r="AK77" s="73" t="n"/>
      <c r="AL77" s="73" t="n"/>
      <c r="AM77" s="73" t="n"/>
      <c r="AN77" s="73" t="n"/>
      <c r="AO77" s="73" t="n"/>
      <c r="AP77" s="73" t="n"/>
      <c r="AQ77" s="73" t="n"/>
      <c r="AR77" s="73" t="n"/>
      <c r="AS77" s="73" t="n"/>
      <c r="AT77" s="73" t="n"/>
      <c r="AU77" s="73" t="n"/>
      <c r="AV77" s="73" t="n"/>
    </row>
    <row r="78" ht="16.5" customFormat="1" customHeight="1" s="37">
      <c r="A78" s="73" t="n"/>
      <c r="B78" s="73" t="n"/>
      <c r="C78" s="73" t="n"/>
      <c r="D78" s="73" t="n"/>
      <c r="E78" s="73" t="n"/>
      <c r="F78" s="73" t="n"/>
      <c r="G78" s="73" t="n"/>
      <c r="H78" s="73" t="n"/>
      <c r="I78" s="73" t="n"/>
      <c r="J78" s="73" t="n"/>
      <c r="K78" s="73" t="n"/>
      <c r="L78" s="73" t="n"/>
      <c r="M78" s="73" t="n"/>
      <c r="N78" s="73" t="n"/>
      <c r="O78" s="73" t="n"/>
      <c r="P78" s="73" t="n"/>
      <c r="Q78" s="73" t="n"/>
      <c r="R78" s="73" t="n"/>
      <c r="S78" s="73" t="n"/>
      <c r="T78" s="73" t="n"/>
      <c r="U78" s="73" t="n"/>
      <c r="V78" s="73" t="n"/>
      <c r="W78" s="73" t="n"/>
      <c r="X78" s="73" t="n"/>
      <c r="Y78" s="73" t="n"/>
      <c r="Z78" s="73" t="n"/>
      <c r="AA78" s="73" t="n"/>
      <c r="AB78" s="73" t="n"/>
      <c r="AC78" s="73" t="n"/>
      <c r="AD78" s="73" t="n"/>
      <c r="AE78" s="73" t="n"/>
      <c r="AF78" s="73" t="n"/>
      <c r="AG78" s="73" t="n"/>
      <c r="AH78" s="73" t="n"/>
      <c r="AI78" s="73" t="n"/>
      <c r="AJ78" s="73" t="n"/>
      <c r="AK78" s="73" t="n"/>
      <c r="AL78" s="73" t="n"/>
      <c r="AM78" s="73" t="n"/>
      <c r="AN78" s="73" t="n"/>
      <c r="AO78" s="73" t="n"/>
      <c r="AP78" s="73" t="n"/>
      <c r="AQ78" s="73" t="n"/>
      <c r="AR78" s="73" t="n"/>
      <c r="AS78" s="73" t="n"/>
      <c r="AT78" s="73" t="n"/>
      <c r="AU78" s="73" t="n"/>
      <c r="AV78" s="73" t="n"/>
    </row>
    <row r="79" ht="16.5" customFormat="1" customHeight="1" s="37">
      <c r="A79" s="73" t="n"/>
      <c r="B79" s="73" t="n"/>
      <c r="C79" s="73" t="n"/>
      <c r="D79" s="73" t="n"/>
      <c r="E79" s="73" t="n"/>
      <c r="F79" s="73" t="n"/>
      <c r="G79" s="73" t="n"/>
      <c r="H79" s="73" t="n"/>
      <c r="I79" s="73" t="n"/>
      <c r="J79" s="73" t="n"/>
      <c r="K79" s="73" t="n"/>
      <c r="L79" s="73" t="n"/>
      <c r="M79" s="73" t="n"/>
      <c r="N79" s="73" t="n"/>
      <c r="O79" s="73" t="n"/>
      <c r="P79" s="73" t="n"/>
      <c r="Q79" s="73" t="n"/>
      <c r="R79" s="73" t="n"/>
      <c r="S79" s="73" t="n"/>
      <c r="T79" s="73" t="n"/>
      <c r="U79" s="73" t="n"/>
      <c r="V79" s="73" t="n"/>
      <c r="W79" s="73" t="n"/>
      <c r="X79" s="73" t="n"/>
      <c r="Y79" s="73" t="n"/>
      <c r="Z79" s="73" t="n"/>
      <c r="AA79" s="73" t="n"/>
      <c r="AB79" s="73" t="n"/>
      <c r="AC79" s="73" t="n"/>
      <c r="AD79" s="73" t="n"/>
      <c r="AE79" s="73" t="n"/>
      <c r="AF79" s="73" t="n"/>
      <c r="AG79" s="73" t="n"/>
      <c r="AH79" s="73" t="n"/>
      <c r="AI79" s="73" t="n"/>
      <c r="AJ79" s="73" t="n"/>
      <c r="AK79" s="73" t="n"/>
      <c r="AL79" s="73" t="n"/>
      <c r="AM79" s="73" t="n"/>
      <c r="AN79" s="73" t="n"/>
      <c r="AO79" s="73" t="n"/>
      <c r="AP79" s="73" t="n"/>
      <c r="AQ79" s="73" t="n"/>
      <c r="AR79" s="73" t="n"/>
      <c r="AS79" s="73" t="n"/>
      <c r="AT79" s="73" t="n"/>
      <c r="AU79" s="73" t="n"/>
      <c r="AV79" s="73" t="n"/>
    </row>
    <row r="80" ht="16.5" customFormat="1" customHeight="1" s="37">
      <c r="A80" s="73" t="n"/>
      <c r="B80" s="73" t="n"/>
      <c r="C80" s="73" t="n"/>
      <c r="D80" s="73" t="n"/>
      <c r="E80" s="73" t="n"/>
      <c r="F80" s="73" t="n"/>
      <c r="G80" s="73" t="n"/>
      <c r="H80" s="73" t="n"/>
      <c r="I80" s="73" t="n"/>
      <c r="J80" s="73" t="n"/>
      <c r="K80" s="73" t="n"/>
      <c r="L80" s="73" t="n"/>
      <c r="M80" s="73" t="n"/>
      <c r="N80" s="73" t="n"/>
      <c r="O80" s="73" t="n"/>
      <c r="P80" s="73" t="n"/>
      <c r="Q80" s="73" t="n"/>
      <c r="R80" s="73" t="n"/>
      <c r="S80" s="73" t="n"/>
      <c r="T80" s="73" t="n"/>
      <c r="U80" s="73" t="n"/>
      <c r="V80" s="73" t="n"/>
      <c r="W80" s="73" t="n"/>
      <c r="X80" s="73" t="n"/>
      <c r="Y80" s="73" t="n"/>
      <c r="Z80" s="73" t="n"/>
      <c r="AA80" s="73" t="n"/>
      <c r="AB80" s="73" t="n"/>
      <c r="AC80" s="73" t="n"/>
      <c r="AD80" s="73" t="n"/>
      <c r="AE80" s="73" t="n"/>
      <c r="AF80" s="73" t="n"/>
      <c r="AG80" s="73" t="n"/>
      <c r="AH80" s="73" t="n"/>
      <c r="AI80" s="73" t="n"/>
      <c r="AJ80" s="73" t="n"/>
      <c r="AK80" s="73" t="n"/>
      <c r="AL80" s="73" t="n"/>
      <c r="AM80" s="73" t="n"/>
      <c r="AN80" s="73" t="n"/>
      <c r="AO80" s="73" t="n"/>
      <c r="AP80" s="73" t="n"/>
      <c r="AQ80" s="73" t="n"/>
      <c r="AR80" s="73" t="n"/>
      <c r="AS80" s="73" t="n"/>
      <c r="AT80" s="73" t="n"/>
      <c r="AU80" s="73" t="n"/>
      <c r="AV80" s="73" t="n"/>
    </row>
    <row r="81" ht="16.5" customFormat="1" customHeight="1" s="37">
      <c r="A81" s="73" t="n"/>
      <c r="B81" s="73" t="n"/>
      <c r="C81" s="73" t="n"/>
      <c r="D81" s="73" t="n"/>
      <c r="E81" s="73" t="n"/>
      <c r="F81" s="73" t="n"/>
      <c r="G81" s="73" t="n"/>
      <c r="H81" s="73" t="n"/>
      <c r="I81" s="73" t="n"/>
      <c r="J81" s="73" t="n"/>
      <c r="K81" s="73" t="n"/>
      <c r="L81" s="73" t="n"/>
      <c r="M81" s="73" t="n"/>
      <c r="N81" s="73" t="n"/>
      <c r="O81" s="73" t="n"/>
      <c r="P81" s="73" t="n"/>
      <c r="Q81" s="73" t="n"/>
      <c r="R81" s="73" t="n"/>
      <c r="S81" s="73" t="n"/>
      <c r="T81" s="73" t="n"/>
      <c r="U81" s="73" t="n"/>
      <c r="V81" s="73" t="n"/>
      <c r="W81" s="73" t="n"/>
      <c r="X81" s="73" t="n"/>
      <c r="Y81" s="73" t="n"/>
      <c r="Z81" s="73" t="n"/>
      <c r="AA81" s="73" t="n"/>
      <c r="AB81" s="73" t="n"/>
      <c r="AC81" s="73" t="n"/>
      <c r="AD81" s="73" t="n"/>
      <c r="AE81" s="73" t="n"/>
      <c r="AF81" s="73" t="n"/>
      <c r="AG81" s="73" t="n"/>
      <c r="AH81" s="73" t="n"/>
      <c r="AI81" s="73" t="n"/>
      <c r="AJ81" s="73" t="n"/>
      <c r="AK81" s="73" t="n"/>
      <c r="AL81" s="73" t="n"/>
      <c r="AM81" s="73" t="n"/>
      <c r="AN81" s="73" t="n"/>
      <c r="AO81" s="73" t="n"/>
      <c r="AP81" s="73" t="n"/>
      <c r="AQ81" s="73" t="n"/>
      <c r="AR81" s="73" t="n"/>
      <c r="AS81" s="73" t="n"/>
      <c r="AT81" s="73" t="n"/>
      <c r="AU81" s="73" t="n"/>
      <c r="AV81" s="73" t="n"/>
    </row>
    <row r="82" ht="16.5" customFormat="1" customHeight="1" s="37">
      <c r="A82" s="73" t="n"/>
      <c r="B82" s="73" t="n"/>
      <c r="C82" s="73" t="n"/>
      <c r="D82" s="73" t="n"/>
      <c r="E82" s="73" t="n"/>
      <c r="F82" s="73" t="n"/>
      <c r="G82" s="73" t="n"/>
      <c r="H82" s="73" t="n"/>
      <c r="I82" s="73" t="n"/>
      <c r="J82" s="73" t="n"/>
      <c r="K82" s="73" t="n"/>
      <c r="L82" s="73" t="n"/>
      <c r="M82" s="73" t="n"/>
      <c r="N82" s="73" t="n"/>
      <c r="O82" s="73" t="n"/>
      <c r="P82" s="73" t="n"/>
      <c r="Q82" s="73" t="n"/>
      <c r="R82" s="73" t="n"/>
      <c r="S82" s="73" t="n"/>
      <c r="T82" s="73" t="n"/>
      <c r="U82" s="73" t="n"/>
      <c r="V82" s="73" t="n"/>
      <c r="W82" s="73" t="n"/>
      <c r="X82" s="73" t="n"/>
      <c r="Y82" s="73" t="n"/>
      <c r="Z82" s="73" t="n"/>
      <c r="AA82" s="73" t="n"/>
      <c r="AB82" s="73" t="n"/>
      <c r="AC82" s="73" t="n"/>
      <c r="AD82" s="73" t="n"/>
      <c r="AE82" s="73" t="n"/>
      <c r="AF82" s="73" t="n"/>
      <c r="AG82" s="73" t="n"/>
      <c r="AH82" s="73" t="n"/>
      <c r="AI82" s="73" t="n"/>
      <c r="AJ82" s="73" t="n"/>
      <c r="AK82" s="73" t="n"/>
      <c r="AL82" s="73" t="n"/>
      <c r="AM82" s="73" t="n"/>
      <c r="AN82" s="73" t="n"/>
      <c r="AO82" s="73" t="n"/>
      <c r="AP82" s="73" t="n"/>
      <c r="AQ82" s="73" t="n"/>
      <c r="AR82" s="73" t="n"/>
      <c r="AS82" s="73" t="n"/>
      <c r="AT82" s="73" t="n"/>
      <c r="AU82" s="73" t="n"/>
      <c r="AV82" s="73" t="n"/>
    </row>
    <row r="83" ht="16.5" customFormat="1" customHeight="1" s="37">
      <c r="A83" s="73" t="n"/>
      <c r="B83" s="73" t="n"/>
      <c r="C83" s="73" t="n"/>
      <c r="D83" s="73" t="n"/>
      <c r="E83" s="73" t="n"/>
      <c r="F83" s="73" t="n"/>
      <c r="G83" s="73" t="n"/>
      <c r="H83" s="73" t="n"/>
      <c r="I83" s="73" t="n"/>
      <c r="J83" s="73" t="n"/>
      <c r="K83" s="73" t="n"/>
      <c r="L83" s="73" t="n"/>
      <c r="M83" s="73" t="n"/>
      <c r="N83" s="73" t="n"/>
      <c r="O83" s="73" t="n"/>
      <c r="P83" s="73" t="n"/>
      <c r="Q83" s="73" t="n"/>
      <c r="R83" s="73" t="n"/>
      <c r="S83" s="73" t="n"/>
      <c r="T83" s="73" t="n"/>
      <c r="U83" s="73" t="n"/>
      <c r="V83" s="73" t="n"/>
      <c r="W83" s="73" t="n"/>
      <c r="X83" s="73" t="n"/>
      <c r="Y83" s="73" t="n"/>
      <c r="Z83" s="73" t="n"/>
      <c r="AA83" s="73" t="n"/>
      <c r="AB83" s="73" t="n"/>
      <c r="AC83" s="73" t="n"/>
      <c r="AD83" s="73" t="n"/>
      <c r="AE83" s="73" t="n"/>
      <c r="AF83" s="73" t="n"/>
      <c r="AG83" s="73" t="n"/>
      <c r="AH83" s="73" t="n"/>
      <c r="AI83" s="73" t="n"/>
      <c r="AJ83" s="73" t="n"/>
      <c r="AK83" s="73" t="n"/>
      <c r="AL83" s="73" t="n"/>
      <c r="AM83" s="73" t="n"/>
      <c r="AN83" s="73" t="n"/>
      <c r="AO83" s="73" t="n"/>
      <c r="AP83" s="73" t="n"/>
      <c r="AQ83" s="73" t="n"/>
      <c r="AR83" s="73" t="n"/>
      <c r="AS83" s="73" t="n"/>
      <c r="AT83" s="73" t="n"/>
      <c r="AU83" s="73" t="n"/>
      <c r="AV83" s="73" t="n"/>
    </row>
    <row r="84" ht="16.5" customFormat="1" customHeight="1" s="37">
      <c r="A84" s="73" t="n"/>
      <c r="B84" s="73" t="n"/>
      <c r="C84" s="73" t="n"/>
      <c r="D84" s="73" t="n"/>
      <c r="E84" s="73" t="n"/>
      <c r="F84" s="73" t="n"/>
      <c r="G84" s="73" t="n"/>
      <c r="H84" s="73" t="n"/>
      <c r="I84" s="73" t="n"/>
      <c r="J84" s="73" t="n"/>
      <c r="K84" s="73" t="n"/>
      <c r="L84" s="73" t="n"/>
      <c r="M84" s="73" t="n"/>
      <c r="N84" s="73" t="n"/>
      <c r="O84" s="73" t="n"/>
      <c r="P84" s="73" t="n"/>
      <c r="Q84" s="73" t="n"/>
      <c r="R84" s="73" t="n"/>
      <c r="S84" s="73" t="n"/>
      <c r="T84" s="73" t="n"/>
      <c r="U84" s="73" t="n"/>
      <c r="V84" s="73" t="n"/>
      <c r="W84" s="73" t="n"/>
      <c r="X84" s="73" t="n"/>
      <c r="Y84" s="73" t="n"/>
      <c r="Z84" s="73" t="n"/>
      <c r="AA84" s="73" t="n"/>
      <c r="AB84" s="73" t="n"/>
      <c r="AC84" s="73" t="n"/>
      <c r="AD84" s="73" t="n"/>
      <c r="AE84" s="73" t="n"/>
      <c r="AF84" s="73" t="n"/>
      <c r="AG84" s="73" t="n"/>
      <c r="AH84" s="73" t="n"/>
      <c r="AI84" s="73" t="n"/>
      <c r="AJ84" s="73" t="n"/>
      <c r="AK84" s="73" t="n"/>
      <c r="AL84" s="73" t="n"/>
      <c r="AM84" s="73" t="n"/>
      <c r="AN84" s="73" t="n"/>
      <c r="AO84" s="73" t="n"/>
      <c r="AP84" s="73" t="n"/>
      <c r="AQ84" s="73" t="n"/>
      <c r="AR84" s="73" t="n"/>
      <c r="AS84" s="73" t="n"/>
      <c r="AT84" s="73" t="n"/>
      <c r="AU84" s="73" t="n"/>
      <c r="AV84" s="73" t="n"/>
    </row>
    <row r="85" ht="16.5" customFormat="1" customHeight="1" s="37">
      <c r="A85" s="73" t="n"/>
      <c r="B85" s="73" t="n"/>
      <c r="C85" s="73" t="n"/>
      <c r="D85" s="73" t="n"/>
      <c r="E85" s="73" t="n"/>
      <c r="F85" s="73" t="n"/>
      <c r="G85" s="73" t="n"/>
      <c r="H85" s="73" t="n"/>
      <c r="I85" s="73" t="n"/>
      <c r="J85" s="73" t="n"/>
      <c r="K85" s="73" t="n"/>
      <c r="L85" s="73" t="n"/>
      <c r="M85" s="73" t="n"/>
      <c r="N85" s="73" t="n"/>
      <c r="O85" s="73" t="n"/>
      <c r="P85" s="73" t="n"/>
      <c r="Q85" s="73" t="n"/>
      <c r="R85" s="73" t="n"/>
      <c r="S85" s="73" t="n"/>
      <c r="T85" s="73" t="n"/>
      <c r="U85" s="73" t="n"/>
      <c r="V85" s="73" t="n"/>
      <c r="W85" s="73" t="n"/>
      <c r="X85" s="73" t="n"/>
      <c r="Y85" s="73" t="n"/>
      <c r="Z85" s="73" t="n"/>
      <c r="AA85" s="73" t="n"/>
      <c r="AB85" s="73" t="n"/>
      <c r="AC85" s="73" t="n"/>
      <c r="AD85" s="73" t="n"/>
      <c r="AE85" s="73" t="n"/>
      <c r="AF85" s="73" t="n"/>
      <c r="AG85" s="73" t="n"/>
      <c r="AH85" s="73" t="n"/>
      <c r="AI85" s="73" t="n"/>
      <c r="AJ85" s="73" t="n"/>
      <c r="AK85" s="73" t="n"/>
      <c r="AL85" s="73" t="n"/>
      <c r="AM85" s="73" t="n"/>
      <c r="AN85" s="73" t="n"/>
      <c r="AO85" s="73" t="n"/>
      <c r="AP85" s="73" t="n"/>
      <c r="AQ85" s="73" t="n"/>
      <c r="AR85" s="73" t="n"/>
      <c r="AS85" s="73" t="n"/>
      <c r="AT85" s="73" t="n"/>
      <c r="AU85" s="73" t="n"/>
      <c r="AV85" s="73" t="n"/>
    </row>
    <row r="86" ht="16.5" customFormat="1" customHeight="1" s="37">
      <c r="A86" s="73" t="n"/>
      <c r="B86" s="73" t="n"/>
      <c r="C86" s="73" t="n"/>
      <c r="D86" s="73" t="n"/>
      <c r="E86" s="73" t="n"/>
      <c r="F86" s="73" t="n"/>
      <c r="G86" s="73" t="n"/>
      <c r="H86" s="73" t="n"/>
      <c r="I86" s="73" t="n"/>
      <c r="J86" s="73" t="n"/>
      <c r="K86" s="73" t="n"/>
      <c r="L86" s="73" t="n"/>
      <c r="M86" s="73" t="n"/>
      <c r="N86" s="73" t="n"/>
      <c r="O86" s="73" t="n"/>
      <c r="P86" s="73" t="n"/>
      <c r="Q86" s="73" t="n"/>
      <c r="R86" s="73" t="n"/>
      <c r="S86" s="73" t="n"/>
      <c r="T86" s="73" t="n"/>
      <c r="U86" s="73" t="n"/>
      <c r="V86" s="73" t="n"/>
      <c r="W86" s="73" t="n"/>
      <c r="X86" s="73" t="n"/>
      <c r="Y86" s="73" t="n"/>
      <c r="Z86" s="73" t="n"/>
      <c r="AA86" s="73" t="n"/>
      <c r="AB86" s="73" t="n"/>
      <c r="AC86" s="73" t="n"/>
      <c r="AD86" s="73" t="n"/>
      <c r="AE86" s="73" t="n"/>
      <c r="AF86" s="73" t="n"/>
      <c r="AG86" s="73" t="n"/>
      <c r="AH86" s="73" t="n"/>
      <c r="AI86" s="73" t="n"/>
      <c r="AJ86" s="73" t="n"/>
      <c r="AK86" s="73" t="n"/>
      <c r="AL86" s="73" t="n"/>
      <c r="AM86" s="73" t="n"/>
      <c r="AN86" s="73" t="n"/>
      <c r="AO86" s="73" t="n"/>
      <c r="AP86" s="73" t="n"/>
      <c r="AQ86" s="73" t="n"/>
      <c r="AR86" s="73" t="n"/>
      <c r="AS86" s="73" t="n"/>
      <c r="AT86" s="73" t="n"/>
      <c r="AU86" s="73" t="n"/>
      <c r="AV86" s="73" t="n"/>
    </row>
    <row r="87" ht="16.5" customFormat="1" customHeight="1" s="37">
      <c r="A87" s="73" t="n"/>
      <c r="B87" s="73" t="n"/>
      <c r="C87" s="73" t="n"/>
      <c r="D87" s="73" t="n"/>
      <c r="E87" s="73" t="n"/>
      <c r="F87" s="73" t="n"/>
      <c r="G87" s="73" t="n"/>
      <c r="H87" s="73" t="n"/>
      <c r="I87" s="73" t="n"/>
      <c r="J87" s="73" t="n"/>
      <c r="K87" s="73" t="n"/>
      <c r="L87" s="73" t="n"/>
      <c r="M87" s="73" t="n"/>
      <c r="N87" s="73" t="n"/>
      <c r="O87" s="73" t="n"/>
      <c r="P87" s="73" t="n"/>
      <c r="Q87" s="73" t="n"/>
      <c r="R87" s="73" t="n"/>
      <c r="S87" s="73" t="n"/>
      <c r="T87" s="73" t="n"/>
      <c r="U87" s="73" t="n"/>
      <c r="V87" s="73" t="n"/>
      <c r="W87" s="73" t="n"/>
      <c r="X87" s="73" t="n"/>
      <c r="Y87" s="73" t="n"/>
      <c r="Z87" s="73" t="n"/>
      <c r="AA87" s="73" t="n"/>
      <c r="AB87" s="73" t="n"/>
      <c r="AC87" s="73" t="n"/>
      <c r="AD87" s="73" t="n"/>
      <c r="AE87" s="73" t="n"/>
      <c r="AF87" s="73" t="n"/>
      <c r="AG87" s="73" t="n"/>
      <c r="AH87" s="73" t="n"/>
      <c r="AI87" s="73" t="n"/>
      <c r="AJ87" s="73" t="n"/>
      <c r="AK87" s="73" t="n"/>
      <c r="AL87" s="73" t="n"/>
      <c r="AM87" s="73" t="n"/>
      <c r="AN87" s="73" t="n"/>
      <c r="AO87" s="73" t="n"/>
      <c r="AP87" s="73" t="n"/>
      <c r="AQ87" s="73" t="n"/>
      <c r="AR87" s="73" t="n"/>
      <c r="AS87" s="73" t="n"/>
      <c r="AT87" s="73" t="n"/>
      <c r="AU87" s="73" t="n"/>
      <c r="AV87" s="73" t="n"/>
    </row>
    <row r="88" ht="16.5" customFormat="1" customHeight="1" s="37">
      <c r="A88" s="73" t="n"/>
      <c r="B88" s="73" t="n"/>
      <c r="C88" s="73" t="n"/>
      <c r="D88" s="73" t="n"/>
      <c r="E88" s="73" t="n"/>
      <c r="F88" s="73" t="n"/>
      <c r="G88" s="73" t="n"/>
      <c r="H88" s="73" t="n"/>
      <c r="I88" s="73" t="n"/>
      <c r="J88" s="73" t="n"/>
      <c r="K88" s="73" t="n"/>
      <c r="L88" s="73" t="n"/>
      <c r="M88" s="73" t="n"/>
      <c r="N88" s="73" t="n"/>
      <c r="O88" s="73" t="n"/>
      <c r="P88" s="73" t="n"/>
      <c r="Q88" s="73" t="n"/>
      <c r="R88" s="73" t="n"/>
      <c r="S88" s="73" t="n"/>
      <c r="T88" s="73" t="n"/>
      <c r="U88" s="73" t="n"/>
      <c r="V88" s="73" t="n"/>
      <c r="W88" s="73" t="n"/>
      <c r="X88" s="73" t="n"/>
      <c r="Y88" s="73" t="n"/>
      <c r="Z88" s="73" t="n"/>
      <c r="AA88" s="73" t="n"/>
      <c r="AB88" s="73" t="n"/>
      <c r="AC88" s="73" t="n"/>
      <c r="AD88" s="73" t="n"/>
      <c r="AE88" s="73" t="n"/>
      <c r="AF88" s="73" t="n"/>
      <c r="AG88" s="73" t="n"/>
      <c r="AH88" s="73" t="n"/>
      <c r="AI88" s="73" t="n"/>
      <c r="AJ88" s="73" t="n"/>
      <c r="AK88" s="73" t="n"/>
      <c r="AL88" s="73" t="n"/>
      <c r="AM88" s="73" t="n"/>
      <c r="AN88" s="73" t="n"/>
      <c r="AO88" s="73" t="n"/>
      <c r="AP88" s="73" t="n"/>
      <c r="AQ88" s="73" t="n"/>
      <c r="AR88" s="73" t="n"/>
      <c r="AS88" s="73" t="n"/>
      <c r="AT88" s="73" t="n"/>
      <c r="AU88" s="73" t="n"/>
      <c r="AV88" s="73" t="n"/>
    </row>
    <row r="89" ht="16.5" customFormat="1" customHeight="1" s="37">
      <c r="A89" s="73" t="n"/>
      <c r="B89" s="73" t="n"/>
      <c r="C89" s="73" t="n"/>
      <c r="D89" s="73" t="n"/>
      <c r="E89" s="73" t="n"/>
      <c r="F89" s="73" t="n"/>
      <c r="G89" s="73" t="n"/>
      <c r="H89" s="73" t="n"/>
      <c r="I89" s="73" t="n"/>
      <c r="J89" s="73" t="n"/>
      <c r="K89" s="73" t="n"/>
      <c r="L89" s="73" t="n"/>
      <c r="M89" s="73" t="n"/>
      <c r="N89" s="73" t="n"/>
      <c r="O89" s="73" t="n"/>
      <c r="P89" s="73" t="n"/>
      <c r="Q89" s="73" t="n"/>
      <c r="R89" s="73" t="n"/>
      <c r="S89" s="73" t="n"/>
      <c r="T89" s="73" t="n"/>
      <c r="U89" s="73" t="n"/>
      <c r="V89" s="73" t="n"/>
      <c r="W89" s="73" t="n"/>
      <c r="X89" s="73" t="n"/>
      <c r="Y89" s="73" t="n"/>
      <c r="Z89" s="73" t="n"/>
      <c r="AA89" s="73" t="n"/>
      <c r="AB89" s="73" t="n"/>
      <c r="AC89" s="73" t="n"/>
      <c r="AD89" s="73" t="n"/>
      <c r="AE89" s="73" t="n"/>
      <c r="AF89" s="73" t="n"/>
      <c r="AG89" s="73" t="n"/>
      <c r="AH89" s="73" t="n"/>
      <c r="AI89" s="73" t="n"/>
      <c r="AJ89" s="73" t="n"/>
      <c r="AK89" s="73" t="n"/>
      <c r="AL89" s="73" t="n"/>
      <c r="AM89" s="73" t="n"/>
      <c r="AN89" s="73" t="n"/>
      <c r="AO89" s="73" t="n"/>
      <c r="AP89" s="73" t="n"/>
      <c r="AQ89" s="73" t="n"/>
      <c r="AR89" s="73" t="n"/>
      <c r="AS89" s="73" t="n"/>
      <c r="AT89" s="73" t="n"/>
      <c r="AU89" s="73" t="n"/>
      <c r="AV89" s="73" t="n"/>
    </row>
    <row r="90" ht="16.5" customFormat="1" customHeight="1" s="37">
      <c r="A90" s="73" t="n"/>
      <c r="B90" s="73" t="n"/>
      <c r="C90" s="73" t="n"/>
      <c r="D90" s="73" t="n"/>
      <c r="E90" s="73" t="n"/>
      <c r="F90" s="73" t="n"/>
      <c r="G90" s="73" t="n"/>
      <c r="H90" s="73" t="n"/>
      <c r="I90" s="73" t="n"/>
      <c r="J90" s="73" t="n"/>
      <c r="K90" s="73" t="n"/>
      <c r="L90" s="73" t="n"/>
      <c r="M90" s="73" t="n"/>
      <c r="N90" s="73" t="n"/>
      <c r="O90" s="73" t="n"/>
      <c r="P90" s="73" t="n"/>
      <c r="Q90" s="73" t="n"/>
      <c r="R90" s="73" t="n"/>
      <c r="S90" s="73" t="n"/>
      <c r="T90" s="73" t="n"/>
      <c r="U90" s="73" t="n"/>
      <c r="V90" s="73" t="n"/>
      <c r="W90" s="73" t="n"/>
      <c r="X90" s="73" t="n"/>
      <c r="Y90" s="73" t="n"/>
      <c r="Z90" s="73" t="n"/>
      <c r="AA90" s="73" t="n"/>
      <c r="AB90" s="73" t="n"/>
      <c r="AC90" s="73" t="n"/>
      <c r="AD90" s="73" t="n"/>
      <c r="AE90" s="73" t="n"/>
      <c r="AF90" s="73" t="n"/>
      <c r="AG90" s="73" t="n"/>
      <c r="AH90" s="73" t="n"/>
      <c r="AI90" s="73" t="n"/>
      <c r="AJ90" s="73" t="n"/>
      <c r="AK90" s="73" t="n"/>
      <c r="AL90" s="73" t="n"/>
      <c r="AM90" s="73" t="n"/>
      <c r="AN90" s="73" t="n"/>
      <c r="AO90" s="73" t="n"/>
      <c r="AP90" s="73" t="n"/>
      <c r="AQ90" s="73" t="n"/>
      <c r="AR90" s="73" t="n"/>
      <c r="AS90" s="73" t="n"/>
      <c r="AT90" s="73" t="n"/>
      <c r="AU90" s="73" t="n"/>
      <c r="AV90" s="73" t="n"/>
    </row>
    <row r="91" ht="16.5" customFormat="1" customHeight="1" s="37">
      <c r="A91" s="73" t="n"/>
      <c r="B91" s="73" t="n"/>
      <c r="C91" s="73" t="n"/>
      <c r="D91" s="73" t="n"/>
      <c r="E91" s="73" t="n"/>
      <c r="F91" s="73" t="n"/>
      <c r="G91" s="73" t="n"/>
      <c r="H91" s="73" t="n"/>
      <c r="I91" s="73" t="n"/>
      <c r="J91" s="73" t="n"/>
      <c r="K91" s="73" t="n"/>
      <c r="L91" s="73" t="n"/>
      <c r="M91" s="73" t="n"/>
      <c r="N91" s="73" t="n"/>
      <c r="O91" s="73" t="n"/>
      <c r="P91" s="73" t="n"/>
      <c r="Q91" s="73" t="n"/>
      <c r="R91" s="73" t="n"/>
      <c r="S91" s="73" t="n"/>
      <c r="T91" s="73" t="n"/>
      <c r="U91" s="73" t="n"/>
      <c r="V91" s="73" t="n"/>
      <c r="W91" s="73" t="n"/>
      <c r="X91" s="73" t="n"/>
      <c r="Y91" s="73" t="n"/>
      <c r="Z91" s="73" t="n"/>
      <c r="AA91" s="73" t="n"/>
      <c r="AB91" s="73" t="n"/>
      <c r="AC91" s="73" t="n"/>
      <c r="AD91" s="73" t="n"/>
      <c r="AE91" s="73" t="n"/>
      <c r="AF91" s="73" t="n"/>
      <c r="AG91" s="73" t="n"/>
      <c r="AH91" s="73" t="n"/>
      <c r="AI91" s="73" t="n"/>
      <c r="AJ91" s="73" t="n"/>
      <c r="AK91" s="73" t="n"/>
      <c r="AL91" s="73" t="n"/>
      <c r="AM91" s="73" t="n"/>
      <c r="AN91" s="73" t="n"/>
      <c r="AO91" s="73" t="n"/>
      <c r="AP91" s="73" t="n"/>
      <c r="AQ91" s="73" t="n"/>
      <c r="AR91" s="73" t="n"/>
      <c r="AS91" s="73" t="n"/>
      <c r="AT91" s="73" t="n"/>
      <c r="AU91" s="73" t="n"/>
      <c r="AV91" s="73" t="n"/>
    </row>
    <row r="92" ht="16.5" customFormat="1" customHeight="1" s="37">
      <c r="A92" s="73" t="n"/>
      <c r="B92" s="73" t="n"/>
      <c r="C92" s="73" t="n"/>
      <c r="D92" s="73" t="n"/>
      <c r="E92" s="73" t="n"/>
      <c r="F92" s="73" t="n"/>
      <c r="G92" s="73" t="n"/>
      <c r="H92" s="73" t="n"/>
      <c r="I92" s="73" t="n"/>
      <c r="J92" s="73" t="n"/>
      <c r="K92" s="73" t="n"/>
      <c r="L92" s="73" t="n"/>
      <c r="M92" s="73" t="n"/>
      <c r="N92" s="73" t="n"/>
      <c r="O92" s="73" t="n"/>
      <c r="P92" s="73" t="n"/>
      <c r="Q92" s="73" t="n"/>
      <c r="R92" s="73" t="n"/>
      <c r="S92" s="73" t="n"/>
      <c r="T92" s="73" t="n"/>
      <c r="U92" s="73" t="n"/>
      <c r="V92" s="73" t="n"/>
      <c r="W92" s="73" t="n"/>
      <c r="X92" s="73" t="n"/>
      <c r="Y92" s="73" t="n"/>
      <c r="Z92" s="73" t="n"/>
      <c r="AA92" s="73" t="n"/>
      <c r="AB92" s="73" t="n"/>
      <c r="AC92" s="73" t="n"/>
      <c r="AD92" s="73" t="n"/>
      <c r="AE92" s="73" t="n"/>
      <c r="AF92" s="73" t="n"/>
      <c r="AG92" s="73" t="n"/>
      <c r="AH92" s="73" t="n"/>
      <c r="AI92" s="73" t="n"/>
      <c r="AJ92" s="73" t="n"/>
      <c r="AK92" s="73" t="n"/>
      <c r="AL92" s="73" t="n"/>
      <c r="AM92" s="73" t="n"/>
      <c r="AN92" s="73" t="n"/>
      <c r="AO92" s="73" t="n"/>
      <c r="AP92" s="73" t="n"/>
      <c r="AQ92" s="73" t="n"/>
      <c r="AR92" s="73" t="n"/>
      <c r="AS92" s="73" t="n"/>
      <c r="AT92" s="73" t="n"/>
      <c r="AU92" s="73" t="n"/>
      <c r="AV92" s="73" t="n"/>
    </row>
    <row r="93" ht="16.5" customFormat="1" customHeight="1" s="37">
      <c r="A93" s="73" t="n"/>
      <c r="B93" s="73" t="n"/>
      <c r="C93" s="73" t="n"/>
      <c r="D93" s="73" t="n"/>
      <c r="E93" s="73" t="n"/>
      <c r="F93" s="73" t="n"/>
      <c r="G93" s="73" t="n"/>
      <c r="H93" s="73" t="n"/>
      <c r="I93" s="73" t="n"/>
      <c r="J93" s="73" t="n"/>
      <c r="K93" s="73" t="n"/>
      <c r="L93" s="73" t="n"/>
      <c r="M93" s="73" t="n"/>
      <c r="N93" s="73" t="n"/>
      <c r="O93" s="73" t="n"/>
      <c r="P93" s="73" t="n"/>
      <c r="Q93" s="73" t="n"/>
      <c r="R93" s="73" t="n"/>
      <c r="S93" s="73" t="n"/>
      <c r="T93" s="73" t="n"/>
      <c r="U93" s="73" t="n"/>
      <c r="V93" s="73" t="n"/>
      <c r="W93" s="73" t="n"/>
      <c r="X93" s="73" t="n"/>
      <c r="Y93" s="73" t="n"/>
      <c r="Z93" s="73" t="n"/>
      <c r="AA93" s="73" t="n"/>
      <c r="AB93" s="73" t="n"/>
      <c r="AC93" s="73" t="n"/>
      <c r="AD93" s="73" t="n"/>
      <c r="AE93" s="73" t="n"/>
      <c r="AF93" s="73" t="n"/>
      <c r="AG93" s="73" t="n"/>
      <c r="AH93" s="73" t="n"/>
      <c r="AI93" s="73" t="n"/>
      <c r="AJ93" s="73" t="n"/>
      <c r="AK93" s="73" t="n"/>
      <c r="AL93" s="73" t="n"/>
      <c r="AM93" s="73" t="n"/>
      <c r="AN93" s="73" t="n"/>
      <c r="AO93" s="73" t="n"/>
      <c r="AP93" s="73" t="n"/>
      <c r="AQ93" s="73" t="n"/>
      <c r="AR93" s="73" t="n"/>
      <c r="AS93" s="73" t="n"/>
      <c r="AT93" s="73" t="n"/>
      <c r="AU93" s="73" t="n"/>
      <c r="AV93" s="73" t="n"/>
    </row>
    <row r="94" ht="16.5" customFormat="1" customHeight="1" s="37">
      <c r="A94" s="73" t="n"/>
      <c r="B94" s="73" t="n"/>
      <c r="C94" s="73" t="n"/>
      <c r="D94" s="73" t="n"/>
      <c r="E94" s="73" t="n"/>
      <c r="F94" s="73" t="n"/>
      <c r="G94" s="73" t="n"/>
      <c r="H94" s="73" t="n"/>
      <c r="I94" s="73" t="n"/>
      <c r="J94" s="73" t="n"/>
      <c r="K94" s="73" t="n"/>
      <c r="L94" s="73" t="n"/>
      <c r="M94" s="73" t="n"/>
      <c r="N94" s="73" t="n"/>
      <c r="O94" s="73" t="n"/>
      <c r="P94" s="73" t="n"/>
      <c r="Q94" s="73" t="n"/>
      <c r="R94" s="73" t="n"/>
      <c r="S94" s="73" t="n"/>
      <c r="T94" s="73" t="n"/>
      <c r="U94" s="73" t="n"/>
      <c r="V94" s="73" t="n"/>
      <c r="W94" s="73" t="n"/>
      <c r="X94" s="73" t="n"/>
      <c r="Y94" s="73" t="n"/>
      <c r="Z94" s="73" t="n"/>
      <c r="AA94" s="73" t="n"/>
      <c r="AB94" s="73" t="n"/>
      <c r="AC94" s="73" t="n"/>
      <c r="AD94" s="73" t="n"/>
      <c r="AE94" s="73" t="n"/>
      <c r="AF94" s="73" t="n"/>
      <c r="AG94" s="73" t="n"/>
      <c r="AH94" s="73" t="n"/>
      <c r="AI94" s="73" t="n"/>
      <c r="AJ94" s="73" t="n"/>
      <c r="AK94" s="73" t="n"/>
      <c r="AL94" s="73" t="n"/>
      <c r="AM94" s="73" t="n"/>
      <c r="AN94" s="73" t="n"/>
      <c r="AO94" s="73" t="n"/>
      <c r="AP94" s="73" t="n"/>
      <c r="AQ94" s="73" t="n"/>
      <c r="AR94" s="73" t="n"/>
      <c r="AS94" s="73" t="n"/>
      <c r="AT94" s="73" t="n"/>
      <c r="AU94" s="73" t="n"/>
      <c r="AV94" s="73" t="n"/>
    </row>
    <row r="95" ht="16.5" customFormat="1" customHeight="1" s="37">
      <c r="A95" s="73" t="n"/>
      <c r="B95" s="73" t="n"/>
      <c r="C95" s="73" t="n"/>
      <c r="D95" s="73" t="n"/>
      <c r="E95" s="73" t="n"/>
      <c r="F95" s="73" t="n"/>
      <c r="G95" s="73" t="n"/>
      <c r="H95" s="73" t="n"/>
      <c r="I95" s="73" t="n"/>
      <c r="J95" s="73" t="n"/>
      <c r="K95" s="73" t="n"/>
      <c r="L95" s="73" t="n"/>
      <c r="M95" s="73" t="n"/>
      <c r="N95" s="73" t="n"/>
      <c r="O95" s="73" t="n"/>
      <c r="P95" s="73" t="n"/>
      <c r="Q95" s="73" t="n"/>
      <c r="R95" s="73" t="n"/>
      <c r="S95" s="73" t="n"/>
      <c r="T95" s="73" t="n"/>
      <c r="U95" s="73" t="n"/>
      <c r="V95" s="73" t="n"/>
      <c r="W95" s="73" t="n"/>
      <c r="X95" s="73" t="n"/>
      <c r="Y95" s="73" t="n"/>
      <c r="Z95" s="73" t="n"/>
      <c r="AA95" s="73" t="n"/>
      <c r="AB95" s="73" t="n"/>
      <c r="AC95" s="73" t="n"/>
      <c r="AD95" s="73" t="n"/>
      <c r="AE95" s="73" t="n"/>
      <c r="AF95" s="73" t="n"/>
      <c r="AG95" s="73" t="n"/>
      <c r="AH95" s="73" t="n"/>
      <c r="AI95" s="73" t="n"/>
      <c r="AJ95" s="73" t="n"/>
      <c r="AK95" s="73" t="n"/>
      <c r="AL95" s="73" t="n"/>
      <c r="AM95" s="73" t="n"/>
      <c r="AN95" s="73" t="n"/>
      <c r="AO95" s="73" t="n"/>
      <c r="AP95" s="73" t="n"/>
      <c r="AQ95" s="73" t="n"/>
      <c r="AR95" s="73" t="n"/>
      <c r="AS95" s="73" t="n"/>
      <c r="AT95" s="73" t="n"/>
      <c r="AU95" s="73" t="n"/>
      <c r="AV95" s="73" t="n"/>
    </row>
    <row r="96" ht="16.5" customFormat="1" customHeight="1" s="37">
      <c r="A96" s="73" t="n"/>
      <c r="B96" s="73" t="n"/>
      <c r="C96" s="73" t="n"/>
      <c r="D96" s="73" t="n"/>
      <c r="E96" s="73" t="n"/>
      <c r="F96" s="73" t="n"/>
      <c r="G96" s="73" t="n"/>
      <c r="H96" s="73" t="n"/>
      <c r="I96" s="73" t="n"/>
      <c r="J96" s="73" t="n"/>
      <c r="K96" s="73" t="n"/>
      <c r="L96" s="73" t="n"/>
      <c r="M96" s="73" t="n"/>
      <c r="N96" s="73" t="n"/>
      <c r="O96" s="73" t="n"/>
      <c r="P96" s="73" t="n"/>
      <c r="Q96" s="73" t="n"/>
      <c r="R96" s="73" t="n"/>
      <c r="S96" s="73" t="n"/>
      <c r="T96" s="73" t="n"/>
      <c r="U96" s="73" t="n"/>
      <c r="V96" s="73" t="n"/>
      <c r="W96" s="73" t="n"/>
      <c r="X96" s="73" t="n"/>
      <c r="Y96" s="73" t="n"/>
      <c r="Z96" s="73" t="n"/>
      <c r="AA96" s="73" t="n"/>
      <c r="AB96" s="73" t="n"/>
      <c r="AC96" s="73" t="n"/>
      <c r="AD96" s="73" t="n"/>
      <c r="AE96" s="73" t="n"/>
      <c r="AF96" s="73" t="n"/>
      <c r="AG96" s="73" t="n"/>
      <c r="AH96" s="73" t="n"/>
      <c r="AI96" s="73" t="n"/>
      <c r="AJ96" s="73" t="n"/>
      <c r="AK96" s="73" t="n"/>
      <c r="AL96" s="73" t="n"/>
      <c r="AM96" s="73" t="n"/>
      <c r="AN96" s="73" t="n"/>
      <c r="AO96" s="73" t="n"/>
      <c r="AP96" s="73" t="n"/>
      <c r="AQ96" s="73" t="n"/>
      <c r="AR96" s="73" t="n"/>
      <c r="AS96" s="73" t="n"/>
      <c r="AT96" s="73" t="n"/>
      <c r="AU96" s="73" t="n"/>
      <c r="AV96" s="73" t="n"/>
    </row>
    <row r="97" ht="16.5" customFormat="1" customHeight="1" s="37">
      <c r="A97" s="73" t="n"/>
      <c r="B97" s="73" t="n"/>
      <c r="C97" s="73" t="n"/>
      <c r="D97" s="73" t="n"/>
      <c r="E97" s="73" t="n"/>
      <c r="F97" s="73" t="n"/>
      <c r="G97" s="73" t="n"/>
      <c r="H97" s="73" t="n"/>
      <c r="I97" s="73" t="n"/>
      <c r="J97" s="73" t="n"/>
      <c r="K97" s="73" t="n"/>
      <c r="L97" s="73" t="n"/>
      <c r="M97" s="73" t="n"/>
      <c r="N97" s="73" t="n"/>
      <c r="O97" s="73" t="n"/>
      <c r="P97" s="73" t="n"/>
      <c r="Q97" s="73" t="n"/>
      <c r="R97" s="73" t="n"/>
      <c r="S97" s="73" t="n"/>
      <c r="T97" s="73" t="n"/>
      <c r="U97" s="73" t="n"/>
      <c r="V97" s="73" t="n"/>
      <c r="W97" s="73" t="n"/>
      <c r="X97" s="73" t="n"/>
      <c r="Y97" s="73" t="n"/>
      <c r="Z97" s="73" t="n"/>
      <c r="AA97" s="73" t="n"/>
      <c r="AB97" s="73" t="n"/>
      <c r="AC97" s="73" t="n"/>
      <c r="AD97" s="73" t="n"/>
      <c r="AE97" s="73" t="n"/>
      <c r="AF97" s="73" t="n"/>
      <c r="AG97" s="73" t="n"/>
      <c r="AH97" s="73" t="n"/>
      <c r="AI97" s="73" t="n"/>
      <c r="AJ97" s="73" t="n"/>
      <c r="AK97" s="73" t="n"/>
      <c r="AL97" s="73" t="n"/>
      <c r="AM97" s="73" t="n"/>
      <c r="AN97" s="73" t="n"/>
      <c r="AO97" s="73" t="n"/>
      <c r="AP97" s="73" t="n"/>
      <c r="AQ97" s="73" t="n"/>
      <c r="AR97" s="73" t="n"/>
      <c r="AS97" s="73" t="n"/>
      <c r="AT97" s="73" t="n"/>
      <c r="AU97" s="73" t="n"/>
      <c r="AV97" s="73" t="n"/>
    </row>
    <row r="98" ht="16.5" customFormat="1" customHeight="1" s="37">
      <c r="A98" s="73" t="n"/>
      <c r="B98" s="73" t="n"/>
      <c r="C98" s="73" t="n"/>
      <c r="D98" s="73" t="n"/>
      <c r="E98" s="73" t="n"/>
      <c r="F98" s="73" t="n"/>
      <c r="G98" s="73" t="n"/>
      <c r="H98" s="73" t="n"/>
      <c r="I98" s="73" t="n"/>
      <c r="J98" s="73" t="n"/>
      <c r="K98" s="73" t="n"/>
      <c r="L98" s="73" t="n"/>
      <c r="M98" s="73" t="n"/>
      <c r="N98" s="73" t="n"/>
      <c r="O98" s="73" t="n"/>
      <c r="P98" s="73" t="n"/>
      <c r="Q98" s="73" t="n"/>
      <c r="R98" s="73" t="n"/>
      <c r="S98" s="73" t="n"/>
      <c r="T98" s="73" t="n"/>
      <c r="U98" s="73" t="n"/>
      <c r="V98" s="73" t="n"/>
      <c r="W98" s="73" t="n"/>
      <c r="X98" s="73" t="n"/>
      <c r="Y98" s="73" t="n"/>
      <c r="Z98" s="73" t="n"/>
      <c r="AA98" s="73" t="n"/>
      <c r="AB98" s="73" t="n"/>
      <c r="AC98" s="73" t="n"/>
      <c r="AD98" s="73" t="n"/>
      <c r="AE98" s="73" t="n"/>
      <c r="AF98" s="73" t="n"/>
      <c r="AG98" s="73" t="n"/>
      <c r="AH98" s="73" t="n"/>
      <c r="AI98" s="73" t="n"/>
      <c r="AJ98" s="73" t="n"/>
      <c r="AK98" s="73" t="n"/>
      <c r="AL98" s="73" t="n"/>
      <c r="AM98" s="73" t="n"/>
      <c r="AN98" s="73" t="n"/>
      <c r="AO98" s="73" t="n"/>
      <c r="AP98" s="73" t="n"/>
      <c r="AQ98" s="73" t="n"/>
      <c r="AR98" s="73" t="n"/>
      <c r="AS98" s="73" t="n"/>
      <c r="AT98" s="73" t="n"/>
      <c r="AU98" s="73" t="n"/>
      <c r="AV98" s="73" t="n"/>
    </row>
    <row r="99" ht="16.5" customFormat="1" customHeight="1" s="37">
      <c r="A99" s="73" t="n"/>
      <c r="B99" s="73" t="n"/>
      <c r="C99" s="73" t="n"/>
      <c r="D99" s="73" t="n"/>
      <c r="E99" s="73" t="n"/>
      <c r="F99" s="73" t="n"/>
      <c r="G99" s="73" t="n"/>
      <c r="H99" s="73" t="n"/>
      <c r="I99" s="73" t="n"/>
      <c r="J99" s="73" t="n"/>
      <c r="K99" s="73" t="n"/>
      <c r="L99" s="73" t="n"/>
      <c r="M99" s="73" t="n"/>
      <c r="N99" s="73" t="n"/>
      <c r="O99" s="73" t="n"/>
      <c r="P99" s="73" t="n"/>
      <c r="Q99" s="73" t="n"/>
      <c r="R99" s="73" t="n"/>
      <c r="S99" s="73" t="n"/>
      <c r="T99" s="73" t="n"/>
      <c r="U99" s="73" t="n"/>
      <c r="V99" s="73" t="n"/>
      <c r="W99" s="73" t="n"/>
      <c r="X99" s="73" t="n"/>
      <c r="Y99" s="73" t="n"/>
      <c r="Z99" s="73" t="n"/>
      <c r="AA99" s="73" t="n"/>
      <c r="AB99" s="73" t="n"/>
      <c r="AC99" s="73" t="n"/>
      <c r="AD99" s="73" t="n"/>
      <c r="AE99" s="73" t="n"/>
      <c r="AF99" s="73" t="n"/>
      <c r="AG99" s="73" t="n"/>
      <c r="AH99" s="73" t="n"/>
      <c r="AI99" s="73" t="n"/>
      <c r="AJ99" s="73" t="n"/>
      <c r="AK99" s="73" t="n"/>
      <c r="AL99" s="73" t="n"/>
      <c r="AM99" s="73" t="n"/>
      <c r="AN99" s="73" t="n"/>
      <c r="AO99" s="73" t="n"/>
      <c r="AP99" s="73" t="n"/>
      <c r="AQ99" s="73" t="n"/>
      <c r="AR99" s="73" t="n"/>
      <c r="AS99" s="73" t="n"/>
      <c r="AT99" s="73" t="n"/>
      <c r="AU99" s="73" t="n"/>
      <c r="AV99" s="73" t="n"/>
    </row>
    <row r="100" ht="16.5" customFormat="1" customHeight="1" s="37">
      <c r="A100" s="73" t="n"/>
      <c r="B100" s="73" t="n"/>
      <c r="C100" s="73" t="n"/>
      <c r="D100" s="73" t="n"/>
      <c r="E100" s="73" t="n"/>
      <c r="F100" s="73" t="n"/>
      <c r="G100" s="73" t="n"/>
      <c r="H100" s="73" t="n"/>
      <c r="I100" s="73" t="n"/>
      <c r="J100" s="73" t="n"/>
      <c r="K100" s="73" t="n"/>
      <c r="L100" s="73" t="n"/>
      <c r="M100" s="73" t="n"/>
      <c r="N100" s="73" t="n"/>
      <c r="O100" s="73" t="n"/>
      <c r="P100" s="73" t="n"/>
      <c r="Q100" s="73" t="n"/>
      <c r="R100" s="73" t="n"/>
      <c r="S100" s="73" t="n"/>
      <c r="T100" s="73" t="n"/>
      <c r="U100" s="73" t="n"/>
      <c r="V100" s="73" t="n"/>
      <c r="W100" s="73" t="n"/>
      <c r="X100" s="73" t="n"/>
      <c r="Y100" s="73" t="n"/>
      <c r="Z100" s="73" t="n"/>
      <c r="AA100" s="73" t="n"/>
      <c r="AB100" s="73" t="n"/>
      <c r="AC100" s="73" t="n"/>
      <c r="AD100" s="73" t="n"/>
      <c r="AE100" s="73" t="n"/>
      <c r="AF100" s="73" t="n"/>
      <c r="AG100" s="73" t="n"/>
      <c r="AH100" s="73" t="n"/>
      <c r="AI100" s="73" t="n"/>
      <c r="AJ100" s="73" t="n"/>
      <c r="AK100" s="73" t="n"/>
      <c r="AL100" s="73" t="n"/>
      <c r="AM100" s="73" t="n"/>
      <c r="AN100" s="73" t="n"/>
      <c r="AO100" s="73" t="n"/>
      <c r="AP100" s="73" t="n"/>
      <c r="AQ100" s="73" t="n"/>
      <c r="AR100" s="73" t="n"/>
      <c r="AS100" s="73" t="n"/>
      <c r="AT100" s="73" t="n"/>
      <c r="AU100" s="73" t="n"/>
      <c r="AV100" s="73" t="n"/>
    </row>
    <row r="101" ht="16.5" customFormat="1" customHeight="1" s="37">
      <c r="A101" s="73" t="n"/>
      <c r="B101" s="73" t="n"/>
      <c r="C101" s="73" t="n"/>
      <c r="D101" s="73" t="n"/>
      <c r="E101" s="73" t="n"/>
      <c r="F101" s="73" t="n"/>
      <c r="G101" s="73" t="n"/>
      <c r="H101" s="73" t="n"/>
      <c r="I101" s="73" t="n"/>
      <c r="J101" s="73" t="n"/>
      <c r="K101" s="73" t="n"/>
      <c r="L101" s="73" t="n"/>
      <c r="M101" s="73" t="n"/>
      <c r="N101" s="73" t="n"/>
      <c r="O101" s="73" t="n"/>
      <c r="P101" s="73" t="n"/>
      <c r="Q101" s="73" t="n"/>
      <c r="R101" s="73" t="n"/>
      <c r="S101" s="73" t="n"/>
      <c r="T101" s="73" t="n"/>
      <c r="U101" s="73" t="n"/>
      <c r="V101" s="73" t="n"/>
      <c r="W101" s="73" t="n"/>
      <c r="X101" s="73" t="n"/>
      <c r="Y101" s="73" t="n"/>
      <c r="Z101" s="73" t="n"/>
      <c r="AA101" s="73" t="n"/>
      <c r="AB101" s="73" t="n"/>
      <c r="AC101" s="73" t="n"/>
      <c r="AD101" s="73" t="n"/>
      <c r="AE101" s="73" t="n"/>
      <c r="AF101" s="73" t="n"/>
      <c r="AG101" s="73" t="n"/>
      <c r="AH101" s="73" t="n"/>
      <c r="AI101" s="73" t="n"/>
      <c r="AJ101" s="73" t="n"/>
      <c r="AK101" s="73" t="n"/>
      <c r="AL101" s="73" t="n"/>
      <c r="AM101" s="73" t="n"/>
      <c r="AN101" s="73" t="n"/>
      <c r="AO101" s="73" t="n"/>
      <c r="AP101" s="73" t="n"/>
      <c r="AQ101" s="73" t="n"/>
      <c r="AR101" s="73" t="n"/>
      <c r="AS101" s="73" t="n"/>
      <c r="AT101" s="73" t="n"/>
      <c r="AU101" s="73" t="n"/>
      <c r="AV101" s="73" t="n"/>
    </row>
    <row r="102" ht="16.5" customFormat="1" customHeight="1" s="37">
      <c r="A102" s="73" t="n"/>
      <c r="B102" s="73" t="n"/>
      <c r="C102" s="73" t="n"/>
      <c r="D102" s="73" t="n"/>
      <c r="E102" s="73" t="n"/>
      <c r="F102" s="73" t="n"/>
      <c r="G102" s="73" t="n"/>
      <c r="H102" s="73" t="n"/>
      <c r="I102" s="73" t="n"/>
      <c r="J102" s="73" t="n"/>
      <c r="K102" s="73" t="n"/>
      <c r="L102" s="73" t="n"/>
      <c r="M102" s="73" t="n"/>
      <c r="N102" s="73" t="n"/>
      <c r="O102" s="73" t="n"/>
      <c r="P102" s="73" t="n"/>
      <c r="Q102" s="73" t="n"/>
      <c r="R102" s="73" t="n"/>
      <c r="S102" s="73" t="n"/>
      <c r="T102" s="73" t="n"/>
      <c r="U102" s="73" t="n"/>
      <c r="V102" s="73" t="n"/>
      <c r="W102" s="73" t="n"/>
      <c r="X102" s="73" t="n"/>
      <c r="Y102" s="73" t="n"/>
      <c r="Z102" s="73" t="n"/>
      <c r="AA102" s="73" t="n"/>
      <c r="AB102" s="73" t="n"/>
      <c r="AC102" s="73" t="n"/>
      <c r="AD102" s="73" t="n"/>
      <c r="AE102" s="73" t="n"/>
      <c r="AF102" s="73" t="n"/>
      <c r="AG102" s="73" t="n"/>
      <c r="AH102" s="73" t="n"/>
      <c r="AI102" s="73" t="n"/>
      <c r="AJ102" s="73" t="n"/>
      <c r="AK102" s="73" t="n"/>
      <c r="AL102" s="73" t="n"/>
      <c r="AM102" s="73" t="n"/>
      <c r="AN102" s="73" t="n"/>
      <c r="AO102" s="73" t="n"/>
      <c r="AP102" s="73" t="n"/>
      <c r="AQ102" s="73" t="n"/>
      <c r="AR102" s="73" t="n"/>
      <c r="AS102" s="73" t="n"/>
      <c r="AT102" s="73" t="n"/>
      <c r="AU102" s="73" t="n"/>
      <c r="AV102" s="73" t="n"/>
    </row>
    <row r="103" ht="16.5" customFormat="1" customHeight="1" s="37">
      <c r="A103" s="73" t="n"/>
      <c r="B103" s="73" t="n"/>
      <c r="C103" s="73" t="n"/>
      <c r="D103" s="73" t="n"/>
      <c r="E103" s="73" t="n"/>
      <c r="F103" s="73" t="n"/>
      <c r="G103" s="73" t="n"/>
      <c r="H103" s="73" t="n"/>
      <c r="I103" s="73" t="n"/>
      <c r="J103" s="73" t="n"/>
      <c r="K103" s="73" t="n"/>
      <c r="L103" s="73" t="n"/>
      <c r="M103" s="73" t="n"/>
      <c r="N103" s="73" t="n"/>
      <c r="O103" s="73" t="n"/>
      <c r="P103" s="73" t="n"/>
      <c r="Q103" s="73" t="n"/>
      <c r="R103" s="73" t="n"/>
      <c r="S103" s="73" t="n"/>
      <c r="T103" s="73" t="n"/>
      <c r="U103" s="73" t="n"/>
      <c r="V103" s="73" t="n"/>
      <c r="W103" s="73" t="n"/>
      <c r="X103" s="73" t="n"/>
      <c r="Y103" s="73" t="n"/>
      <c r="Z103" s="73" t="n"/>
      <c r="AA103" s="73" t="n"/>
      <c r="AB103" s="73" t="n"/>
      <c r="AC103" s="73" t="n"/>
      <c r="AD103" s="73" t="n"/>
      <c r="AE103" s="73" t="n"/>
      <c r="AF103" s="73" t="n"/>
      <c r="AG103" s="73" t="n"/>
      <c r="AH103" s="73" t="n"/>
      <c r="AI103" s="73" t="n"/>
      <c r="AJ103" s="73" t="n"/>
      <c r="AK103" s="73" t="n"/>
      <c r="AL103" s="73" t="n"/>
      <c r="AM103" s="73" t="n"/>
      <c r="AN103" s="73" t="n"/>
      <c r="AO103" s="73" t="n"/>
      <c r="AP103" s="73" t="n"/>
      <c r="AQ103" s="73" t="n"/>
      <c r="AR103" s="73" t="n"/>
      <c r="AS103" s="73" t="n"/>
      <c r="AT103" s="73" t="n"/>
      <c r="AU103" s="73" t="n"/>
      <c r="AV103" s="73" t="n"/>
    </row>
    <row r="104" ht="16.5" customFormat="1" customHeight="1" s="37">
      <c r="A104" s="73" t="n"/>
      <c r="B104" s="73" t="n"/>
      <c r="C104" s="73" t="n"/>
      <c r="D104" s="73" t="n"/>
      <c r="E104" s="73" t="n"/>
      <c r="F104" s="73" t="n"/>
      <c r="G104" s="73" t="n"/>
      <c r="H104" s="73" t="n"/>
      <c r="I104" s="73" t="n"/>
      <c r="J104" s="73" t="n"/>
      <c r="K104" s="73" t="n"/>
      <c r="L104" s="73" t="n"/>
      <c r="M104" s="73" t="n"/>
      <c r="N104" s="73" t="n"/>
      <c r="O104" s="73" t="n"/>
      <c r="P104" s="73" t="n"/>
      <c r="Q104" s="73" t="n"/>
      <c r="R104" s="73" t="n"/>
      <c r="S104" s="73" t="n"/>
      <c r="T104" s="73" t="n"/>
      <c r="U104" s="73" t="n"/>
      <c r="V104" s="73" t="n"/>
      <c r="W104" s="73" t="n"/>
      <c r="X104" s="73" t="n"/>
      <c r="Y104" s="73" t="n"/>
      <c r="Z104" s="73" t="n"/>
      <c r="AA104" s="73" t="n"/>
      <c r="AB104" s="73" t="n"/>
      <c r="AC104" s="73" t="n"/>
      <c r="AD104" s="73" t="n"/>
      <c r="AE104" s="73" t="n"/>
      <c r="AF104" s="73" t="n"/>
      <c r="AG104" s="73" t="n"/>
      <c r="AH104" s="73" t="n"/>
      <c r="AI104" s="73" t="n"/>
      <c r="AJ104" s="73" t="n"/>
      <c r="AK104" s="73" t="n"/>
      <c r="AL104" s="73" t="n"/>
      <c r="AM104" s="73" t="n"/>
      <c r="AN104" s="73" t="n"/>
      <c r="AO104" s="73" t="n"/>
      <c r="AP104" s="73" t="n"/>
      <c r="AQ104" s="73" t="n"/>
      <c r="AR104" s="73" t="n"/>
      <c r="AS104" s="73" t="n"/>
      <c r="AT104" s="73" t="n"/>
      <c r="AU104" s="73" t="n"/>
      <c r="AV104" s="73" t="n"/>
    </row>
    <row r="105" ht="16.5" customFormat="1" customHeight="1" s="37">
      <c r="A105" s="73" t="n"/>
      <c r="B105" s="73" t="n"/>
      <c r="C105" s="73" t="n"/>
      <c r="D105" s="73" t="n"/>
      <c r="E105" s="73" t="n"/>
      <c r="F105" s="73" t="n"/>
      <c r="G105" s="73" t="n"/>
      <c r="H105" s="73" t="n"/>
      <c r="I105" s="73" t="n"/>
      <c r="J105" s="73" t="n"/>
      <c r="K105" s="73" t="n"/>
      <c r="L105" s="73" t="n"/>
      <c r="M105" s="73" t="n"/>
      <c r="N105" s="73" t="n"/>
      <c r="O105" s="73" t="n"/>
      <c r="P105" s="73" t="n"/>
      <c r="Q105" s="73" t="n"/>
      <c r="R105" s="73" t="n"/>
      <c r="S105" s="73" t="n"/>
      <c r="T105" s="73" t="n"/>
      <c r="U105" s="73" t="n"/>
      <c r="V105" s="73" t="n"/>
      <c r="W105" s="73" t="n"/>
      <c r="X105" s="73" t="n"/>
      <c r="Y105" s="73" t="n"/>
      <c r="Z105" s="73" t="n"/>
      <c r="AA105" s="73" t="n"/>
      <c r="AB105" s="73" t="n"/>
      <c r="AC105" s="73" t="n"/>
      <c r="AD105" s="73" t="n"/>
      <c r="AE105" s="73" t="n"/>
      <c r="AF105" s="73" t="n"/>
      <c r="AG105" s="73" t="n"/>
      <c r="AH105" s="73" t="n"/>
      <c r="AI105" s="73" t="n"/>
      <c r="AJ105" s="73" t="n"/>
      <c r="AK105" s="73" t="n"/>
      <c r="AL105" s="73" t="n"/>
      <c r="AM105" s="73" t="n"/>
      <c r="AN105" s="73" t="n"/>
      <c r="AO105" s="73" t="n"/>
      <c r="AP105" s="73" t="n"/>
      <c r="AQ105" s="73" t="n"/>
      <c r="AR105" s="73" t="n"/>
      <c r="AS105" s="73" t="n"/>
      <c r="AT105" s="73" t="n"/>
      <c r="AU105" s="73" t="n"/>
      <c r="AV105" s="73" t="n"/>
    </row>
    <row r="106" ht="16.5" customFormat="1" customHeight="1" s="37">
      <c r="A106" s="73" t="n"/>
      <c r="B106" s="73" t="n"/>
      <c r="C106" s="73" t="n"/>
      <c r="D106" s="73" t="n"/>
      <c r="E106" s="73" t="n"/>
      <c r="F106" s="73" t="n"/>
      <c r="G106" s="73" t="n"/>
      <c r="H106" s="73" t="n"/>
      <c r="I106" s="73" t="n"/>
      <c r="J106" s="73" t="n"/>
      <c r="K106" s="73" t="n"/>
      <c r="L106" s="73" t="n"/>
      <c r="M106" s="73" t="n"/>
      <c r="N106" s="73" t="n"/>
      <c r="O106" s="73" t="n"/>
      <c r="P106" s="73" t="n"/>
      <c r="Q106" s="73" t="n"/>
      <c r="R106" s="73" t="n"/>
      <c r="S106" s="73" t="n"/>
      <c r="T106" s="73" t="n"/>
      <c r="U106" s="73" t="n"/>
      <c r="V106" s="73" t="n"/>
      <c r="W106" s="73" t="n"/>
      <c r="X106" s="73" t="n"/>
      <c r="Y106" s="73" t="n"/>
      <c r="Z106" s="73" t="n"/>
      <c r="AA106" s="73" t="n"/>
      <c r="AB106" s="73" t="n"/>
      <c r="AC106" s="73" t="n"/>
      <c r="AD106" s="73" t="n"/>
      <c r="AE106" s="73" t="n"/>
      <c r="AF106" s="73" t="n"/>
      <c r="AG106" s="73" t="n"/>
      <c r="AH106" s="73" t="n"/>
      <c r="AI106" s="73" t="n"/>
      <c r="AJ106" s="73" t="n"/>
      <c r="AK106" s="73" t="n"/>
      <c r="AL106" s="73" t="n"/>
      <c r="AM106" s="73" t="n"/>
      <c r="AN106" s="73" t="n"/>
      <c r="AO106" s="73" t="n"/>
      <c r="AP106" s="73" t="n"/>
      <c r="AQ106" s="73" t="n"/>
      <c r="AR106" s="73" t="n"/>
      <c r="AS106" s="73" t="n"/>
      <c r="AT106" s="73" t="n"/>
      <c r="AU106" s="73" t="n"/>
      <c r="AV106" s="73" t="n"/>
    </row>
    <row r="107" ht="16.5" customFormat="1" customHeight="1" s="37">
      <c r="A107" s="73" t="n"/>
      <c r="B107" s="73" t="n"/>
      <c r="C107" s="73" t="n"/>
      <c r="D107" s="73" t="n"/>
      <c r="E107" s="73" t="n"/>
      <c r="F107" s="73" t="n"/>
      <c r="G107" s="73" t="n"/>
      <c r="H107" s="73" t="n"/>
      <c r="I107" s="73" t="n"/>
      <c r="J107" s="73" t="n"/>
      <c r="K107" s="73" t="n"/>
      <c r="L107" s="73" t="n"/>
      <c r="M107" s="73" t="n"/>
      <c r="N107" s="73" t="n"/>
      <c r="O107" s="73" t="n"/>
      <c r="P107" s="73" t="n"/>
      <c r="Q107" s="73" t="n"/>
      <c r="R107" s="73" t="n"/>
      <c r="S107" s="73" t="n"/>
      <c r="T107" s="73" t="n"/>
      <c r="U107" s="73" t="n"/>
      <c r="V107" s="73" t="n"/>
      <c r="W107" s="73" t="n"/>
      <c r="X107" s="73" t="n"/>
      <c r="Y107" s="73" t="n"/>
      <c r="Z107" s="73" t="n"/>
      <c r="AA107" s="73" t="n"/>
      <c r="AB107" s="73" t="n"/>
      <c r="AC107" s="73" t="n"/>
      <c r="AD107" s="73" t="n"/>
      <c r="AE107" s="73" t="n"/>
      <c r="AF107" s="73" t="n"/>
      <c r="AG107" s="73" t="n"/>
      <c r="AH107" s="73" t="n"/>
      <c r="AI107" s="73" t="n"/>
      <c r="AJ107" s="73" t="n"/>
      <c r="AK107" s="73" t="n"/>
      <c r="AL107" s="73" t="n"/>
      <c r="AM107" s="73" t="n"/>
      <c r="AN107" s="73" t="n"/>
      <c r="AO107" s="73" t="n"/>
      <c r="AP107" s="73" t="n"/>
      <c r="AQ107" s="73" t="n"/>
      <c r="AR107" s="73" t="n"/>
      <c r="AS107" s="73" t="n"/>
      <c r="AT107" s="73" t="n"/>
      <c r="AU107" s="73" t="n"/>
      <c r="AV107" s="73" t="n"/>
    </row>
    <row r="108" ht="16.5" customFormat="1" customHeight="1" s="37">
      <c r="A108" s="73" t="n"/>
      <c r="B108" s="73" t="n"/>
      <c r="C108" s="73" t="n"/>
      <c r="D108" s="73" t="n"/>
      <c r="E108" s="73" t="n"/>
      <c r="F108" s="73" t="n"/>
      <c r="G108" s="73" t="n"/>
      <c r="H108" s="73" t="n"/>
      <c r="I108" s="73" t="n"/>
      <c r="J108" s="73" t="n"/>
      <c r="K108" s="73" t="n"/>
      <c r="L108" s="73" t="n"/>
      <c r="M108" s="73" t="n"/>
      <c r="N108" s="73" t="n"/>
      <c r="O108" s="73" t="n"/>
      <c r="P108" s="73" t="n"/>
      <c r="Q108" s="73" t="n"/>
      <c r="R108" s="73" t="n"/>
      <c r="S108" s="73" t="n"/>
      <c r="T108" s="73" t="n"/>
      <c r="U108" s="73" t="n"/>
      <c r="V108" s="73" t="n"/>
      <c r="W108" s="73" t="n"/>
      <c r="X108" s="73" t="n"/>
      <c r="Y108" s="73" t="n"/>
      <c r="Z108" s="73" t="n"/>
      <c r="AA108" s="73" t="n"/>
      <c r="AB108" s="73" t="n"/>
      <c r="AC108" s="73" t="n"/>
      <c r="AD108" s="73" t="n"/>
      <c r="AE108" s="73" t="n"/>
      <c r="AF108" s="73" t="n"/>
      <c r="AG108" s="73" t="n"/>
      <c r="AH108" s="73" t="n"/>
      <c r="AI108" s="73" t="n"/>
      <c r="AJ108" s="73" t="n"/>
      <c r="AK108" s="73" t="n"/>
      <c r="AL108" s="73" t="n"/>
      <c r="AM108" s="73" t="n"/>
      <c r="AN108" s="73" t="n"/>
      <c r="AO108" s="73" t="n"/>
      <c r="AP108" s="73" t="n"/>
      <c r="AQ108" s="73" t="n"/>
      <c r="AR108" s="73" t="n"/>
      <c r="AS108" s="73" t="n"/>
      <c r="AT108" s="73" t="n"/>
      <c r="AU108" s="73" t="n"/>
      <c r="AV108" s="73" t="n"/>
    </row>
    <row r="109" ht="16.5" customFormat="1" customHeight="1" s="37">
      <c r="A109" s="73" t="n"/>
      <c r="B109" s="73" t="n"/>
      <c r="C109" s="73" t="n"/>
      <c r="D109" s="73" t="n"/>
      <c r="E109" s="73" t="n"/>
      <c r="F109" s="73" t="n"/>
      <c r="G109" s="73" t="n"/>
      <c r="H109" s="73" t="n"/>
      <c r="I109" s="73" t="n"/>
      <c r="J109" s="73" t="n"/>
      <c r="K109" s="73" t="n"/>
      <c r="L109" s="73" t="n"/>
      <c r="M109" s="73" t="n"/>
      <c r="N109" s="73" t="n"/>
      <c r="O109" s="73" t="n"/>
      <c r="P109" s="73" t="n"/>
      <c r="Q109" s="73" t="n"/>
      <c r="R109" s="73" t="n"/>
      <c r="S109" s="73" t="n"/>
      <c r="T109" s="73" t="n"/>
      <c r="U109" s="73" t="n"/>
      <c r="V109" s="73" t="n"/>
      <c r="W109" s="73" t="n"/>
      <c r="X109" s="73" t="n"/>
      <c r="Y109" s="73" t="n"/>
      <c r="Z109" s="73" t="n"/>
      <c r="AA109" s="73" t="n"/>
      <c r="AB109" s="73" t="n"/>
      <c r="AC109" s="73" t="n"/>
      <c r="AD109" s="73" t="n"/>
      <c r="AE109" s="73" t="n"/>
      <c r="AF109" s="73" t="n"/>
      <c r="AG109" s="73" t="n"/>
      <c r="AH109" s="73" t="n"/>
      <c r="AI109" s="73" t="n"/>
      <c r="AJ109" s="73" t="n"/>
      <c r="AK109" s="73" t="n"/>
      <c r="AL109" s="73" t="n"/>
      <c r="AM109" s="73" t="n"/>
      <c r="AN109" s="73" t="n"/>
      <c r="AO109" s="73" t="n"/>
      <c r="AP109" s="73" t="n"/>
      <c r="AQ109" s="73" t="n"/>
      <c r="AR109" s="73" t="n"/>
      <c r="AS109" s="73" t="n"/>
      <c r="AT109" s="73" t="n"/>
      <c r="AU109" s="73" t="n"/>
      <c r="AV109" s="73" t="n"/>
    </row>
    <row r="110" ht="16.5" customFormat="1" customHeight="1" s="37">
      <c r="A110" s="73" t="n"/>
      <c r="B110" s="73" t="n"/>
      <c r="C110" s="73" t="n"/>
      <c r="D110" s="73" t="n"/>
      <c r="E110" s="73" t="n"/>
      <c r="F110" s="73" t="n"/>
      <c r="G110" s="73" t="n"/>
      <c r="H110" s="73" t="n"/>
      <c r="I110" s="73" t="n"/>
      <c r="J110" s="73" t="n"/>
      <c r="K110" s="73" t="n"/>
      <c r="L110" s="73" t="n"/>
      <c r="M110" s="73" t="n"/>
      <c r="N110" s="73" t="n"/>
      <c r="O110" s="73" t="n"/>
      <c r="P110" s="73" t="n"/>
      <c r="Q110" s="73" t="n"/>
      <c r="R110" s="73" t="n"/>
      <c r="S110" s="73" t="n"/>
      <c r="T110" s="73" t="n"/>
      <c r="U110" s="73" t="n"/>
      <c r="V110" s="73" t="n"/>
      <c r="W110" s="73" t="n"/>
      <c r="X110" s="73" t="n"/>
      <c r="Y110" s="73" t="n"/>
      <c r="Z110" s="73" t="n"/>
      <c r="AA110" s="73" t="n"/>
      <c r="AB110" s="73" t="n"/>
      <c r="AC110" s="73" t="n"/>
      <c r="AD110" s="73" t="n"/>
      <c r="AE110" s="73" t="n"/>
      <c r="AF110" s="73" t="n"/>
      <c r="AG110" s="73" t="n"/>
      <c r="AH110" s="73" t="n"/>
      <c r="AI110" s="73" t="n"/>
      <c r="AJ110" s="73" t="n"/>
      <c r="AK110" s="73" t="n"/>
      <c r="AL110" s="73" t="n"/>
      <c r="AM110" s="73" t="n"/>
      <c r="AN110" s="73" t="n"/>
      <c r="AO110" s="73" t="n"/>
      <c r="AP110" s="73" t="n"/>
      <c r="AQ110" s="73" t="n"/>
      <c r="AR110" s="73" t="n"/>
      <c r="AS110" s="73" t="n"/>
      <c r="AT110" s="73" t="n"/>
      <c r="AU110" s="73" t="n"/>
      <c r="AV110" s="73" t="n"/>
    </row>
    <row r="111" ht="16.5" customFormat="1" customHeight="1" s="37">
      <c r="A111" s="73" t="n"/>
      <c r="B111" s="73" t="n"/>
      <c r="C111" s="73" t="n"/>
      <c r="D111" s="73" t="n"/>
      <c r="E111" s="73" t="n"/>
      <c r="F111" s="73" t="n"/>
      <c r="G111" s="73" t="n"/>
      <c r="H111" s="73" t="n"/>
      <c r="I111" s="73" t="n"/>
      <c r="J111" s="73" t="n"/>
      <c r="K111" s="73" t="n"/>
      <c r="L111" s="73" t="n"/>
      <c r="M111" s="73" t="n"/>
      <c r="N111" s="73" t="n"/>
      <c r="O111" s="73" t="n"/>
      <c r="P111" s="73" t="n"/>
      <c r="Q111" s="73" t="n"/>
      <c r="R111" s="73" t="n"/>
      <c r="S111" s="73" t="n"/>
      <c r="T111" s="73" t="n"/>
      <c r="U111" s="73" t="n"/>
      <c r="V111" s="73" t="n"/>
      <c r="W111" s="73" t="n"/>
      <c r="X111" s="73" t="n"/>
      <c r="Y111" s="73" t="n"/>
      <c r="Z111" s="73" t="n"/>
      <c r="AA111" s="73" t="n"/>
      <c r="AB111" s="73" t="n"/>
      <c r="AC111" s="73" t="n"/>
      <c r="AD111" s="73" t="n"/>
      <c r="AE111" s="73" t="n"/>
      <c r="AF111" s="73" t="n"/>
      <c r="AG111" s="73" t="n"/>
      <c r="AH111" s="73" t="n"/>
      <c r="AI111" s="73" t="n"/>
      <c r="AJ111" s="73" t="n"/>
      <c r="AK111" s="73" t="n"/>
      <c r="AL111" s="73" t="n"/>
      <c r="AM111" s="73" t="n"/>
      <c r="AN111" s="73" t="n"/>
      <c r="AO111" s="73" t="n"/>
      <c r="AP111" s="73" t="n"/>
      <c r="AQ111" s="73" t="n"/>
      <c r="AR111" s="73" t="n"/>
      <c r="AS111" s="73" t="n"/>
      <c r="AT111" s="73" t="n"/>
      <c r="AU111" s="73" t="n"/>
      <c r="AV111" s="73" t="n"/>
    </row>
    <row r="112" ht="16.5" customFormat="1" customHeight="1" s="37">
      <c r="A112" s="73" t="n"/>
      <c r="B112" s="73" t="n"/>
      <c r="C112" s="73" t="n"/>
      <c r="D112" s="73" t="n"/>
      <c r="E112" s="73" t="n"/>
      <c r="F112" s="73" t="n"/>
      <c r="G112" s="73" t="n"/>
      <c r="H112" s="73" t="n"/>
      <c r="I112" s="73" t="n"/>
      <c r="J112" s="73" t="n"/>
      <c r="K112" s="73" t="n"/>
      <c r="L112" s="73" t="n"/>
      <c r="M112" s="73" t="n"/>
      <c r="N112" s="73" t="n"/>
      <c r="O112" s="73" t="n"/>
      <c r="P112" s="73" t="n"/>
      <c r="Q112" s="73" t="n"/>
      <c r="R112" s="73" t="n"/>
      <c r="S112" s="73" t="n"/>
      <c r="T112" s="73" t="n"/>
      <c r="U112" s="73" t="n"/>
      <c r="V112" s="73" t="n"/>
      <c r="W112" s="73" t="n"/>
      <c r="X112" s="73" t="n"/>
      <c r="Y112" s="73" t="n"/>
      <c r="Z112" s="73" t="n"/>
      <c r="AA112" s="73" t="n"/>
      <c r="AB112" s="73" t="n"/>
      <c r="AC112" s="73" t="n"/>
      <c r="AD112" s="73" t="n"/>
      <c r="AE112" s="73" t="n"/>
      <c r="AF112" s="73" t="n"/>
      <c r="AG112" s="73" t="n"/>
      <c r="AH112" s="73" t="n"/>
      <c r="AI112" s="73" t="n"/>
      <c r="AJ112" s="73" t="n"/>
      <c r="AK112" s="73" t="n"/>
      <c r="AL112" s="73" t="n"/>
      <c r="AM112" s="73" t="n"/>
      <c r="AN112" s="73" t="n"/>
      <c r="AO112" s="73" t="n"/>
      <c r="AP112" s="73" t="n"/>
      <c r="AQ112" s="73" t="n"/>
      <c r="AR112" s="73" t="n"/>
      <c r="AS112" s="73" t="n"/>
      <c r="AT112" s="73" t="n"/>
      <c r="AU112" s="73" t="n"/>
      <c r="AV112" s="73" t="n"/>
    </row>
    <row r="113" ht="16.5" customFormat="1" customHeight="1" s="37">
      <c r="A113" s="73" t="n"/>
      <c r="B113" s="73" t="n"/>
      <c r="C113" s="73" t="n"/>
      <c r="D113" s="73" t="n"/>
      <c r="E113" s="73" t="n"/>
      <c r="F113" s="73" t="n"/>
      <c r="G113" s="73" t="n"/>
      <c r="H113" s="73" t="n"/>
      <c r="I113" s="73" t="n"/>
      <c r="J113" s="73" t="n"/>
      <c r="K113" s="73" t="n"/>
      <c r="L113" s="73" t="n"/>
      <c r="M113" s="73" t="n"/>
      <c r="N113" s="73" t="n"/>
      <c r="O113" s="73" t="n"/>
      <c r="P113" s="73" t="n"/>
      <c r="Q113" s="73" t="n"/>
      <c r="R113" s="73" t="n"/>
      <c r="S113" s="73" t="n"/>
      <c r="T113" s="73" t="n"/>
      <c r="U113" s="73" t="n"/>
      <c r="V113" s="73" t="n"/>
      <c r="W113" s="73" t="n"/>
      <c r="X113" s="73" t="n"/>
      <c r="Y113" s="73" t="n"/>
      <c r="Z113" s="73" t="n"/>
      <c r="AA113" s="73" t="n"/>
      <c r="AB113" s="73" t="n"/>
      <c r="AC113" s="73" t="n"/>
      <c r="AD113" s="73" t="n"/>
      <c r="AE113" s="73" t="n"/>
      <c r="AF113" s="73" t="n"/>
      <c r="AG113" s="73" t="n"/>
      <c r="AH113" s="73" t="n"/>
      <c r="AI113" s="73" t="n"/>
      <c r="AJ113" s="73" t="n"/>
      <c r="AK113" s="73" t="n"/>
      <c r="AL113" s="73" t="n"/>
      <c r="AM113" s="73" t="n"/>
      <c r="AN113" s="73" t="n"/>
      <c r="AO113" s="73" t="n"/>
      <c r="AP113" s="73" t="n"/>
      <c r="AQ113" s="73" t="n"/>
      <c r="AR113" s="73" t="n"/>
      <c r="AS113" s="73" t="n"/>
      <c r="AT113" s="73" t="n"/>
      <c r="AU113" s="73" t="n"/>
      <c r="AV113" s="73" t="n"/>
    </row>
    <row r="114" ht="16.5" customFormat="1" customHeight="1" s="37">
      <c r="A114" s="73" t="n"/>
      <c r="B114" s="73" t="n"/>
      <c r="C114" s="73" t="n"/>
      <c r="D114" s="73" t="n"/>
      <c r="E114" s="73" t="n"/>
      <c r="F114" s="73" t="n"/>
      <c r="G114" s="73" t="n"/>
      <c r="H114" s="73" t="n"/>
      <c r="I114" s="73" t="n"/>
      <c r="J114" s="73" t="n"/>
      <c r="K114" s="73" t="n"/>
      <c r="L114" s="73" t="n"/>
      <c r="M114" s="73" t="n"/>
      <c r="N114" s="73" t="n"/>
      <c r="O114" s="73" t="n"/>
      <c r="P114" s="73" t="n"/>
      <c r="Q114" s="73" t="n"/>
      <c r="R114" s="73" t="n"/>
      <c r="S114" s="73" t="n"/>
      <c r="T114" s="73" t="n"/>
      <c r="U114" s="73" t="n"/>
      <c r="V114" s="73" t="n"/>
      <c r="W114" s="73" t="n"/>
      <c r="X114" s="73" t="n"/>
      <c r="Y114" s="73" t="n"/>
      <c r="Z114" s="73" t="n"/>
      <c r="AA114" s="73" t="n"/>
      <c r="AB114" s="73" t="n"/>
      <c r="AC114" s="73" t="n"/>
      <c r="AD114" s="73" t="n"/>
      <c r="AE114" s="73" t="n"/>
      <c r="AF114" s="73" t="n"/>
      <c r="AG114" s="73" t="n"/>
      <c r="AH114" s="73" t="n"/>
      <c r="AI114" s="73" t="n"/>
      <c r="AJ114" s="73" t="n"/>
      <c r="AK114" s="73" t="n"/>
      <c r="AL114" s="73" t="n"/>
      <c r="AM114" s="73" t="n"/>
      <c r="AN114" s="73" t="n"/>
      <c r="AO114" s="73" t="n"/>
      <c r="AP114" s="73" t="n"/>
      <c r="AQ114" s="73" t="n"/>
      <c r="AR114" s="73" t="n"/>
      <c r="AS114" s="73" t="n"/>
      <c r="AT114" s="73" t="n"/>
      <c r="AU114" s="73" t="n"/>
      <c r="AV114" s="73" t="n"/>
    </row>
    <row r="115" ht="16.5" customFormat="1" customHeight="1" s="37">
      <c r="A115" s="73" t="n"/>
      <c r="B115" s="73" t="n"/>
      <c r="C115" s="73" t="n"/>
      <c r="D115" s="73" t="n"/>
      <c r="E115" s="73" t="n"/>
      <c r="F115" s="73" t="n"/>
      <c r="G115" s="73" t="n"/>
      <c r="H115" s="73" t="n"/>
      <c r="I115" s="73" t="n"/>
      <c r="J115" s="73" t="n"/>
      <c r="K115" s="73" t="n"/>
      <c r="L115" s="73" t="n"/>
      <c r="M115" s="73" t="n"/>
      <c r="N115" s="73" t="n"/>
      <c r="O115" s="73" t="n"/>
      <c r="P115" s="73" t="n"/>
      <c r="Q115" s="73" t="n"/>
      <c r="R115" s="73" t="n"/>
      <c r="S115" s="73" t="n"/>
      <c r="T115" s="73" t="n"/>
      <c r="U115" s="73" t="n"/>
      <c r="V115" s="73" t="n"/>
      <c r="W115" s="73" t="n"/>
      <c r="X115" s="73" t="n"/>
      <c r="Y115" s="73" t="n"/>
      <c r="Z115" s="73" t="n"/>
      <c r="AA115" s="73" t="n"/>
      <c r="AB115" s="73" t="n"/>
      <c r="AC115" s="73" t="n"/>
      <c r="AD115" s="73" t="n"/>
      <c r="AE115" s="73" t="n"/>
      <c r="AF115" s="73" t="n"/>
      <c r="AG115" s="73" t="n"/>
      <c r="AH115" s="73" t="n"/>
      <c r="AI115" s="73" t="n"/>
      <c r="AJ115" s="73" t="n"/>
      <c r="AK115" s="73" t="n"/>
      <c r="AL115" s="73" t="n"/>
      <c r="AM115" s="73" t="n"/>
      <c r="AN115" s="73" t="n"/>
      <c r="AO115" s="73" t="n"/>
      <c r="AP115" s="73" t="n"/>
      <c r="AQ115" s="73" t="n"/>
      <c r="AR115" s="73" t="n"/>
      <c r="AS115" s="73" t="n"/>
      <c r="AT115" s="73" t="n"/>
      <c r="AU115" s="73" t="n"/>
      <c r="AV115" s="73" t="n"/>
    </row>
    <row r="116" ht="16.5" customFormat="1" customHeight="1" s="37">
      <c r="A116" s="73" t="n"/>
      <c r="B116" s="73" t="n"/>
      <c r="C116" s="73" t="n"/>
      <c r="D116" s="73" t="n"/>
      <c r="E116" s="73" t="n"/>
      <c r="F116" s="73" t="n"/>
      <c r="G116" s="73" t="n"/>
      <c r="H116" s="73" t="n"/>
      <c r="I116" s="73" t="n"/>
      <c r="J116" s="73" t="n"/>
      <c r="K116" s="73" t="n"/>
      <c r="L116" s="73" t="n"/>
      <c r="M116" s="73" t="n"/>
      <c r="N116" s="73" t="n"/>
      <c r="O116" s="73" t="n"/>
      <c r="P116" s="73" t="n"/>
      <c r="Q116" s="73" t="n"/>
      <c r="R116" s="73" t="n"/>
      <c r="S116" s="73" t="n"/>
      <c r="T116" s="73" t="n"/>
      <c r="U116" s="73" t="n"/>
      <c r="V116" s="73" t="n"/>
      <c r="W116" s="73" t="n"/>
      <c r="X116" s="73" t="n"/>
      <c r="Y116" s="73" t="n"/>
      <c r="Z116" s="73" t="n"/>
      <c r="AA116" s="73" t="n"/>
      <c r="AB116" s="73" t="n"/>
      <c r="AC116" s="73" t="n"/>
      <c r="AD116" s="73" t="n"/>
      <c r="AE116" s="73" t="n"/>
      <c r="AF116" s="73" t="n"/>
      <c r="AG116" s="73" t="n"/>
      <c r="AH116" s="73" t="n"/>
      <c r="AI116" s="73" t="n"/>
      <c r="AJ116" s="73" t="n"/>
      <c r="AK116" s="73" t="n"/>
      <c r="AL116" s="73" t="n"/>
      <c r="AM116" s="73" t="n"/>
      <c r="AN116" s="73" t="n"/>
      <c r="AO116" s="73" t="n"/>
      <c r="AP116" s="73" t="n"/>
      <c r="AQ116" s="73" t="n"/>
      <c r="AR116" s="73" t="n"/>
      <c r="AS116" s="73" t="n"/>
      <c r="AT116" s="73" t="n"/>
      <c r="AU116" s="73" t="n"/>
      <c r="AV116" s="73" t="n"/>
    </row>
    <row r="117" ht="16.5" customFormat="1" customHeight="1" s="37">
      <c r="A117" s="73" t="n"/>
      <c r="B117" s="73" t="n"/>
      <c r="C117" s="73" t="n"/>
      <c r="D117" s="73" t="n"/>
      <c r="E117" s="73" t="n"/>
      <c r="F117" s="73" t="n"/>
      <c r="G117" s="73" t="n"/>
      <c r="H117" s="73" t="n"/>
      <c r="I117" s="73" t="n"/>
      <c r="J117" s="73" t="n"/>
      <c r="K117" s="73" t="n"/>
      <c r="L117" s="73" t="n"/>
      <c r="M117" s="73" t="n"/>
      <c r="N117" s="73" t="n"/>
      <c r="O117" s="73" t="n"/>
      <c r="P117" s="73" t="n"/>
      <c r="Q117" s="73" t="n"/>
      <c r="R117" s="73" t="n"/>
      <c r="S117" s="73" t="n"/>
      <c r="T117" s="73" t="n"/>
      <c r="U117" s="73" t="n"/>
      <c r="V117" s="73" t="n"/>
      <c r="W117" s="73" t="n"/>
      <c r="X117" s="73" t="n"/>
      <c r="Y117" s="73" t="n"/>
      <c r="Z117" s="73" t="n"/>
      <c r="AA117" s="73" t="n"/>
      <c r="AB117" s="73" t="n"/>
      <c r="AC117" s="73" t="n"/>
      <c r="AD117" s="73" t="n"/>
      <c r="AE117" s="73" t="n"/>
      <c r="AF117" s="73" t="n"/>
      <c r="AG117" s="73" t="n"/>
      <c r="AH117" s="73" t="n"/>
      <c r="AI117" s="73" t="n"/>
      <c r="AJ117" s="73" t="n"/>
      <c r="AK117" s="73" t="n"/>
      <c r="AL117" s="73" t="n"/>
      <c r="AM117" s="73" t="n"/>
      <c r="AN117" s="73" t="n"/>
      <c r="AO117" s="73" t="n"/>
      <c r="AP117" s="73" t="n"/>
      <c r="AQ117" s="73" t="n"/>
      <c r="AR117" s="73" t="n"/>
      <c r="AS117" s="73" t="n"/>
      <c r="AT117" s="73" t="n"/>
      <c r="AU117" s="73" t="n"/>
      <c r="AV117" s="73" t="n"/>
    </row>
    <row r="118" ht="16.5" customFormat="1" customHeight="1" s="37">
      <c r="A118" s="73" t="n"/>
      <c r="B118" s="73" t="n"/>
      <c r="C118" s="73" t="n"/>
      <c r="D118" s="73" t="n"/>
      <c r="E118" s="73" t="n"/>
      <c r="F118" s="73" t="n"/>
      <c r="G118" s="73" t="n"/>
      <c r="H118" s="73" t="n"/>
      <c r="I118" s="73" t="n"/>
      <c r="J118" s="73" t="n"/>
      <c r="K118" s="73" t="n"/>
      <c r="L118" s="73" t="n"/>
      <c r="M118" s="73" t="n"/>
      <c r="N118" s="73" t="n"/>
      <c r="O118" s="73" t="n"/>
      <c r="P118" s="73" t="n"/>
      <c r="Q118" s="73" t="n"/>
      <c r="R118" s="73" t="n"/>
      <c r="S118" s="73" t="n"/>
      <c r="T118" s="73" t="n"/>
      <c r="U118" s="73" t="n"/>
      <c r="V118" s="73" t="n"/>
      <c r="W118" s="73" t="n"/>
      <c r="X118" s="73" t="n"/>
      <c r="Y118" s="73" t="n"/>
      <c r="Z118" s="73" t="n"/>
      <c r="AA118" s="73" t="n"/>
      <c r="AB118" s="73" t="n"/>
      <c r="AC118" s="73" t="n"/>
      <c r="AD118" s="73" t="n"/>
      <c r="AE118" s="73" t="n"/>
      <c r="AF118" s="73" t="n"/>
      <c r="AG118" s="73" t="n"/>
      <c r="AH118" s="73" t="n"/>
      <c r="AI118" s="73" t="n"/>
      <c r="AJ118" s="73" t="n"/>
      <c r="AK118" s="73" t="n"/>
      <c r="AL118" s="73" t="n"/>
      <c r="AM118" s="73" t="n"/>
      <c r="AN118" s="73" t="n"/>
      <c r="AO118" s="73" t="n"/>
      <c r="AP118" s="73" t="n"/>
      <c r="AQ118" s="73" t="n"/>
      <c r="AR118" s="73" t="n"/>
      <c r="AS118" s="73" t="n"/>
      <c r="AT118" s="73" t="n"/>
      <c r="AU118" s="73" t="n"/>
      <c r="AV118" s="73" t="n"/>
    </row>
    <row r="119" ht="16.5" customFormat="1" customHeight="1" s="37">
      <c r="A119" s="73" t="n"/>
      <c r="B119" s="73" t="n"/>
      <c r="C119" s="73" t="n"/>
      <c r="D119" s="73" t="n"/>
      <c r="E119" s="73" t="n"/>
      <c r="F119" s="73" t="n"/>
      <c r="G119" s="73" t="n"/>
      <c r="H119" s="73" t="n"/>
      <c r="I119" s="73" t="n"/>
      <c r="J119" s="73" t="n"/>
      <c r="K119" s="73" t="n"/>
      <c r="L119" s="73" t="n"/>
      <c r="M119" s="73" t="n"/>
      <c r="N119" s="73" t="n"/>
      <c r="O119" s="73" t="n"/>
      <c r="P119" s="73" t="n"/>
      <c r="Q119" s="73" t="n"/>
      <c r="R119" s="73" t="n"/>
      <c r="S119" s="73" t="n"/>
      <c r="T119" s="73" t="n"/>
      <c r="U119" s="73" t="n"/>
      <c r="V119" s="73" t="n"/>
      <c r="W119" s="73" t="n"/>
      <c r="X119" s="73" t="n"/>
      <c r="Y119" s="73" t="n"/>
      <c r="Z119" s="73" t="n"/>
      <c r="AA119" s="73" t="n"/>
      <c r="AB119" s="73" t="n"/>
      <c r="AC119" s="73" t="n"/>
      <c r="AD119" s="73" t="n"/>
      <c r="AE119" s="73" t="n"/>
      <c r="AF119" s="73" t="n"/>
      <c r="AG119" s="73" t="n"/>
      <c r="AH119" s="73" t="n"/>
      <c r="AI119" s="73" t="n"/>
      <c r="AJ119" s="73" t="n"/>
      <c r="AK119" s="73" t="n"/>
      <c r="AL119" s="73" t="n"/>
      <c r="AM119" s="73" t="n"/>
      <c r="AN119" s="73" t="n"/>
      <c r="AO119" s="73" t="n"/>
      <c r="AP119" s="73" t="n"/>
      <c r="AQ119" s="73" t="n"/>
      <c r="AR119" s="73" t="n"/>
      <c r="AS119" s="73" t="n"/>
      <c r="AT119" s="73" t="n"/>
      <c r="AU119" s="73" t="n"/>
      <c r="AV119" s="73" t="n"/>
    </row>
    <row r="120" ht="16.5" customFormat="1" customHeight="1" s="37">
      <c r="A120" s="73" t="n"/>
      <c r="B120" s="73" t="n"/>
      <c r="C120" s="73" t="n"/>
      <c r="D120" s="73" t="n"/>
      <c r="E120" s="73" t="n"/>
      <c r="F120" s="73" t="n"/>
      <c r="G120" s="73" t="n"/>
      <c r="H120" s="73" t="n"/>
      <c r="I120" s="73" t="n"/>
      <c r="J120" s="73" t="n"/>
      <c r="K120" s="73" t="n"/>
      <c r="L120" s="73" t="n"/>
      <c r="M120" s="73" t="n"/>
      <c r="N120" s="73" t="n"/>
      <c r="O120" s="73" t="n"/>
      <c r="P120" s="73" t="n"/>
      <c r="Q120" s="73" t="n"/>
      <c r="R120" s="73" t="n"/>
      <c r="S120" s="73" t="n"/>
      <c r="T120" s="73" t="n"/>
      <c r="U120" s="73" t="n"/>
      <c r="V120" s="73" t="n"/>
      <c r="W120" s="73" t="n"/>
      <c r="X120" s="73" t="n"/>
      <c r="Y120" s="73" t="n"/>
      <c r="Z120" s="73" t="n"/>
      <c r="AA120" s="73" t="n"/>
      <c r="AB120" s="73" t="n"/>
      <c r="AC120" s="73" t="n"/>
      <c r="AD120" s="73" t="n"/>
      <c r="AE120" s="73" t="n"/>
      <c r="AF120" s="73" t="n"/>
      <c r="AG120" s="73" t="n"/>
      <c r="AH120" s="73" t="n"/>
      <c r="AI120" s="73" t="n"/>
      <c r="AJ120" s="73" t="n"/>
      <c r="AK120" s="73" t="n"/>
      <c r="AL120" s="73" t="n"/>
      <c r="AM120" s="73" t="n"/>
      <c r="AN120" s="73" t="n"/>
      <c r="AO120" s="73" t="n"/>
      <c r="AP120" s="73" t="n"/>
      <c r="AQ120" s="73" t="n"/>
      <c r="AR120" s="73" t="n"/>
      <c r="AS120" s="73" t="n"/>
      <c r="AT120" s="73" t="n"/>
      <c r="AU120" s="73" t="n"/>
      <c r="AV120" s="73" t="n"/>
    </row>
    <row r="121" ht="16.5" customFormat="1" customHeight="1" s="37">
      <c r="A121" s="73" t="n"/>
      <c r="B121" s="73" t="n"/>
      <c r="C121" s="73" t="n"/>
      <c r="D121" s="73" t="n"/>
      <c r="E121" s="73" t="n"/>
      <c r="F121" s="73" t="n"/>
      <c r="G121" s="73" t="n"/>
      <c r="H121" s="73" t="n"/>
      <c r="I121" s="73" t="n"/>
      <c r="J121" s="73" t="n"/>
      <c r="K121" s="73" t="n"/>
      <c r="L121" s="73" t="n"/>
      <c r="M121" s="73" t="n"/>
      <c r="N121" s="73" t="n"/>
      <c r="O121" s="73" t="n"/>
      <c r="P121" s="73" t="n"/>
      <c r="Q121" s="73" t="n"/>
      <c r="R121" s="73" t="n"/>
      <c r="S121" s="73" t="n"/>
      <c r="T121" s="73" t="n"/>
      <c r="U121" s="73" t="n"/>
      <c r="V121" s="73" t="n"/>
      <c r="W121" s="73" t="n"/>
      <c r="X121" s="73" t="n"/>
      <c r="Y121" s="73" t="n"/>
      <c r="Z121" s="73" t="n"/>
      <c r="AA121" s="73" t="n"/>
      <c r="AB121" s="73" t="n"/>
      <c r="AC121" s="73" t="n"/>
      <c r="AD121" s="73" t="n"/>
      <c r="AE121" s="73" t="n"/>
      <c r="AF121" s="73" t="n"/>
      <c r="AG121" s="73" t="n"/>
      <c r="AH121" s="73" t="n"/>
      <c r="AI121" s="73" t="n"/>
      <c r="AJ121" s="73" t="n"/>
      <c r="AK121" s="73" t="n"/>
      <c r="AL121" s="73" t="n"/>
      <c r="AM121" s="73" t="n"/>
      <c r="AN121" s="73" t="n"/>
      <c r="AO121" s="73" t="n"/>
      <c r="AP121" s="73" t="n"/>
      <c r="AQ121" s="73" t="n"/>
      <c r="AR121" s="73" t="n"/>
      <c r="AS121" s="73" t="n"/>
      <c r="AT121" s="73" t="n"/>
      <c r="AU121" s="73" t="n"/>
      <c r="AV121" s="73" t="n"/>
    </row>
    <row r="122" ht="16.5" customFormat="1" customHeight="1" s="37">
      <c r="A122" s="73" t="n"/>
      <c r="B122" s="73" t="n"/>
      <c r="C122" s="73" t="n"/>
      <c r="D122" s="73" t="n"/>
      <c r="E122" s="73" t="n"/>
      <c r="F122" s="73" t="n"/>
      <c r="G122" s="73" t="n"/>
      <c r="H122" s="73" t="n"/>
      <c r="I122" s="73" t="n"/>
      <c r="J122" s="73" t="n"/>
      <c r="K122" s="73" t="n"/>
      <c r="L122" s="73" t="n"/>
      <c r="M122" s="73" t="n"/>
      <c r="N122" s="73" t="n"/>
      <c r="O122" s="73" t="n"/>
      <c r="P122" s="73" t="n"/>
      <c r="Q122" s="73" t="n"/>
      <c r="R122" s="73" t="n"/>
      <c r="S122" s="73" t="n"/>
      <c r="T122" s="73" t="n"/>
      <c r="U122" s="73" t="n"/>
      <c r="V122" s="73" t="n"/>
      <c r="W122" s="73" t="n"/>
      <c r="X122" s="73" t="n"/>
      <c r="Y122" s="73" t="n"/>
      <c r="Z122" s="73" t="n"/>
      <c r="AA122" s="73" t="n"/>
      <c r="AB122" s="73" t="n"/>
      <c r="AC122" s="73" t="n"/>
      <c r="AD122" s="73" t="n"/>
      <c r="AE122" s="73" t="n"/>
      <c r="AF122" s="73" t="n"/>
      <c r="AG122" s="73" t="n"/>
      <c r="AH122" s="73" t="n"/>
      <c r="AI122" s="73" t="n"/>
      <c r="AJ122" s="73" t="n"/>
      <c r="AK122" s="73" t="n"/>
      <c r="AL122" s="73" t="n"/>
      <c r="AM122" s="73" t="n"/>
      <c r="AN122" s="73" t="n"/>
      <c r="AO122" s="73" t="n"/>
      <c r="AP122" s="73" t="n"/>
      <c r="AQ122" s="73" t="n"/>
      <c r="AR122" s="73" t="n"/>
      <c r="AS122" s="73" t="n"/>
      <c r="AT122" s="73" t="n"/>
      <c r="AU122" s="73" t="n"/>
      <c r="AV122" s="73" t="n"/>
    </row>
    <row r="123" ht="16.5" customFormat="1" customHeight="1" s="37">
      <c r="A123" s="73" t="n"/>
      <c r="B123" s="73" t="n"/>
      <c r="C123" s="73" t="n"/>
      <c r="D123" s="73" t="n"/>
      <c r="E123" s="73" t="n"/>
      <c r="F123" s="73" t="n"/>
      <c r="G123" s="73" t="n"/>
      <c r="H123" s="73" t="n"/>
      <c r="I123" s="73" t="n"/>
      <c r="J123" s="73" t="n"/>
      <c r="K123" s="73" t="n"/>
      <c r="L123" s="73" t="n"/>
      <c r="M123" s="73" t="n"/>
      <c r="N123" s="73" t="n"/>
      <c r="O123" s="73" t="n"/>
      <c r="P123" s="73" t="n"/>
      <c r="Q123" s="73" t="n"/>
      <c r="R123" s="73" t="n"/>
      <c r="S123" s="73" t="n"/>
      <c r="T123" s="73" t="n"/>
      <c r="U123" s="73" t="n"/>
      <c r="V123" s="73" t="n"/>
      <c r="W123" s="73" t="n"/>
      <c r="X123" s="73" t="n"/>
      <c r="Y123" s="73" t="n"/>
      <c r="Z123" s="73" t="n"/>
      <c r="AA123" s="73" t="n"/>
      <c r="AB123" s="73" t="n"/>
      <c r="AC123" s="73" t="n"/>
      <c r="AD123" s="73" t="n"/>
      <c r="AE123" s="73" t="n"/>
      <c r="AF123" s="73" t="n"/>
      <c r="AG123" s="73" t="n"/>
      <c r="AH123" s="73" t="n"/>
      <c r="AI123" s="73" t="n"/>
      <c r="AJ123" s="73" t="n"/>
      <c r="AK123" s="73" t="n"/>
      <c r="AL123" s="73" t="n"/>
      <c r="AM123" s="73" t="n"/>
      <c r="AN123" s="73" t="n"/>
      <c r="AO123" s="73" t="n"/>
      <c r="AP123" s="73" t="n"/>
      <c r="AQ123" s="73" t="n"/>
      <c r="AR123" s="73" t="n"/>
      <c r="AS123" s="73" t="n"/>
      <c r="AT123" s="73" t="n"/>
      <c r="AU123" s="73" t="n"/>
      <c r="AV123" s="73" t="n"/>
    </row>
    <row r="124" ht="16.5" customFormat="1" customHeight="1" s="37">
      <c r="A124" s="73" t="n"/>
      <c r="B124" s="73" t="n"/>
      <c r="C124" s="73" t="n"/>
      <c r="D124" s="73" t="n"/>
      <c r="E124" s="73" t="n"/>
      <c r="F124" s="73" t="n"/>
      <c r="G124" s="73" t="n"/>
      <c r="H124" s="73" t="n"/>
      <c r="I124" s="73" t="n"/>
      <c r="J124" s="73" t="n"/>
      <c r="K124" s="73" t="n"/>
      <c r="L124" s="73" t="n"/>
      <c r="M124" s="73" t="n"/>
      <c r="N124" s="73" t="n"/>
      <c r="O124" s="73" t="n"/>
      <c r="P124" s="73" t="n"/>
      <c r="Q124" s="73" t="n"/>
      <c r="R124" s="73" t="n"/>
      <c r="S124" s="73" t="n"/>
      <c r="T124" s="73" t="n"/>
      <c r="U124" s="73" t="n"/>
      <c r="V124" s="73" t="n"/>
      <c r="W124" s="73" t="n"/>
      <c r="X124" s="73" t="n"/>
      <c r="Y124" s="73" t="n"/>
      <c r="Z124" s="73" t="n"/>
      <c r="AA124" s="73" t="n"/>
      <c r="AB124" s="73" t="n"/>
      <c r="AC124" s="73" t="n"/>
      <c r="AD124" s="73" t="n"/>
      <c r="AE124" s="73" t="n"/>
      <c r="AF124" s="73" t="n"/>
      <c r="AG124" s="73" t="n"/>
      <c r="AH124" s="73" t="n"/>
      <c r="AI124" s="73" t="n"/>
      <c r="AJ124" s="73" t="n"/>
      <c r="AK124" s="73" t="n"/>
      <c r="AL124" s="73" t="n"/>
      <c r="AM124" s="73" t="n"/>
      <c r="AN124" s="73" t="n"/>
      <c r="AO124" s="73" t="n"/>
      <c r="AP124" s="73" t="n"/>
      <c r="AQ124" s="73" t="n"/>
      <c r="AR124" s="73" t="n"/>
      <c r="AS124" s="73" t="n"/>
      <c r="AT124" s="73" t="n"/>
      <c r="AU124" s="73" t="n"/>
      <c r="AV124" s="73" t="n"/>
    </row>
    <row r="125" ht="16.5" customFormat="1" customHeight="1" s="37">
      <c r="A125" s="73" t="n"/>
      <c r="B125" s="73" t="n"/>
      <c r="C125" s="73" t="n"/>
      <c r="D125" s="73" t="n"/>
      <c r="E125" s="73" t="n"/>
      <c r="F125" s="73" t="n"/>
      <c r="G125" s="73" t="n"/>
      <c r="H125" s="73" t="n"/>
      <c r="I125" s="73" t="n"/>
      <c r="J125" s="73" t="n"/>
      <c r="K125" s="73" t="n"/>
      <c r="L125" s="73" t="n"/>
      <c r="M125" s="73" t="n"/>
      <c r="N125" s="73" t="n"/>
      <c r="O125" s="73" t="n"/>
      <c r="P125" s="73" t="n"/>
      <c r="Q125" s="73" t="n"/>
      <c r="R125" s="73" t="n"/>
      <c r="S125" s="73" t="n"/>
      <c r="T125" s="73" t="n"/>
      <c r="U125" s="73" t="n"/>
      <c r="V125" s="73" t="n"/>
      <c r="W125" s="73" t="n"/>
      <c r="X125" s="73" t="n"/>
      <c r="Y125" s="73" t="n"/>
      <c r="Z125" s="73" t="n"/>
      <c r="AA125" s="73" t="n"/>
      <c r="AB125" s="73" t="n"/>
      <c r="AC125" s="73" t="n"/>
      <c r="AD125" s="73" t="n"/>
      <c r="AE125" s="73" t="n"/>
      <c r="AF125" s="73" t="n"/>
      <c r="AG125" s="73" t="n"/>
      <c r="AH125" s="73" t="n"/>
      <c r="AI125" s="73" t="n"/>
      <c r="AJ125" s="73" t="n"/>
      <c r="AK125" s="73" t="n"/>
      <c r="AL125" s="73" t="n"/>
      <c r="AM125" s="73" t="n"/>
      <c r="AN125" s="73" t="n"/>
      <c r="AO125" s="73" t="n"/>
      <c r="AP125" s="73" t="n"/>
      <c r="AQ125" s="73" t="n"/>
      <c r="AR125" s="73" t="n"/>
      <c r="AS125" s="73" t="n"/>
      <c r="AT125" s="73" t="n"/>
      <c r="AU125" s="73" t="n"/>
      <c r="AV125" s="73" t="n"/>
    </row>
    <row r="126" ht="16.5" customFormat="1" customHeight="1" s="37">
      <c r="A126" s="73" t="n"/>
      <c r="B126" s="73" t="n"/>
      <c r="C126" s="73" t="n"/>
      <c r="D126" s="73" t="n"/>
      <c r="E126" s="73" t="n"/>
      <c r="F126" s="73" t="n"/>
      <c r="G126" s="73" t="n"/>
      <c r="H126" s="73" t="n"/>
      <c r="I126" s="73" t="n"/>
      <c r="J126" s="73" t="n"/>
      <c r="K126" s="73" t="n"/>
      <c r="L126" s="73" t="n"/>
      <c r="M126" s="73" t="n"/>
      <c r="N126" s="73" t="n"/>
      <c r="O126" s="73" t="n"/>
      <c r="P126" s="73" t="n"/>
      <c r="Q126" s="73" t="n"/>
      <c r="R126" s="73" t="n"/>
      <c r="S126" s="73" t="n"/>
      <c r="T126" s="73" t="n"/>
      <c r="U126" s="73" t="n"/>
      <c r="V126" s="73" t="n"/>
      <c r="W126" s="73" t="n"/>
      <c r="X126" s="73" t="n"/>
      <c r="Y126" s="73" t="n"/>
      <c r="Z126" s="73" t="n"/>
      <c r="AA126" s="73" t="n"/>
      <c r="AB126" s="73" t="n"/>
      <c r="AC126" s="73" t="n"/>
      <c r="AD126" s="73" t="n"/>
      <c r="AE126" s="73" t="n"/>
      <c r="AF126" s="73" t="n"/>
      <c r="AG126" s="73" t="n"/>
      <c r="AH126" s="73" t="n"/>
      <c r="AI126" s="73" t="n"/>
      <c r="AJ126" s="73" t="n"/>
      <c r="AK126" s="73" t="n"/>
      <c r="AL126" s="73" t="n"/>
      <c r="AM126" s="73" t="n"/>
      <c r="AN126" s="73" t="n"/>
      <c r="AO126" s="73" t="n"/>
      <c r="AP126" s="73" t="n"/>
      <c r="AQ126" s="73" t="n"/>
      <c r="AR126" s="73" t="n"/>
      <c r="AS126" s="73" t="n"/>
      <c r="AT126" s="73" t="n"/>
      <c r="AU126" s="73" t="n"/>
      <c r="AV126" s="73" t="n"/>
    </row>
    <row r="127" ht="16.5" customFormat="1" customHeight="1" s="37">
      <c r="A127" s="73" t="n"/>
      <c r="B127" s="73" t="n"/>
      <c r="C127" s="73" t="n"/>
      <c r="D127" s="73" t="n"/>
      <c r="E127" s="73" t="n"/>
      <c r="F127" s="73" t="n"/>
      <c r="G127" s="73" t="n"/>
      <c r="H127" s="73" t="n"/>
      <c r="I127" s="73" t="n"/>
      <c r="J127" s="73" t="n"/>
      <c r="K127" s="73" t="n"/>
      <c r="L127" s="73" t="n"/>
      <c r="M127" s="73" t="n"/>
      <c r="N127" s="73" t="n"/>
      <c r="O127" s="73" t="n"/>
      <c r="P127" s="73" t="n"/>
      <c r="Q127" s="73" t="n"/>
      <c r="R127" s="73" t="n"/>
      <c r="S127" s="73" t="n"/>
      <c r="T127" s="73" t="n"/>
      <c r="U127" s="73" t="n"/>
      <c r="V127" s="73" t="n"/>
      <c r="W127" s="73" t="n"/>
      <c r="X127" s="73" t="n"/>
      <c r="Y127" s="73" t="n"/>
      <c r="Z127" s="73" t="n"/>
      <c r="AA127" s="73" t="n"/>
      <c r="AB127" s="73" t="n"/>
      <c r="AC127" s="73" t="n"/>
      <c r="AD127" s="73" t="n"/>
      <c r="AE127" s="73" t="n"/>
      <c r="AF127" s="73" t="n"/>
      <c r="AG127" s="73" t="n"/>
      <c r="AH127" s="73" t="n"/>
      <c r="AI127" s="73" t="n"/>
      <c r="AJ127" s="73" t="n"/>
      <c r="AK127" s="73" t="n"/>
      <c r="AL127" s="73" t="n"/>
      <c r="AM127" s="73" t="n"/>
      <c r="AN127" s="73" t="n"/>
      <c r="AO127" s="73" t="n"/>
      <c r="AP127" s="73" t="n"/>
      <c r="AQ127" s="73" t="n"/>
      <c r="AR127" s="73" t="n"/>
      <c r="AS127" s="73" t="n"/>
      <c r="AT127" s="73" t="n"/>
      <c r="AU127" s="73" t="n"/>
      <c r="AV127" s="73" t="n"/>
    </row>
    <row r="128" ht="16.5" customFormat="1" customHeight="1" s="37">
      <c r="A128" s="73" t="n"/>
      <c r="B128" s="73" t="n"/>
      <c r="C128" s="73" t="n"/>
      <c r="D128" s="73" t="n"/>
      <c r="E128" s="73" t="n"/>
      <c r="F128" s="73" t="n"/>
      <c r="G128" s="73" t="n"/>
      <c r="H128" s="73" t="n"/>
      <c r="I128" s="73" t="n"/>
      <c r="J128" s="73" t="n"/>
      <c r="K128" s="73" t="n"/>
      <c r="L128" s="73" t="n"/>
      <c r="M128" s="73" t="n"/>
      <c r="N128" s="73" t="n"/>
      <c r="O128" s="73" t="n"/>
      <c r="P128" s="73" t="n"/>
      <c r="Q128" s="73" t="n"/>
      <c r="R128" s="73" t="n"/>
      <c r="S128" s="73" t="n"/>
      <c r="T128" s="73" t="n"/>
      <c r="U128" s="73" t="n"/>
      <c r="V128" s="73" t="n"/>
      <c r="W128" s="73" t="n"/>
      <c r="X128" s="73" t="n"/>
      <c r="Y128" s="73" t="n"/>
      <c r="Z128" s="73" t="n"/>
      <c r="AA128" s="73" t="n"/>
      <c r="AB128" s="73" t="n"/>
      <c r="AC128" s="73" t="n"/>
      <c r="AD128" s="73" t="n"/>
      <c r="AE128" s="73" t="n"/>
      <c r="AF128" s="73" t="n"/>
      <c r="AG128" s="73" t="n"/>
      <c r="AH128" s="73" t="n"/>
      <c r="AI128" s="73" t="n"/>
      <c r="AJ128" s="73" t="n"/>
      <c r="AK128" s="73" t="n"/>
      <c r="AL128" s="73" t="n"/>
      <c r="AM128" s="73" t="n"/>
      <c r="AN128" s="73" t="n"/>
      <c r="AO128" s="73" t="n"/>
      <c r="AP128" s="73" t="n"/>
      <c r="AQ128" s="73" t="n"/>
      <c r="AR128" s="73" t="n"/>
      <c r="AS128" s="73" t="n"/>
      <c r="AT128" s="73" t="n"/>
      <c r="AU128" s="73" t="n"/>
      <c r="AV128" s="73" t="n"/>
    </row>
    <row r="129" ht="16.5" customFormat="1" customHeight="1" s="37">
      <c r="A129" s="73" t="n"/>
      <c r="B129" s="73" t="n"/>
      <c r="C129" s="73" t="n"/>
      <c r="D129" s="73" t="n"/>
      <c r="E129" s="73" t="n"/>
      <c r="F129" s="73" t="n"/>
      <c r="G129" s="73" t="n"/>
      <c r="H129" s="73" t="n"/>
      <c r="I129" s="73" t="n"/>
      <c r="J129" s="73" t="n"/>
      <c r="K129" s="73" t="n"/>
      <c r="L129" s="73" t="n"/>
      <c r="M129" s="73" t="n"/>
      <c r="N129" s="73" t="n"/>
      <c r="O129" s="73" t="n"/>
      <c r="P129" s="73" t="n"/>
      <c r="Q129" s="73" t="n"/>
      <c r="R129" s="73" t="n"/>
      <c r="S129" s="73" t="n"/>
      <c r="T129" s="73" t="n"/>
      <c r="U129" s="73" t="n"/>
      <c r="V129" s="73" t="n"/>
      <c r="W129" s="73" t="n"/>
      <c r="X129" s="73" t="n"/>
      <c r="Y129" s="73" t="n"/>
      <c r="Z129" s="73" t="n"/>
      <c r="AA129" s="73" t="n"/>
      <c r="AB129" s="73" t="n"/>
      <c r="AC129" s="73" t="n"/>
      <c r="AD129" s="73" t="n"/>
      <c r="AE129" s="73" t="n"/>
      <c r="AF129" s="73" t="n"/>
      <c r="AG129" s="73" t="n"/>
      <c r="AH129" s="73" t="n"/>
      <c r="AI129" s="73" t="n"/>
      <c r="AJ129" s="73" t="n"/>
      <c r="AK129" s="73" t="n"/>
      <c r="AL129" s="73" t="n"/>
      <c r="AM129" s="73" t="n"/>
      <c r="AN129" s="73" t="n"/>
      <c r="AO129" s="73" t="n"/>
      <c r="AP129" s="73" t="n"/>
      <c r="AQ129" s="73" t="n"/>
      <c r="AR129" s="73" t="n"/>
      <c r="AS129" s="73" t="n"/>
      <c r="AT129" s="73" t="n"/>
      <c r="AU129" s="73" t="n"/>
      <c r="AV129" s="73" t="n"/>
    </row>
    <row r="130" ht="16.5" customFormat="1" customHeight="1" s="37">
      <c r="A130" s="73" t="n"/>
      <c r="B130" s="73" t="n"/>
      <c r="C130" s="73" t="n"/>
      <c r="D130" s="73" t="n"/>
      <c r="E130" s="73" t="n"/>
      <c r="F130" s="73" t="n"/>
      <c r="G130" s="73" t="n"/>
      <c r="H130" s="73" t="n"/>
      <c r="I130" s="73" t="n"/>
      <c r="J130" s="73" t="n"/>
      <c r="K130" s="73" t="n"/>
      <c r="L130" s="73" t="n"/>
      <c r="M130" s="73" t="n"/>
      <c r="N130" s="73" t="n"/>
      <c r="O130" s="73" t="n"/>
      <c r="P130" s="73" t="n"/>
      <c r="Q130" s="73" t="n"/>
      <c r="R130" s="73" t="n"/>
      <c r="S130" s="73" t="n"/>
      <c r="T130" s="73" t="n"/>
      <c r="U130" s="73" t="n"/>
      <c r="V130" s="73" t="n"/>
      <c r="W130" s="73" t="n"/>
      <c r="X130" s="73" t="n"/>
      <c r="Y130" s="73" t="n"/>
      <c r="Z130" s="73" t="n"/>
      <c r="AA130" s="73" t="n"/>
      <c r="AB130" s="73" t="n"/>
      <c r="AC130" s="73" t="n"/>
      <c r="AD130" s="73" t="n"/>
      <c r="AE130" s="73" t="n"/>
      <c r="AF130" s="73" t="n"/>
      <c r="AG130" s="73" t="n"/>
      <c r="AH130" s="73" t="n"/>
      <c r="AI130" s="73" t="n"/>
      <c r="AJ130" s="73" t="n"/>
      <c r="AK130" s="73" t="n"/>
      <c r="AL130" s="73" t="n"/>
      <c r="AM130" s="73" t="n"/>
      <c r="AN130" s="73" t="n"/>
      <c r="AO130" s="73" t="n"/>
      <c r="AP130" s="73" t="n"/>
      <c r="AQ130" s="73" t="n"/>
      <c r="AR130" s="73" t="n"/>
      <c r="AS130" s="73" t="n"/>
      <c r="AT130" s="73" t="n"/>
      <c r="AU130" s="73" t="n"/>
      <c r="AV130" s="73" t="n"/>
    </row>
    <row r="131" ht="16.5" customFormat="1" customHeight="1" s="37">
      <c r="A131" s="73" t="n"/>
      <c r="B131" s="73" t="n"/>
      <c r="C131" s="73" t="n"/>
      <c r="D131" s="73" t="n"/>
      <c r="E131" s="73" t="n"/>
      <c r="F131" s="73" t="n"/>
      <c r="G131" s="73" t="n"/>
      <c r="H131" s="73" t="n"/>
      <c r="I131" s="73" t="n"/>
      <c r="J131" s="73" t="n"/>
      <c r="K131" s="73" t="n"/>
      <c r="L131" s="73" t="n"/>
      <c r="M131" s="73" t="n"/>
      <c r="N131" s="73" t="n"/>
      <c r="O131" s="73" t="n"/>
      <c r="P131" s="73" t="n"/>
      <c r="Q131" s="73" t="n"/>
      <c r="R131" s="73" t="n"/>
      <c r="S131" s="73" t="n"/>
      <c r="T131" s="73" t="n"/>
      <c r="U131" s="73" t="n"/>
      <c r="V131" s="73" t="n"/>
      <c r="W131" s="73" t="n"/>
      <c r="X131" s="73" t="n"/>
      <c r="Y131" s="73" t="n"/>
      <c r="Z131" s="73" t="n"/>
      <c r="AA131" s="73" t="n"/>
      <c r="AB131" s="73" t="n"/>
      <c r="AC131" s="73" t="n"/>
      <c r="AD131" s="73" t="n"/>
      <c r="AE131" s="73" t="n"/>
      <c r="AF131" s="73" t="n"/>
      <c r="AG131" s="73" t="n"/>
      <c r="AH131" s="73" t="n"/>
      <c r="AI131" s="73" t="n"/>
      <c r="AJ131" s="73" t="n"/>
      <c r="AK131" s="73" t="n"/>
      <c r="AL131" s="73" t="n"/>
      <c r="AM131" s="73" t="n"/>
      <c r="AN131" s="73" t="n"/>
      <c r="AO131" s="73" t="n"/>
      <c r="AP131" s="73" t="n"/>
      <c r="AQ131" s="73" t="n"/>
      <c r="AR131" s="73" t="n"/>
      <c r="AS131" s="73" t="n"/>
      <c r="AT131" s="73" t="n"/>
      <c r="AU131" s="73" t="n"/>
      <c r="AV131" s="73" t="n"/>
    </row>
    <row r="132" ht="16.5" customFormat="1" customHeight="1" s="37">
      <c r="A132" s="73" t="n"/>
      <c r="B132" s="73" t="n"/>
      <c r="C132" s="73" t="n"/>
      <c r="D132" s="73" t="n"/>
      <c r="E132" s="73" t="n"/>
      <c r="F132" s="73" t="n"/>
      <c r="G132" s="73" t="n"/>
      <c r="H132" s="73" t="n"/>
      <c r="I132" s="73" t="n"/>
      <c r="J132" s="73" t="n"/>
      <c r="K132" s="73" t="n"/>
      <c r="L132" s="73" t="n"/>
      <c r="M132" s="73" t="n"/>
      <c r="N132" s="73" t="n"/>
      <c r="O132" s="73" t="n"/>
      <c r="P132" s="73" t="n"/>
      <c r="Q132" s="73" t="n"/>
      <c r="R132" s="73" t="n"/>
      <c r="S132" s="73" t="n"/>
      <c r="T132" s="73" t="n"/>
      <c r="U132" s="73" t="n"/>
      <c r="V132" s="73" t="n"/>
      <c r="W132" s="73" t="n"/>
      <c r="X132" s="73" t="n"/>
      <c r="Y132" s="73" t="n"/>
      <c r="Z132" s="73" t="n"/>
      <c r="AA132" s="73" t="n"/>
      <c r="AB132" s="73" t="n"/>
      <c r="AC132" s="73" t="n"/>
      <c r="AD132" s="73" t="n"/>
      <c r="AE132" s="73" t="n"/>
      <c r="AF132" s="73" t="n"/>
      <c r="AG132" s="73" t="n"/>
      <c r="AH132" s="73" t="n"/>
      <c r="AI132" s="73" t="n"/>
      <c r="AJ132" s="73" t="n"/>
      <c r="AK132" s="73" t="n"/>
      <c r="AL132" s="73" t="n"/>
      <c r="AM132" s="73" t="n"/>
      <c r="AN132" s="73" t="n"/>
      <c r="AO132" s="73" t="n"/>
      <c r="AP132" s="73" t="n"/>
      <c r="AQ132" s="73" t="n"/>
      <c r="AR132" s="73" t="n"/>
      <c r="AS132" s="73" t="n"/>
      <c r="AT132" s="73" t="n"/>
      <c r="AU132" s="73" t="n"/>
      <c r="AV132" s="73" t="n"/>
    </row>
    <row r="133" ht="16.5" customFormat="1" customHeight="1" s="37">
      <c r="A133" s="73" t="n"/>
      <c r="B133" s="73" t="n"/>
      <c r="C133" s="73" t="n"/>
      <c r="D133" s="73" t="n"/>
      <c r="E133" s="73" t="n"/>
      <c r="F133" s="73" t="n"/>
      <c r="G133" s="73" t="n"/>
      <c r="H133" s="73" t="n"/>
      <c r="I133" s="73" t="n"/>
      <c r="J133" s="73" t="n"/>
      <c r="K133" s="73" t="n"/>
      <c r="L133" s="73" t="n"/>
      <c r="M133" s="73" t="n"/>
      <c r="N133" s="73" t="n"/>
      <c r="O133" s="73" t="n"/>
      <c r="P133" s="73" t="n"/>
      <c r="Q133" s="73" t="n"/>
      <c r="R133" s="73" t="n"/>
      <c r="S133" s="73" t="n"/>
      <c r="T133" s="73" t="n"/>
      <c r="U133" s="73" t="n"/>
      <c r="V133" s="73" t="n"/>
      <c r="W133" s="73" t="n"/>
      <c r="X133" s="73" t="n"/>
      <c r="Y133" s="73" t="n"/>
      <c r="Z133" s="73" t="n"/>
      <c r="AA133" s="73" t="n"/>
      <c r="AB133" s="73" t="n"/>
      <c r="AC133" s="73" t="n"/>
      <c r="AD133" s="73" t="n"/>
      <c r="AE133" s="73" t="n"/>
      <c r="AF133" s="73" t="n"/>
      <c r="AG133" s="73" t="n"/>
      <c r="AH133" s="73" t="n"/>
      <c r="AI133" s="73" t="n"/>
      <c r="AJ133" s="73" t="n"/>
      <c r="AK133" s="73" t="n"/>
      <c r="AL133" s="73" t="n"/>
      <c r="AM133" s="73" t="n"/>
      <c r="AN133" s="73" t="n"/>
      <c r="AO133" s="73" t="n"/>
      <c r="AP133" s="73" t="n"/>
      <c r="AQ133" s="73" t="n"/>
      <c r="AR133" s="73" t="n"/>
      <c r="AS133" s="73" t="n"/>
      <c r="AT133" s="73" t="n"/>
      <c r="AU133" s="73" t="n"/>
      <c r="AV133" s="73" t="n"/>
    </row>
    <row r="134" ht="16.5" customFormat="1" customHeight="1" s="37">
      <c r="A134" s="73" t="n"/>
      <c r="B134" s="73" t="n"/>
      <c r="C134" s="73" t="n"/>
      <c r="D134" s="73" t="n"/>
      <c r="E134" s="73" t="n"/>
      <c r="F134" s="73" t="n"/>
      <c r="G134" s="73" t="n"/>
      <c r="H134" s="73" t="n"/>
      <c r="I134" s="73" t="n"/>
      <c r="J134" s="73" t="n"/>
      <c r="K134" s="73" t="n"/>
      <c r="L134" s="73" t="n"/>
      <c r="M134" s="73" t="n"/>
      <c r="N134" s="73" t="n"/>
      <c r="O134" s="73" t="n"/>
      <c r="P134" s="73" t="n"/>
      <c r="Q134" s="73" t="n"/>
      <c r="R134" s="73" t="n"/>
      <c r="S134" s="73" t="n"/>
      <c r="T134" s="73" t="n"/>
      <c r="U134" s="73" t="n"/>
      <c r="V134" s="73" t="n"/>
      <c r="W134" s="73" t="n"/>
      <c r="X134" s="73" t="n"/>
      <c r="Y134" s="73" t="n"/>
      <c r="Z134" s="73" t="n"/>
      <c r="AA134" s="73" t="n"/>
      <c r="AB134" s="73" t="n"/>
      <c r="AC134" s="73" t="n"/>
      <c r="AD134" s="73" t="n"/>
      <c r="AE134" s="73" t="n"/>
      <c r="AF134" s="73" t="n"/>
      <c r="AG134" s="73" t="n"/>
      <c r="AH134" s="73" t="n"/>
      <c r="AI134" s="73" t="n"/>
      <c r="AJ134" s="73" t="n"/>
      <c r="AK134" s="73" t="n"/>
      <c r="AL134" s="73" t="n"/>
      <c r="AM134" s="73" t="n"/>
      <c r="AN134" s="73" t="n"/>
      <c r="AO134" s="73" t="n"/>
      <c r="AP134" s="73" t="n"/>
      <c r="AQ134" s="73" t="n"/>
      <c r="AR134" s="73" t="n"/>
      <c r="AS134" s="73" t="n"/>
      <c r="AT134" s="73" t="n"/>
      <c r="AU134" s="73" t="n"/>
      <c r="AV134" s="73" t="n"/>
    </row>
    <row r="135" ht="16.5" customFormat="1" customHeight="1" s="37">
      <c r="A135" s="73" t="n"/>
      <c r="B135" s="73" t="n"/>
      <c r="C135" s="73" t="n"/>
      <c r="D135" s="73" t="n"/>
      <c r="E135" s="73" t="n"/>
      <c r="F135" s="73" t="n"/>
      <c r="G135" s="73" t="n"/>
      <c r="H135" s="73" t="n"/>
      <c r="I135" s="73" t="n"/>
      <c r="J135" s="73" t="n"/>
      <c r="K135" s="73" t="n"/>
      <c r="L135" s="73" t="n"/>
      <c r="M135" s="73" t="n"/>
      <c r="N135" s="73" t="n"/>
      <c r="O135" s="73" t="n"/>
      <c r="P135" s="73" t="n"/>
      <c r="Q135" s="73" t="n"/>
      <c r="R135" s="73" t="n"/>
      <c r="S135" s="73" t="n"/>
      <c r="T135" s="73" t="n"/>
      <c r="U135" s="73" t="n"/>
      <c r="V135" s="73" t="n"/>
      <c r="W135" s="73" t="n"/>
      <c r="X135" s="73" t="n"/>
      <c r="Y135" s="73" t="n"/>
      <c r="Z135" s="73" t="n"/>
      <c r="AA135" s="73" t="n"/>
      <c r="AB135" s="73" t="n"/>
      <c r="AC135" s="73" t="n"/>
      <c r="AD135" s="73" t="n"/>
      <c r="AE135" s="73" t="n"/>
      <c r="AF135" s="73" t="n"/>
      <c r="AG135" s="73" t="n"/>
      <c r="AH135" s="73" t="n"/>
      <c r="AI135" s="73" t="n"/>
      <c r="AJ135" s="73" t="n"/>
      <c r="AK135" s="73" t="n"/>
      <c r="AL135" s="73" t="n"/>
      <c r="AM135" s="73" t="n"/>
      <c r="AN135" s="73" t="n"/>
      <c r="AO135" s="73" t="n"/>
      <c r="AP135" s="73" t="n"/>
      <c r="AQ135" s="73" t="n"/>
      <c r="AR135" s="73" t="n"/>
      <c r="AS135" s="73" t="n"/>
      <c r="AT135" s="73" t="n"/>
      <c r="AU135" s="73" t="n"/>
      <c r="AV135" s="73" t="n"/>
    </row>
    <row r="136" ht="16.5" customFormat="1" customHeight="1" s="37">
      <c r="A136" s="73" t="n"/>
      <c r="B136" s="73" t="n"/>
      <c r="C136" s="73" t="n"/>
      <c r="D136" s="73" t="n"/>
      <c r="E136" s="73" t="n"/>
      <c r="F136" s="73" t="n"/>
      <c r="G136" s="73" t="n"/>
      <c r="H136" s="73" t="n"/>
      <c r="I136" s="73" t="n"/>
      <c r="J136" s="73" t="n"/>
      <c r="K136" s="73" t="n"/>
      <c r="L136" s="73" t="n"/>
      <c r="M136" s="73" t="n"/>
      <c r="N136" s="73" t="n"/>
      <c r="O136" s="73" t="n"/>
      <c r="P136" s="73" t="n"/>
      <c r="Q136" s="73" t="n"/>
      <c r="R136" s="73" t="n"/>
      <c r="S136" s="73" t="n"/>
      <c r="T136" s="73" t="n"/>
      <c r="U136" s="73" t="n"/>
      <c r="V136" s="73" t="n"/>
      <c r="W136" s="73" t="n"/>
      <c r="X136" s="73" t="n"/>
      <c r="Y136" s="73" t="n"/>
      <c r="Z136" s="73" t="n"/>
      <c r="AA136" s="73" t="n"/>
      <c r="AB136" s="73" t="n"/>
      <c r="AC136" s="73" t="n"/>
      <c r="AD136" s="73" t="n"/>
      <c r="AE136" s="73" t="n"/>
      <c r="AF136" s="73" t="n"/>
      <c r="AG136" s="73" t="n"/>
      <c r="AH136" s="73" t="n"/>
      <c r="AI136" s="73" t="n"/>
      <c r="AJ136" s="73" t="n"/>
      <c r="AK136" s="73" t="n"/>
      <c r="AL136" s="73" t="n"/>
      <c r="AM136" s="73" t="n"/>
      <c r="AN136" s="73" t="n"/>
      <c r="AO136" s="73" t="n"/>
      <c r="AP136" s="73" t="n"/>
      <c r="AQ136" s="73" t="n"/>
      <c r="AR136" s="73" t="n"/>
      <c r="AS136" s="73" t="n"/>
      <c r="AT136" s="73" t="n"/>
      <c r="AU136" s="73" t="n"/>
      <c r="AV136" s="73" t="n"/>
    </row>
    <row r="137" ht="16.5" customFormat="1" customHeight="1" s="37">
      <c r="A137" s="73" t="n"/>
      <c r="B137" s="73" t="n"/>
      <c r="C137" s="73" t="n"/>
      <c r="D137" s="73" t="n"/>
      <c r="E137" s="73" t="n"/>
      <c r="F137" s="73" t="n"/>
      <c r="G137" s="73" t="n"/>
      <c r="H137" s="73" t="n"/>
      <c r="I137" s="73" t="n"/>
      <c r="J137" s="73" t="n"/>
      <c r="K137" s="73" t="n"/>
      <c r="L137" s="73" t="n"/>
      <c r="M137" s="73" t="n"/>
      <c r="N137" s="73" t="n"/>
      <c r="O137" s="73" t="n"/>
      <c r="P137" s="73" t="n"/>
      <c r="Q137" s="73" t="n"/>
      <c r="R137" s="73" t="n"/>
      <c r="S137" s="73" t="n"/>
      <c r="T137" s="73" t="n"/>
      <c r="U137" s="73" t="n"/>
      <c r="V137" s="73" t="n"/>
      <c r="W137" s="73" t="n"/>
      <c r="X137" s="73" t="n"/>
      <c r="Y137" s="73" t="n"/>
      <c r="Z137" s="73" t="n"/>
      <c r="AA137" s="73" t="n"/>
      <c r="AB137" s="73" t="n"/>
      <c r="AC137" s="73" t="n"/>
      <c r="AD137" s="73" t="n"/>
      <c r="AE137" s="73" t="n"/>
      <c r="AF137" s="73" t="n"/>
      <c r="AG137" s="73" t="n"/>
      <c r="AH137" s="73" t="n"/>
      <c r="AI137" s="73" t="n"/>
      <c r="AJ137" s="73" t="n"/>
      <c r="AK137" s="73" t="n"/>
      <c r="AL137" s="73" t="n"/>
      <c r="AM137" s="73" t="n"/>
      <c r="AN137" s="73" t="n"/>
      <c r="AO137" s="73" t="n"/>
      <c r="AP137" s="73" t="n"/>
      <c r="AQ137" s="73" t="n"/>
      <c r="AR137" s="73" t="n"/>
      <c r="AS137" s="73" t="n"/>
      <c r="AT137" s="73" t="n"/>
      <c r="AU137" s="73" t="n"/>
      <c r="AV137" s="73" t="n"/>
    </row>
    <row r="138" ht="16.5" customFormat="1" customHeight="1" s="37">
      <c r="A138" s="73" t="n"/>
      <c r="B138" s="73" t="n"/>
      <c r="C138" s="73" t="n"/>
      <c r="D138" s="73" t="n"/>
      <c r="E138" s="73" t="n"/>
      <c r="F138" s="73" t="n"/>
      <c r="G138" s="73" t="n"/>
      <c r="H138" s="73" t="n"/>
      <c r="I138" s="73" t="n"/>
      <c r="J138" s="73" t="n"/>
      <c r="K138" s="73" t="n"/>
      <c r="L138" s="73" t="n"/>
      <c r="M138" s="73" t="n"/>
      <c r="N138" s="73" t="n"/>
      <c r="O138" s="73" t="n"/>
      <c r="P138" s="73" t="n"/>
      <c r="Q138" s="73" t="n"/>
      <c r="R138" s="73" t="n"/>
      <c r="S138" s="73" t="n"/>
      <c r="T138" s="73" t="n"/>
      <c r="U138" s="73" t="n"/>
      <c r="V138" s="73" t="n"/>
      <c r="W138" s="73" t="n"/>
      <c r="X138" s="73" t="n"/>
      <c r="Y138" s="73" t="n"/>
      <c r="Z138" s="73" t="n"/>
      <c r="AA138" s="73" t="n"/>
      <c r="AB138" s="73" t="n"/>
      <c r="AC138" s="73" t="n"/>
      <c r="AD138" s="73" t="n"/>
      <c r="AE138" s="73" t="n"/>
      <c r="AF138" s="73" t="n"/>
      <c r="AG138" s="73" t="n"/>
      <c r="AH138" s="73" t="n"/>
      <c r="AI138" s="73" t="n"/>
      <c r="AJ138" s="73" t="n"/>
      <c r="AK138" s="73" t="n"/>
      <c r="AL138" s="73" t="n"/>
      <c r="AM138" s="73" t="n"/>
      <c r="AN138" s="73" t="n"/>
      <c r="AO138" s="73" t="n"/>
      <c r="AP138" s="73" t="n"/>
      <c r="AQ138" s="73" t="n"/>
      <c r="AR138" s="73" t="n"/>
      <c r="AS138" s="73" t="n"/>
      <c r="AT138" s="73" t="n"/>
      <c r="AU138" s="73" t="n"/>
      <c r="AV138" s="73" t="n"/>
    </row>
    <row r="139" ht="16.5" customFormat="1" customHeight="1" s="37">
      <c r="A139" s="73" t="n"/>
      <c r="B139" s="73" t="n"/>
      <c r="C139" s="73" t="n"/>
      <c r="D139" s="73" t="n"/>
      <c r="E139" s="73" t="n"/>
      <c r="F139" s="73" t="n"/>
      <c r="G139" s="73" t="n"/>
      <c r="H139" s="73" t="n"/>
      <c r="I139" s="73" t="n"/>
      <c r="J139" s="73" t="n"/>
      <c r="K139" s="73" t="n"/>
      <c r="L139" s="73" t="n"/>
      <c r="M139" s="73" t="n"/>
      <c r="N139" s="73" t="n"/>
      <c r="O139" s="73" t="n"/>
      <c r="P139" s="73" t="n"/>
      <c r="Q139" s="73" t="n"/>
      <c r="R139" s="73" t="n"/>
      <c r="S139" s="73" t="n"/>
      <c r="T139" s="73" t="n"/>
      <c r="U139" s="73" t="n"/>
      <c r="V139" s="73" t="n"/>
      <c r="W139" s="73" t="n"/>
      <c r="X139" s="73" t="n"/>
      <c r="Y139" s="73" t="n"/>
      <c r="Z139" s="73" t="n"/>
      <c r="AA139" s="73" t="n"/>
      <c r="AB139" s="73" t="n"/>
      <c r="AC139" s="73" t="n"/>
      <c r="AD139" s="73" t="n"/>
      <c r="AE139" s="73" t="n"/>
      <c r="AF139" s="73" t="n"/>
      <c r="AG139" s="73" t="n"/>
      <c r="AH139" s="73" t="n"/>
      <c r="AI139" s="73" t="n"/>
      <c r="AJ139" s="73" t="n"/>
      <c r="AK139" s="73" t="n"/>
      <c r="AL139" s="73" t="n"/>
      <c r="AM139" s="73" t="n"/>
      <c r="AN139" s="73" t="n"/>
      <c r="AO139" s="73" t="n"/>
      <c r="AP139" s="73" t="n"/>
      <c r="AQ139" s="73" t="n"/>
      <c r="AR139" s="73" t="n"/>
      <c r="AS139" s="73" t="n"/>
      <c r="AT139" s="73" t="n"/>
      <c r="AU139" s="73" t="n"/>
      <c r="AV139" s="73" t="n"/>
    </row>
    <row r="140" ht="16.5" customFormat="1" customHeight="1" s="37">
      <c r="A140" s="73" t="n"/>
      <c r="B140" s="73" t="n"/>
      <c r="C140" s="73" t="n"/>
      <c r="D140" s="73" t="n"/>
      <c r="E140" s="73" t="n"/>
      <c r="F140" s="73" t="n"/>
      <c r="G140" s="73" t="n"/>
      <c r="H140" s="73" t="n"/>
      <c r="I140" s="73" t="n"/>
      <c r="J140" s="73" t="n"/>
      <c r="K140" s="73" t="n"/>
      <c r="L140" s="73" t="n"/>
      <c r="M140" s="73" t="n"/>
      <c r="N140" s="73" t="n"/>
      <c r="O140" s="73" t="n"/>
      <c r="P140" s="73" t="n"/>
      <c r="Q140" s="73" t="n"/>
      <c r="R140" s="73" t="n"/>
      <c r="S140" s="73" t="n"/>
      <c r="T140" s="73" t="n"/>
      <c r="U140" s="73" t="n"/>
      <c r="V140" s="73" t="n"/>
      <c r="W140" s="73" t="n"/>
      <c r="X140" s="73" t="n"/>
      <c r="Y140" s="73" t="n"/>
      <c r="Z140" s="73" t="n"/>
      <c r="AA140" s="73" t="n"/>
      <c r="AB140" s="73" t="n"/>
      <c r="AC140" s="73" t="n"/>
      <c r="AD140" s="73" t="n"/>
      <c r="AE140" s="73" t="n"/>
      <c r="AF140" s="73" t="n"/>
      <c r="AG140" s="73" t="n"/>
      <c r="AH140" s="73" t="n"/>
      <c r="AI140" s="73" t="n"/>
      <c r="AJ140" s="73" t="n"/>
      <c r="AK140" s="73" t="n"/>
      <c r="AL140" s="73" t="n"/>
      <c r="AM140" s="73" t="n"/>
      <c r="AN140" s="73" t="n"/>
      <c r="AO140" s="73" t="n"/>
      <c r="AP140" s="73" t="n"/>
      <c r="AQ140" s="73" t="n"/>
      <c r="AR140" s="73" t="n"/>
      <c r="AS140" s="73" t="n"/>
      <c r="AT140" s="73" t="n"/>
      <c r="AU140" s="73" t="n"/>
      <c r="AV140" s="73" t="n"/>
    </row>
    <row r="141" ht="16.5" customFormat="1" customHeight="1" s="37">
      <c r="A141" s="73" t="n"/>
      <c r="B141" s="73" t="n"/>
      <c r="C141" s="73" t="n"/>
      <c r="D141" s="73" t="n"/>
      <c r="E141" s="73" t="n"/>
      <c r="F141" s="73" t="n"/>
      <c r="G141" s="73" t="n"/>
      <c r="H141" s="73" t="n"/>
      <c r="I141" s="73" t="n"/>
      <c r="J141" s="73" t="n"/>
      <c r="K141" s="73" t="n"/>
      <c r="L141" s="73" t="n"/>
      <c r="M141" s="73" t="n"/>
      <c r="N141" s="73" t="n"/>
      <c r="O141" s="73" t="n"/>
      <c r="P141" s="73" t="n"/>
      <c r="Q141" s="73" t="n"/>
      <c r="R141" s="73" t="n"/>
      <c r="S141" s="73" t="n"/>
      <c r="T141" s="73" t="n"/>
      <c r="U141" s="73" t="n"/>
      <c r="V141" s="73" t="n"/>
      <c r="W141" s="73" t="n"/>
      <c r="X141" s="73" t="n"/>
      <c r="Y141" s="73" t="n"/>
      <c r="Z141" s="73" t="n"/>
      <c r="AA141" s="73" t="n"/>
      <c r="AB141" s="73" t="n"/>
      <c r="AC141" s="73" t="n"/>
      <c r="AD141" s="73" t="n"/>
      <c r="AE141" s="73" t="n"/>
      <c r="AF141" s="73" t="n"/>
      <c r="AG141" s="73" t="n"/>
      <c r="AH141" s="73" t="n"/>
      <c r="AI141" s="73" t="n"/>
      <c r="AJ141" s="73" t="n"/>
      <c r="AK141" s="73" t="n"/>
      <c r="AL141" s="73" t="n"/>
      <c r="AM141" s="73" t="n"/>
      <c r="AN141" s="73" t="n"/>
      <c r="AO141" s="73" t="n"/>
      <c r="AP141" s="73" t="n"/>
      <c r="AQ141" s="73" t="n"/>
      <c r="AR141" s="73" t="n"/>
      <c r="AS141" s="73" t="n"/>
      <c r="AT141" s="73" t="n"/>
      <c r="AU141" s="73" t="n"/>
      <c r="AV141" s="73" t="n"/>
    </row>
    <row r="142" ht="16.5" customFormat="1" customHeight="1" s="37">
      <c r="A142" s="73" t="n"/>
      <c r="B142" s="73" t="n"/>
      <c r="C142" s="73" t="n"/>
      <c r="D142" s="73" t="n"/>
      <c r="E142" s="73" t="n"/>
      <c r="F142" s="73" t="n"/>
      <c r="G142" s="73" t="n"/>
      <c r="H142" s="73" t="n"/>
      <c r="I142" s="73" t="n"/>
      <c r="J142" s="73" t="n"/>
      <c r="K142" s="73" t="n"/>
      <c r="L142" s="73" t="n"/>
      <c r="M142" s="73" t="n"/>
      <c r="N142" s="73" t="n"/>
      <c r="O142" s="73" t="n"/>
      <c r="P142" s="73" t="n"/>
      <c r="Q142" s="73" t="n"/>
      <c r="R142" s="73" t="n"/>
      <c r="S142" s="73" t="n"/>
      <c r="T142" s="73" t="n"/>
      <c r="U142" s="73" t="n"/>
      <c r="V142" s="73" t="n"/>
      <c r="W142" s="73" t="n"/>
      <c r="X142" s="73" t="n"/>
      <c r="Y142" s="73" t="n"/>
      <c r="Z142" s="73" t="n"/>
      <c r="AA142" s="73" t="n"/>
      <c r="AB142" s="73" t="n"/>
      <c r="AC142" s="73" t="n"/>
      <c r="AD142" s="73" t="n"/>
      <c r="AE142" s="73" t="n"/>
      <c r="AF142" s="73" t="n"/>
      <c r="AG142" s="73" t="n"/>
      <c r="AH142" s="73" t="n"/>
      <c r="AI142" s="73" t="n"/>
      <c r="AJ142" s="73" t="n"/>
      <c r="AK142" s="73" t="n"/>
      <c r="AL142" s="73" t="n"/>
      <c r="AM142" s="73" t="n"/>
      <c r="AN142" s="73" t="n"/>
      <c r="AO142" s="73" t="n"/>
      <c r="AP142" s="73" t="n"/>
      <c r="AQ142" s="73" t="n"/>
      <c r="AR142" s="73" t="n"/>
      <c r="AS142" s="73" t="n"/>
      <c r="AT142" s="73" t="n"/>
      <c r="AU142" s="73" t="n"/>
      <c r="AV142" s="73" t="n"/>
    </row>
    <row r="143" ht="16.5" customFormat="1" customHeight="1" s="37">
      <c r="A143" s="73" t="n"/>
      <c r="B143" s="73" t="n"/>
      <c r="C143" s="73" t="n"/>
      <c r="D143" s="73" t="n"/>
      <c r="E143" s="73" t="n"/>
      <c r="F143" s="73" t="n"/>
      <c r="G143" s="73" t="n"/>
      <c r="H143" s="73" t="n"/>
      <c r="I143" s="73" t="n"/>
      <c r="J143" s="73" t="n"/>
      <c r="K143" s="73" t="n"/>
      <c r="L143" s="73" t="n"/>
      <c r="M143" s="73" t="n"/>
      <c r="N143" s="73" t="n"/>
      <c r="O143" s="73" t="n"/>
      <c r="P143" s="73" t="n"/>
      <c r="Q143" s="73" t="n"/>
      <c r="R143" s="73" t="n"/>
      <c r="S143" s="73" t="n"/>
      <c r="T143" s="73" t="n"/>
      <c r="U143" s="73" t="n"/>
      <c r="V143" s="73" t="n"/>
      <c r="W143" s="73" t="n"/>
      <c r="X143" s="73" t="n"/>
      <c r="Y143" s="73" t="n"/>
      <c r="Z143" s="73" t="n"/>
      <c r="AA143" s="73" t="n"/>
      <c r="AB143" s="73" t="n"/>
      <c r="AC143" s="73" t="n"/>
      <c r="AD143" s="73" t="n"/>
      <c r="AE143" s="73" t="n"/>
      <c r="AF143" s="73" t="n"/>
      <c r="AG143" s="73" t="n"/>
      <c r="AH143" s="73" t="n"/>
      <c r="AI143" s="73" t="n"/>
      <c r="AJ143" s="73" t="n"/>
      <c r="AK143" s="73" t="n"/>
      <c r="AL143" s="73" t="n"/>
      <c r="AM143" s="73" t="n"/>
      <c r="AN143" s="73" t="n"/>
      <c r="AO143" s="73" t="n"/>
      <c r="AP143" s="73" t="n"/>
      <c r="AQ143" s="73" t="n"/>
      <c r="AR143" s="73" t="n"/>
      <c r="AS143" s="73" t="n"/>
      <c r="AT143" s="73" t="n"/>
      <c r="AU143" s="73" t="n"/>
      <c r="AV143" s="73" t="n"/>
    </row>
    <row r="144" ht="16.5" customFormat="1" customHeight="1" s="37">
      <c r="A144" s="73" t="n"/>
      <c r="B144" s="73" t="n"/>
      <c r="C144" s="73" t="n"/>
      <c r="D144" s="73" t="n"/>
      <c r="E144" s="73" t="n"/>
      <c r="F144" s="73" t="n"/>
      <c r="G144" s="73" t="n"/>
      <c r="H144" s="73" t="n"/>
      <c r="I144" s="73" t="n"/>
      <c r="J144" s="73" t="n"/>
      <c r="K144" s="73" t="n"/>
      <c r="L144" s="73" t="n"/>
      <c r="M144" s="73" t="n"/>
      <c r="N144" s="73" t="n"/>
      <c r="O144" s="73" t="n"/>
      <c r="P144" s="73" t="n"/>
      <c r="Q144" s="73" t="n"/>
      <c r="R144" s="73" t="n"/>
      <c r="S144" s="73" t="n"/>
      <c r="T144" s="73" t="n"/>
      <c r="U144" s="73" t="n"/>
      <c r="V144" s="73" t="n"/>
      <c r="W144" s="73" t="n"/>
      <c r="X144" s="73" t="n"/>
      <c r="Y144" s="73" t="n"/>
      <c r="Z144" s="73" t="n"/>
      <c r="AA144" s="73" t="n"/>
      <c r="AB144" s="73" t="n"/>
      <c r="AC144" s="73" t="n"/>
      <c r="AD144" s="73" t="n"/>
      <c r="AE144" s="73" t="n"/>
      <c r="AF144" s="73" t="n"/>
      <c r="AG144" s="73" t="n"/>
      <c r="AH144" s="73" t="n"/>
      <c r="AI144" s="73" t="n"/>
      <c r="AJ144" s="73" t="n"/>
      <c r="AK144" s="73" t="n"/>
      <c r="AL144" s="73" t="n"/>
      <c r="AM144" s="73" t="n"/>
      <c r="AN144" s="73" t="n"/>
      <c r="AO144" s="73" t="n"/>
      <c r="AP144" s="73" t="n"/>
      <c r="AQ144" s="73" t="n"/>
      <c r="AR144" s="73" t="n"/>
      <c r="AS144" s="73" t="n"/>
      <c r="AT144" s="73" t="n"/>
      <c r="AU144" s="73" t="n"/>
      <c r="AV144" s="73" t="n"/>
    </row>
    <row r="145" ht="16.5" customFormat="1" customHeight="1" s="37">
      <c r="A145" s="73" t="n"/>
      <c r="B145" s="73" t="n"/>
      <c r="C145" s="73" t="n"/>
      <c r="D145" s="73" t="n"/>
      <c r="E145" s="73" t="n"/>
      <c r="F145" s="73" t="n"/>
      <c r="G145" s="73" t="n"/>
      <c r="H145" s="73" t="n"/>
      <c r="I145" s="73" t="n"/>
      <c r="J145" s="73" t="n"/>
      <c r="K145" s="73" t="n"/>
      <c r="L145" s="73" t="n"/>
      <c r="M145" s="73" t="n"/>
      <c r="N145" s="73" t="n"/>
      <c r="O145" s="73" t="n"/>
      <c r="P145" s="73" t="n"/>
      <c r="Q145" s="73" t="n"/>
      <c r="R145" s="73" t="n"/>
      <c r="S145" s="73" t="n"/>
      <c r="T145" s="73" t="n"/>
      <c r="U145" s="73" t="n"/>
      <c r="V145" s="73" t="n"/>
      <c r="W145" s="73" t="n"/>
      <c r="X145" s="73" t="n"/>
      <c r="Y145" s="73" t="n"/>
      <c r="Z145" s="73" t="n"/>
      <c r="AA145" s="73" t="n"/>
      <c r="AB145" s="73" t="n"/>
      <c r="AC145" s="73" t="n"/>
      <c r="AD145" s="73" t="n"/>
      <c r="AE145" s="73" t="n"/>
      <c r="AF145" s="73" t="n"/>
      <c r="AG145" s="73" t="n"/>
      <c r="AH145" s="73" t="n"/>
      <c r="AI145" s="73" t="n"/>
      <c r="AJ145" s="73" t="n"/>
      <c r="AK145" s="73" t="n"/>
      <c r="AL145" s="73" t="n"/>
      <c r="AM145" s="73" t="n"/>
      <c r="AN145" s="73" t="n"/>
      <c r="AO145" s="73" t="n"/>
      <c r="AP145" s="73" t="n"/>
      <c r="AQ145" s="73" t="n"/>
      <c r="AR145" s="73" t="n"/>
      <c r="AS145" s="73" t="n"/>
      <c r="AT145" s="73" t="n"/>
      <c r="AU145" s="73" t="n"/>
      <c r="AV145" s="73" t="n"/>
    </row>
    <row r="146" ht="16.5" customFormat="1" customHeight="1" s="37">
      <c r="A146" s="73" t="n"/>
      <c r="B146" s="73" t="n"/>
      <c r="C146" s="73" t="n"/>
      <c r="D146" s="73" t="n"/>
      <c r="E146" s="73" t="n"/>
      <c r="F146" s="73" t="n"/>
      <c r="G146" s="73" t="n"/>
      <c r="H146" s="73" t="n"/>
      <c r="I146" s="73" t="n"/>
      <c r="J146" s="73" t="n"/>
      <c r="K146" s="73" t="n"/>
      <c r="L146" s="73" t="n"/>
      <c r="M146" s="73" t="n"/>
      <c r="N146" s="73" t="n"/>
      <c r="O146" s="73" t="n"/>
      <c r="P146" s="73" t="n"/>
      <c r="Q146" s="73" t="n"/>
      <c r="R146" s="73" t="n"/>
      <c r="S146" s="73" t="n"/>
      <c r="T146" s="73" t="n"/>
      <c r="U146" s="73" t="n"/>
      <c r="V146" s="73" t="n"/>
      <c r="W146" s="73" t="n"/>
      <c r="X146" s="73" t="n"/>
      <c r="Y146" s="73" t="n"/>
      <c r="Z146" s="73" t="n"/>
      <c r="AA146" s="73" t="n"/>
      <c r="AB146" s="73" t="n"/>
      <c r="AC146" s="73" t="n"/>
      <c r="AD146" s="73" t="n"/>
      <c r="AE146" s="73" t="n"/>
      <c r="AF146" s="73" t="n"/>
      <c r="AG146" s="73" t="n"/>
      <c r="AH146" s="73" t="n"/>
      <c r="AI146" s="73" t="n"/>
      <c r="AJ146" s="73" t="n"/>
      <c r="AK146" s="73" t="n"/>
      <c r="AL146" s="73" t="n"/>
      <c r="AM146" s="73" t="n"/>
      <c r="AN146" s="73" t="n"/>
      <c r="AO146" s="73" t="n"/>
      <c r="AP146" s="73" t="n"/>
      <c r="AQ146" s="73" t="n"/>
      <c r="AR146" s="73" t="n"/>
      <c r="AS146" s="73" t="n"/>
      <c r="AT146" s="73" t="n"/>
      <c r="AU146" s="73" t="n"/>
      <c r="AV146" s="73" t="n"/>
    </row>
    <row r="147" ht="16.5" customFormat="1" customHeight="1" s="37">
      <c r="A147" s="73" t="n"/>
      <c r="B147" s="73" t="n"/>
      <c r="C147" s="73" t="n"/>
      <c r="D147" s="73" t="n"/>
      <c r="E147" s="73" t="n"/>
      <c r="F147" s="73" t="n"/>
      <c r="G147" s="73" t="n"/>
      <c r="H147" s="73" t="n"/>
      <c r="I147" s="73" t="n"/>
      <c r="J147" s="73" t="n"/>
      <c r="K147" s="73" t="n"/>
      <c r="L147" s="73" t="n"/>
      <c r="M147" s="73" t="n"/>
      <c r="N147" s="73" t="n"/>
      <c r="O147" s="73" t="n"/>
      <c r="P147" s="73" t="n"/>
      <c r="Q147" s="73" t="n"/>
      <c r="R147" s="73" t="n"/>
      <c r="S147" s="73" t="n"/>
      <c r="T147" s="73" t="n"/>
      <c r="U147" s="73" t="n"/>
      <c r="V147" s="73" t="n"/>
      <c r="W147" s="73" t="n"/>
      <c r="X147" s="73" t="n"/>
      <c r="Y147" s="73" t="n"/>
      <c r="Z147" s="73" t="n"/>
      <c r="AA147" s="73" t="n"/>
      <c r="AB147" s="73" t="n"/>
      <c r="AC147" s="73" t="n"/>
      <c r="AD147" s="73" t="n"/>
      <c r="AE147" s="73" t="n"/>
      <c r="AF147" s="73" t="n"/>
      <c r="AG147" s="73" t="n"/>
      <c r="AH147" s="73" t="n"/>
      <c r="AI147" s="73" t="n"/>
      <c r="AJ147" s="73" t="n"/>
      <c r="AK147" s="73" t="n"/>
      <c r="AL147" s="73" t="n"/>
      <c r="AM147" s="73" t="n"/>
      <c r="AN147" s="73" t="n"/>
      <c r="AO147" s="73" t="n"/>
      <c r="AP147" s="73" t="n"/>
      <c r="AQ147" s="73" t="n"/>
      <c r="AR147" s="73" t="n"/>
      <c r="AS147" s="73" t="n"/>
      <c r="AT147" s="73" t="n"/>
      <c r="AU147" s="73" t="n"/>
      <c r="AV147" s="73" t="n"/>
    </row>
    <row r="148" ht="16.5" customFormat="1" customHeight="1" s="37">
      <c r="A148" s="73" t="n"/>
      <c r="B148" s="73" t="n"/>
      <c r="C148" s="73" t="n"/>
      <c r="D148" s="73" t="n"/>
      <c r="E148" s="73" t="n"/>
      <c r="F148" s="73" t="n"/>
      <c r="G148" s="73" t="n"/>
      <c r="H148" s="73" t="n"/>
      <c r="I148" s="73" t="n"/>
      <c r="J148" s="73" t="n"/>
      <c r="K148" s="73" t="n"/>
      <c r="L148" s="73" t="n"/>
      <c r="M148" s="73" t="n"/>
      <c r="N148" s="73" t="n"/>
      <c r="O148" s="73" t="n"/>
      <c r="P148" s="73" t="n"/>
      <c r="Q148" s="73" t="n"/>
      <c r="R148" s="73" t="n"/>
      <c r="S148" s="73" t="n"/>
      <c r="T148" s="73" t="n"/>
      <c r="U148" s="73" t="n"/>
      <c r="V148" s="73" t="n"/>
      <c r="W148" s="73" t="n"/>
      <c r="X148" s="73" t="n"/>
      <c r="Y148" s="73" t="n"/>
      <c r="Z148" s="73" t="n"/>
      <c r="AA148" s="73" t="n"/>
      <c r="AB148" s="73" t="n"/>
      <c r="AC148" s="73" t="n"/>
      <c r="AD148" s="73" t="n"/>
      <c r="AE148" s="73" t="n"/>
      <c r="AF148" s="73" t="n"/>
      <c r="AG148" s="73" t="n"/>
      <c r="AH148" s="73" t="n"/>
      <c r="AI148" s="73" t="n"/>
      <c r="AJ148" s="73" t="n"/>
      <c r="AK148" s="73" t="n"/>
      <c r="AL148" s="73" t="n"/>
      <c r="AM148" s="73" t="n"/>
      <c r="AN148" s="73" t="n"/>
      <c r="AO148" s="73" t="n"/>
      <c r="AP148" s="73" t="n"/>
      <c r="AQ148" s="73" t="n"/>
      <c r="AR148" s="73" t="n"/>
      <c r="AS148" s="73" t="n"/>
      <c r="AT148" s="73" t="n"/>
      <c r="AU148" s="73" t="n"/>
      <c r="AV148" s="73" t="n"/>
    </row>
    <row r="149" ht="16.5" customFormat="1" customHeight="1" s="37">
      <c r="A149" s="73" t="n"/>
      <c r="B149" s="73" t="n"/>
      <c r="C149" s="73" t="n"/>
      <c r="D149" s="73" t="n"/>
      <c r="E149" s="73" t="n"/>
      <c r="F149" s="73" t="n"/>
      <c r="G149" s="73" t="n"/>
      <c r="H149" s="73" t="n"/>
      <c r="I149" s="73" t="n"/>
      <c r="J149" s="73" t="n"/>
      <c r="K149" s="73" t="n"/>
      <c r="L149" s="73" t="n"/>
      <c r="M149" s="73" t="n"/>
      <c r="N149" s="73" t="n"/>
      <c r="O149" s="73" t="n"/>
      <c r="P149" s="73" t="n"/>
      <c r="Q149" s="73" t="n"/>
      <c r="R149" s="73" t="n"/>
      <c r="S149" s="73" t="n"/>
      <c r="T149" s="73" t="n"/>
      <c r="U149" s="73" t="n"/>
      <c r="V149" s="73" t="n"/>
      <c r="W149" s="73" t="n"/>
      <c r="X149" s="73" t="n"/>
      <c r="Y149" s="73" t="n"/>
      <c r="Z149" s="73" t="n"/>
      <c r="AA149" s="73" t="n"/>
      <c r="AB149" s="73" t="n"/>
      <c r="AC149" s="73" t="n"/>
      <c r="AD149" s="73" t="n"/>
      <c r="AE149" s="73" t="n"/>
      <c r="AF149" s="73" t="n"/>
      <c r="AG149" s="73" t="n"/>
      <c r="AH149" s="73" t="n"/>
      <c r="AI149" s="73" t="n"/>
      <c r="AJ149" s="73" t="n"/>
      <c r="AK149" s="73" t="n"/>
      <c r="AL149" s="73" t="n"/>
      <c r="AM149" s="73" t="n"/>
      <c r="AN149" s="73" t="n"/>
      <c r="AO149" s="73" t="n"/>
      <c r="AP149" s="73" t="n"/>
      <c r="AQ149" s="73" t="n"/>
      <c r="AR149" s="73" t="n"/>
      <c r="AS149" s="73" t="n"/>
      <c r="AT149" s="73" t="n"/>
      <c r="AU149" s="73" t="n"/>
      <c r="AV149" s="73" t="n"/>
    </row>
    <row r="150" ht="16.5" customFormat="1" customHeight="1" s="37">
      <c r="A150" s="73" t="n"/>
      <c r="B150" s="73" t="n"/>
      <c r="C150" s="73" t="n"/>
      <c r="D150" s="73" t="n"/>
      <c r="E150" s="73" t="n"/>
      <c r="F150" s="73" t="n"/>
      <c r="G150" s="73" t="n"/>
      <c r="H150" s="73" t="n"/>
      <c r="I150" s="73" t="n"/>
      <c r="J150" s="73" t="n"/>
      <c r="K150" s="73" t="n"/>
      <c r="L150" s="73" t="n"/>
      <c r="M150" s="73" t="n"/>
      <c r="N150" s="73" t="n"/>
      <c r="O150" s="73" t="n"/>
      <c r="P150" s="73" t="n"/>
      <c r="Q150" s="73" t="n"/>
      <c r="R150" s="73" t="n"/>
      <c r="S150" s="73" t="n"/>
      <c r="T150" s="73" t="n"/>
      <c r="U150" s="73" t="n"/>
      <c r="V150" s="73" t="n"/>
      <c r="W150" s="73" t="n"/>
      <c r="X150" s="73" t="n"/>
      <c r="Y150" s="73" t="n"/>
      <c r="Z150" s="73" t="n"/>
      <c r="AA150" s="73" t="n"/>
      <c r="AB150" s="73" t="n"/>
      <c r="AC150" s="73" t="n"/>
      <c r="AD150" s="73" t="n"/>
      <c r="AE150" s="73" t="n"/>
      <c r="AF150" s="73" t="n"/>
      <c r="AG150" s="73" t="n"/>
      <c r="AH150" s="73" t="n"/>
      <c r="AI150" s="73" t="n"/>
      <c r="AJ150" s="73" t="n"/>
      <c r="AK150" s="73" t="n"/>
      <c r="AL150" s="73" t="n"/>
      <c r="AM150" s="73" t="n"/>
      <c r="AN150" s="73" t="n"/>
      <c r="AO150" s="73" t="n"/>
      <c r="AP150" s="73" t="n"/>
      <c r="AQ150" s="73" t="n"/>
      <c r="AR150" s="73" t="n"/>
      <c r="AS150" s="73" t="n"/>
      <c r="AT150" s="73" t="n"/>
      <c r="AU150" s="73" t="n"/>
      <c r="AV150" s="73" t="n"/>
    </row>
    <row r="151" ht="16.5" customFormat="1" customHeight="1" s="37">
      <c r="A151" s="73" t="n"/>
      <c r="B151" s="73" t="n"/>
      <c r="C151" s="73" t="n"/>
      <c r="D151" s="73" t="n"/>
      <c r="E151" s="73" t="n"/>
      <c r="F151" s="73" t="n"/>
      <c r="G151" s="73" t="n"/>
      <c r="H151" s="73" t="n"/>
      <c r="I151" s="73" t="n"/>
      <c r="J151" s="73" t="n"/>
      <c r="K151" s="73" t="n"/>
      <c r="L151" s="73" t="n"/>
      <c r="M151" s="73" t="n"/>
      <c r="N151" s="73" t="n"/>
      <c r="O151" s="73" t="n"/>
      <c r="P151" s="73" t="n"/>
      <c r="Q151" s="73" t="n"/>
      <c r="R151" s="73" t="n"/>
      <c r="S151" s="73" t="n"/>
      <c r="T151" s="73" t="n"/>
      <c r="U151" s="73" t="n"/>
      <c r="V151" s="73" t="n"/>
      <c r="W151" s="73" t="n"/>
      <c r="X151" s="73" t="n"/>
      <c r="Y151" s="73" t="n"/>
      <c r="Z151" s="73" t="n"/>
      <c r="AA151" s="73" t="n"/>
      <c r="AB151" s="73" t="n"/>
      <c r="AC151" s="73" t="n"/>
      <c r="AD151" s="73" t="n"/>
      <c r="AE151" s="73" t="n"/>
      <c r="AF151" s="73" t="n"/>
      <c r="AG151" s="73" t="n"/>
      <c r="AH151" s="73" t="n"/>
      <c r="AI151" s="73" t="n"/>
      <c r="AJ151" s="73" t="n"/>
      <c r="AK151" s="73" t="n"/>
      <c r="AL151" s="73" t="n"/>
      <c r="AM151" s="73" t="n"/>
      <c r="AN151" s="73" t="n"/>
      <c r="AO151" s="73" t="n"/>
      <c r="AP151" s="73" t="n"/>
      <c r="AQ151" s="73" t="n"/>
      <c r="AR151" s="73" t="n"/>
      <c r="AS151" s="73" t="n"/>
      <c r="AT151" s="73" t="n"/>
      <c r="AU151" s="73" t="n"/>
      <c r="AV151" s="73" t="n"/>
    </row>
    <row r="152" ht="16.5" customFormat="1" customHeight="1" s="37">
      <c r="A152" s="73" t="n"/>
      <c r="B152" s="73" t="n"/>
      <c r="C152" s="73" t="n"/>
      <c r="D152" s="73" t="n"/>
      <c r="E152" s="73" t="n"/>
      <c r="F152" s="73" t="n"/>
      <c r="G152" s="73" t="n"/>
      <c r="H152" s="73" t="n"/>
      <c r="I152" s="73" t="n"/>
      <c r="J152" s="73" t="n"/>
      <c r="K152" s="73" t="n"/>
      <c r="L152" s="73" t="n"/>
      <c r="M152" s="73" t="n"/>
      <c r="N152" s="73" t="n"/>
      <c r="O152" s="73" t="n"/>
      <c r="P152" s="73" t="n"/>
      <c r="Q152" s="73" t="n"/>
      <c r="R152" s="73" t="n"/>
      <c r="S152" s="73" t="n"/>
      <c r="T152" s="73" t="n"/>
      <c r="U152" s="73" t="n"/>
      <c r="V152" s="73" t="n"/>
      <c r="W152" s="73" t="n"/>
      <c r="X152" s="73" t="n"/>
      <c r="Y152" s="73" t="n"/>
      <c r="Z152" s="73" t="n"/>
      <c r="AA152" s="73" t="n"/>
      <c r="AB152" s="73" t="n"/>
      <c r="AC152" s="73" t="n"/>
      <c r="AD152" s="73" t="n"/>
      <c r="AE152" s="73" t="n"/>
      <c r="AF152" s="73" t="n"/>
      <c r="AG152" s="73" t="n"/>
      <c r="AH152" s="73" t="n"/>
      <c r="AI152" s="73" t="n"/>
      <c r="AJ152" s="73" t="n"/>
      <c r="AK152" s="73" t="n"/>
      <c r="AL152" s="73" t="n"/>
      <c r="AM152" s="73" t="n"/>
      <c r="AN152" s="73" t="n"/>
      <c r="AO152" s="73" t="n"/>
      <c r="AP152" s="73" t="n"/>
      <c r="AQ152" s="73" t="n"/>
      <c r="AR152" s="73" t="n"/>
      <c r="AS152" s="73" t="n"/>
      <c r="AT152" s="73" t="n"/>
      <c r="AU152" s="73" t="n"/>
      <c r="AV152" s="73" t="n"/>
    </row>
    <row r="153" ht="16.5" customFormat="1" customHeight="1" s="37">
      <c r="A153" s="73" t="n"/>
      <c r="B153" s="73" t="n"/>
      <c r="C153" s="73" t="n"/>
      <c r="D153" s="73" t="n"/>
      <c r="E153" s="73" t="n"/>
      <c r="F153" s="73" t="n"/>
      <c r="G153" s="73" t="n"/>
      <c r="H153" s="73" t="n"/>
      <c r="I153" s="73" t="n"/>
      <c r="J153" s="73" t="n"/>
      <c r="K153" s="73" t="n"/>
      <c r="L153" s="73" t="n"/>
      <c r="M153" s="73" t="n"/>
      <c r="N153" s="73" t="n"/>
      <c r="O153" s="73" t="n"/>
      <c r="P153" s="73" t="n"/>
      <c r="Q153" s="73" t="n"/>
      <c r="R153" s="73" t="n"/>
      <c r="S153" s="73" t="n"/>
      <c r="T153" s="73" t="n"/>
      <c r="U153" s="73" t="n"/>
      <c r="V153" s="73" t="n"/>
      <c r="W153" s="73" t="n"/>
      <c r="X153" s="73" t="n"/>
      <c r="Y153" s="73" t="n"/>
      <c r="Z153" s="73" t="n"/>
      <c r="AA153" s="73" t="n"/>
      <c r="AB153" s="73" t="n"/>
      <c r="AC153" s="73" t="n"/>
      <c r="AD153" s="73" t="n"/>
      <c r="AE153" s="73" t="n"/>
      <c r="AF153" s="73" t="n"/>
      <c r="AG153" s="73" t="n"/>
      <c r="AH153" s="73" t="n"/>
      <c r="AI153" s="73" t="n"/>
      <c r="AJ153" s="73" t="n"/>
      <c r="AK153" s="73" t="n"/>
      <c r="AL153" s="73" t="n"/>
      <c r="AM153" s="73" t="n"/>
      <c r="AN153" s="73" t="n"/>
      <c r="AO153" s="73" t="n"/>
      <c r="AP153" s="73" t="n"/>
      <c r="AQ153" s="73" t="n"/>
      <c r="AR153" s="73" t="n"/>
      <c r="AS153" s="73" t="n"/>
      <c r="AT153" s="73" t="n"/>
      <c r="AU153" s="73" t="n"/>
      <c r="AV153" s="73" t="n"/>
    </row>
    <row r="154" ht="16.5" customFormat="1" customHeight="1" s="37">
      <c r="A154" s="73" t="n"/>
      <c r="B154" s="73" t="n"/>
      <c r="C154" s="73" t="n"/>
      <c r="D154" s="73" t="n"/>
      <c r="E154" s="73" t="n"/>
      <c r="F154" s="73" t="n"/>
      <c r="G154" s="73" t="n"/>
      <c r="H154" s="73" t="n"/>
      <c r="I154" s="73" t="n"/>
      <c r="J154" s="73" t="n"/>
      <c r="K154" s="73" t="n"/>
      <c r="L154" s="73" t="n"/>
      <c r="M154" s="73" t="n"/>
      <c r="N154" s="73" t="n"/>
      <c r="O154" s="73" t="n"/>
      <c r="P154" s="73" t="n"/>
      <c r="Q154" s="73" t="n"/>
      <c r="R154" s="73" t="n"/>
      <c r="S154" s="73" t="n"/>
      <c r="T154" s="73" t="n"/>
      <c r="U154" s="73" t="n"/>
      <c r="V154" s="73" t="n"/>
      <c r="W154" s="73" t="n"/>
      <c r="X154" s="73" t="n"/>
      <c r="Y154" s="73" t="n"/>
      <c r="Z154" s="73" t="n"/>
      <c r="AA154" s="73" t="n"/>
      <c r="AB154" s="73" t="n"/>
      <c r="AC154" s="73" t="n"/>
      <c r="AD154" s="73" t="n"/>
      <c r="AE154" s="73" t="n"/>
      <c r="AF154" s="73" t="n"/>
      <c r="AG154" s="73" t="n"/>
      <c r="AH154" s="73" t="n"/>
      <c r="AI154" s="73" t="n"/>
      <c r="AJ154" s="73" t="n"/>
      <c r="AK154" s="73" t="n"/>
      <c r="AL154" s="73" t="n"/>
      <c r="AM154" s="73" t="n"/>
      <c r="AN154" s="73" t="n"/>
      <c r="AO154" s="73" t="n"/>
      <c r="AP154" s="73" t="n"/>
      <c r="AQ154" s="73" t="n"/>
      <c r="AR154" s="73" t="n"/>
      <c r="AS154" s="73" t="n"/>
      <c r="AT154" s="73" t="n"/>
      <c r="AU154" s="73" t="n"/>
      <c r="AV154" s="73" t="n"/>
    </row>
    <row r="155" ht="16.5" customFormat="1" customHeight="1" s="37">
      <c r="A155" s="73" t="n"/>
      <c r="B155" s="73" t="n"/>
      <c r="C155" s="73" t="n"/>
      <c r="D155" s="73" t="n"/>
      <c r="E155" s="73" t="n"/>
      <c r="F155" s="73" t="n"/>
      <c r="G155" s="73" t="n"/>
      <c r="H155" s="73" t="n"/>
      <c r="I155" s="73" t="n"/>
      <c r="J155" s="73" t="n"/>
      <c r="K155" s="73" t="n"/>
      <c r="L155" s="73" t="n"/>
      <c r="M155" s="73" t="n"/>
      <c r="N155" s="73" t="n"/>
      <c r="O155" s="73" t="n"/>
      <c r="P155" s="73" t="n"/>
      <c r="Q155" s="73" t="n"/>
      <c r="R155" s="73" t="n"/>
      <c r="S155" s="73" t="n"/>
      <c r="T155" s="73" t="n"/>
      <c r="U155" s="73" t="n"/>
      <c r="V155" s="73" t="n"/>
      <c r="W155" s="73" t="n"/>
      <c r="X155" s="73" t="n"/>
      <c r="Y155" s="73" t="n"/>
      <c r="Z155" s="73" t="n"/>
      <c r="AA155" s="73" t="n"/>
      <c r="AB155" s="73" t="n"/>
      <c r="AC155" s="73" t="n"/>
      <c r="AD155" s="73" t="n"/>
      <c r="AE155" s="73" t="n"/>
      <c r="AF155" s="73" t="n"/>
      <c r="AG155" s="73" t="n"/>
      <c r="AH155" s="73" t="n"/>
      <c r="AI155" s="73" t="n"/>
      <c r="AJ155" s="73" t="n"/>
      <c r="AK155" s="73" t="n"/>
      <c r="AL155" s="73" t="n"/>
      <c r="AM155" s="73" t="n"/>
      <c r="AN155" s="73" t="n"/>
      <c r="AO155" s="73" t="n"/>
      <c r="AP155" s="73" t="n"/>
      <c r="AQ155" s="73" t="n"/>
      <c r="AR155" s="73" t="n"/>
      <c r="AS155" s="73" t="n"/>
      <c r="AT155" s="73" t="n"/>
      <c r="AU155" s="73" t="n"/>
      <c r="AV155" s="73" t="n"/>
    </row>
    <row r="156" ht="16.5" customFormat="1" customHeight="1" s="37">
      <c r="A156" s="73" t="n"/>
      <c r="B156" s="73" t="n"/>
      <c r="C156" s="73" t="n"/>
      <c r="D156" s="73" t="n"/>
      <c r="E156" s="73" t="n"/>
      <c r="F156" s="73" t="n"/>
      <c r="G156" s="73" t="n"/>
      <c r="H156" s="73" t="n"/>
      <c r="I156" s="73" t="n"/>
      <c r="J156" s="73" t="n"/>
      <c r="K156" s="73" t="n"/>
      <c r="L156" s="73" t="n"/>
      <c r="M156" s="73" t="n"/>
      <c r="N156" s="73" t="n"/>
      <c r="O156" s="73" t="n"/>
      <c r="P156" s="73" t="n"/>
      <c r="Q156" s="73" t="n"/>
      <c r="R156" s="73" t="n"/>
      <c r="S156" s="73" t="n"/>
      <c r="T156" s="73" t="n"/>
      <c r="U156" s="73" t="n"/>
      <c r="V156" s="73" t="n"/>
      <c r="W156" s="73" t="n"/>
      <c r="X156" s="73" t="n"/>
      <c r="Y156" s="73" t="n"/>
      <c r="Z156" s="73" t="n"/>
      <c r="AA156" s="73" t="n"/>
      <c r="AB156" s="73" t="n"/>
      <c r="AC156" s="73" t="n"/>
      <c r="AD156" s="73" t="n"/>
      <c r="AE156" s="73" t="n"/>
      <c r="AF156" s="73" t="n"/>
      <c r="AG156" s="73" t="n"/>
      <c r="AH156" s="73" t="n"/>
      <c r="AI156" s="73" t="n"/>
      <c r="AJ156" s="73" t="n"/>
      <c r="AK156" s="73" t="n"/>
      <c r="AL156" s="73" t="n"/>
      <c r="AM156" s="73" t="n"/>
      <c r="AN156" s="73" t="n"/>
      <c r="AO156" s="73" t="n"/>
      <c r="AP156" s="73" t="n"/>
      <c r="AQ156" s="73" t="n"/>
      <c r="AR156" s="73" t="n"/>
      <c r="AS156" s="73" t="n"/>
      <c r="AT156" s="73" t="n"/>
      <c r="AU156" s="73" t="n"/>
      <c r="AV156" s="73" t="n"/>
    </row>
    <row r="157" ht="16.5" customFormat="1" customHeight="1" s="37">
      <c r="A157" s="73" t="n"/>
      <c r="B157" s="73" t="n"/>
      <c r="C157" s="73" t="n"/>
      <c r="D157" s="73" t="n"/>
      <c r="E157" s="73" t="n"/>
      <c r="F157" s="73" t="n"/>
      <c r="G157" s="73" t="n"/>
      <c r="H157" s="73" t="n"/>
      <c r="I157" s="73" t="n"/>
      <c r="J157" s="73" t="n"/>
      <c r="K157" s="73" t="n"/>
      <c r="L157" s="73" t="n"/>
      <c r="M157" s="73" t="n"/>
      <c r="N157" s="73" t="n"/>
      <c r="O157" s="73" t="n"/>
      <c r="P157" s="73" t="n"/>
      <c r="Q157" s="73" t="n"/>
      <c r="R157" s="73" t="n"/>
      <c r="S157" s="73" t="n"/>
      <c r="T157" s="73" t="n"/>
      <c r="U157" s="73" t="n"/>
      <c r="V157" s="73" t="n"/>
      <c r="W157" s="73" t="n"/>
      <c r="X157" s="73" t="n"/>
      <c r="Y157" s="73" t="n"/>
      <c r="Z157" s="73" t="n"/>
      <c r="AA157" s="73" t="n"/>
      <c r="AB157" s="73" t="n"/>
      <c r="AC157" s="73" t="n"/>
      <c r="AD157" s="73" t="n"/>
      <c r="AE157" s="73" t="n"/>
      <c r="AF157" s="73" t="n"/>
      <c r="AG157" s="73" t="n"/>
      <c r="AH157" s="73" t="n"/>
      <c r="AI157" s="73" t="n"/>
      <c r="AJ157" s="73" t="n"/>
      <c r="AK157" s="73" t="n"/>
      <c r="AL157" s="73" t="n"/>
      <c r="AM157" s="73" t="n"/>
      <c r="AN157" s="73" t="n"/>
      <c r="AO157" s="73" t="n"/>
      <c r="AP157" s="73" t="n"/>
      <c r="AQ157" s="73" t="n"/>
      <c r="AR157" s="73" t="n"/>
      <c r="AS157" s="73" t="n"/>
      <c r="AT157" s="73" t="n"/>
      <c r="AU157" s="73" t="n"/>
      <c r="AV157" s="73" t="n"/>
    </row>
    <row r="158" ht="16.5" customFormat="1" customHeight="1" s="37">
      <c r="A158" s="73" t="n"/>
      <c r="B158" s="73" t="n"/>
      <c r="C158" s="73" t="n"/>
      <c r="D158" s="73" t="n"/>
      <c r="E158" s="73" t="n"/>
      <c r="F158" s="73" t="n"/>
      <c r="G158" s="73" t="n"/>
      <c r="H158" s="73" t="n"/>
      <c r="I158" s="73" t="n"/>
      <c r="J158" s="73" t="n"/>
      <c r="K158" s="73" t="n"/>
      <c r="L158" s="73" t="n"/>
      <c r="M158" s="73" t="n"/>
      <c r="N158" s="73" t="n"/>
      <c r="O158" s="73" t="n"/>
      <c r="P158" s="73" t="n"/>
      <c r="Q158" s="73" t="n"/>
      <c r="R158" s="73" t="n"/>
      <c r="S158" s="73" t="n"/>
      <c r="T158" s="73" t="n"/>
      <c r="U158" s="73" t="n"/>
      <c r="V158" s="73" t="n"/>
      <c r="W158" s="73" t="n"/>
      <c r="X158" s="73" t="n"/>
      <c r="Y158" s="73" t="n"/>
      <c r="Z158" s="73" t="n"/>
      <c r="AA158" s="73" t="n"/>
      <c r="AB158" s="73" t="n"/>
      <c r="AC158" s="73" t="n"/>
      <c r="AD158" s="73" t="n"/>
      <c r="AE158" s="73" t="n"/>
      <c r="AF158" s="73" t="n"/>
      <c r="AG158" s="73" t="n"/>
      <c r="AH158" s="73" t="n"/>
      <c r="AI158" s="73" t="n"/>
      <c r="AJ158" s="73" t="n"/>
      <c r="AK158" s="73" t="n"/>
      <c r="AL158" s="73" t="n"/>
      <c r="AM158" s="73" t="n"/>
      <c r="AN158" s="73" t="n"/>
      <c r="AO158" s="73" t="n"/>
      <c r="AP158" s="73" t="n"/>
      <c r="AQ158" s="73" t="n"/>
      <c r="AR158" s="73" t="n"/>
      <c r="AS158" s="73" t="n"/>
      <c r="AT158" s="73" t="n"/>
      <c r="AU158" s="73" t="n"/>
      <c r="AV158" s="73" t="n"/>
    </row>
    <row r="159" ht="16.5" customFormat="1" customHeight="1" s="37">
      <c r="A159" s="73" t="n"/>
      <c r="B159" s="73" t="n"/>
      <c r="C159" s="73" t="n"/>
      <c r="D159" s="73" t="n"/>
      <c r="E159" s="73" t="n"/>
      <c r="F159" s="73" t="n"/>
      <c r="G159" s="73" t="n"/>
      <c r="H159" s="73" t="n"/>
      <c r="I159" s="73" t="n"/>
      <c r="J159" s="73" t="n"/>
      <c r="K159" s="73" t="n"/>
      <c r="L159" s="73" t="n"/>
      <c r="M159" s="73" t="n"/>
      <c r="N159" s="73" t="n"/>
      <c r="O159" s="73" t="n"/>
      <c r="P159" s="73" t="n"/>
      <c r="Q159" s="73" t="n"/>
      <c r="R159" s="73" t="n"/>
      <c r="S159" s="73" t="n"/>
      <c r="T159" s="73" t="n"/>
      <c r="U159" s="73" t="n"/>
      <c r="V159" s="73" t="n"/>
      <c r="W159" s="73" t="n"/>
      <c r="X159" s="73" t="n"/>
      <c r="Y159" s="73" t="n"/>
      <c r="Z159" s="73" t="n"/>
      <c r="AA159" s="73" t="n"/>
      <c r="AB159" s="73" t="n"/>
      <c r="AC159" s="73" t="n"/>
      <c r="AD159" s="73" t="n"/>
      <c r="AE159" s="73" t="n"/>
      <c r="AF159" s="73" t="n"/>
      <c r="AG159" s="73" t="n"/>
      <c r="AH159" s="73" t="n"/>
      <c r="AI159" s="73" t="n"/>
      <c r="AJ159" s="73" t="n"/>
      <c r="AK159" s="73" t="n"/>
      <c r="AL159" s="73" t="n"/>
      <c r="AM159" s="73" t="n"/>
      <c r="AN159" s="73" t="n"/>
      <c r="AO159" s="73" t="n"/>
      <c r="AP159" s="73" t="n"/>
      <c r="AQ159" s="73" t="n"/>
      <c r="AR159" s="73" t="n"/>
      <c r="AS159" s="73" t="n"/>
      <c r="AT159" s="73" t="n"/>
      <c r="AU159" s="73" t="n"/>
      <c r="AV159" s="73" t="n"/>
    </row>
    <row r="160" ht="16.5" customFormat="1" customHeight="1" s="37">
      <c r="A160" s="73" t="n"/>
      <c r="B160" s="73" t="n"/>
      <c r="C160" s="73" t="n"/>
      <c r="D160" s="73" t="n"/>
      <c r="E160" s="73" t="n"/>
      <c r="F160" s="73" t="n"/>
      <c r="G160" s="73" t="n"/>
      <c r="H160" s="73" t="n"/>
      <c r="I160" s="73" t="n"/>
      <c r="J160" s="73" t="n"/>
      <c r="K160" s="73" t="n"/>
      <c r="L160" s="73" t="n"/>
      <c r="M160" s="73" t="n"/>
      <c r="N160" s="73" t="n"/>
      <c r="O160" s="73" t="n"/>
      <c r="P160" s="73" t="n"/>
      <c r="Q160" s="73" t="n"/>
      <c r="R160" s="73" t="n"/>
      <c r="S160" s="73" t="n"/>
      <c r="T160" s="73" t="n"/>
      <c r="U160" s="73" t="n"/>
      <c r="V160" s="73" t="n"/>
      <c r="W160" s="73" t="n"/>
      <c r="X160" s="73" t="n"/>
      <c r="Y160" s="73" t="n"/>
      <c r="Z160" s="73" t="n"/>
      <c r="AA160" s="73" t="n"/>
      <c r="AB160" s="73" t="n"/>
      <c r="AC160" s="73" t="n"/>
      <c r="AD160" s="73" t="n"/>
      <c r="AE160" s="73" t="n"/>
      <c r="AF160" s="73" t="n"/>
      <c r="AG160" s="73" t="n"/>
      <c r="AH160" s="73" t="n"/>
      <c r="AI160" s="73" t="n"/>
      <c r="AJ160" s="73" t="n"/>
      <c r="AK160" s="73" t="n"/>
      <c r="AL160" s="73" t="n"/>
      <c r="AM160" s="73" t="n"/>
      <c r="AN160" s="73" t="n"/>
      <c r="AO160" s="73" t="n"/>
      <c r="AP160" s="73" t="n"/>
      <c r="AQ160" s="73" t="n"/>
      <c r="AR160" s="73" t="n"/>
      <c r="AS160" s="73" t="n"/>
      <c r="AT160" s="73" t="n"/>
      <c r="AU160" s="73" t="n"/>
      <c r="AV160" s="73" t="n"/>
    </row>
    <row r="161" ht="16.5" customFormat="1" customHeight="1" s="37">
      <c r="A161" s="73" t="n"/>
      <c r="B161" s="73" t="n"/>
      <c r="C161" s="73" t="n"/>
      <c r="D161" s="73" t="n"/>
      <c r="E161" s="73" t="n"/>
      <c r="F161" s="73" t="n"/>
      <c r="G161" s="73" t="n"/>
      <c r="H161" s="73" t="n"/>
      <c r="I161" s="73" t="n"/>
      <c r="J161" s="73" t="n"/>
      <c r="K161" s="73" t="n"/>
      <c r="L161" s="73" t="n"/>
      <c r="M161" s="73" t="n"/>
      <c r="N161" s="73" t="n"/>
      <c r="O161" s="73" t="n"/>
      <c r="P161" s="73" t="n"/>
      <c r="Q161" s="73" t="n"/>
      <c r="R161" s="73" t="n"/>
      <c r="S161" s="73" t="n"/>
      <c r="T161" s="73" t="n"/>
      <c r="U161" s="73" t="n"/>
      <c r="V161" s="73" t="n"/>
      <c r="W161" s="73" t="n"/>
      <c r="X161" s="73" t="n"/>
      <c r="Y161" s="73" t="n"/>
      <c r="Z161" s="73" t="n"/>
      <c r="AA161" s="73" t="n"/>
      <c r="AB161" s="73" t="n"/>
      <c r="AC161" s="73" t="n"/>
      <c r="AD161" s="73" t="n"/>
      <c r="AE161" s="73" t="n"/>
      <c r="AF161" s="73" t="n"/>
      <c r="AG161" s="73" t="n"/>
      <c r="AH161" s="73" t="n"/>
      <c r="AI161" s="73" t="n"/>
      <c r="AJ161" s="73" t="n"/>
      <c r="AK161" s="73" t="n"/>
      <c r="AL161" s="73" t="n"/>
      <c r="AM161" s="73" t="n"/>
      <c r="AN161" s="73" t="n"/>
      <c r="AO161" s="73" t="n"/>
      <c r="AP161" s="73" t="n"/>
      <c r="AQ161" s="73" t="n"/>
      <c r="AR161" s="73" t="n"/>
      <c r="AS161" s="73" t="n"/>
      <c r="AT161" s="73" t="n"/>
      <c r="AU161" s="73" t="n"/>
      <c r="AV161" s="73" t="n"/>
    </row>
    <row r="162" ht="16.5" customFormat="1" customHeight="1" s="37">
      <c r="A162" s="73" t="n"/>
      <c r="B162" s="73" t="n"/>
      <c r="C162" s="73" t="n"/>
      <c r="D162" s="73" t="n"/>
      <c r="E162" s="73" t="n"/>
      <c r="F162" s="73" t="n"/>
      <c r="G162" s="73" t="n"/>
      <c r="H162" s="73" t="n"/>
      <c r="I162" s="73" t="n"/>
      <c r="J162" s="73" t="n"/>
      <c r="K162" s="73" t="n"/>
      <c r="L162" s="73" t="n"/>
      <c r="M162" s="73" t="n"/>
      <c r="N162" s="73" t="n"/>
      <c r="O162" s="73" t="n"/>
      <c r="P162" s="73" t="n"/>
      <c r="Q162" s="73" t="n"/>
      <c r="R162" s="73" t="n"/>
      <c r="S162" s="73" t="n"/>
      <c r="T162" s="73" t="n"/>
      <c r="U162" s="73" t="n"/>
      <c r="V162" s="73" t="n"/>
      <c r="W162" s="73" t="n"/>
      <c r="X162" s="73" t="n"/>
      <c r="Y162" s="73" t="n"/>
      <c r="Z162" s="73" t="n"/>
      <c r="AA162" s="73" t="n"/>
      <c r="AB162" s="73" t="n"/>
      <c r="AC162" s="73" t="n"/>
      <c r="AD162" s="73" t="n"/>
      <c r="AE162" s="73" t="n"/>
      <c r="AF162" s="73" t="n"/>
      <c r="AG162" s="73" t="n"/>
      <c r="AH162" s="73" t="n"/>
      <c r="AI162" s="73" t="n"/>
      <c r="AJ162" s="73" t="n"/>
      <c r="AK162" s="73" t="n"/>
      <c r="AL162" s="73" t="n"/>
      <c r="AM162" s="73" t="n"/>
      <c r="AN162" s="73" t="n"/>
      <c r="AO162" s="73" t="n"/>
      <c r="AP162" s="73" t="n"/>
      <c r="AQ162" s="73" t="n"/>
      <c r="AR162" s="73" t="n"/>
      <c r="AS162" s="73" t="n"/>
      <c r="AT162" s="73" t="n"/>
      <c r="AU162" s="73" t="n"/>
      <c r="AV162" s="73" t="n"/>
    </row>
    <row r="163" ht="16.5" customFormat="1" customHeight="1" s="37">
      <c r="A163" s="73" t="n"/>
      <c r="B163" s="73" t="n"/>
      <c r="C163" s="73" t="n"/>
      <c r="D163" s="73" t="n"/>
      <c r="E163" s="73" t="n"/>
      <c r="F163" s="73" t="n"/>
      <c r="G163" s="73" t="n"/>
      <c r="H163" s="73" t="n"/>
      <c r="I163" s="73" t="n"/>
      <c r="J163" s="73" t="n"/>
      <c r="K163" s="73" t="n"/>
      <c r="L163" s="73" t="n"/>
      <c r="M163" s="73" t="n"/>
      <c r="N163" s="73" t="n"/>
      <c r="O163" s="73" t="n"/>
      <c r="P163" s="73" t="n"/>
      <c r="Q163" s="73" t="n"/>
      <c r="R163" s="73" t="n"/>
      <c r="S163" s="73" t="n"/>
      <c r="T163" s="73" t="n"/>
      <c r="U163" s="73" t="n"/>
      <c r="V163" s="73" t="n"/>
      <c r="W163" s="73" t="n"/>
      <c r="X163" s="73" t="n"/>
      <c r="Y163" s="73" t="n"/>
      <c r="Z163" s="73" t="n"/>
      <c r="AA163" s="73" t="n"/>
      <c r="AB163" s="73" t="n"/>
      <c r="AC163" s="73" t="n"/>
      <c r="AD163" s="73" t="n"/>
      <c r="AE163" s="73" t="n"/>
      <c r="AF163" s="73" t="n"/>
      <c r="AG163" s="73" t="n"/>
      <c r="AH163" s="73" t="n"/>
      <c r="AI163" s="73" t="n"/>
      <c r="AJ163" s="73" t="n"/>
      <c r="AK163" s="73" t="n"/>
      <c r="AL163" s="73" t="n"/>
      <c r="AM163" s="73" t="n"/>
      <c r="AN163" s="73" t="n"/>
      <c r="AO163" s="73" t="n"/>
      <c r="AP163" s="73" t="n"/>
      <c r="AQ163" s="73" t="n"/>
      <c r="AR163" s="73" t="n"/>
      <c r="AS163" s="73" t="n"/>
      <c r="AT163" s="73" t="n"/>
      <c r="AU163" s="73" t="n"/>
      <c r="AV163" s="73" t="n"/>
    </row>
    <row r="164" ht="16.5" customFormat="1" customHeight="1" s="37">
      <c r="A164" s="73" t="n"/>
      <c r="B164" s="73" t="n"/>
      <c r="C164" s="73" t="n"/>
      <c r="D164" s="73" t="n"/>
      <c r="E164" s="73" t="n"/>
      <c r="F164" s="73" t="n"/>
      <c r="G164" s="73" t="n"/>
      <c r="H164" s="73" t="n"/>
      <c r="I164" s="73" t="n"/>
      <c r="J164" s="73" t="n"/>
      <c r="K164" s="73" t="n"/>
      <c r="L164" s="73" t="n"/>
      <c r="M164" s="73" t="n"/>
      <c r="N164" s="73" t="n"/>
      <c r="O164" s="73" t="n"/>
      <c r="P164" s="73" t="n"/>
      <c r="Q164" s="73" t="n"/>
      <c r="R164" s="73" t="n"/>
      <c r="S164" s="73" t="n"/>
      <c r="T164" s="73" t="n"/>
      <c r="U164" s="73" t="n"/>
      <c r="V164" s="73" t="n"/>
      <c r="W164" s="73" t="n"/>
      <c r="X164" s="73" t="n"/>
      <c r="Y164" s="73" t="n"/>
      <c r="Z164" s="73" t="n"/>
      <c r="AA164" s="73" t="n"/>
      <c r="AB164" s="73" t="n"/>
      <c r="AC164" s="73" t="n"/>
      <c r="AD164" s="73" t="n"/>
      <c r="AE164" s="73" t="n"/>
      <c r="AF164" s="73" t="n"/>
      <c r="AG164" s="73" t="n"/>
      <c r="AH164" s="73" t="n"/>
      <c r="AI164" s="73" t="n"/>
      <c r="AJ164" s="73" t="n"/>
      <c r="AK164" s="73" t="n"/>
      <c r="AL164" s="73" t="n"/>
      <c r="AM164" s="73" t="n"/>
      <c r="AN164" s="73" t="n"/>
      <c r="AO164" s="73" t="n"/>
      <c r="AP164" s="73" t="n"/>
      <c r="AQ164" s="73" t="n"/>
      <c r="AR164" s="73" t="n"/>
      <c r="AS164" s="73" t="n"/>
      <c r="AT164" s="73" t="n"/>
      <c r="AU164" s="73" t="n"/>
      <c r="AV164" s="73" t="n"/>
    </row>
    <row r="165" ht="16.5" customFormat="1" customHeight="1" s="37">
      <c r="A165" s="73" t="n"/>
      <c r="B165" s="73" t="n"/>
      <c r="C165" s="73" t="n"/>
      <c r="D165" s="73" t="n"/>
      <c r="E165" s="73" t="n"/>
      <c r="F165" s="73" t="n"/>
      <c r="G165" s="73" t="n"/>
      <c r="H165" s="73" t="n"/>
      <c r="I165" s="73" t="n"/>
      <c r="J165" s="73" t="n"/>
      <c r="K165" s="73" t="n"/>
      <c r="L165" s="73" t="n"/>
      <c r="M165" s="73" t="n"/>
      <c r="N165" s="73" t="n"/>
      <c r="O165" s="73" t="n"/>
      <c r="P165" s="73" t="n"/>
      <c r="Q165" s="73" t="n"/>
      <c r="R165" s="73" t="n"/>
      <c r="S165" s="73" t="n"/>
      <c r="T165" s="73" t="n"/>
      <c r="U165" s="73" t="n"/>
      <c r="V165" s="73" t="n"/>
      <c r="W165" s="73" t="n"/>
      <c r="X165" s="73" t="n"/>
      <c r="Y165" s="73" t="n"/>
      <c r="Z165" s="73" t="n"/>
      <c r="AA165" s="73" t="n"/>
      <c r="AB165" s="73" t="n"/>
      <c r="AC165" s="73" t="n"/>
      <c r="AD165" s="73" t="n"/>
      <c r="AE165" s="73" t="n"/>
      <c r="AF165" s="73" t="n"/>
      <c r="AG165" s="73" t="n"/>
      <c r="AH165" s="73" t="n"/>
      <c r="AI165" s="73" t="n"/>
      <c r="AJ165" s="73" t="n"/>
      <c r="AK165" s="73" t="n"/>
      <c r="AL165" s="73" t="n"/>
      <c r="AM165" s="73" t="n"/>
      <c r="AN165" s="73" t="n"/>
      <c r="AO165" s="73" t="n"/>
      <c r="AP165" s="73" t="n"/>
      <c r="AQ165" s="73" t="n"/>
      <c r="AR165" s="73" t="n"/>
      <c r="AS165" s="73" t="n"/>
      <c r="AT165" s="73" t="n"/>
      <c r="AU165" s="73" t="n"/>
      <c r="AV165" s="73" t="n"/>
    </row>
    <row r="166" ht="16.5" customFormat="1" customHeight="1" s="37">
      <c r="A166" s="73" t="n"/>
      <c r="B166" s="73" t="n"/>
      <c r="C166" s="73" t="n"/>
      <c r="D166" s="73" t="n"/>
      <c r="E166" s="73" t="n"/>
      <c r="F166" s="73" t="n"/>
      <c r="G166" s="73" t="n"/>
      <c r="H166" s="73" t="n"/>
      <c r="I166" s="73" t="n"/>
      <c r="J166" s="73" t="n"/>
      <c r="K166" s="73" t="n"/>
      <c r="L166" s="73" t="n"/>
      <c r="M166" s="73" t="n"/>
      <c r="N166" s="73" t="n"/>
      <c r="O166" s="73" t="n"/>
      <c r="P166" s="73" t="n"/>
      <c r="Q166" s="73" t="n"/>
      <c r="R166" s="73" t="n"/>
      <c r="S166" s="73" t="n"/>
      <c r="T166" s="73" t="n"/>
      <c r="U166" s="73" t="n"/>
      <c r="V166" s="73" t="n"/>
      <c r="W166" s="73" t="n"/>
      <c r="X166" s="73" t="n"/>
      <c r="Y166" s="73" t="n"/>
      <c r="Z166" s="73" t="n"/>
      <c r="AA166" s="73" t="n"/>
      <c r="AB166" s="73" t="n"/>
      <c r="AC166" s="73" t="n"/>
      <c r="AD166" s="73" t="n"/>
      <c r="AE166" s="73" t="n"/>
      <c r="AF166" s="73" t="n"/>
      <c r="AG166" s="73" t="n"/>
      <c r="AH166" s="73" t="n"/>
      <c r="AI166" s="73" t="n"/>
      <c r="AJ166" s="73" t="n"/>
      <c r="AK166" s="73" t="n"/>
      <c r="AL166" s="73" t="n"/>
      <c r="AM166" s="73" t="n"/>
      <c r="AN166" s="73" t="n"/>
      <c r="AO166" s="73" t="n"/>
      <c r="AP166" s="73" t="n"/>
      <c r="AQ166" s="73" t="n"/>
      <c r="AR166" s="73" t="n"/>
      <c r="AS166" s="73" t="n"/>
      <c r="AT166" s="73" t="n"/>
      <c r="AU166" s="73" t="n"/>
      <c r="AV166" s="73" t="n"/>
    </row>
    <row r="167" ht="16.5" customFormat="1" customHeight="1" s="37">
      <c r="A167" s="73" t="n"/>
      <c r="B167" s="73" t="n"/>
      <c r="C167" s="73" t="n"/>
      <c r="D167" s="73" t="n"/>
      <c r="E167" s="73" t="n"/>
      <c r="F167" s="73" t="n"/>
      <c r="G167" s="73" t="n"/>
      <c r="H167" s="73" t="n"/>
      <c r="I167" s="73" t="n"/>
      <c r="J167" s="73" t="n"/>
      <c r="K167" s="73" t="n"/>
      <c r="L167" s="73" t="n"/>
      <c r="M167" s="73" t="n"/>
      <c r="N167" s="73" t="n"/>
      <c r="O167" s="73" t="n"/>
      <c r="P167" s="73" t="n"/>
      <c r="Q167" s="73" t="n"/>
      <c r="R167" s="73" t="n"/>
      <c r="S167" s="73" t="n"/>
      <c r="T167" s="73" t="n"/>
      <c r="U167" s="73" t="n"/>
      <c r="V167" s="73" t="n"/>
      <c r="W167" s="73" t="n"/>
      <c r="X167" s="73" t="n"/>
      <c r="Y167" s="73" t="n"/>
      <c r="Z167" s="73" t="n"/>
      <c r="AA167" s="73" t="n"/>
      <c r="AB167" s="73" t="n"/>
      <c r="AC167" s="73" t="n"/>
      <c r="AD167" s="73" t="n"/>
      <c r="AE167" s="73" t="n"/>
      <c r="AF167" s="73" t="n"/>
      <c r="AG167" s="73" t="n"/>
      <c r="AH167" s="73" t="n"/>
      <c r="AI167" s="73" t="n"/>
      <c r="AJ167" s="73" t="n"/>
      <c r="AK167" s="73" t="n"/>
      <c r="AL167" s="73" t="n"/>
      <c r="AM167" s="73" t="n"/>
      <c r="AN167" s="73" t="n"/>
      <c r="AO167" s="73" t="n"/>
      <c r="AP167" s="73" t="n"/>
      <c r="AQ167" s="73" t="n"/>
      <c r="AR167" s="73" t="n"/>
      <c r="AS167" s="73" t="n"/>
      <c r="AT167" s="73" t="n"/>
      <c r="AU167" s="73" t="n"/>
      <c r="AV167" s="73" t="n"/>
    </row>
    <row r="168" ht="16.5" customFormat="1" customHeight="1" s="37">
      <c r="A168" s="73" t="n"/>
      <c r="B168" s="73" t="n"/>
      <c r="C168" s="73" t="n"/>
      <c r="D168" s="73" t="n"/>
      <c r="E168" s="73" t="n"/>
      <c r="F168" s="73" t="n"/>
      <c r="G168" s="73" t="n"/>
      <c r="H168" s="73" t="n"/>
      <c r="I168" s="73" t="n"/>
      <c r="J168" s="73" t="n"/>
      <c r="K168" s="73" t="n"/>
      <c r="L168" s="73" t="n"/>
      <c r="M168" s="73" t="n"/>
      <c r="N168" s="73" t="n"/>
      <c r="O168" s="73" t="n"/>
      <c r="P168" s="73" t="n"/>
      <c r="Q168" s="73" t="n"/>
      <c r="R168" s="73" t="n"/>
      <c r="S168" s="73" t="n"/>
      <c r="T168" s="73" t="n"/>
      <c r="U168" s="73" t="n"/>
      <c r="V168" s="73" t="n"/>
      <c r="W168" s="73" t="n"/>
      <c r="X168" s="73" t="n"/>
      <c r="Y168" s="73" t="n"/>
      <c r="Z168" s="73" t="n"/>
      <c r="AA168" s="73" t="n"/>
      <c r="AB168" s="73" t="n"/>
      <c r="AC168" s="73" t="n"/>
      <c r="AD168" s="73" t="n"/>
      <c r="AE168" s="73" t="n"/>
      <c r="AF168" s="73" t="n"/>
      <c r="AG168" s="73" t="n"/>
      <c r="AH168" s="73" t="n"/>
      <c r="AI168" s="73" t="n"/>
      <c r="AJ168" s="73" t="n"/>
      <c r="AK168" s="73" t="n"/>
      <c r="AL168" s="73" t="n"/>
      <c r="AM168" s="73" t="n"/>
      <c r="AN168" s="73" t="n"/>
      <c r="AO168" s="73" t="n"/>
      <c r="AP168" s="73" t="n"/>
      <c r="AQ168" s="73" t="n"/>
      <c r="AR168" s="73" t="n"/>
      <c r="AS168" s="73" t="n"/>
      <c r="AT168" s="73" t="n"/>
      <c r="AU168" s="73" t="n"/>
      <c r="AV168" s="73" t="n"/>
    </row>
    <row r="169" ht="16.5" customFormat="1" customHeight="1" s="37">
      <c r="A169" s="73" t="n"/>
      <c r="B169" s="73" t="n"/>
      <c r="C169" s="73" t="n"/>
      <c r="D169" s="73" t="n"/>
      <c r="E169" s="73" t="n"/>
      <c r="F169" s="73" t="n"/>
      <c r="G169" s="73" t="n"/>
      <c r="H169" s="73" t="n"/>
      <c r="I169" s="73" t="n"/>
      <c r="J169" s="73" t="n"/>
      <c r="K169" s="73" t="n"/>
      <c r="L169" s="73" t="n"/>
      <c r="M169" s="73" t="n"/>
      <c r="N169" s="73" t="n"/>
      <c r="O169" s="73" t="n"/>
      <c r="P169" s="73" t="n"/>
      <c r="Q169" s="73" t="n"/>
      <c r="R169" s="73" t="n"/>
      <c r="S169" s="73" t="n"/>
      <c r="T169" s="73" t="n"/>
      <c r="U169" s="73" t="n"/>
      <c r="V169" s="73" t="n"/>
      <c r="W169" s="73" t="n"/>
      <c r="X169" s="73" t="n"/>
      <c r="Y169" s="73" t="n"/>
      <c r="Z169" s="73" t="n"/>
      <c r="AA169" s="73" t="n"/>
      <c r="AB169" s="73" t="n"/>
      <c r="AC169" s="73" t="n"/>
      <c r="AD169" s="73" t="n"/>
      <c r="AE169" s="73" t="n"/>
      <c r="AF169" s="73" t="n"/>
      <c r="AG169" s="73" t="n"/>
      <c r="AH169" s="73" t="n"/>
      <c r="AI169" s="73" t="n"/>
      <c r="AJ169" s="73" t="n"/>
      <c r="AK169" s="73" t="n"/>
      <c r="AL169" s="73" t="n"/>
      <c r="AM169" s="73" t="n"/>
      <c r="AN169" s="73" t="n"/>
      <c r="AO169" s="73" t="n"/>
      <c r="AP169" s="73" t="n"/>
      <c r="AQ169" s="73" t="n"/>
      <c r="AR169" s="73" t="n"/>
      <c r="AS169" s="73" t="n"/>
      <c r="AT169" s="73" t="n"/>
      <c r="AU169" s="73" t="n"/>
      <c r="AV169" s="73" t="n"/>
    </row>
    <row r="170" ht="16.5" customFormat="1" customHeight="1" s="37">
      <c r="A170" s="73" t="n"/>
      <c r="B170" s="73" t="n"/>
      <c r="C170" s="73" t="n"/>
      <c r="D170" s="73" t="n"/>
      <c r="E170" s="73" t="n"/>
      <c r="F170" s="73" t="n"/>
      <c r="G170" s="73" t="n"/>
      <c r="H170" s="73" t="n"/>
      <c r="I170" s="73" t="n"/>
      <c r="J170" s="73" t="n"/>
      <c r="K170" s="73" t="n"/>
      <c r="L170" s="73" t="n"/>
      <c r="M170" s="73" t="n"/>
      <c r="N170" s="73" t="n"/>
      <c r="O170" s="73" t="n"/>
      <c r="P170" s="73" t="n"/>
      <c r="Q170" s="73" t="n"/>
      <c r="R170" s="73" t="n"/>
      <c r="S170" s="73" t="n"/>
      <c r="T170" s="73" t="n"/>
      <c r="U170" s="73" t="n"/>
      <c r="V170" s="73" t="n"/>
      <c r="W170" s="73" t="n"/>
      <c r="X170" s="73" t="n"/>
      <c r="Y170" s="73" t="n"/>
      <c r="Z170" s="73" t="n"/>
      <c r="AA170" s="73" t="n"/>
      <c r="AB170" s="73" t="n"/>
      <c r="AC170" s="73" t="n"/>
      <c r="AD170" s="73" t="n"/>
      <c r="AE170" s="73" t="n"/>
      <c r="AF170" s="73" t="n"/>
      <c r="AG170" s="73" t="n"/>
      <c r="AH170" s="73" t="n"/>
      <c r="AI170" s="73" t="n"/>
      <c r="AJ170" s="73" t="n"/>
      <c r="AK170" s="73" t="n"/>
      <c r="AL170" s="73" t="n"/>
      <c r="AM170" s="73" t="n"/>
      <c r="AN170" s="73" t="n"/>
      <c r="AO170" s="73" t="n"/>
      <c r="AP170" s="73" t="n"/>
      <c r="AQ170" s="73" t="n"/>
      <c r="AR170" s="73" t="n"/>
      <c r="AS170" s="73" t="n"/>
      <c r="AT170" s="73" t="n"/>
      <c r="AU170" s="73" t="n"/>
      <c r="AV170" s="73" t="n"/>
    </row>
    <row r="171" ht="16.5" customFormat="1" customHeight="1" s="37">
      <c r="A171" s="73" t="n"/>
      <c r="B171" s="73" t="n"/>
      <c r="C171" s="73" t="n"/>
      <c r="D171" s="73" t="n"/>
      <c r="E171" s="73" t="n"/>
      <c r="F171" s="73" t="n"/>
      <c r="G171" s="73" t="n"/>
      <c r="H171" s="73" t="n"/>
      <c r="I171" s="73" t="n"/>
      <c r="J171" s="73" t="n"/>
      <c r="K171" s="73" t="n"/>
      <c r="L171" s="73" t="n"/>
      <c r="M171" s="73" t="n"/>
      <c r="N171" s="73" t="n"/>
      <c r="O171" s="73" t="n"/>
      <c r="P171" s="73" t="n"/>
      <c r="Q171" s="73" t="n"/>
      <c r="R171" s="73" t="n"/>
      <c r="S171" s="73" t="n"/>
      <c r="T171" s="73" t="n"/>
      <c r="U171" s="73" t="n"/>
      <c r="V171" s="73" t="n"/>
      <c r="W171" s="73" t="n"/>
      <c r="X171" s="73" t="n"/>
      <c r="Y171" s="73" t="n"/>
      <c r="Z171" s="73" t="n"/>
      <c r="AA171" s="73" t="n"/>
      <c r="AB171" s="73" t="n"/>
      <c r="AC171" s="73" t="n"/>
      <c r="AD171" s="73" t="n"/>
      <c r="AE171" s="73" t="n"/>
      <c r="AF171" s="73" t="n"/>
      <c r="AG171" s="73" t="n"/>
      <c r="AH171" s="73" t="n"/>
      <c r="AI171" s="73" t="n"/>
      <c r="AJ171" s="73" t="n"/>
      <c r="AK171" s="73" t="n"/>
      <c r="AL171" s="73" t="n"/>
      <c r="AM171" s="73" t="n"/>
      <c r="AN171" s="73" t="n"/>
      <c r="AO171" s="73" t="n"/>
      <c r="AP171" s="73" t="n"/>
      <c r="AQ171" s="73" t="n"/>
      <c r="AR171" s="73" t="n"/>
      <c r="AS171" s="73" t="n"/>
      <c r="AT171" s="73" t="n"/>
      <c r="AU171" s="73" t="n"/>
      <c r="AV171" s="73" t="n"/>
    </row>
    <row r="172" ht="16.5" customFormat="1" customHeight="1" s="37">
      <c r="A172" s="73" t="n"/>
      <c r="B172" s="73" t="n"/>
      <c r="C172" s="73" t="n"/>
      <c r="D172" s="73" t="n"/>
      <c r="E172" s="73" t="n"/>
      <c r="F172" s="73" t="n"/>
      <c r="G172" s="73" t="n"/>
      <c r="H172" s="73" t="n"/>
      <c r="I172" s="73" t="n"/>
      <c r="J172" s="73" t="n"/>
      <c r="K172" s="73" t="n"/>
      <c r="L172" s="73" t="n"/>
      <c r="M172" s="73" t="n"/>
      <c r="N172" s="73" t="n"/>
      <c r="O172" s="73" t="n"/>
      <c r="P172" s="73" t="n"/>
      <c r="Q172" s="73" t="n"/>
      <c r="R172" s="73" t="n"/>
      <c r="S172" s="73" t="n"/>
      <c r="T172" s="73" t="n"/>
      <c r="U172" s="73" t="n"/>
      <c r="V172" s="73" t="n"/>
      <c r="W172" s="73" t="n"/>
      <c r="X172" s="73" t="n"/>
      <c r="Y172" s="73" t="n"/>
      <c r="Z172" s="73" t="n"/>
      <c r="AA172" s="73" t="n"/>
      <c r="AB172" s="73" t="n"/>
      <c r="AC172" s="73" t="n"/>
      <c r="AD172" s="73" t="n"/>
      <c r="AE172" s="73" t="n"/>
      <c r="AF172" s="73" t="n"/>
      <c r="AG172" s="73" t="n"/>
      <c r="AH172" s="73" t="n"/>
      <c r="AI172" s="73" t="n"/>
      <c r="AJ172" s="73" t="n"/>
      <c r="AK172" s="73" t="n"/>
      <c r="AL172" s="73" t="n"/>
      <c r="AM172" s="73" t="n"/>
      <c r="AN172" s="73" t="n"/>
      <c r="AO172" s="73" t="n"/>
      <c r="AP172" s="73" t="n"/>
      <c r="AQ172" s="73" t="n"/>
      <c r="AR172" s="73" t="n"/>
      <c r="AS172" s="73" t="n"/>
      <c r="AT172" s="73" t="n"/>
      <c r="AU172" s="73" t="n"/>
      <c r="AV172" s="73" t="n"/>
    </row>
    <row r="173" ht="16.5" customFormat="1" customHeight="1" s="37">
      <c r="A173" s="73" t="n"/>
      <c r="B173" s="73" t="n"/>
      <c r="C173" s="73" t="n"/>
      <c r="D173" s="73" t="n"/>
      <c r="E173" s="73" t="n"/>
      <c r="F173" s="73" t="n"/>
      <c r="G173" s="73" t="n"/>
      <c r="H173" s="73" t="n"/>
      <c r="I173" s="73" t="n"/>
      <c r="J173" s="73" t="n"/>
      <c r="K173" s="73" t="n"/>
      <c r="L173" s="73" t="n"/>
      <c r="M173" s="73" t="n"/>
      <c r="N173" s="73" t="n"/>
      <c r="O173" s="73" t="n"/>
      <c r="P173" s="73" t="n"/>
      <c r="Q173" s="73" t="n"/>
      <c r="R173" s="73" t="n"/>
      <c r="S173" s="73" t="n"/>
      <c r="T173" s="73" t="n"/>
      <c r="U173" s="73" t="n"/>
      <c r="V173" s="73" t="n"/>
      <c r="W173" s="73" t="n"/>
      <c r="X173" s="73" t="n"/>
      <c r="Y173" s="73" t="n"/>
      <c r="Z173" s="73" t="n"/>
      <c r="AA173" s="73" t="n"/>
      <c r="AB173" s="73" t="n"/>
      <c r="AC173" s="73" t="n"/>
      <c r="AD173" s="73" t="n"/>
      <c r="AE173" s="73" t="n"/>
      <c r="AF173" s="73" t="n"/>
      <c r="AG173" s="73" t="n"/>
      <c r="AH173" s="73" t="n"/>
      <c r="AI173" s="73" t="n"/>
      <c r="AJ173" s="73" t="n"/>
      <c r="AK173" s="73" t="n"/>
      <c r="AL173" s="73" t="n"/>
      <c r="AM173" s="73" t="n"/>
      <c r="AN173" s="73" t="n"/>
      <c r="AO173" s="73" t="n"/>
      <c r="AP173" s="73" t="n"/>
      <c r="AQ173" s="73" t="n"/>
      <c r="AR173" s="73" t="n"/>
      <c r="AS173" s="73" t="n"/>
      <c r="AT173" s="73" t="n"/>
      <c r="AU173" s="73" t="n"/>
      <c r="AV173" s="73" t="n"/>
    </row>
    <row r="174" ht="16.5" customFormat="1" customHeight="1" s="37">
      <c r="A174" s="73" t="n"/>
      <c r="B174" s="73" t="n"/>
      <c r="C174" s="73" t="n"/>
      <c r="D174" s="73" t="n"/>
      <c r="E174" s="73" t="n"/>
      <c r="F174" s="73" t="n"/>
      <c r="G174" s="73" t="n"/>
      <c r="H174" s="73" t="n"/>
      <c r="I174" s="73" t="n"/>
      <c r="J174" s="73" t="n"/>
      <c r="K174" s="73" t="n"/>
      <c r="L174" s="73" t="n"/>
      <c r="M174" s="73" t="n"/>
      <c r="N174" s="73" t="n"/>
      <c r="O174" s="73" t="n"/>
      <c r="P174" s="73" t="n"/>
      <c r="Q174" s="73" t="n"/>
      <c r="R174" s="73" t="n"/>
      <c r="S174" s="73" t="n"/>
      <c r="T174" s="73" t="n"/>
      <c r="U174" s="73" t="n"/>
      <c r="V174" s="73" t="n"/>
      <c r="W174" s="73" t="n"/>
      <c r="X174" s="73" t="n"/>
      <c r="Y174" s="73" t="n"/>
      <c r="Z174" s="73" t="n"/>
      <c r="AA174" s="73" t="n"/>
      <c r="AB174" s="73" t="n"/>
      <c r="AC174" s="73" t="n"/>
      <c r="AD174" s="73" t="n"/>
      <c r="AE174" s="73" t="n"/>
      <c r="AF174" s="73" t="n"/>
      <c r="AG174" s="73" t="n"/>
      <c r="AH174" s="73" t="n"/>
      <c r="AI174" s="73" t="n"/>
      <c r="AJ174" s="73" t="n"/>
      <c r="AK174" s="73" t="n"/>
      <c r="AL174" s="73" t="n"/>
      <c r="AM174" s="73" t="n"/>
      <c r="AN174" s="73" t="n"/>
      <c r="AO174" s="73" t="n"/>
      <c r="AP174" s="73" t="n"/>
      <c r="AQ174" s="73" t="n"/>
      <c r="AR174" s="73" t="n"/>
      <c r="AS174" s="73" t="n"/>
      <c r="AT174" s="73" t="n"/>
      <c r="AU174" s="73" t="n"/>
      <c r="AV174" s="73" t="n"/>
    </row>
    <row r="175" ht="16.5" customFormat="1" customHeight="1" s="37">
      <c r="A175" s="73" t="n"/>
      <c r="B175" s="73" t="n"/>
      <c r="C175" s="73" t="n"/>
      <c r="D175" s="73" t="n"/>
      <c r="E175" s="73" t="n"/>
      <c r="F175" s="73" t="n"/>
      <c r="G175" s="73" t="n"/>
      <c r="H175" s="73" t="n"/>
      <c r="I175" s="73" t="n"/>
      <c r="J175" s="73" t="n"/>
      <c r="K175" s="73" t="n"/>
      <c r="L175" s="73" t="n"/>
      <c r="M175" s="73" t="n"/>
      <c r="N175" s="73" t="n"/>
      <c r="O175" s="73" t="n"/>
      <c r="P175" s="73" t="n"/>
      <c r="Q175" s="73" t="n"/>
      <c r="R175" s="73" t="n"/>
      <c r="S175" s="73" t="n"/>
      <c r="T175" s="73" t="n"/>
      <c r="U175" s="73" t="n"/>
      <c r="V175" s="73" t="n"/>
      <c r="W175" s="73" t="n"/>
      <c r="X175" s="73" t="n"/>
      <c r="Y175" s="73" t="n"/>
      <c r="Z175" s="73" t="n"/>
      <c r="AA175" s="73" t="n"/>
      <c r="AB175" s="73" t="n"/>
      <c r="AC175" s="73" t="n"/>
      <c r="AD175" s="73" t="n"/>
      <c r="AE175" s="73" t="n"/>
      <c r="AF175" s="73" t="n"/>
      <c r="AG175" s="73" t="n"/>
      <c r="AH175" s="73" t="n"/>
      <c r="AI175" s="73" t="n"/>
      <c r="AJ175" s="73" t="n"/>
      <c r="AK175" s="73" t="n"/>
      <c r="AL175" s="73" t="n"/>
      <c r="AM175" s="73" t="n"/>
      <c r="AN175" s="73" t="n"/>
      <c r="AO175" s="73" t="n"/>
      <c r="AP175" s="73" t="n"/>
      <c r="AQ175" s="73" t="n"/>
      <c r="AR175" s="73" t="n"/>
      <c r="AS175" s="73" t="n"/>
      <c r="AT175" s="73" t="n"/>
      <c r="AU175" s="73" t="n"/>
      <c r="AV175" s="73" t="n"/>
    </row>
    <row r="176" ht="16.5" customFormat="1" customHeight="1" s="37">
      <c r="A176" s="73" t="n"/>
      <c r="B176" s="73" t="n"/>
      <c r="C176" s="73" t="n"/>
      <c r="D176" s="73" t="n"/>
      <c r="E176" s="73" t="n"/>
      <c r="F176" s="73" t="n"/>
      <c r="G176" s="73" t="n"/>
      <c r="H176" s="73" t="n"/>
      <c r="I176" s="73" t="n"/>
      <c r="J176" s="73" t="n"/>
      <c r="K176" s="73" t="n"/>
      <c r="L176" s="73" t="n"/>
      <c r="M176" s="73" t="n"/>
      <c r="N176" s="73" t="n"/>
      <c r="O176" s="73" t="n"/>
      <c r="P176" s="73" t="n"/>
      <c r="Q176" s="73" t="n"/>
      <c r="R176" s="73" t="n"/>
      <c r="S176" s="73" t="n"/>
      <c r="T176" s="73" t="n"/>
      <c r="U176" s="73" t="n"/>
      <c r="V176" s="73" t="n"/>
      <c r="W176" s="73" t="n"/>
      <c r="X176" s="73" t="n"/>
      <c r="Y176" s="73" t="n"/>
      <c r="Z176" s="73" t="n"/>
      <c r="AA176" s="73" t="n"/>
      <c r="AB176" s="73" t="n"/>
      <c r="AC176" s="73" t="n"/>
      <c r="AD176" s="73" t="n"/>
      <c r="AE176" s="73" t="n"/>
      <c r="AF176" s="73" t="n"/>
      <c r="AG176" s="73" t="n"/>
      <c r="AH176" s="73" t="n"/>
      <c r="AI176" s="73" t="n"/>
      <c r="AJ176" s="73" t="n"/>
      <c r="AK176" s="73" t="n"/>
      <c r="AL176" s="73" t="n"/>
      <c r="AM176" s="73" t="n"/>
      <c r="AN176" s="73" t="n"/>
      <c r="AO176" s="73" t="n"/>
      <c r="AP176" s="73" t="n"/>
      <c r="AQ176" s="73" t="n"/>
      <c r="AR176" s="73" t="n"/>
      <c r="AS176" s="73" t="n"/>
      <c r="AT176" s="73" t="n"/>
      <c r="AU176" s="73" t="n"/>
      <c r="AV176" s="73" t="n"/>
    </row>
    <row r="177" ht="16.5" customFormat="1" customHeight="1" s="37">
      <c r="A177" s="73" t="n"/>
      <c r="B177" s="73" t="n"/>
      <c r="C177" s="73" t="n"/>
      <c r="D177" s="73" t="n"/>
      <c r="E177" s="73" t="n"/>
      <c r="F177" s="73" t="n"/>
      <c r="G177" s="73" t="n"/>
      <c r="H177" s="73" t="n"/>
      <c r="I177" s="73" t="n"/>
      <c r="J177" s="73" t="n"/>
      <c r="K177" s="73" t="n"/>
      <c r="L177" s="73" t="n"/>
      <c r="M177" s="73" t="n"/>
      <c r="N177" s="73" t="n"/>
      <c r="O177" s="73" t="n"/>
      <c r="P177" s="73" t="n"/>
      <c r="Q177" s="73" t="n"/>
      <c r="R177" s="73" t="n"/>
      <c r="S177" s="73" t="n"/>
      <c r="T177" s="73" t="n"/>
      <c r="U177" s="73" t="n"/>
      <c r="V177" s="73" t="n"/>
      <c r="W177" s="73" t="n"/>
      <c r="X177" s="73" t="n"/>
      <c r="Y177" s="73" t="n"/>
      <c r="Z177" s="73" t="n"/>
      <c r="AA177" s="73" t="n"/>
      <c r="AB177" s="73" t="n"/>
      <c r="AC177" s="73" t="n"/>
      <c r="AD177" s="73" t="n"/>
      <c r="AE177" s="73" t="n"/>
      <c r="AF177" s="73" t="n"/>
      <c r="AG177" s="73" t="n"/>
      <c r="AH177" s="73" t="n"/>
      <c r="AI177" s="73" t="n"/>
      <c r="AJ177" s="73" t="n"/>
      <c r="AK177" s="73" t="n"/>
      <c r="AL177" s="73" t="n"/>
      <c r="AM177" s="73" t="n"/>
      <c r="AN177" s="73" t="n"/>
      <c r="AO177" s="73" t="n"/>
      <c r="AP177" s="73" t="n"/>
      <c r="AQ177" s="73" t="n"/>
      <c r="AR177" s="73" t="n"/>
      <c r="AS177" s="73" t="n"/>
      <c r="AT177" s="73" t="n"/>
      <c r="AU177" s="73" t="n"/>
      <c r="AV177" s="73" t="n"/>
    </row>
    <row r="178" ht="16.5" customFormat="1" customHeight="1" s="37">
      <c r="A178" s="73" t="n"/>
      <c r="B178" s="73" t="n"/>
      <c r="C178" s="73" t="n"/>
      <c r="D178" s="73" t="n"/>
      <c r="E178" s="73" t="n"/>
      <c r="F178" s="73" t="n"/>
      <c r="G178" s="73" t="n"/>
      <c r="H178" s="73" t="n"/>
      <c r="I178" s="73" t="n"/>
      <c r="J178" s="73" t="n"/>
      <c r="K178" s="73" t="n"/>
      <c r="L178" s="73" t="n"/>
      <c r="M178" s="73" t="n"/>
      <c r="N178" s="73" t="n"/>
      <c r="O178" s="73" t="n"/>
      <c r="P178" s="73" t="n"/>
      <c r="Q178" s="73" t="n"/>
      <c r="R178" s="73" t="n"/>
      <c r="S178" s="73" t="n"/>
      <c r="T178" s="73" t="n"/>
      <c r="U178" s="73" t="n"/>
      <c r="V178" s="73" t="n"/>
      <c r="W178" s="73" t="n"/>
      <c r="X178" s="73" t="n"/>
      <c r="Y178" s="73" t="n"/>
      <c r="Z178" s="73" t="n"/>
      <c r="AA178" s="73" t="n"/>
      <c r="AB178" s="73" t="n"/>
      <c r="AC178" s="73" t="n"/>
      <c r="AD178" s="73" t="n"/>
      <c r="AE178" s="73" t="n"/>
      <c r="AF178" s="73" t="n"/>
      <c r="AG178" s="73" t="n"/>
      <c r="AH178" s="73" t="n"/>
      <c r="AI178" s="73" t="n"/>
      <c r="AJ178" s="73" t="n"/>
      <c r="AK178" s="73" t="n"/>
      <c r="AL178" s="73" t="n"/>
      <c r="AM178" s="73" t="n"/>
      <c r="AN178" s="73" t="n"/>
      <c r="AO178" s="73" t="n"/>
      <c r="AP178" s="73" t="n"/>
      <c r="AQ178" s="73" t="n"/>
      <c r="AR178" s="73" t="n"/>
      <c r="AS178" s="73" t="n"/>
      <c r="AT178" s="73" t="n"/>
      <c r="AU178" s="73" t="n"/>
      <c r="AV178" s="73" t="n"/>
    </row>
    <row r="179" ht="16.5" customFormat="1" customHeight="1" s="37">
      <c r="A179" s="73" t="n"/>
      <c r="B179" s="73" t="n"/>
      <c r="C179" s="73" t="n"/>
      <c r="D179" s="73" t="n"/>
      <c r="E179" s="73" t="n"/>
      <c r="F179" s="73" t="n"/>
      <c r="G179" s="73" t="n"/>
      <c r="H179" s="73" t="n"/>
      <c r="I179" s="73" t="n"/>
      <c r="J179" s="73" t="n"/>
      <c r="K179" s="73" t="n"/>
      <c r="L179" s="73" t="n"/>
      <c r="M179" s="73" t="n"/>
      <c r="N179" s="73" t="n"/>
      <c r="O179" s="73" t="n"/>
      <c r="P179" s="73" t="n"/>
      <c r="Q179" s="73" t="n"/>
      <c r="R179" s="73" t="n"/>
      <c r="S179" s="73" t="n"/>
      <c r="T179" s="73" t="n"/>
      <c r="U179" s="73" t="n"/>
      <c r="V179" s="73" t="n"/>
      <c r="W179" s="73" t="n"/>
      <c r="X179" s="73" t="n"/>
      <c r="Y179" s="73" t="n"/>
      <c r="Z179" s="73" t="n"/>
      <c r="AA179" s="73" t="n"/>
      <c r="AB179" s="73" t="n"/>
      <c r="AC179" s="73" t="n"/>
      <c r="AD179" s="73" t="n"/>
      <c r="AE179" s="73" t="n"/>
      <c r="AF179" s="73" t="n"/>
      <c r="AG179" s="73" t="n"/>
      <c r="AH179" s="73" t="n"/>
      <c r="AI179" s="73" t="n"/>
      <c r="AJ179" s="73" t="n"/>
      <c r="AK179" s="73" t="n"/>
      <c r="AL179" s="73" t="n"/>
      <c r="AM179" s="73" t="n"/>
      <c r="AN179" s="73" t="n"/>
      <c r="AO179" s="73" t="n"/>
      <c r="AP179" s="73" t="n"/>
      <c r="AQ179" s="73" t="n"/>
      <c r="AR179" s="73" t="n"/>
      <c r="AS179" s="73" t="n"/>
      <c r="AT179" s="73" t="n"/>
      <c r="AU179" s="73" t="n"/>
      <c r="AV179" s="73" t="n"/>
    </row>
    <row r="180" ht="16.5" customFormat="1" customHeight="1" s="37">
      <c r="A180" s="73" t="n"/>
      <c r="B180" s="73" t="n"/>
      <c r="C180" s="73" t="n"/>
      <c r="D180" s="73" t="n"/>
      <c r="E180" s="73" t="n"/>
      <c r="F180" s="73" t="n"/>
      <c r="G180" s="73" t="n"/>
      <c r="H180" s="73" t="n"/>
      <c r="I180" s="73" t="n"/>
      <c r="J180" s="73" t="n"/>
      <c r="K180" s="73" t="n"/>
      <c r="L180" s="73" t="n"/>
      <c r="M180" s="73" t="n"/>
      <c r="N180" s="73" t="n"/>
      <c r="O180" s="73" t="n"/>
      <c r="P180" s="73" t="n"/>
      <c r="Q180" s="73" t="n"/>
      <c r="R180" s="73" t="n"/>
      <c r="S180" s="73" t="n"/>
      <c r="T180" s="73" t="n"/>
      <c r="U180" s="73" t="n"/>
      <c r="V180" s="73" t="n"/>
      <c r="W180" s="73" t="n"/>
      <c r="X180" s="73" t="n"/>
      <c r="Y180" s="73" t="n"/>
      <c r="Z180" s="73" t="n"/>
      <c r="AA180" s="73" t="n"/>
      <c r="AB180" s="73" t="n"/>
      <c r="AC180" s="73" t="n"/>
      <c r="AD180" s="73" t="n"/>
      <c r="AE180" s="73" t="n"/>
      <c r="AF180" s="73" t="n"/>
      <c r="AG180" s="73" t="n"/>
      <c r="AH180" s="73" t="n"/>
      <c r="AI180" s="73" t="n"/>
      <c r="AJ180" s="73" t="n"/>
      <c r="AK180" s="73" t="n"/>
      <c r="AL180" s="73" t="n"/>
      <c r="AM180" s="73" t="n"/>
      <c r="AN180" s="73" t="n"/>
      <c r="AO180" s="73" t="n"/>
      <c r="AP180" s="73" t="n"/>
      <c r="AQ180" s="73" t="n"/>
      <c r="AR180" s="73" t="n"/>
      <c r="AS180" s="73" t="n"/>
      <c r="AT180" s="73" t="n"/>
      <c r="AU180" s="73" t="n"/>
      <c r="AV180" s="73" t="n"/>
    </row>
    <row r="181" ht="16.5" customFormat="1" customHeight="1" s="37">
      <c r="A181" s="73" t="n"/>
      <c r="B181" s="73" t="n"/>
      <c r="C181" s="73" t="n"/>
      <c r="D181" s="73" t="n"/>
      <c r="E181" s="73" t="n"/>
      <c r="F181" s="73" t="n"/>
      <c r="G181" s="73" t="n"/>
      <c r="H181" s="73" t="n"/>
      <c r="I181" s="73" t="n"/>
      <c r="J181" s="73" t="n"/>
      <c r="K181" s="73" t="n"/>
      <c r="L181" s="73" t="n"/>
      <c r="M181" s="73" t="n"/>
      <c r="N181" s="73" t="n"/>
      <c r="O181" s="73" t="n"/>
      <c r="P181" s="73" t="n"/>
      <c r="Q181" s="73" t="n"/>
      <c r="R181" s="73" t="n"/>
      <c r="S181" s="73" t="n"/>
      <c r="T181" s="73" t="n"/>
      <c r="U181" s="73" t="n"/>
      <c r="V181" s="73" t="n"/>
      <c r="W181" s="73" t="n"/>
      <c r="X181" s="73" t="n"/>
      <c r="Y181" s="73" t="n"/>
      <c r="Z181" s="73" t="n"/>
      <c r="AA181" s="73" t="n"/>
      <c r="AB181" s="73" t="n"/>
      <c r="AC181" s="73" t="n"/>
      <c r="AD181" s="73" t="n"/>
      <c r="AE181" s="73" t="n"/>
      <c r="AF181" s="73" t="n"/>
      <c r="AG181" s="73" t="n"/>
      <c r="AH181" s="73" t="n"/>
      <c r="AI181" s="73" t="n"/>
      <c r="AJ181" s="73" t="n"/>
      <c r="AK181" s="73" t="n"/>
      <c r="AL181" s="73" t="n"/>
      <c r="AM181" s="73" t="n"/>
      <c r="AN181" s="73" t="n"/>
      <c r="AO181" s="73" t="n"/>
      <c r="AP181" s="73" t="n"/>
      <c r="AQ181" s="73" t="n"/>
      <c r="AR181" s="73" t="n"/>
      <c r="AS181" s="73" t="n"/>
      <c r="AT181" s="73" t="n"/>
      <c r="AU181" s="73" t="n"/>
      <c r="AV181" s="73" t="n"/>
    </row>
    <row r="182" ht="16.5" customFormat="1" customHeight="1" s="37">
      <c r="A182" s="73" t="n"/>
      <c r="B182" s="73" t="n"/>
      <c r="C182" s="73" t="n"/>
      <c r="D182" s="73" t="n"/>
      <c r="E182" s="73" t="n"/>
      <c r="F182" s="73" t="n"/>
      <c r="G182" s="73" t="n"/>
      <c r="H182" s="73" t="n"/>
      <c r="I182" s="73" t="n"/>
      <c r="J182" s="73" t="n"/>
      <c r="K182" s="73" t="n"/>
      <c r="L182" s="73" t="n"/>
      <c r="M182" s="73" t="n"/>
      <c r="N182" s="73" t="n"/>
      <c r="O182" s="73" t="n"/>
      <c r="P182" s="73" t="n"/>
      <c r="Q182" s="73" t="n"/>
      <c r="R182" s="73" t="n"/>
      <c r="S182" s="73" t="n"/>
      <c r="T182" s="73" t="n"/>
      <c r="U182" s="73" t="n"/>
      <c r="V182" s="73" t="n"/>
      <c r="W182" s="73" t="n"/>
      <c r="X182" s="73" t="n"/>
      <c r="Y182" s="73" t="n"/>
      <c r="Z182" s="73" t="n"/>
      <c r="AA182" s="73" t="n"/>
      <c r="AB182" s="73" t="n"/>
      <c r="AC182" s="73" t="n"/>
      <c r="AD182" s="73" t="n"/>
      <c r="AE182" s="73" t="n"/>
      <c r="AF182" s="73" t="n"/>
      <c r="AG182" s="73" t="n"/>
      <c r="AH182" s="73" t="n"/>
      <c r="AI182" s="73" t="n"/>
      <c r="AJ182" s="73" t="n"/>
      <c r="AK182" s="73" t="n"/>
      <c r="AL182" s="73" t="n"/>
      <c r="AM182" s="73" t="n"/>
      <c r="AN182" s="73" t="n"/>
      <c r="AO182" s="73" t="n"/>
      <c r="AP182" s="73" t="n"/>
      <c r="AQ182" s="73" t="n"/>
      <c r="AR182" s="73" t="n"/>
      <c r="AS182" s="73" t="n"/>
      <c r="AT182" s="73" t="n"/>
      <c r="AU182" s="73" t="n"/>
      <c r="AV182" s="73" t="n"/>
    </row>
    <row r="183" ht="16.5" customFormat="1" customHeight="1" s="37">
      <c r="A183" s="73" t="n"/>
      <c r="B183" s="73" t="n"/>
      <c r="C183" s="73" t="n"/>
      <c r="D183" s="73" t="n"/>
      <c r="E183" s="73" t="n"/>
      <c r="F183" s="73" t="n"/>
      <c r="G183" s="73" t="n"/>
      <c r="H183" s="73" t="n"/>
      <c r="I183" s="73" t="n"/>
      <c r="J183" s="73" t="n"/>
      <c r="K183" s="73" t="n"/>
      <c r="L183" s="73" t="n"/>
      <c r="M183" s="73" t="n"/>
      <c r="N183" s="73" t="n"/>
      <c r="O183" s="73" t="n"/>
      <c r="P183" s="73" t="n"/>
      <c r="Q183" s="73" t="n"/>
      <c r="R183" s="73" t="n"/>
      <c r="S183" s="73" t="n"/>
      <c r="T183" s="73" t="n"/>
      <c r="U183" s="73" t="n"/>
      <c r="V183" s="73" t="n"/>
      <c r="W183" s="73" t="n"/>
      <c r="X183" s="73" t="n"/>
      <c r="Y183" s="73" t="n"/>
      <c r="Z183" s="73" t="n"/>
      <c r="AA183" s="73" t="n"/>
      <c r="AB183" s="73" t="n"/>
      <c r="AC183" s="73" t="n"/>
      <c r="AD183" s="73" t="n"/>
      <c r="AE183" s="73" t="n"/>
      <c r="AF183" s="73" t="n"/>
      <c r="AG183" s="73" t="n"/>
      <c r="AH183" s="73" t="n"/>
      <c r="AI183" s="73" t="n"/>
      <c r="AJ183" s="73" t="n"/>
      <c r="AK183" s="73" t="n"/>
      <c r="AL183" s="73" t="n"/>
      <c r="AM183" s="73" t="n"/>
      <c r="AN183" s="73" t="n"/>
      <c r="AO183" s="73" t="n"/>
      <c r="AP183" s="73" t="n"/>
      <c r="AQ183" s="73" t="n"/>
      <c r="AR183" s="73" t="n"/>
      <c r="AS183" s="73" t="n"/>
      <c r="AT183" s="73" t="n"/>
      <c r="AU183" s="73" t="n"/>
      <c r="AV183" s="73" t="n"/>
    </row>
    <row r="184" ht="16.5" customFormat="1" customHeight="1" s="37">
      <c r="A184" s="73" t="n"/>
      <c r="B184" s="73" t="n"/>
      <c r="C184" s="73" t="n"/>
      <c r="D184" s="73" t="n"/>
      <c r="E184" s="73" t="n"/>
      <c r="F184" s="73" t="n"/>
      <c r="G184" s="73" t="n"/>
      <c r="H184" s="73" t="n"/>
      <c r="I184" s="73" t="n"/>
      <c r="J184" s="73" t="n"/>
      <c r="K184" s="73" t="n"/>
      <c r="L184" s="73" t="n"/>
      <c r="M184" s="73" t="n"/>
      <c r="N184" s="73" t="n"/>
      <c r="O184" s="73" t="n"/>
      <c r="P184" s="73" t="n"/>
      <c r="Q184" s="73" t="n"/>
      <c r="R184" s="73" t="n"/>
      <c r="S184" s="73" t="n"/>
      <c r="T184" s="73" t="n"/>
      <c r="U184" s="73" t="n"/>
      <c r="V184" s="73" t="n"/>
      <c r="W184" s="73" t="n"/>
      <c r="X184" s="73" t="n"/>
      <c r="Y184" s="73" t="n"/>
      <c r="Z184" s="73" t="n"/>
      <c r="AA184" s="73" t="n"/>
      <c r="AB184" s="73" t="n"/>
      <c r="AC184" s="73" t="n"/>
      <c r="AD184" s="73" t="n"/>
      <c r="AE184" s="73" t="n"/>
      <c r="AF184" s="73" t="n"/>
      <c r="AG184" s="73" t="n"/>
      <c r="AH184" s="73" t="n"/>
      <c r="AI184" s="73" t="n"/>
      <c r="AJ184" s="73" t="n"/>
      <c r="AK184" s="73" t="n"/>
      <c r="AL184" s="73" t="n"/>
      <c r="AM184" s="73" t="n"/>
      <c r="AN184" s="73" t="n"/>
      <c r="AO184" s="73" t="n"/>
      <c r="AP184" s="73" t="n"/>
      <c r="AQ184" s="73" t="n"/>
      <c r="AR184" s="73" t="n"/>
      <c r="AS184" s="73" t="n"/>
      <c r="AT184" s="73" t="n"/>
      <c r="AU184" s="73" t="n"/>
      <c r="AV184" s="73" t="n"/>
    </row>
    <row r="185" ht="16.5" customFormat="1" customHeight="1" s="37">
      <c r="A185" s="73" t="n"/>
      <c r="B185" s="73" t="n"/>
      <c r="C185" s="73" t="n"/>
      <c r="D185" s="73" t="n"/>
      <c r="E185" s="73" t="n"/>
      <c r="F185" s="73" t="n"/>
      <c r="G185" s="73" t="n"/>
      <c r="H185" s="73" t="n"/>
      <c r="I185" s="73" t="n"/>
      <c r="J185" s="73" t="n"/>
      <c r="K185" s="73" t="n"/>
      <c r="L185" s="73" t="n"/>
      <c r="M185" s="73" t="n"/>
      <c r="N185" s="73" t="n"/>
      <c r="O185" s="73" t="n"/>
      <c r="P185" s="73" t="n"/>
      <c r="Q185" s="73" t="n"/>
      <c r="R185" s="73" t="n"/>
      <c r="S185" s="73" t="n"/>
      <c r="T185" s="73" t="n"/>
      <c r="U185" s="73" t="n"/>
      <c r="V185" s="73" t="n"/>
      <c r="W185" s="73" t="n"/>
      <c r="X185" s="73" t="n"/>
      <c r="Y185" s="73" t="n"/>
      <c r="Z185" s="73" t="n"/>
      <c r="AA185" s="73" t="n"/>
      <c r="AB185" s="73" t="n"/>
      <c r="AC185" s="73" t="n"/>
      <c r="AD185" s="73" t="n"/>
      <c r="AE185" s="73" t="n"/>
      <c r="AF185" s="73" t="n"/>
      <c r="AG185" s="73" t="n"/>
      <c r="AH185" s="73" t="n"/>
      <c r="AI185" s="73" t="n"/>
      <c r="AJ185" s="73" t="n"/>
      <c r="AK185" s="73" t="n"/>
      <c r="AL185" s="73" t="n"/>
      <c r="AM185" s="73" t="n"/>
      <c r="AN185" s="73" t="n"/>
      <c r="AO185" s="73" t="n"/>
      <c r="AP185" s="73" t="n"/>
      <c r="AQ185" s="73" t="n"/>
      <c r="AR185" s="73" t="n"/>
      <c r="AS185" s="73" t="n"/>
      <c r="AT185" s="73" t="n"/>
      <c r="AU185" s="73" t="n"/>
      <c r="AV185" s="73" t="n"/>
    </row>
    <row r="186" ht="16.5" customFormat="1" customHeight="1" s="37">
      <c r="A186" s="73" t="n"/>
      <c r="B186" s="73" t="n"/>
      <c r="C186" s="73" t="n"/>
      <c r="D186" s="73" t="n"/>
      <c r="E186" s="73" t="n"/>
      <c r="F186" s="73" t="n"/>
      <c r="G186" s="73" t="n"/>
      <c r="H186" s="73" t="n"/>
      <c r="I186" s="73" t="n"/>
      <c r="J186" s="73" t="n"/>
      <c r="K186" s="73" t="n"/>
      <c r="L186" s="73" t="n"/>
      <c r="M186" s="73" t="n"/>
      <c r="N186" s="73" t="n"/>
      <c r="O186" s="73" t="n"/>
      <c r="P186" s="73" t="n"/>
      <c r="Q186" s="73" t="n"/>
      <c r="R186" s="73" t="n"/>
      <c r="S186" s="73" t="n"/>
      <c r="T186" s="73" t="n"/>
      <c r="U186" s="73" t="n"/>
      <c r="V186" s="73" t="n"/>
      <c r="W186" s="73" t="n"/>
      <c r="X186" s="73" t="n"/>
      <c r="Y186" s="73" t="n"/>
      <c r="Z186" s="73" t="n"/>
      <c r="AA186" s="73" t="n"/>
      <c r="AB186" s="73" t="n"/>
      <c r="AC186" s="73" t="n"/>
      <c r="AD186" s="73" t="n"/>
      <c r="AE186" s="73" t="n"/>
      <c r="AF186" s="73" t="n"/>
      <c r="AG186" s="73" t="n"/>
      <c r="AH186" s="73" t="n"/>
      <c r="AI186" s="73" t="n"/>
      <c r="AJ186" s="73" t="n"/>
      <c r="AK186" s="73" t="n"/>
      <c r="AL186" s="73" t="n"/>
      <c r="AM186" s="73" t="n"/>
      <c r="AN186" s="73" t="n"/>
      <c r="AO186" s="73" t="n"/>
      <c r="AP186" s="73" t="n"/>
      <c r="AQ186" s="73" t="n"/>
      <c r="AR186" s="73" t="n"/>
      <c r="AS186" s="73" t="n"/>
      <c r="AT186" s="73" t="n"/>
      <c r="AU186" s="73" t="n"/>
      <c r="AV186" s="73" t="n"/>
    </row>
    <row r="187" ht="16.5" customFormat="1" customHeight="1" s="37">
      <c r="A187" s="73" t="n"/>
      <c r="B187" s="73" t="n"/>
      <c r="C187" s="73" t="n"/>
      <c r="D187" s="73" t="n"/>
      <c r="E187" s="73" t="n"/>
      <c r="F187" s="73" t="n"/>
      <c r="G187" s="73" t="n"/>
      <c r="H187" s="73" t="n"/>
      <c r="I187" s="73" t="n"/>
      <c r="J187" s="73" t="n"/>
      <c r="K187" s="73" t="n"/>
      <c r="L187" s="73" t="n"/>
      <c r="M187" s="73" t="n"/>
      <c r="N187" s="73" t="n"/>
      <c r="O187" s="73" t="n"/>
      <c r="P187" s="73" t="n"/>
      <c r="Q187" s="73" t="n"/>
      <c r="R187" s="73" t="n"/>
      <c r="S187" s="73" t="n"/>
      <c r="T187" s="73" t="n"/>
      <c r="U187" s="73" t="n"/>
      <c r="V187" s="73" t="n"/>
      <c r="W187" s="73" t="n"/>
      <c r="X187" s="73" t="n"/>
      <c r="Y187" s="73" t="n"/>
      <c r="Z187" s="73" t="n"/>
      <c r="AA187" s="73" t="n"/>
      <c r="AB187" s="73" t="n"/>
      <c r="AC187" s="73" t="n"/>
      <c r="AD187" s="73" t="n"/>
      <c r="AE187" s="73" t="n"/>
      <c r="AF187" s="73" t="n"/>
      <c r="AG187" s="73" t="n"/>
      <c r="AH187" s="73" t="n"/>
      <c r="AI187" s="73" t="n"/>
      <c r="AJ187" s="73" t="n"/>
      <c r="AK187" s="73" t="n"/>
      <c r="AL187" s="73" t="n"/>
      <c r="AM187" s="73" t="n"/>
      <c r="AN187" s="73" t="n"/>
      <c r="AO187" s="73" t="n"/>
      <c r="AP187" s="73" t="n"/>
      <c r="AQ187" s="73" t="n"/>
      <c r="AR187" s="73" t="n"/>
      <c r="AS187" s="73" t="n"/>
      <c r="AT187" s="73" t="n"/>
      <c r="AU187" s="73" t="n"/>
      <c r="AV187" s="73" t="n"/>
    </row>
    <row r="188" ht="16.5" customFormat="1" customHeight="1" s="37">
      <c r="A188" s="73" t="n"/>
      <c r="B188" s="73" t="n"/>
      <c r="C188" s="73" t="n"/>
      <c r="D188" s="73" t="n"/>
      <c r="E188" s="73" t="n"/>
      <c r="F188" s="73" t="n"/>
      <c r="G188" s="73" t="n"/>
      <c r="H188" s="73" t="n"/>
      <c r="I188" s="73" t="n"/>
      <c r="J188" s="73" t="n"/>
      <c r="K188" s="73" t="n"/>
      <c r="L188" s="73" t="n"/>
      <c r="M188" s="73" t="n"/>
      <c r="N188" s="73" t="n"/>
      <c r="O188" s="73" t="n"/>
      <c r="P188" s="73" t="n"/>
      <c r="Q188" s="73" t="n"/>
      <c r="R188" s="73" t="n"/>
      <c r="S188" s="73" t="n"/>
      <c r="T188" s="73" t="n"/>
      <c r="U188" s="73" t="n"/>
      <c r="V188" s="73" t="n"/>
      <c r="W188" s="73" t="n"/>
      <c r="X188" s="73" t="n"/>
      <c r="Y188" s="73" t="n"/>
      <c r="Z188" s="73" t="n"/>
      <c r="AA188" s="73" t="n"/>
      <c r="AB188" s="73" t="n"/>
      <c r="AC188" s="73" t="n"/>
      <c r="AD188" s="73" t="n"/>
      <c r="AE188" s="73" t="n"/>
      <c r="AF188" s="73" t="n"/>
      <c r="AG188" s="73" t="n"/>
      <c r="AH188" s="73" t="n"/>
      <c r="AI188" s="73" t="n"/>
      <c r="AJ188" s="73" t="n"/>
      <c r="AK188" s="73" t="n"/>
      <c r="AL188" s="73" t="n"/>
      <c r="AM188" s="73" t="n"/>
      <c r="AN188" s="73" t="n"/>
      <c r="AO188" s="73" t="n"/>
      <c r="AP188" s="73" t="n"/>
      <c r="AQ188" s="73" t="n"/>
      <c r="AR188" s="73" t="n"/>
      <c r="AS188" s="73" t="n"/>
      <c r="AT188" s="73" t="n"/>
      <c r="AU188" s="73" t="n"/>
      <c r="AV188" s="73" t="n"/>
    </row>
    <row r="189" ht="16.5" customFormat="1" customHeight="1" s="37">
      <c r="A189" s="73" t="n"/>
      <c r="B189" s="73" t="n"/>
      <c r="C189" s="73" t="n"/>
      <c r="D189" s="73" t="n"/>
      <c r="E189" s="73" t="n"/>
      <c r="F189" s="73" t="n"/>
      <c r="G189" s="73" t="n"/>
      <c r="H189" s="73" t="n"/>
      <c r="I189" s="73" t="n"/>
      <c r="J189" s="73" t="n"/>
      <c r="K189" s="73" t="n"/>
      <c r="L189" s="73" t="n"/>
      <c r="M189" s="73" t="n"/>
      <c r="N189" s="73" t="n"/>
      <c r="O189" s="73" t="n"/>
      <c r="P189" s="73" t="n"/>
      <c r="Q189" s="73" t="n"/>
      <c r="R189" s="73" t="n"/>
      <c r="S189" s="73" t="n"/>
      <c r="T189" s="73" t="n"/>
      <c r="U189" s="73" t="n"/>
      <c r="V189" s="73" t="n"/>
      <c r="W189" s="73" t="n"/>
      <c r="X189" s="73" t="n"/>
      <c r="Y189" s="73" t="n"/>
      <c r="Z189" s="73" t="n"/>
      <c r="AA189" s="73" t="n"/>
      <c r="AB189" s="73" t="n"/>
      <c r="AC189" s="73" t="n"/>
      <c r="AD189" s="73" t="n"/>
      <c r="AE189" s="73" t="n"/>
      <c r="AF189" s="73" t="n"/>
      <c r="AG189" s="73" t="n"/>
      <c r="AH189" s="73" t="n"/>
      <c r="AI189" s="73" t="n"/>
      <c r="AJ189" s="73" t="n"/>
      <c r="AK189" s="73" t="n"/>
      <c r="AL189" s="73" t="n"/>
      <c r="AM189" s="73" t="n"/>
      <c r="AN189" s="73" t="n"/>
      <c r="AO189" s="73" t="n"/>
      <c r="AP189" s="73" t="n"/>
      <c r="AQ189" s="73" t="n"/>
      <c r="AR189" s="73" t="n"/>
      <c r="AS189" s="73" t="n"/>
      <c r="AT189" s="73" t="n"/>
      <c r="AU189" s="73" t="n"/>
      <c r="AV189" s="73" t="n"/>
    </row>
    <row r="190" ht="16.5" customFormat="1" customHeight="1" s="37">
      <c r="A190" s="73" t="n"/>
      <c r="B190" s="73" t="n"/>
      <c r="C190" s="73" t="n"/>
      <c r="D190" s="73" t="n"/>
      <c r="E190" s="73" t="n"/>
      <c r="F190" s="73" t="n"/>
      <c r="G190" s="73" t="n"/>
      <c r="H190" s="73" t="n"/>
      <c r="I190" s="73" t="n"/>
      <c r="J190" s="73" t="n"/>
      <c r="K190" s="73" t="n"/>
      <c r="L190" s="73" t="n"/>
      <c r="M190" s="73" t="n"/>
      <c r="N190" s="73" t="n"/>
      <c r="O190" s="73" t="n"/>
      <c r="P190" s="73" t="n"/>
      <c r="Q190" s="73" t="n"/>
      <c r="R190" s="73" t="n"/>
      <c r="S190" s="73" t="n"/>
      <c r="T190" s="73" t="n"/>
      <c r="U190" s="73" t="n"/>
      <c r="V190" s="73" t="n"/>
      <c r="W190" s="73" t="n"/>
      <c r="X190" s="73" t="n"/>
      <c r="Y190" s="73" t="n"/>
      <c r="Z190" s="73" t="n"/>
      <c r="AA190" s="73" t="n"/>
      <c r="AB190" s="73" t="n"/>
      <c r="AC190" s="73" t="n"/>
      <c r="AD190" s="73" t="n"/>
      <c r="AE190" s="73" t="n"/>
      <c r="AF190" s="73" t="n"/>
      <c r="AG190" s="73" t="n"/>
      <c r="AH190" s="73" t="n"/>
      <c r="AI190" s="73" t="n"/>
      <c r="AJ190" s="73" t="n"/>
      <c r="AK190" s="73" t="n"/>
      <c r="AL190" s="73" t="n"/>
      <c r="AM190" s="73" t="n"/>
      <c r="AN190" s="73" t="n"/>
      <c r="AO190" s="73" t="n"/>
      <c r="AP190" s="73" t="n"/>
      <c r="AQ190" s="73" t="n"/>
      <c r="AR190" s="73" t="n"/>
      <c r="AS190" s="73" t="n"/>
      <c r="AT190" s="73" t="n"/>
      <c r="AU190" s="73" t="n"/>
      <c r="AV190" s="73" t="n"/>
    </row>
    <row r="191" ht="16.5" customFormat="1" customHeight="1" s="37">
      <c r="A191" s="73" t="n"/>
      <c r="B191" s="73" t="n"/>
      <c r="C191" s="73" t="n"/>
      <c r="D191" s="73" t="n"/>
      <c r="E191" s="73" t="n"/>
      <c r="F191" s="73" t="n"/>
      <c r="G191" s="73" t="n"/>
      <c r="H191" s="73" t="n"/>
      <c r="I191" s="73" t="n"/>
      <c r="J191" s="73" t="n"/>
      <c r="K191" s="73" t="n"/>
      <c r="L191" s="73" t="n"/>
      <c r="M191" s="73" t="n"/>
      <c r="N191" s="73" t="n"/>
      <c r="O191" s="73" t="n"/>
      <c r="P191" s="73" t="n"/>
      <c r="Q191" s="73" t="n"/>
      <c r="R191" s="73" t="n"/>
      <c r="S191" s="73" t="n"/>
      <c r="T191" s="73" t="n"/>
      <c r="U191" s="73" t="n"/>
      <c r="V191" s="73" t="n"/>
      <c r="W191" s="73" t="n"/>
      <c r="X191" s="73" t="n"/>
      <c r="Y191" s="73" t="n"/>
      <c r="Z191" s="73" t="n"/>
      <c r="AA191" s="73" t="n"/>
      <c r="AB191" s="73" t="n"/>
      <c r="AC191" s="73" t="n"/>
      <c r="AD191" s="73" t="n"/>
      <c r="AE191" s="73" t="n"/>
      <c r="AF191" s="73" t="n"/>
      <c r="AG191" s="73" t="n"/>
      <c r="AH191" s="73" t="n"/>
      <c r="AI191" s="73" t="n"/>
      <c r="AJ191" s="73" t="n"/>
      <c r="AK191" s="73" t="n"/>
      <c r="AL191" s="73" t="n"/>
      <c r="AM191" s="73" t="n"/>
      <c r="AN191" s="73" t="n"/>
      <c r="AO191" s="73" t="n"/>
      <c r="AP191" s="73" t="n"/>
      <c r="AQ191" s="73" t="n"/>
      <c r="AR191" s="73" t="n"/>
      <c r="AS191" s="73" t="n"/>
      <c r="AT191" s="73" t="n"/>
      <c r="AU191" s="73" t="n"/>
      <c r="AV191" s="73" t="n"/>
    </row>
    <row r="192" ht="16.5" customFormat="1" customHeight="1" s="37">
      <c r="A192" s="73" t="n"/>
      <c r="B192" s="73" t="n"/>
      <c r="C192" s="73" t="n"/>
      <c r="D192" s="73" t="n"/>
      <c r="E192" s="73" t="n"/>
      <c r="F192" s="73" t="n"/>
      <c r="G192" s="73" t="n"/>
      <c r="H192" s="73" t="n"/>
      <c r="I192" s="73" t="n"/>
      <c r="J192" s="73" t="n"/>
      <c r="K192" s="73" t="n"/>
      <c r="L192" s="73" t="n"/>
      <c r="M192" s="73" t="n"/>
      <c r="N192" s="73" t="n"/>
      <c r="O192" s="73" t="n"/>
      <c r="P192" s="73" t="n"/>
      <c r="Q192" s="73" t="n"/>
      <c r="R192" s="73" t="n"/>
      <c r="S192" s="73" t="n"/>
      <c r="T192" s="73" t="n"/>
      <c r="U192" s="73" t="n"/>
      <c r="V192" s="73" t="n"/>
      <c r="W192" s="73" t="n"/>
      <c r="X192" s="73" t="n"/>
      <c r="Y192" s="73" t="n"/>
      <c r="Z192" s="73" t="n"/>
      <c r="AA192" s="73" t="n"/>
      <c r="AB192" s="73" t="n"/>
      <c r="AC192" s="73" t="n"/>
      <c r="AD192" s="73" t="n"/>
      <c r="AE192" s="73" t="n"/>
      <c r="AF192" s="73" t="n"/>
      <c r="AG192" s="73" t="n"/>
      <c r="AH192" s="73" t="n"/>
      <c r="AI192" s="73" t="n"/>
      <c r="AJ192" s="73" t="n"/>
      <c r="AK192" s="73" t="n"/>
      <c r="AL192" s="73" t="n"/>
      <c r="AM192" s="73" t="n"/>
      <c r="AN192" s="73" t="n"/>
      <c r="AO192" s="73" t="n"/>
      <c r="AP192" s="73" t="n"/>
      <c r="AQ192" s="73" t="n"/>
      <c r="AR192" s="73" t="n"/>
      <c r="AS192" s="73" t="n"/>
      <c r="AT192" s="73" t="n"/>
      <c r="AU192" s="73" t="n"/>
      <c r="AV192" s="73" t="n"/>
    </row>
    <row r="193" ht="16.5" customFormat="1" customHeight="1" s="37">
      <c r="A193" s="73" t="n"/>
      <c r="B193" s="73" t="n"/>
      <c r="C193" s="73" t="n"/>
      <c r="D193" s="73" t="n"/>
      <c r="E193" s="73" t="n"/>
      <c r="F193" s="73" t="n"/>
      <c r="G193" s="73" t="n"/>
      <c r="H193" s="73" t="n"/>
      <c r="I193" s="73" t="n"/>
      <c r="J193" s="73" t="n"/>
      <c r="K193" s="73" t="n"/>
      <c r="L193" s="73" t="n"/>
      <c r="M193" s="73" t="n"/>
      <c r="N193" s="73" t="n"/>
      <c r="O193" s="73" t="n"/>
      <c r="P193" s="73" t="n"/>
      <c r="Q193" s="73" t="n"/>
      <c r="R193" s="73" t="n"/>
      <c r="S193" s="73" t="n"/>
      <c r="T193" s="73" t="n"/>
      <c r="U193" s="73" t="n"/>
      <c r="V193" s="73" t="n"/>
      <c r="W193" s="73" t="n"/>
      <c r="X193" s="73" t="n"/>
      <c r="Y193" s="73" t="n"/>
      <c r="Z193" s="73" t="n"/>
      <c r="AA193" s="73" t="n"/>
      <c r="AB193" s="73" t="n"/>
      <c r="AC193" s="73" t="n"/>
      <c r="AD193" s="73" t="n"/>
      <c r="AE193" s="73" t="n"/>
      <c r="AF193" s="73" t="n"/>
      <c r="AG193" s="73" t="n"/>
      <c r="AH193" s="73" t="n"/>
      <c r="AI193" s="73" t="n"/>
      <c r="AJ193" s="73" t="n"/>
      <c r="AK193" s="73" t="n"/>
      <c r="AL193" s="73" t="n"/>
      <c r="AM193" s="73" t="n"/>
      <c r="AN193" s="73" t="n"/>
      <c r="AO193" s="73" t="n"/>
      <c r="AP193" s="73" t="n"/>
      <c r="AQ193" s="73" t="n"/>
      <c r="AR193" s="73" t="n"/>
      <c r="AS193" s="73" t="n"/>
      <c r="AT193" s="73" t="n"/>
      <c r="AU193" s="73" t="n"/>
      <c r="AV193" s="73" t="n"/>
    </row>
    <row r="194" ht="16.5" customFormat="1" customHeight="1" s="37">
      <c r="A194" s="73" t="n"/>
      <c r="B194" s="73" t="n"/>
      <c r="C194" s="73" t="n"/>
      <c r="D194" s="73" t="n"/>
      <c r="E194" s="73" t="n"/>
      <c r="F194" s="73" t="n"/>
      <c r="G194" s="73" t="n"/>
      <c r="H194" s="73" t="n"/>
      <c r="I194" s="73" t="n"/>
      <c r="J194" s="73" t="n"/>
      <c r="K194" s="73" t="n"/>
      <c r="L194" s="73" t="n"/>
      <c r="M194" s="73" t="n"/>
      <c r="N194" s="73" t="n"/>
      <c r="O194" s="73" t="n"/>
      <c r="P194" s="73" t="n"/>
      <c r="Q194" s="73" t="n"/>
      <c r="R194" s="73" t="n"/>
      <c r="S194" s="73" t="n"/>
      <c r="T194" s="73" t="n"/>
      <c r="U194" s="73" t="n"/>
      <c r="V194" s="73" t="n"/>
      <c r="W194" s="73" t="n"/>
      <c r="X194" s="73" t="n"/>
      <c r="Y194" s="73" t="n"/>
      <c r="Z194" s="73" t="n"/>
      <c r="AA194" s="73" t="n"/>
      <c r="AB194" s="73" t="n"/>
      <c r="AC194" s="73" t="n"/>
      <c r="AD194" s="73" t="n"/>
      <c r="AE194" s="73" t="n"/>
      <c r="AF194" s="73" t="n"/>
      <c r="AG194" s="73" t="n"/>
      <c r="AH194" s="73" t="n"/>
      <c r="AI194" s="73" t="n"/>
      <c r="AJ194" s="73" t="n"/>
      <c r="AK194" s="73" t="n"/>
      <c r="AL194" s="73" t="n"/>
      <c r="AM194" s="73" t="n"/>
      <c r="AN194" s="73" t="n"/>
      <c r="AO194" s="73" t="n"/>
      <c r="AP194" s="73" t="n"/>
      <c r="AQ194" s="73" t="n"/>
      <c r="AR194" s="73" t="n"/>
      <c r="AS194" s="73" t="n"/>
      <c r="AT194" s="73" t="n"/>
      <c r="AU194" s="73" t="n"/>
      <c r="AV194" s="73" t="n"/>
    </row>
    <row r="195" ht="16.5" customFormat="1" customHeight="1" s="37">
      <c r="A195" s="73" t="n"/>
      <c r="B195" s="73" t="n"/>
      <c r="C195" s="73" t="n"/>
      <c r="D195" s="73" t="n"/>
      <c r="E195" s="73" t="n"/>
      <c r="F195" s="73" t="n"/>
      <c r="G195" s="73" t="n"/>
      <c r="H195" s="73" t="n"/>
      <c r="I195" s="73" t="n"/>
      <c r="J195" s="73" t="n"/>
      <c r="K195" s="73" t="n"/>
      <c r="L195" s="73" t="n"/>
      <c r="M195" s="73" t="n"/>
      <c r="N195" s="73" t="n"/>
      <c r="O195" s="73" t="n"/>
      <c r="P195" s="73" t="n"/>
      <c r="Q195" s="73" t="n"/>
      <c r="R195" s="73" t="n"/>
      <c r="S195" s="73" t="n"/>
      <c r="T195" s="73" t="n"/>
      <c r="U195" s="73" t="n"/>
      <c r="V195" s="73" t="n"/>
      <c r="W195" s="73" t="n"/>
      <c r="X195" s="73" t="n"/>
      <c r="Y195" s="73" t="n"/>
      <c r="Z195" s="73" t="n"/>
      <c r="AA195" s="73" t="n"/>
      <c r="AB195" s="73" t="n"/>
      <c r="AC195" s="73" t="n"/>
      <c r="AD195" s="73" t="n"/>
      <c r="AE195" s="73" t="n"/>
      <c r="AF195" s="73" t="n"/>
      <c r="AG195" s="73" t="n"/>
      <c r="AH195" s="73" t="n"/>
      <c r="AI195" s="73" t="n"/>
      <c r="AJ195" s="73" t="n"/>
      <c r="AK195" s="73" t="n"/>
      <c r="AL195" s="73" t="n"/>
      <c r="AM195" s="73" t="n"/>
      <c r="AN195" s="73" t="n"/>
      <c r="AO195" s="73" t="n"/>
      <c r="AP195" s="73" t="n"/>
      <c r="AQ195" s="73" t="n"/>
      <c r="AR195" s="73" t="n"/>
      <c r="AS195" s="73" t="n"/>
      <c r="AT195" s="73" t="n"/>
      <c r="AU195" s="73" t="n"/>
      <c r="AV195" s="73" t="n"/>
    </row>
    <row r="196" ht="16.5" customFormat="1" customHeight="1" s="37">
      <c r="A196" s="73" t="n"/>
      <c r="B196" s="73" t="n"/>
      <c r="C196" s="73" t="n"/>
      <c r="D196" s="73" t="n"/>
      <c r="E196" s="73" t="n"/>
      <c r="F196" s="73" t="n"/>
      <c r="G196" s="73" t="n"/>
      <c r="H196" s="73" t="n"/>
      <c r="I196" s="73" t="n"/>
      <c r="J196" s="73" t="n"/>
      <c r="K196" s="73" t="n"/>
      <c r="L196" s="73" t="n"/>
      <c r="M196" s="73" t="n"/>
      <c r="N196" s="73" t="n"/>
      <c r="O196" s="73" t="n"/>
      <c r="P196" s="73" t="n"/>
      <c r="Q196" s="73" t="n"/>
      <c r="R196" s="73" t="n"/>
      <c r="S196" s="73" t="n"/>
      <c r="T196" s="73" t="n"/>
      <c r="U196" s="73" t="n"/>
      <c r="V196" s="73" t="n"/>
      <c r="W196" s="73" t="n"/>
      <c r="X196" s="73" t="n"/>
      <c r="Y196" s="73" t="n"/>
      <c r="Z196" s="73" t="n"/>
      <c r="AA196" s="73" t="n"/>
      <c r="AB196" s="73" t="n"/>
      <c r="AC196" s="73" t="n"/>
      <c r="AD196" s="73" t="n"/>
      <c r="AE196" s="73" t="n"/>
      <c r="AF196" s="73" t="n"/>
      <c r="AG196" s="73" t="n"/>
      <c r="AH196" s="73" t="n"/>
      <c r="AI196" s="73" t="n"/>
      <c r="AJ196" s="73" t="n"/>
      <c r="AK196" s="73" t="n"/>
      <c r="AL196" s="73" t="n"/>
      <c r="AM196" s="73" t="n"/>
      <c r="AN196" s="73" t="n"/>
      <c r="AO196" s="73" t="n"/>
      <c r="AP196" s="73" t="n"/>
      <c r="AQ196" s="73" t="n"/>
      <c r="AR196" s="73" t="n"/>
      <c r="AS196" s="73" t="n"/>
      <c r="AT196" s="73" t="n"/>
      <c r="AU196" s="73" t="n"/>
      <c r="AV196" s="73" t="n"/>
    </row>
    <row r="197" ht="16.5" customFormat="1" customHeight="1" s="37">
      <c r="A197" s="73" t="n"/>
      <c r="B197" s="73" t="n"/>
      <c r="C197" s="73" t="n"/>
      <c r="D197" s="73" t="n"/>
      <c r="E197" s="73" t="n"/>
      <c r="F197" s="73" t="n"/>
      <c r="G197" s="73" t="n"/>
      <c r="H197" s="73" t="n"/>
      <c r="I197" s="73" t="n"/>
      <c r="J197" s="73" t="n"/>
      <c r="K197" s="73" t="n"/>
      <c r="L197" s="73" t="n"/>
      <c r="M197" s="73" t="n"/>
      <c r="N197" s="73" t="n"/>
      <c r="O197" s="73" t="n"/>
      <c r="P197" s="73" t="n"/>
      <c r="Q197" s="73" t="n"/>
      <c r="R197" s="73" t="n"/>
      <c r="S197" s="73" t="n"/>
      <c r="T197" s="73" t="n"/>
      <c r="U197" s="73" t="n"/>
      <c r="V197" s="73" t="n"/>
      <c r="W197" s="73" t="n"/>
      <c r="X197" s="73" t="n"/>
      <c r="Y197" s="73" t="n"/>
      <c r="Z197" s="73" t="n"/>
      <c r="AA197" s="73" t="n"/>
      <c r="AB197" s="73" t="n"/>
      <c r="AC197" s="73" t="n"/>
      <c r="AD197" s="73" t="n"/>
      <c r="AE197" s="73" t="n"/>
      <c r="AF197" s="73" t="n"/>
      <c r="AG197" s="73" t="n"/>
      <c r="AH197" s="73" t="n"/>
      <c r="AI197" s="73" t="n"/>
      <c r="AJ197" s="73" t="n"/>
      <c r="AK197" s="73" t="n"/>
      <c r="AL197" s="73" t="n"/>
      <c r="AM197" s="73" t="n"/>
      <c r="AN197" s="73" t="n"/>
      <c r="AO197" s="73" t="n"/>
      <c r="AP197" s="73" t="n"/>
      <c r="AQ197" s="73" t="n"/>
      <c r="AR197" s="73" t="n"/>
      <c r="AS197" s="73" t="n"/>
      <c r="AT197" s="73" t="n"/>
      <c r="AU197" s="73" t="n"/>
      <c r="AV197" s="73" t="n"/>
    </row>
    <row r="198" ht="16.5" customFormat="1" customHeight="1" s="37">
      <c r="A198" s="73" t="n"/>
      <c r="B198" s="73" t="n"/>
      <c r="C198" s="73" t="n"/>
      <c r="D198" s="73" t="n"/>
      <c r="E198" s="73" t="n"/>
      <c r="F198" s="73" t="n"/>
      <c r="G198" s="73" t="n"/>
      <c r="H198" s="73" t="n"/>
      <c r="I198" s="73" t="n"/>
      <c r="J198" s="73" t="n"/>
      <c r="K198" s="73" t="n"/>
      <c r="L198" s="73" t="n"/>
      <c r="M198" s="73" t="n"/>
      <c r="N198" s="73" t="n"/>
      <c r="O198" s="73" t="n"/>
      <c r="P198" s="73" t="n"/>
      <c r="Q198" s="73" t="n"/>
      <c r="R198" s="73" t="n"/>
      <c r="S198" s="73" t="n"/>
      <c r="T198" s="73" t="n"/>
      <c r="U198" s="73" t="n"/>
      <c r="V198" s="73" t="n"/>
      <c r="W198" s="73" t="n"/>
      <c r="X198" s="73" t="n"/>
      <c r="Y198" s="73" t="n"/>
      <c r="Z198" s="73" t="n"/>
      <c r="AA198" s="73" t="n"/>
      <c r="AB198" s="73" t="n"/>
      <c r="AC198" s="73" t="n"/>
      <c r="AD198" s="73" t="n"/>
      <c r="AE198" s="73" t="n"/>
      <c r="AF198" s="73" t="n"/>
      <c r="AG198" s="73" t="n"/>
      <c r="AH198" s="73" t="n"/>
      <c r="AI198" s="73" t="n"/>
      <c r="AJ198" s="73" t="n"/>
      <c r="AK198" s="73" t="n"/>
      <c r="AL198" s="73" t="n"/>
      <c r="AM198" s="73" t="n"/>
      <c r="AN198" s="73" t="n"/>
      <c r="AO198" s="73" t="n"/>
      <c r="AP198" s="73" t="n"/>
      <c r="AQ198" s="73" t="n"/>
      <c r="AR198" s="73" t="n"/>
      <c r="AS198" s="73" t="n"/>
      <c r="AT198" s="73" t="n"/>
      <c r="AU198" s="73" t="n"/>
      <c r="AV198" s="73" t="n"/>
    </row>
    <row r="199" ht="16.5" customFormat="1" customHeight="1" s="37">
      <c r="A199" s="73" t="n"/>
      <c r="B199" s="73" t="n"/>
      <c r="C199" s="73" t="n"/>
      <c r="D199" s="73" t="n"/>
      <c r="E199" s="73" t="n"/>
      <c r="F199" s="73" t="n"/>
      <c r="G199" s="73" t="n"/>
      <c r="H199" s="73" t="n"/>
      <c r="I199" s="73" t="n"/>
      <c r="J199" s="73" t="n"/>
      <c r="K199" s="73" t="n"/>
      <c r="L199" s="73" t="n"/>
      <c r="M199" s="73" t="n"/>
      <c r="N199" s="73" t="n"/>
      <c r="O199" s="73" t="n"/>
      <c r="P199" s="73" t="n"/>
      <c r="Q199" s="73" t="n"/>
      <c r="R199" s="73" t="n"/>
      <c r="S199" s="73" t="n"/>
      <c r="T199" s="73" t="n"/>
      <c r="U199" s="73" t="n"/>
      <c r="V199" s="73" t="n"/>
      <c r="W199" s="73" t="n"/>
      <c r="X199" s="73" t="n"/>
      <c r="Y199" s="73" t="n"/>
      <c r="Z199" s="73" t="n"/>
      <c r="AA199" s="73" t="n"/>
      <c r="AB199" s="73" t="n"/>
      <c r="AC199" s="73" t="n"/>
      <c r="AD199" s="73" t="n"/>
      <c r="AE199" s="73" t="n"/>
      <c r="AF199" s="73" t="n"/>
      <c r="AG199" s="73" t="n"/>
      <c r="AH199" s="73" t="n"/>
      <c r="AI199" s="73" t="n"/>
      <c r="AJ199" s="73" t="n"/>
      <c r="AK199" s="73" t="n"/>
      <c r="AL199" s="73" t="n"/>
      <c r="AM199" s="73" t="n"/>
      <c r="AN199" s="73" t="n"/>
      <c r="AO199" s="73" t="n"/>
      <c r="AP199" s="73" t="n"/>
      <c r="AQ199" s="73" t="n"/>
      <c r="AR199" s="73" t="n"/>
      <c r="AS199" s="73" t="n"/>
      <c r="AT199" s="73" t="n"/>
      <c r="AU199" s="73" t="n"/>
      <c r="AV199" s="73" t="n"/>
    </row>
    <row r="200" ht="16.5" customFormat="1" customHeight="1" s="37">
      <c r="A200" s="73" t="n"/>
      <c r="B200" s="73" t="n"/>
      <c r="C200" s="73" t="n"/>
      <c r="D200" s="73" t="n"/>
      <c r="E200" s="73" t="n"/>
      <c r="F200" s="73" t="n"/>
      <c r="G200" s="73" t="n"/>
      <c r="H200" s="73" t="n"/>
      <c r="I200" s="73" t="n"/>
      <c r="J200" s="73" t="n"/>
      <c r="K200" s="73" t="n"/>
      <c r="L200" s="73" t="n"/>
      <c r="M200" s="73" t="n"/>
      <c r="N200" s="73" t="n"/>
      <c r="O200" s="73" t="n"/>
      <c r="P200" s="73" t="n"/>
      <c r="Q200" s="73" t="n"/>
      <c r="R200" s="73" t="n"/>
      <c r="S200" s="73" t="n"/>
      <c r="T200" s="73" t="n"/>
      <c r="U200" s="73" t="n"/>
      <c r="V200" s="73" t="n"/>
      <c r="W200" s="73" t="n"/>
      <c r="X200" s="73" t="n"/>
      <c r="Y200" s="73" t="n"/>
      <c r="Z200" s="73" t="n"/>
      <c r="AA200" s="73" t="n"/>
      <c r="AB200" s="73" t="n"/>
      <c r="AC200" s="73" t="n"/>
      <c r="AD200" s="73" t="n"/>
      <c r="AE200" s="73" t="n"/>
      <c r="AF200" s="73" t="n"/>
      <c r="AG200" s="73" t="n"/>
      <c r="AH200" s="73" t="n"/>
      <c r="AI200" s="73" t="n"/>
      <c r="AJ200" s="73" t="n"/>
      <c r="AK200" s="73" t="n"/>
      <c r="AL200" s="73" t="n"/>
      <c r="AM200" s="73" t="n"/>
      <c r="AN200" s="73" t="n"/>
      <c r="AO200" s="73" t="n"/>
      <c r="AP200" s="73" t="n"/>
      <c r="AQ200" s="73" t="n"/>
      <c r="AR200" s="73" t="n"/>
      <c r="AS200" s="73" t="n"/>
      <c r="AT200" s="73" t="n"/>
      <c r="AU200" s="73" t="n"/>
      <c r="AV200" s="73" t="n"/>
    </row>
    <row r="201" ht="16.5" customFormat="1" customHeight="1" s="37">
      <c r="A201" s="73" t="n"/>
      <c r="B201" s="73" t="n"/>
      <c r="C201" s="73" t="n"/>
      <c r="D201" s="73" t="n"/>
      <c r="E201" s="73" t="n"/>
      <c r="F201" s="73" t="n"/>
      <c r="G201" s="73" t="n"/>
      <c r="H201" s="73" t="n"/>
      <c r="I201" s="73" t="n"/>
      <c r="J201" s="73" t="n"/>
      <c r="K201" s="73" t="n"/>
      <c r="L201" s="73" t="n"/>
      <c r="M201" s="73" t="n"/>
      <c r="N201" s="73" t="n"/>
      <c r="O201" s="73" t="n"/>
      <c r="P201" s="73" t="n"/>
      <c r="Q201" s="73" t="n"/>
      <c r="R201" s="73" t="n"/>
      <c r="S201" s="73" t="n"/>
      <c r="T201" s="73" t="n"/>
      <c r="U201" s="73" t="n"/>
      <c r="V201" s="73" t="n"/>
      <c r="W201" s="73" t="n"/>
      <c r="X201" s="73" t="n"/>
      <c r="Y201" s="73" t="n"/>
      <c r="Z201" s="73" t="n"/>
      <c r="AA201" s="73" t="n"/>
      <c r="AB201" s="73" t="n"/>
      <c r="AC201" s="73" t="n"/>
      <c r="AD201" s="73" t="n"/>
      <c r="AE201" s="73" t="n"/>
      <c r="AF201" s="73" t="n"/>
      <c r="AG201" s="73" t="n"/>
      <c r="AH201" s="73" t="n"/>
      <c r="AI201" s="73" t="n"/>
      <c r="AJ201" s="73" t="n"/>
      <c r="AK201" s="73" t="n"/>
      <c r="AL201" s="73" t="n"/>
      <c r="AM201" s="73" t="n"/>
      <c r="AN201" s="73" t="n"/>
      <c r="AO201" s="73" t="n"/>
      <c r="AP201" s="73" t="n"/>
      <c r="AQ201" s="73" t="n"/>
      <c r="AR201" s="73" t="n"/>
      <c r="AS201" s="73" t="n"/>
      <c r="AT201" s="73" t="n"/>
      <c r="AU201" s="73" t="n"/>
      <c r="AV201" s="73" t="n"/>
    </row>
    <row r="202" ht="16.5" customFormat="1" customHeight="1" s="37">
      <c r="A202" s="73" t="n"/>
      <c r="B202" s="73" t="n"/>
      <c r="C202" s="73" t="n"/>
      <c r="D202" s="73" t="n"/>
      <c r="E202" s="73" t="n"/>
      <c r="F202" s="73" t="n"/>
      <c r="G202" s="73" t="n"/>
      <c r="H202" s="73" t="n"/>
      <c r="I202" s="73" t="n"/>
      <c r="J202" s="73" t="n"/>
      <c r="K202" s="73" t="n"/>
      <c r="L202" s="73" t="n"/>
      <c r="M202" s="73" t="n"/>
      <c r="N202" s="73" t="n"/>
      <c r="O202" s="73" t="n"/>
      <c r="P202" s="73" t="n"/>
      <c r="Q202" s="73" t="n"/>
      <c r="R202" s="73" t="n"/>
      <c r="S202" s="73" t="n"/>
      <c r="T202" s="73" t="n"/>
      <c r="U202" s="73" t="n"/>
      <c r="V202" s="73" t="n"/>
      <c r="W202" s="73" t="n"/>
      <c r="X202" s="73" t="n"/>
      <c r="Y202" s="73" t="n"/>
      <c r="Z202" s="73" t="n"/>
      <c r="AA202" s="73" t="n"/>
      <c r="AB202" s="73" t="n"/>
      <c r="AC202" s="73" t="n"/>
      <c r="AD202" s="73" t="n"/>
      <c r="AE202" s="73" t="n"/>
      <c r="AF202" s="73" t="n"/>
      <c r="AG202" s="73" t="n"/>
      <c r="AH202" s="73" t="n"/>
      <c r="AI202" s="73" t="n"/>
      <c r="AJ202" s="73" t="n"/>
      <c r="AK202" s="73" t="n"/>
      <c r="AL202" s="73" t="n"/>
      <c r="AM202" s="73" t="n"/>
      <c r="AN202" s="73" t="n"/>
      <c r="AO202" s="73" t="n"/>
      <c r="AP202" s="73" t="n"/>
      <c r="AQ202" s="73" t="n"/>
      <c r="AR202" s="73" t="n"/>
      <c r="AS202" s="73" t="n"/>
      <c r="AT202" s="73" t="n"/>
      <c r="AU202" s="73" t="n"/>
      <c r="AV202" s="73" t="n"/>
    </row>
    <row r="203" ht="16.5" customFormat="1" customHeight="1" s="37">
      <c r="A203" s="73" t="n"/>
      <c r="B203" s="73" t="n"/>
      <c r="C203" s="73" t="n"/>
      <c r="D203" s="73" t="n"/>
      <c r="E203" s="73" t="n"/>
      <c r="F203" s="73" t="n"/>
      <c r="G203" s="73" t="n"/>
      <c r="H203" s="73" t="n"/>
      <c r="I203" s="73" t="n"/>
      <c r="J203" s="73" t="n"/>
      <c r="K203" s="73" t="n"/>
      <c r="L203" s="73" t="n"/>
      <c r="M203" s="73" t="n"/>
      <c r="N203" s="73" t="n"/>
      <c r="O203" s="73" t="n"/>
      <c r="P203" s="73" t="n"/>
      <c r="Q203" s="73" t="n"/>
      <c r="R203" s="73" t="n"/>
      <c r="S203" s="73" t="n"/>
      <c r="T203" s="73" t="n"/>
      <c r="U203" s="73" t="n"/>
      <c r="V203" s="73" t="n"/>
      <c r="W203" s="73" t="n"/>
      <c r="X203" s="73" t="n"/>
      <c r="Y203" s="73" t="n"/>
      <c r="Z203" s="73" t="n"/>
      <c r="AA203" s="73" t="n"/>
      <c r="AB203" s="73" t="n"/>
      <c r="AC203" s="73" t="n"/>
      <c r="AD203" s="73" t="n"/>
      <c r="AE203" s="73" t="n"/>
      <c r="AF203" s="73" t="n"/>
      <c r="AG203" s="73" t="n"/>
      <c r="AH203" s="73" t="n"/>
      <c r="AI203" s="73" t="n"/>
      <c r="AJ203" s="73" t="n"/>
      <c r="AK203" s="73" t="n"/>
      <c r="AL203" s="73" t="n"/>
      <c r="AM203" s="73" t="n"/>
      <c r="AN203" s="73" t="n"/>
      <c r="AO203" s="73" t="n"/>
      <c r="AP203" s="73" t="n"/>
      <c r="AQ203" s="73" t="n"/>
      <c r="AR203" s="73" t="n"/>
      <c r="AS203" s="73" t="n"/>
      <c r="AT203" s="73" t="n"/>
      <c r="AU203" s="73" t="n"/>
      <c r="AV203" s="73" t="n"/>
    </row>
    <row r="204" ht="16.5" customFormat="1" customHeight="1" s="37">
      <c r="A204" s="73" t="n"/>
      <c r="B204" s="73" t="n"/>
      <c r="C204" s="73" t="n"/>
      <c r="D204" s="73" t="n"/>
      <c r="E204" s="73" t="n"/>
      <c r="F204" s="73" t="n"/>
      <c r="G204" s="73" t="n"/>
      <c r="H204" s="73" t="n"/>
      <c r="I204" s="73" t="n"/>
      <c r="J204" s="73" t="n"/>
      <c r="K204" s="73" t="n"/>
      <c r="L204" s="73" t="n"/>
      <c r="M204" s="73" t="n"/>
      <c r="N204" s="73" t="n"/>
      <c r="O204" s="73" t="n"/>
      <c r="P204" s="73" t="n"/>
      <c r="Q204" s="73" t="n"/>
      <c r="R204" s="73" t="n"/>
      <c r="S204" s="73" t="n"/>
      <c r="T204" s="73" t="n"/>
      <c r="U204" s="73" t="n"/>
      <c r="V204" s="73" t="n"/>
      <c r="W204" s="73" t="n"/>
      <c r="X204" s="73" t="n"/>
      <c r="Y204" s="73" t="n"/>
      <c r="Z204" s="73" t="n"/>
      <c r="AA204" s="73" t="n"/>
      <c r="AB204" s="73" t="n"/>
      <c r="AC204" s="73" t="n"/>
      <c r="AD204" s="73" t="n"/>
      <c r="AE204" s="73" t="n"/>
      <c r="AF204" s="73" t="n"/>
      <c r="AG204" s="73" t="n"/>
      <c r="AH204" s="73" t="n"/>
      <c r="AI204" s="73" t="n"/>
      <c r="AJ204" s="73" t="n"/>
      <c r="AK204" s="73" t="n"/>
      <c r="AL204" s="73" t="n"/>
      <c r="AM204" s="73" t="n"/>
      <c r="AN204" s="73" t="n"/>
      <c r="AO204" s="73" t="n"/>
      <c r="AP204" s="73" t="n"/>
      <c r="AQ204" s="73" t="n"/>
      <c r="AR204" s="73" t="n"/>
      <c r="AS204" s="73" t="n"/>
      <c r="AT204" s="73" t="n"/>
      <c r="AU204" s="73" t="n"/>
      <c r="AV204" s="73" t="n"/>
    </row>
    <row r="205" ht="16.5" customFormat="1" customHeight="1" s="37">
      <c r="A205" s="73" t="n"/>
      <c r="B205" s="73" t="n"/>
      <c r="C205" s="73" t="n"/>
      <c r="D205" s="73" t="n"/>
      <c r="E205" s="73" t="n"/>
      <c r="F205" s="73" t="n"/>
      <c r="G205" s="73" t="n"/>
      <c r="H205" s="73" t="n"/>
      <c r="I205" s="73" t="n"/>
      <c r="J205" s="73" t="n"/>
      <c r="K205" s="73" t="n"/>
      <c r="L205" s="73" t="n"/>
      <c r="M205" s="73" t="n"/>
      <c r="N205" s="73" t="n"/>
      <c r="O205" s="73" t="n"/>
      <c r="P205" s="73" t="n"/>
      <c r="Q205" s="73" t="n"/>
      <c r="R205" s="73" t="n"/>
      <c r="S205" s="73" t="n"/>
      <c r="T205" s="73" t="n"/>
      <c r="U205" s="73" t="n"/>
      <c r="V205" s="73" t="n"/>
      <c r="W205" s="73" t="n"/>
      <c r="X205" s="73" t="n"/>
      <c r="Y205" s="73" t="n"/>
      <c r="Z205" s="73" t="n"/>
      <c r="AA205" s="73" t="n"/>
      <c r="AB205" s="73" t="n"/>
      <c r="AC205" s="73" t="n"/>
      <c r="AD205" s="73" t="n"/>
      <c r="AE205" s="73" t="n"/>
      <c r="AF205" s="73" t="n"/>
      <c r="AG205" s="73" t="n"/>
      <c r="AH205" s="73" t="n"/>
      <c r="AI205" s="73" t="n"/>
      <c r="AJ205" s="73" t="n"/>
      <c r="AK205" s="73" t="n"/>
      <c r="AL205" s="73" t="n"/>
      <c r="AM205" s="73" t="n"/>
      <c r="AN205" s="73" t="n"/>
      <c r="AO205" s="73" t="n"/>
      <c r="AP205" s="73" t="n"/>
      <c r="AQ205" s="73" t="n"/>
      <c r="AR205" s="73" t="n"/>
      <c r="AS205" s="73" t="n"/>
      <c r="AT205" s="73" t="n"/>
      <c r="AU205" s="73" t="n"/>
      <c r="AV205" s="73" t="n"/>
    </row>
    <row r="206" ht="16.5" customFormat="1" customHeight="1" s="37">
      <c r="A206" s="73" t="n"/>
      <c r="B206" s="73" t="n"/>
      <c r="C206" s="73" t="n"/>
      <c r="D206" s="73" t="n"/>
      <c r="E206" s="73" t="n"/>
      <c r="F206" s="73" t="n"/>
      <c r="G206" s="73" t="n"/>
      <c r="H206" s="73" t="n"/>
      <c r="I206" s="73" t="n"/>
      <c r="J206" s="73" t="n"/>
      <c r="K206" s="73" t="n"/>
      <c r="L206" s="73" t="n"/>
      <c r="M206" s="73" t="n"/>
      <c r="N206" s="73" t="n"/>
      <c r="O206" s="73" t="n"/>
      <c r="P206" s="73" t="n"/>
      <c r="Q206" s="73" t="n"/>
      <c r="R206" s="73" t="n"/>
      <c r="S206" s="73" t="n"/>
      <c r="T206" s="73" t="n"/>
      <c r="U206" s="73" t="n"/>
      <c r="V206" s="73" t="n"/>
      <c r="W206" s="73" t="n"/>
      <c r="X206" s="73" t="n"/>
      <c r="Y206" s="73" t="n"/>
      <c r="Z206" s="73" t="n"/>
      <c r="AA206" s="73" t="n"/>
      <c r="AB206" s="73" t="n"/>
      <c r="AC206" s="73" t="n"/>
      <c r="AD206" s="73" t="n"/>
      <c r="AE206" s="73" t="n"/>
      <c r="AF206" s="73" t="n"/>
      <c r="AG206" s="73" t="n"/>
      <c r="AH206" s="73" t="n"/>
      <c r="AI206" s="73" t="n"/>
      <c r="AJ206" s="73" t="n"/>
      <c r="AK206" s="73" t="n"/>
      <c r="AL206" s="73" t="n"/>
      <c r="AM206" s="73" t="n"/>
      <c r="AN206" s="73" t="n"/>
      <c r="AO206" s="73" t="n"/>
      <c r="AP206" s="73" t="n"/>
      <c r="AQ206" s="73" t="n"/>
      <c r="AR206" s="73" t="n"/>
      <c r="AS206" s="73" t="n"/>
      <c r="AT206" s="73" t="n"/>
      <c r="AU206" s="73" t="n"/>
      <c r="AV206" s="73" t="n"/>
    </row>
    <row r="207" ht="16.5" customFormat="1" customHeight="1" s="37">
      <c r="A207" s="73" t="n"/>
      <c r="B207" s="73" t="n"/>
      <c r="C207" s="73" t="n"/>
      <c r="D207" s="73" t="n"/>
      <c r="E207" s="73" t="n"/>
      <c r="F207" s="73" t="n"/>
      <c r="G207" s="73" t="n"/>
      <c r="H207" s="73" t="n"/>
      <c r="I207" s="73" t="n"/>
      <c r="J207" s="73" t="n"/>
      <c r="K207" s="73" t="n"/>
      <c r="L207" s="73" t="n"/>
      <c r="M207" s="73" t="n"/>
      <c r="N207" s="73" t="n"/>
      <c r="O207" s="73" t="n"/>
      <c r="P207" s="73" t="n"/>
      <c r="Q207" s="73" t="n"/>
      <c r="R207" s="73" t="n"/>
      <c r="S207" s="73" t="n"/>
      <c r="T207" s="73" t="n"/>
      <c r="U207" s="73" t="n"/>
      <c r="V207" s="73" t="n"/>
      <c r="W207" s="73" t="n"/>
      <c r="X207" s="73" t="n"/>
      <c r="Y207" s="73" t="n"/>
      <c r="Z207" s="73" t="n"/>
      <c r="AA207" s="73" t="n"/>
      <c r="AB207" s="73" t="n"/>
      <c r="AC207" s="73" t="n"/>
      <c r="AD207" s="73" t="n"/>
      <c r="AE207" s="73" t="n"/>
      <c r="AF207" s="73" t="n"/>
      <c r="AG207" s="73" t="n"/>
      <c r="AH207" s="73" t="n"/>
      <c r="AI207" s="73" t="n"/>
      <c r="AJ207" s="73" t="n"/>
      <c r="AK207" s="73" t="n"/>
      <c r="AL207" s="73" t="n"/>
      <c r="AM207" s="73" t="n"/>
      <c r="AN207" s="73" t="n"/>
      <c r="AO207" s="73" t="n"/>
      <c r="AP207" s="73" t="n"/>
      <c r="AQ207" s="73" t="n"/>
      <c r="AR207" s="73" t="n"/>
      <c r="AS207" s="73" t="n"/>
      <c r="AT207" s="73" t="n"/>
      <c r="AU207" s="73" t="n"/>
      <c r="AV207" s="73" t="n"/>
    </row>
    <row r="208" ht="16.5" customFormat="1" customHeight="1" s="37">
      <c r="A208" s="73" t="n"/>
      <c r="B208" s="73" t="n"/>
      <c r="C208" s="73" t="n"/>
      <c r="D208" s="73" t="n"/>
      <c r="E208" s="73" t="n"/>
      <c r="F208" s="73" t="n"/>
      <c r="G208" s="73" t="n"/>
      <c r="H208" s="73" t="n"/>
      <c r="I208" s="73" t="n"/>
      <c r="J208" s="73" t="n"/>
      <c r="K208" s="73" t="n"/>
      <c r="L208" s="73" t="n"/>
      <c r="M208" s="73" t="n"/>
      <c r="N208" s="73" t="n"/>
      <c r="O208" s="73" t="n"/>
      <c r="P208" s="73" t="n"/>
      <c r="Q208" s="73" t="n"/>
      <c r="R208" s="73" t="n"/>
      <c r="S208" s="73" t="n"/>
      <c r="T208" s="73" t="n"/>
      <c r="U208" s="73" t="n"/>
      <c r="V208" s="73" t="n"/>
      <c r="W208" s="73" t="n"/>
      <c r="X208" s="73" t="n"/>
      <c r="Y208" s="73" t="n"/>
      <c r="Z208" s="73" t="n"/>
      <c r="AA208" s="73" t="n"/>
      <c r="AB208" s="73" t="n"/>
      <c r="AC208" s="73" t="n"/>
      <c r="AD208" s="73" t="n"/>
      <c r="AE208" s="73" t="n"/>
      <c r="AF208" s="73" t="n"/>
      <c r="AG208" s="73" t="n"/>
      <c r="AH208" s="73" t="n"/>
      <c r="AI208" s="73" t="n"/>
      <c r="AJ208" s="73" t="n"/>
      <c r="AK208" s="73" t="n"/>
      <c r="AL208" s="73" t="n"/>
      <c r="AM208" s="73" t="n"/>
      <c r="AN208" s="73" t="n"/>
      <c r="AO208" s="73" t="n"/>
      <c r="AP208" s="73" t="n"/>
      <c r="AQ208" s="73" t="n"/>
      <c r="AR208" s="73" t="n"/>
      <c r="AS208" s="73" t="n"/>
      <c r="AT208" s="73" t="n"/>
      <c r="AU208" s="73" t="n"/>
      <c r="AV208" s="73" t="n"/>
    </row>
    <row r="209" ht="16.5" customFormat="1" customHeight="1" s="37">
      <c r="A209" s="73" t="n"/>
      <c r="B209" s="73" t="n"/>
      <c r="C209" s="73" t="n"/>
      <c r="D209" s="73" t="n"/>
      <c r="E209" s="73" t="n"/>
      <c r="F209" s="73" t="n"/>
      <c r="G209" s="73" t="n"/>
      <c r="H209" s="73" t="n"/>
      <c r="I209" s="73" t="n"/>
      <c r="J209" s="73" t="n"/>
      <c r="K209" s="73" t="n"/>
      <c r="L209" s="73" t="n"/>
      <c r="M209" s="73" t="n"/>
      <c r="N209" s="73" t="n"/>
      <c r="O209" s="73" t="n"/>
      <c r="P209" s="73" t="n"/>
      <c r="Q209" s="73" t="n"/>
      <c r="R209" s="73" t="n"/>
      <c r="S209" s="73" t="n"/>
      <c r="T209" s="73" t="n"/>
      <c r="U209" s="73" t="n"/>
      <c r="V209" s="73" t="n"/>
      <c r="W209" s="73" t="n"/>
      <c r="X209" s="73" t="n"/>
      <c r="Y209" s="73" t="n"/>
      <c r="Z209" s="73" t="n"/>
      <c r="AA209" s="73" t="n"/>
      <c r="AB209" s="73" t="n"/>
      <c r="AC209" s="73" t="n"/>
      <c r="AD209" s="73" t="n"/>
      <c r="AE209" s="73" t="n"/>
      <c r="AF209" s="73" t="n"/>
      <c r="AG209" s="73" t="n"/>
      <c r="AH209" s="73" t="n"/>
      <c r="AI209" s="73" t="n"/>
      <c r="AJ209" s="73" t="n"/>
      <c r="AK209" s="73" t="n"/>
      <c r="AL209" s="73" t="n"/>
      <c r="AM209" s="73" t="n"/>
      <c r="AN209" s="73" t="n"/>
      <c r="AO209" s="73" t="n"/>
      <c r="AP209" s="73" t="n"/>
      <c r="AQ209" s="73" t="n"/>
      <c r="AR209" s="73" t="n"/>
      <c r="AS209" s="73" t="n"/>
      <c r="AT209" s="73" t="n"/>
      <c r="AU209" s="73" t="n"/>
      <c r="AV209" s="73" t="n"/>
    </row>
    <row r="210" ht="16.5" customFormat="1" customHeight="1" s="37">
      <c r="A210" s="73" t="n"/>
      <c r="B210" s="73" t="n"/>
      <c r="C210" s="73" t="n"/>
      <c r="D210" s="73" t="n"/>
      <c r="E210" s="73" t="n"/>
      <c r="F210" s="73" t="n"/>
      <c r="G210" s="73" t="n"/>
      <c r="H210" s="73" t="n"/>
      <c r="I210" s="73" t="n"/>
      <c r="J210" s="73" t="n"/>
      <c r="K210" s="73" t="n"/>
      <c r="L210" s="73" t="n"/>
      <c r="M210" s="73" t="n"/>
      <c r="N210" s="73" t="n"/>
      <c r="O210" s="73" t="n"/>
      <c r="P210" s="73" t="n"/>
      <c r="Q210" s="73" t="n"/>
      <c r="R210" s="73" t="n"/>
      <c r="S210" s="73" t="n"/>
      <c r="T210" s="73" t="n"/>
      <c r="U210" s="73" t="n"/>
      <c r="V210" s="73" t="n"/>
      <c r="W210" s="73" t="n"/>
      <c r="X210" s="73" t="n"/>
      <c r="Y210" s="73" t="n"/>
      <c r="Z210" s="73" t="n"/>
      <c r="AA210" s="73" t="n"/>
      <c r="AB210" s="73" t="n"/>
      <c r="AC210" s="73" t="n"/>
      <c r="AD210" s="73" t="n"/>
      <c r="AE210" s="73" t="n"/>
      <c r="AF210" s="73" t="n"/>
      <c r="AG210" s="73" t="n"/>
      <c r="AH210" s="73" t="n"/>
      <c r="AI210" s="73" t="n"/>
      <c r="AJ210" s="73" t="n"/>
      <c r="AK210" s="73" t="n"/>
      <c r="AL210" s="73" t="n"/>
      <c r="AM210" s="73" t="n"/>
      <c r="AN210" s="73" t="n"/>
      <c r="AO210" s="73" t="n"/>
      <c r="AP210" s="73" t="n"/>
      <c r="AQ210" s="73" t="n"/>
      <c r="AR210" s="73" t="n"/>
      <c r="AS210" s="73" t="n"/>
      <c r="AT210" s="73" t="n"/>
      <c r="AU210" s="73" t="n"/>
      <c r="AV210" s="73" t="n"/>
    </row>
    <row r="211" ht="16.5" customFormat="1" customHeight="1" s="37">
      <c r="A211" s="73" t="n"/>
      <c r="B211" s="73" t="n"/>
      <c r="C211" s="73" t="n"/>
      <c r="D211" s="73" t="n"/>
      <c r="E211" s="73" t="n"/>
      <c r="F211" s="73" t="n"/>
      <c r="G211" s="73" t="n"/>
      <c r="H211" s="73" t="n"/>
      <c r="I211" s="73" t="n"/>
      <c r="J211" s="73" t="n"/>
      <c r="K211" s="73" t="n"/>
      <c r="L211" s="73" t="n"/>
      <c r="M211" s="73" t="n"/>
      <c r="N211" s="73" t="n"/>
      <c r="O211" s="73" t="n"/>
      <c r="P211" s="73" t="n"/>
      <c r="Q211" s="73" t="n"/>
      <c r="R211" s="73" t="n"/>
      <c r="S211" s="73" t="n"/>
      <c r="T211" s="73" t="n"/>
      <c r="U211" s="73" t="n"/>
      <c r="V211" s="73" t="n"/>
      <c r="W211" s="73" t="n"/>
      <c r="X211" s="73" t="n"/>
      <c r="Y211" s="73" t="n"/>
      <c r="Z211" s="73" t="n"/>
      <c r="AA211" s="73" t="n"/>
      <c r="AB211" s="73" t="n"/>
      <c r="AC211" s="73" t="n"/>
      <c r="AD211" s="73" t="n"/>
      <c r="AE211" s="73" t="n"/>
      <c r="AF211" s="73" t="n"/>
      <c r="AG211" s="73" t="n"/>
      <c r="AH211" s="73" t="n"/>
      <c r="AI211" s="73" t="n"/>
      <c r="AJ211" s="73" t="n"/>
      <c r="AK211" s="73" t="n"/>
      <c r="AL211" s="73" t="n"/>
      <c r="AM211" s="73" t="n"/>
      <c r="AN211" s="73" t="n"/>
      <c r="AO211" s="73" t="n"/>
      <c r="AP211" s="73" t="n"/>
      <c r="AQ211" s="73" t="n"/>
      <c r="AR211" s="73" t="n"/>
      <c r="AS211" s="73" t="n"/>
      <c r="AT211" s="73" t="n"/>
      <c r="AU211" s="73" t="n"/>
      <c r="AV211" s="73" t="n"/>
    </row>
    <row r="212" ht="16.5" customFormat="1" customHeight="1" s="37">
      <c r="A212" s="73" t="n"/>
      <c r="B212" s="73" t="n"/>
      <c r="C212" s="73" t="n"/>
      <c r="D212" s="73" t="n"/>
      <c r="E212" s="73" t="n"/>
      <c r="F212" s="73" t="n"/>
      <c r="G212" s="73" t="n"/>
      <c r="H212" s="73" t="n"/>
      <c r="I212" s="73" t="n"/>
      <c r="J212" s="73" t="n"/>
      <c r="K212" s="73" t="n"/>
      <c r="L212" s="73" t="n"/>
      <c r="M212" s="73" t="n"/>
      <c r="N212" s="73" t="n"/>
      <c r="O212" s="73" t="n"/>
      <c r="P212" s="73" t="n"/>
      <c r="Q212" s="73" t="n"/>
      <c r="R212" s="73" t="n"/>
      <c r="S212" s="73" t="n"/>
      <c r="T212" s="73" t="n"/>
      <c r="U212" s="73" t="n"/>
      <c r="V212" s="73" t="n"/>
      <c r="W212" s="73" t="n"/>
      <c r="X212" s="73" t="n"/>
      <c r="Y212" s="73" t="n"/>
      <c r="Z212" s="73" t="n"/>
      <c r="AA212" s="73" t="n"/>
      <c r="AB212" s="73" t="n"/>
      <c r="AC212" s="73" t="n"/>
      <c r="AD212" s="73" t="n"/>
      <c r="AE212" s="73" t="n"/>
      <c r="AF212" s="73" t="n"/>
      <c r="AG212" s="73" t="n"/>
      <c r="AH212" s="73" t="n"/>
      <c r="AI212" s="73" t="n"/>
      <c r="AJ212" s="73" t="n"/>
      <c r="AK212" s="73" t="n"/>
      <c r="AL212" s="73" t="n"/>
      <c r="AM212" s="73" t="n"/>
      <c r="AN212" s="73" t="n"/>
      <c r="AO212" s="73" t="n"/>
      <c r="AP212" s="73" t="n"/>
      <c r="AQ212" s="73" t="n"/>
      <c r="AR212" s="73" t="n"/>
      <c r="AS212" s="73" t="n"/>
      <c r="AT212" s="73" t="n"/>
      <c r="AU212" s="73" t="n"/>
      <c r="AV212" s="73" t="n"/>
    </row>
    <row r="213" ht="16.5" customFormat="1" customHeight="1" s="37">
      <c r="A213" s="73" t="n"/>
      <c r="B213" s="73" t="n"/>
      <c r="C213" s="73" t="n"/>
      <c r="D213" s="73" t="n"/>
      <c r="E213" s="73" t="n"/>
      <c r="F213" s="73" t="n"/>
      <c r="G213" s="73" t="n"/>
      <c r="H213" s="73" t="n"/>
      <c r="I213" s="73" t="n"/>
      <c r="J213" s="73" t="n"/>
      <c r="K213" s="73" t="n"/>
      <c r="L213" s="73" t="n"/>
      <c r="M213" s="73" t="n"/>
      <c r="N213" s="73" t="n"/>
      <c r="O213" s="73" t="n"/>
      <c r="P213" s="73" t="n"/>
      <c r="Q213" s="73" t="n"/>
      <c r="R213" s="73" t="n"/>
      <c r="S213" s="73" t="n"/>
      <c r="T213" s="73" t="n"/>
      <c r="U213" s="73" t="n"/>
      <c r="V213" s="73" t="n"/>
      <c r="W213" s="73" t="n"/>
      <c r="X213" s="73" t="n"/>
      <c r="Y213" s="73" t="n"/>
      <c r="Z213" s="73" t="n"/>
      <c r="AA213" s="73" t="n"/>
      <c r="AB213" s="73" t="n"/>
      <c r="AC213" s="73" t="n"/>
      <c r="AD213" s="73" t="n"/>
      <c r="AE213" s="73" t="n"/>
      <c r="AF213" s="73" t="n"/>
      <c r="AG213" s="73" t="n"/>
      <c r="AH213" s="73" t="n"/>
      <c r="AI213" s="73" t="n"/>
      <c r="AJ213" s="73" t="n"/>
      <c r="AK213" s="73" t="n"/>
      <c r="AL213" s="73" t="n"/>
      <c r="AM213" s="73" t="n"/>
      <c r="AN213" s="73" t="n"/>
      <c r="AO213" s="73" t="n"/>
      <c r="AP213" s="73" t="n"/>
      <c r="AQ213" s="73" t="n"/>
      <c r="AR213" s="73" t="n"/>
      <c r="AS213" s="73" t="n"/>
      <c r="AT213" s="73" t="n"/>
      <c r="AU213" s="73" t="n"/>
      <c r="AV213" s="73" t="n"/>
    </row>
    <row r="214" ht="16.5" customFormat="1" customHeight="1" s="37">
      <c r="A214" s="73" t="n"/>
      <c r="B214" s="73" t="n"/>
      <c r="C214" s="73" t="n"/>
      <c r="D214" s="73" t="n"/>
      <c r="E214" s="73" t="n"/>
      <c r="F214" s="73" t="n"/>
      <c r="G214" s="73" t="n"/>
      <c r="H214" s="73" t="n"/>
      <c r="I214" s="73" t="n"/>
      <c r="J214" s="73" t="n"/>
      <c r="K214" s="73" t="n"/>
      <c r="L214" s="73" t="n"/>
      <c r="M214" s="73" t="n"/>
      <c r="N214" s="73" t="n"/>
      <c r="O214" s="73" t="n"/>
      <c r="P214" s="73" t="n"/>
      <c r="Q214" s="73" t="n"/>
      <c r="R214" s="73" t="n"/>
      <c r="S214" s="73" t="n"/>
      <c r="T214" s="73" t="n"/>
      <c r="U214" s="73" t="n"/>
      <c r="V214" s="73" t="n"/>
      <c r="W214" s="73" t="n"/>
      <c r="X214" s="73" t="n"/>
      <c r="Y214" s="73" t="n"/>
      <c r="Z214" s="73" t="n"/>
      <c r="AA214" s="73" t="n"/>
      <c r="AB214" s="73" t="n"/>
      <c r="AC214" s="73" t="n"/>
      <c r="AD214" s="73" t="n"/>
      <c r="AE214" s="73" t="n"/>
      <c r="AF214" s="73" t="n"/>
      <c r="AG214" s="73" t="n"/>
      <c r="AH214" s="73" t="n"/>
      <c r="AI214" s="73" t="n"/>
      <c r="AJ214" s="73" t="n"/>
      <c r="AK214" s="73" t="n"/>
      <c r="AL214" s="73" t="n"/>
      <c r="AM214" s="73" t="n"/>
      <c r="AN214" s="73" t="n"/>
      <c r="AO214" s="73" t="n"/>
      <c r="AP214" s="73" t="n"/>
      <c r="AQ214" s="73" t="n"/>
      <c r="AR214" s="73" t="n"/>
      <c r="AS214" s="73" t="n"/>
      <c r="AT214" s="73" t="n"/>
      <c r="AU214" s="73" t="n"/>
      <c r="AV214" s="73" t="n"/>
    </row>
    <row r="215" ht="16.5" customFormat="1" customHeight="1" s="37">
      <c r="A215" s="73" t="n"/>
      <c r="B215" s="73" t="n"/>
      <c r="C215" s="73" t="n"/>
      <c r="D215" s="73" t="n"/>
      <c r="E215" s="73" t="n"/>
      <c r="F215" s="73" t="n"/>
      <c r="G215" s="73" t="n"/>
      <c r="H215" s="73" t="n"/>
      <c r="I215" s="73" t="n"/>
      <c r="J215" s="73" t="n"/>
      <c r="K215" s="73" t="n"/>
      <c r="L215" s="73" t="n"/>
      <c r="M215" s="73" t="n"/>
      <c r="N215" s="73" t="n"/>
      <c r="O215" s="73" t="n"/>
      <c r="P215" s="73" t="n"/>
      <c r="Q215" s="73" t="n"/>
      <c r="R215" s="73" t="n"/>
      <c r="S215" s="73" t="n"/>
      <c r="T215" s="73" t="n"/>
      <c r="U215" s="73" t="n"/>
      <c r="V215" s="73" t="n"/>
      <c r="W215" s="73" t="n"/>
      <c r="X215" s="73" t="n"/>
      <c r="Y215" s="73" t="n"/>
      <c r="Z215" s="73" t="n"/>
      <c r="AA215" s="73" t="n"/>
      <c r="AB215" s="73" t="n"/>
      <c r="AC215" s="73" t="n"/>
      <c r="AD215" s="73" t="n"/>
      <c r="AE215" s="73" t="n"/>
      <c r="AF215" s="73" t="n"/>
      <c r="AG215" s="73" t="n"/>
      <c r="AH215" s="73" t="n"/>
      <c r="AI215" s="73" t="n"/>
      <c r="AJ215" s="73" t="n"/>
      <c r="AK215" s="73" t="n"/>
      <c r="AL215" s="73" t="n"/>
      <c r="AM215" s="73" t="n"/>
      <c r="AN215" s="73" t="n"/>
      <c r="AO215" s="73" t="n"/>
      <c r="AP215" s="73" t="n"/>
      <c r="AQ215" s="73" t="n"/>
      <c r="AR215" s="73" t="n"/>
      <c r="AS215" s="73" t="n"/>
      <c r="AT215" s="73" t="n"/>
      <c r="AU215" s="73" t="n"/>
      <c r="AV215" s="73" t="n"/>
    </row>
    <row r="216" ht="16.5" customFormat="1" customHeight="1" s="37">
      <c r="A216" s="73" t="n"/>
      <c r="B216" s="73" t="n"/>
      <c r="C216" s="73" t="n"/>
      <c r="D216" s="73" t="n"/>
      <c r="E216" s="73" t="n"/>
      <c r="F216" s="73" t="n"/>
      <c r="G216" s="73" t="n"/>
      <c r="H216" s="73" t="n"/>
      <c r="I216" s="73" t="n"/>
      <c r="J216" s="73" t="n"/>
      <c r="K216" s="73" t="n"/>
      <c r="L216" s="73" t="n"/>
      <c r="M216" s="73" t="n"/>
      <c r="N216" s="73" t="n"/>
      <c r="O216" s="73" t="n"/>
      <c r="P216" s="73" t="n"/>
      <c r="Q216" s="73" t="n"/>
      <c r="R216" s="73" t="n"/>
      <c r="S216" s="73" t="n"/>
      <c r="T216" s="73" t="n"/>
      <c r="U216" s="73" t="n"/>
      <c r="V216" s="73" t="n"/>
      <c r="W216" s="73" t="n"/>
      <c r="X216" s="73" t="n"/>
      <c r="Y216" s="73" t="n"/>
      <c r="Z216" s="73" t="n"/>
      <c r="AA216" s="73" t="n"/>
      <c r="AB216" s="73" t="n"/>
      <c r="AC216" s="73" t="n"/>
      <c r="AD216" s="73" t="n"/>
      <c r="AE216" s="73" t="n"/>
      <c r="AF216" s="73" t="n"/>
      <c r="AG216" s="73" t="n"/>
      <c r="AH216" s="73" t="n"/>
      <c r="AI216" s="73" t="n"/>
      <c r="AJ216" s="73" t="n"/>
      <c r="AK216" s="73" t="n"/>
      <c r="AL216" s="73" t="n"/>
      <c r="AM216" s="73" t="n"/>
      <c r="AN216" s="73" t="n"/>
      <c r="AO216" s="73" t="n"/>
      <c r="AP216" s="73" t="n"/>
      <c r="AQ216" s="73" t="n"/>
      <c r="AR216" s="73" t="n"/>
      <c r="AS216" s="73" t="n"/>
      <c r="AT216" s="73" t="n"/>
      <c r="AU216" s="73" t="n"/>
      <c r="AV216" s="73" t="n"/>
    </row>
    <row r="217" ht="16.5" customFormat="1" customHeight="1" s="37">
      <c r="A217" s="73" t="n"/>
      <c r="B217" s="73" t="n"/>
      <c r="C217" s="73" t="n"/>
      <c r="D217" s="73" t="n"/>
      <c r="E217" s="73" t="n"/>
      <c r="F217" s="73" t="n"/>
      <c r="G217" s="73" t="n"/>
      <c r="H217" s="73" t="n"/>
      <c r="I217" s="73" t="n"/>
      <c r="J217" s="73" t="n"/>
      <c r="K217" s="73" t="n"/>
      <c r="L217" s="73" t="n"/>
      <c r="M217" s="73" t="n"/>
      <c r="N217" s="73" t="n"/>
      <c r="O217" s="73" t="n"/>
      <c r="P217" s="73" t="n"/>
      <c r="Q217" s="73" t="n"/>
      <c r="R217" s="73" t="n"/>
      <c r="S217" s="73" t="n"/>
      <c r="T217" s="73" t="n"/>
      <c r="U217" s="73" t="n"/>
      <c r="V217" s="73" t="n"/>
      <c r="W217" s="73" t="n"/>
      <c r="X217" s="73" t="n"/>
      <c r="Y217" s="73" t="n"/>
      <c r="Z217" s="73" t="n"/>
      <c r="AA217" s="73" t="n"/>
      <c r="AB217" s="73" t="n"/>
      <c r="AC217" s="73" t="n"/>
      <c r="AD217" s="73" t="n"/>
      <c r="AE217" s="73" t="n"/>
      <c r="AF217" s="73" t="n"/>
      <c r="AG217" s="73" t="n"/>
      <c r="AH217" s="73" t="n"/>
      <c r="AI217" s="73" t="n"/>
      <c r="AJ217" s="73" t="n"/>
      <c r="AK217" s="73" t="n"/>
      <c r="AL217" s="73" t="n"/>
      <c r="AM217" s="73" t="n"/>
      <c r="AN217" s="73" t="n"/>
      <c r="AO217" s="73" t="n"/>
      <c r="AP217" s="73" t="n"/>
      <c r="AQ217" s="73" t="n"/>
      <c r="AR217" s="73" t="n"/>
      <c r="AS217" s="73" t="n"/>
      <c r="AT217" s="73" t="n"/>
      <c r="AU217" s="73" t="n"/>
      <c r="AV217" s="73" t="n"/>
    </row>
    <row r="218" ht="16.5" customFormat="1" customHeight="1" s="37">
      <c r="A218" s="73" t="n"/>
      <c r="B218" s="73" t="n"/>
      <c r="C218" s="73" t="n"/>
      <c r="D218" s="73" t="n"/>
      <c r="E218" s="73" t="n"/>
      <c r="F218" s="73" t="n"/>
      <c r="G218" s="73" t="n"/>
      <c r="H218" s="73" t="n"/>
      <c r="I218" s="73" t="n"/>
      <c r="J218" s="73" t="n"/>
      <c r="K218" s="73" t="n"/>
      <c r="L218" s="73" t="n"/>
      <c r="M218" s="73" t="n"/>
      <c r="N218" s="73" t="n"/>
      <c r="O218" s="73" t="n"/>
      <c r="P218" s="73" t="n"/>
      <c r="Q218" s="73" t="n"/>
      <c r="R218" s="73" t="n"/>
      <c r="S218" s="73" t="n"/>
      <c r="T218" s="73" t="n"/>
      <c r="U218" s="73" t="n"/>
      <c r="V218" s="73" t="n"/>
      <c r="W218" s="73" t="n"/>
      <c r="X218" s="73" t="n"/>
      <c r="Y218" s="73" t="n"/>
      <c r="Z218" s="73" t="n"/>
      <c r="AA218" s="73" t="n"/>
      <c r="AB218" s="73" t="n"/>
      <c r="AC218" s="73" t="n"/>
      <c r="AD218" s="73" t="n"/>
      <c r="AE218" s="73" t="n"/>
      <c r="AF218" s="73" t="n"/>
      <c r="AG218" s="73" t="n"/>
      <c r="AH218" s="73" t="n"/>
      <c r="AI218" s="73" t="n"/>
      <c r="AJ218" s="73" t="n"/>
      <c r="AK218" s="73" t="n"/>
      <c r="AL218" s="73" t="n"/>
      <c r="AM218" s="73" t="n"/>
      <c r="AN218" s="73" t="n"/>
      <c r="AO218" s="73" t="n"/>
      <c r="AP218" s="73" t="n"/>
      <c r="AQ218" s="73" t="n"/>
      <c r="AR218" s="73" t="n"/>
      <c r="AS218" s="73" t="n"/>
      <c r="AT218" s="73" t="n"/>
      <c r="AU218" s="73" t="n"/>
      <c r="AV218" s="73" t="n"/>
    </row>
    <row r="219" ht="16.5" customFormat="1" customHeight="1" s="37">
      <c r="A219" s="73" t="n"/>
      <c r="B219" s="73" t="n"/>
      <c r="C219" s="73" t="n"/>
      <c r="D219" s="73" t="n"/>
      <c r="E219" s="73" t="n"/>
      <c r="F219" s="73" t="n"/>
      <c r="G219" s="73" t="n"/>
      <c r="H219" s="73" t="n"/>
      <c r="I219" s="73" t="n"/>
      <c r="J219" s="73" t="n"/>
      <c r="K219" s="73" t="n"/>
      <c r="L219" s="73" t="n"/>
      <c r="M219" s="73" t="n"/>
      <c r="N219" s="73" t="n"/>
      <c r="O219" s="73" t="n"/>
      <c r="P219" s="73" t="n"/>
      <c r="Q219" s="73" t="n"/>
      <c r="R219" s="73" t="n"/>
      <c r="S219" s="73" t="n"/>
      <c r="T219" s="73" t="n"/>
      <c r="U219" s="73" t="n"/>
      <c r="V219" s="73" t="n"/>
      <c r="W219" s="73" t="n"/>
      <c r="X219" s="73" t="n"/>
      <c r="Y219" s="73" t="n"/>
      <c r="Z219" s="73" t="n"/>
      <c r="AA219" s="73" t="n"/>
      <c r="AB219" s="73" t="n"/>
      <c r="AC219" s="73" t="n"/>
      <c r="AD219" s="73" t="n"/>
      <c r="AE219" s="73" t="n"/>
      <c r="AF219" s="73" t="n"/>
      <c r="AG219" s="73" t="n"/>
      <c r="AH219" s="73" t="n"/>
      <c r="AI219" s="73" t="n"/>
      <c r="AJ219" s="73" t="n"/>
      <c r="AK219" s="73" t="n"/>
      <c r="AL219" s="73" t="n"/>
      <c r="AM219" s="73" t="n"/>
      <c r="AN219" s="73" t="n"/>
      <c r="AO219" s="73" t="n"/>
      <c r="AP219" s="73" t="n"/>
      <c r="AQ219" s="73" t="n"/>
      <c r="AR219" s="73" t="n"/>
      <c r="AS219" s="73" t="n"/>
      <c r="AT219" s="73" t="n"/>
      <c r="AU219" s="73" t="n"/>
      <c r="AV219" s="73" t="n"/>
    </row>
    <row r="220" ht="16.5" customFormat="1" customHeight="1" s="37">
      <c r="A220" s="73" t="n"/>
      <c r="B220" s="73" t="n"/>
      <c r="C220" s="73" t="n"/>
      <c r="D220" s="73" t="n"/>
      <c r="E220" s="73" t="n"/>
      <c r="F220" s="73" t="n"/>
      <c r="G220" s="73" t="n"/>
      <c r="H220" s="73" t="n"/>
      <c r="I220" s="73" t="n"/>
      <c r="J220" s="73" t="n"/>
      <c r="K220" s="73" t="n"/>
      <c r="L220" s="73" t="n"/>
      <c r="M220" s="73" t="n"/>
      <c r="N220" s="73" t="n"/>
      <c r="O220" s="73" t="n"/>
      <c r="P220" s="73" t="n"/>
      <c r="Q220" s="73" t="n"/>
      <c r="R220" s="73" t="n"/>
      <c r="S220" s="73" t="n"/>
      <c r="T220" s="73" t="n"/>
      <c r="U220" s="73" t="n"/>
      <c r="V220" s="73" t="n"/>
      <c r="W220" s="73" t="n"/>
      <c r="X220" s="73" t="n"/>
      <c r="Y220" s="73" t="n"/>
      <c r="Z220" s="73" t="n"/>
      <c r="AA220" s="73" t="n"/>
      <c r="AB220" s="73" t="n"/>
      <c r="AC220" s="73" t="n"/>
      <c r="AD220" s="73" t="n"/>
      <c r="AE220" s="73" t="n"/>
      <c r="AF220" s="73" t="n"/>
      <c r="AG220" s="73" t="n"/>
      <c r="AH220" s="73" t="n"/>
      <c r="AI220" s="73" t="n"/>
      <c r="AJ220" s="73" t="n"/>
      <c r="AK220" s="73" t="n"/>
      <c r="AL220" s="73" t="n"/>
      <c r="AM220" s="73" t="n"/>
      <c r="AN220" s="73" t="n"/>
      <c r="AO220" s="73" t="n"/>
      <c r="AP220" s="73" t="n"/>
      <c r="AQ220" s="73" t="n"/>
      <c r="AR220" s="73" t="n"/>
      <c r="AS220" s="73" t="n"/>
      <c r="AT220" s="73" t="n"/>
      <c r="AU220" s="73" t="n"/>
      <c r="AV220" s="73" t="n"/>
    </row>
    <row r="221" ht="16.5" customFormat="1" customHeight="1" s="37">
      <c r="A221" s="73" t="n"/>
      <c r="B221" s="73" t="n"/>
      <c r="C221" s="73" t="n"/>
      <c r="D221" s="73" t="n"/>
      <c r="E221" s="73" t="n"/>
      <c r="F221" s="73" t="n"/>
      <c r="G221" s="73" t="n"/>
      <c r="H221" s="73" t="n"/>
      <c r="I221" s="73" t="n"/>
      <c r="J221" s="73" t="n"/>
      <c r="K221" s="73" t="n"/>
      <c r="L221" s="73" t="n"/>
      <c r="M221" s="73" t="n"/>
      <c r="N221" s="73" t="n"/>
      <c r="O221" s="73" t="n"/>
      <c r="P221" s="73" t="n"/>
      <c r="Q221" s="73" t="n"/>
      <c r="R221" s="73" t="n"/>
      <c r="S221" s="73" t="n"/>
      <c r="T221" s="73" t="n"/>
      <c r="U221" s="73" t="n"/>
      <c r="V221" s="73" t="n"/>
      <c r="W221" s="73" t="n"/>
      <c r="X221" s="73" t="n"/>
      <c r="Y221" s="73" t="n"/>
      <c r="Z221" s="73" t="n"/>
      <c r="AA221" s="73" t="n"/>
      <c r="AB221" s="73" t="n"/>
      <c r="AC221" s="73" t="n"/>
      <c r="AD221" s="73" t="n"/>
      <c r="AE221" s="73" t="n"/>
      <c r="AF221" s="73" t="n"/>
      <c r="AG221" s="73" t="n"/>
      <c r="AH221" s="73" t="n"/>
      <c r="AI221" s="73" t="n"/>
      <c r="AJ221" s="73" t="n"/>
      <c r="AK221" s="73" t="n"/>
      <c r="AL221" s="73" t="n"/>
      <c r="AM221" s="73" t="n"/>
      <c r="AN221" s="73" t="n"/>
      <c r="AO221" s="73" t="n"/>
      <c r="AP221" s="73" t="n"/>
      <c r="AQ221" s="73" t="n"/>
      <c r="AR221" s="73" t="n"/>
      <c r="AS221" s="73" t="n"/>
      <c r="AT221" s="73" t="n"/>
      <c r="AU221" s="73" t="n"/>
      <c r="AV221" s="73" t="n"/>
    </row>
    <row r="222" ht="16.5" customFormat="1" customHeight="1" s="37">
      <c r="A222" s="73" t="n"/>
      <c r="B222" s="73" t="n"/>
      <c r="C222" s="73" t="n"/>
      <c r="D222" s="73" t="n"/>
      <c r="E222" s="73" t="n"/>
      <c r="F222" s="73" t="n"/>
      <c r="G222" s="73" t="n"/>
      <c r="H222" s="73" t="n"/>
      <c r="I222" s="73" t="n"/>
      <c r="J222" s="73" t="n"/>
      <c r="K222" s="73" t="n"/>
      <c r="L222" s="73" t="n"/>
      <c r="M222" s="73" t="n"/>
      <c r="N222" s="73" t="n"/>
      <c r="O222" s="73" t="n"/>
      <c r="P222" s="73" t="n"/>
      <c r="Q222" s="73" t="n"/>
      <c r="R222" s="73" t="n"/>
      <c r="S222" s="73" t="n"/>
      <c r="T222" s="73" t="n"/>
      <c r="U222" s="73" t="n"/>
      <c r="V222" s="73" t="n"/>
      <c r="W222" s="73" t="n"/>
      <c r="X222" s="73" t="n"/>
      <c r="Y222" s="73" t="n"/>
      <c r="Z222" s="73" t="n"/>
      <c r="AA222" s="73" t="n"/>
      <c r="AB222" s="73" t="n"/>
      <c r="AC222" s="73" t="n"/>
      <c r="AD222" s="73" t="n"/>
      <c r="AE222" s="73" t="n"/>
      <c r="AF222" s="73" t="n"/>
      <c r="AG222" s="73" t="n"/>
      <c r="AH222" s="73" t="n"/>
      <c r="AI222" s="73" t="n"/>
      <c r="AJ222" s="73" t="n"/>
      <c r="AK222" s="73" t="n"/>
      <c r="AL222" s="73" t="n"/>
      <c r="AM222" s="73" t="n"/>
      <c r="AN222" s="73" t="n"/>
      <c r="AO222" s="73" t="n"/>
      <c r="AP222" s="73" t="n"/>
      <c r="AQ222" s="73" t="n"/>
      <c r="AR222" s="73" t="n"/>
      <c r="AS222" s="73" t="n"/>
      <c r="AT222" s="73" t="n"/>
      <c r="AU222" s="73" t="n"/>
      <c r="AV222" s="73" t="n"/>
    </row>
    <row r="223" ht="16.5" customFormat="1" customHeight="1" s="37">
      <c r="A223" s="73" t="n"/>
      <c r="B223" s="73" t="n"/>
      <c r="C223" s="73" t="n"/>
      <c r="D223" s="73" t="n"/>
      <c r="E223" s="73" t="n"/>
      <c r="F223" s="73" t="n"/>
      <c r="G223" s="73" t="n"/>
      <c r="H223" s="73" t="n"/>
      <c r="I223" s="73" t="n"/>
      <c r="J223" s="73" t="n"/>
      <c r="K223" s="73" t="n"/>
      <c r="L223" s="73" t="n"/>
      <c r="M223" s="73" t="n"/>
      <c r="N223" s="73" t="n"/>
      <c r="O223" s="73" t="n"/>
      <c r="P223" s="73" t="n"/>
      <c r="Q223" s="73" t="n"/>
      <c r="R223" s="73" t="n"/>
      <c r="S223" s="73" t="n"/>
      <c r="T223" s="73" t="n"/>
      <c r="U223" s="73" t="n"/>
      <c r="V223" s="73" t="n"/>
      <c r="W223" s="73" t="n"/>
      <c r="X223" s="73" t="n"/>
      <c r="Y223" s="73" t="n"/>
      <c r="Z223" s="73" t="n"/>
      <c r="AA223" s="73" t="n"/>
      <c r="AB223" s="73" t="n"/>
      <c r="AC223" s="73" t="n"/>
      <c r="AD223" s="73" t="n"/>
      <c r="AE223" s="73" t="n"/>
      <c r="AF223" s="73" t="n"/>
      <c r="AG223" s="73" t="n"/>
      <c r="AH223" s="73" t="n"/>
      <c r="AI223" s="73" t="n"/>
      <c r="AJ223" s="73" t="n"/>
      <c r="AK223" s="73" t="n"/>
      <c r="AL223" s="73" t="n"/>
      <c r="AM223" s="73" t="n"/>
      <c r="AN223" s="73" t="n"/>
      <c r="AO223" s="73" t="n"/>
      <c r="AP223" s="73" t="n"/>
      <c r="AQ223" s="73" t="n"/>
      <c r="AR223" s="73" t="n"/>
      <c r="AS223" s="73" t="n"/>
      <c r="AT223" s="73" t="n"/>
      <c r="AU223" s="73" t="n"/>
      <c r="AV223" s="73" t="n"/>
    </row>
    <row r="224" ht="16.5" customFormat="1" customHeight="1" s="37">
      <c r="A224" s="73" t="n"/>
      <c r="B224" s="73" t="n"/>
      <c r="C224" s="73" t="n"/>
      <c r="D224" s="73" t="n"/>
      <c r="E224" s="73" t="n"/>
      <c r="F224" s="73" t="n"/>
      <c r="G224" s="73" t="n"/>
      <c r="H224" s="73" t="n"/>
      <c r="I224" s="73" t="n"/>
      <c r="J224" s="73" t="n"/>
      <c r="K224" s="73" t="n"/>
      <c r="L224" s="73" t="n"/>
      <c r="M224" s="73" t="n"/>
      <c r="N224" s="73" t="n"/>
      <c r="O224" s="73" t="n"/>
      <c r="P224" s="73" t="n"/>
      <c r="Q224" s="73" t="n"/>
      <c r="R224" s="73" t="n"/>
      <c r="S224" s="73" t="n"/>
      <c r="T224" s="73" t="n"/>
      <c r="U224" s="73" t="n"/>
      <c r="V224" s="73" t="n"/>
      <c r="W224" s="73" t="n"/>
      <c r="X224" s="73" t="n"/>
      <c r="Y224" s="73" t="n"/>
      <c r="Z224" s="73" t="n"/>
      <c r="AA224" s="73" t="n"/>
      <c r="AB224" s="73" t="n"/>
      <c r="AC224" s="73" t="n"/>
      <c r="AD224" s="73" t="n"/>
      <c r="AE224" s="73" t="n"/>
      <c r="AF224" s="73" t="n"/>
      <c r="AG224" s="73" t="n"/>
      <c r="AH224" s="73" t="n"/>
      <c r="AI224" s="73" t="n"/>
      <c r="AJ224" s="73" t="n"/>
      <c r="AK224" s="73" t="n"/>
      <c r="AL224" s="73" t="n"/>
      <c r="AM224" s="73" t="n"/>
      <c r="AN224" s="73" t="n"/>
      <c r="AO224" s="73" t="n"/>
      <c r="AP224" s="73" t="n"/>
      <c r="AQ224" s="73" t="n"/>
      <c r="AR224" s="73" t="n"/>
      <c r="AS224" s="73" t="n"/>
      <c r="AT224" s="73" t="n"/>
      <c r="AU224" s="73" t="n"/>
      <c r="AV224" s="73" t="n"/>
    </row>
    <row r="225" ht="16.5" customFormat="1" customHeight="1" s="37">
      <c r="A225" s="73" t="n"/>
      <c r="B225" s="73" t="n"/>
      <c r="C225" s="73" t="n"/>
      <c r="D225" s="73" t="n"/>
      <c r="E225" s="73" t="n"/>
      <c r="F225" s="73" t="n"/>
      <c r="G225" s="73" t="n"/>
      <c r="H225" s="73" t="n"/>
      <c r="I225" s="73" t="n"/>
      <c r="J225" s="73" t="n"/>
      <c r="K225" s="73" t="n"/>
      <c r="L225" s="73" t="n"/>
      <c r="M225" s="73" t="n"/>
      <c r="N225" s="73" t="n"/>
      <c r="O225" s="73" t="n"/>
      <c r="P225" s="73" t="n"/>
      <c r="Q225" s="73" t="n"/>
      <c r="R225" s="73" t="n"/>
      <c r="S225" s="73" t="n"/>
      <c r="T225" s="73" t="n"/>
      <c r="U225" s="73" t="n"/>
      <c r="V225" s="73" t="n"/>
      <c r="W225" s="73" t="n"/>
      <c r="X225" s="73" t="n"/>
      <c r="Y225" s="73" t="n"/>
      <c r="Z225" s="73" t="n"/>
      <c r="AA225" s="73" t="n"/>
      <c r="AB225" s="73" t="n"/>
      <c r="AC225" s="73" t="n"/>
      <c r="AD225" s="73" t="n"/>
      <c r="AE225" s="73" t="n"/>
      <c r="AF225" s="73" t="n"/>
      <c r="AG225" s="73" t="n"/>
      <c r="AH225" s="73" t="n"/>
      <c r="AI225" s="73" t="n"/>
      <c r="AJ225" s="73" t="n"/>
      <c r="AK225" s="73" t="n"/>
      <c r="AL225" s="73" t="n"/>
      <c r="AM225" s="73" t="n"/>
      <c r="AN225" s="73" t="n"/>
      <c r="AO225" s="73" t="n"/>
      <c r="AP225" s="73" t="n"/>
      <c r="AQ225" s="73" t="n"/>
      <c r="AR225" s="73" t="n"/>
      <c r="AS225" s="73" t="n"/>
      <c r="AT225" s="73" t="n"/>
      <c r="AU225" s="73" t="n"/>
      <c r="AV225" s="73" t="n"/>
    </row>
    <row r="226" ht="16.5" customFormat="1" customHeight="1" s="37">
      <c r="A226" s="73" t="n"/>
      <c r="B226" s="73" t="n"/>
      <c r="C226" s="73" t="n"/>
      <c r="D226" s="73" t="n"/>
      <c r="E226" s="73" t="n"/>
      <c r="F226" s="73" t="n"/>
      <c r="G226" s="73" t="n"/>
      <c r="H226" s="73" t="n"/>
      <c r="I226" s="73" t="n"/>
      <c r="J226" s="73" t="n"/>
      <c r="K226" s="73" t="n"/>
      <c r="L226" s="73" t="n"/>
      <c r="M226" s="73" t="n"/>
      <c r="N226" s="73" t="n"/>
      <c r="O226" s="73" t="n"/>
      <c r="P226" s="73" t="n"/>
      <c r="Q226" s="73" t="n"/>
      <c r="R226" s="73" t="n"/>
      <c r="S226" s="73" t="n"/>
      <c r="T226" s="73" t="n"/>
      <c r="U226" s="73" t="n"/>
      <c r="V226" s="73" t="n"/>
      <c r="W226" s="73" t="n"/>
      <c r="X226" s="73" t="n"/>
      <c r="Y226" s="73" t="n"/>
      <c r="Z226" s="73" t="n"/>
      <c r="AA226" s="73" t="n"/>
      <c r="AB226" s="73" t="n"/>
      <c r="AC226" s="73" t="n"/>
      <c r="AD226" s="73" t="n"/>
      <c r="AE226" s="73" t="n"/>
      <c r="AF226" s="73" t="n"/>
      <c r="AG226" s="73" t="n"/>
      <c r="AH226" s="73" t="n"/>
      <c r="AI226" s="73" t="n"/>
      <c r="AJ226" s="73" t="n"/>
      <c r="AK226" s="73" t="n"/>
      <c r="AL226" s="73" t="n"/>
      <c r="AM226" s="73" t="n"/>
      <c r="AN226" s="73" t="n"/>
      <c r="AO226" s="73" t="n"/>
      <c r="AP226" s="73" t="n"/>
      <c r="AQ226" s="73" t="n"/>
      <c r="AR226" s="73" t="n"/>
      <c r="AS226" s="73" t="n"/>
      <c r="AT226" s="73" t="n"/>
      <c r="AU226" s="73" t="n"/>
      <c r="AV226" s="73" t="n"/>
    </row>
    <row r="227" ht="16.5" customFormat="1" customHeight="1" s="37">
      <c r="A227" s="73" t="n"/>
      <c r="B227" s="73" t="n"/>
      <c r="C227" s="73" t="n"/>
      <c r="D227" s="73" t="n"/>
      <c r="E227" s="73" t="n"/>
      <c r="F227" s="73" t="n"/>
      <c r="G227" s="73" t="n"/>
      <c r="H227" s="73" t="n"/>
      <c r="I227" s="73" t="n"/>
      <c r="J227" s="73" t="n"/>
      <c r="K227" s="73" t="n"/>
      <c r="L227" s="73" t="n"/>
      <c r="M227" s="73" t="n"/>
      <c r="N227" s="73" t="n"/>
      <c r="O227" s="73" t="n"/>
      <c r="P227" s="73" t="n"/>
      <c r="Q227" s="73" t="n"/>
      <c r="R227" s="73" t="n"/>
      <c r="S227" s="73" t="n"/>
      <c r="T227" s="73" t="n"/>
      <c r="U227" s="73" t="n"/>
      <c r="V227" s="73" t="n"/>
      <c r="W227" s="73" t="n"/>
      <c r="X227" s="73" t="n"/>
      <c r="Y227" s="73" t="n"/>
      <c r="Z227" s="73" t="n"/>
      <c r="AA227" s="73" t="n"/>
      <c r="AB227" s="73" t="n"/>
      <c r="AC227" s="73" t="n"/>
      <c r="AD227" s="73" t="n"/>
      <c r="AE227" s="73" t="n"/>
      <c r="AF227" s="73" t="n"/>
      <c r="AG227" s="73" t="n"/>
      <c r="AH227" s="73" t="n"/>
      <c r="AI227" s="73" t="n"/>
      <c r="AJ227" s="73" t="n"/>
      <c r="AK227" s="73" t="n"/>
      <c r="AL227" s="73" t="n"/>
      <c r="AM227" s="73" t="n"/>
      <c r="AN227" s="73" t="n"/>
      <c r="AO227" s="73" t="n"/>
      <c r="AP227" s="73" t="n"/>
      <c r="AQ227" s="73" t="n"/>
      <c r="AR227" s="73" t="n"/>
      <c r="AS227" s="73" t="n"/>
      <c r="AT227" s="73" t="n"/>
      <c r="AU227" s="73" t="n"/>
      <c r="AV227" s="73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  <c r="W228" s="73" t="n"/>
      <c r="X228" s="73" t="n"/>
      <c r="Y228" s="73" t="n"/>
      <c r="Z228" s="73" t="n"/>
      <c r="AA228" s="73" t="n"/>
      <c r="AB228" s="73" t="n"/>
      <c r="AC228" s="73" t="n"/>
      <c r="AD228" s="73" t="n"/>
      <c r="AE228" s="73" t="n"/>
      <c r="AF228" s="73" t="n"/>
      <c r="AG228" s="73" t="n"/>
      <c r="AH228" s="73" t="n"/>
      <c r="AI228" s="73" t="n"/>
      <c r="AJ228" s="73" t="n"/>
      <c r="AK228" s="73" t="n"/>
      <c r="AL228" s="73" t="n"/>
      <c r="AM228" s="73" t="n"/>
      <c r="AN228" s="73" t="n"/>
      <c r="AO228" s="73" t="n"/>
      <c r="AP228" s="73" t="n"/>
      <c r="AQ228" s="73" t="n"/>
      <c r="AR228" s="73" t="n"/>
      <c r="AS228" s="73" t="n"/>
      <c r="AT228" s="73" t="n"/>
      <c r="AU228" s="73" t="n"/>
      <c r="A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  <c r="W229" s="73" t="n"/>
      <c r="X229" s="73" t="n"/>
      <c r="Y229" s="73" t="n"/>
      <c r="Z229" s="73" t="n"/>
      <c r="AA229" s="73" t="n"/>
      <c r="AB229" s="73" t="n"/>
      <c r="AC229" s="73" t="n"/>
      <c r="AD229" s="73" t="n"/>
      <c r="AE229" s="73" t="n"/>
      <c r="AF229" s="73" t="n"/>
      <c r="AG229" s="73" t="n"/>
      <c r="AH229" s="73" t="n"/>
      <c r="AI229" s="73" t="n"/>
      <c r="AJ229" s="73" t="n"/>
      <c r="AK229" s="73" t="n"/>
      <c r="AL229" s="73" t="n"/>
      <c r="AM229" s="73" t="n"/>
      <c r="AN229" s="73" t="n"/>
      <c r="AO229" s="73" t="n"/>
      <c r="AP229" s="73" t="n"/>
      <c r="AQ229" s="73" t="n"/>
      <c r="AR229" s="73" t="n"/>
      <c r="AS229" s="73" t="n"/>
      <c r="AT229" s="73" t="n"/>
      <c r="AU229" s="73" t="n"/>
      <c r="A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  <c r="W230" s="73" t="n"/>
      <c r="X230" s="73" t="n"/>
      <c r="Y230" s="73" t="n"/>
      <c r="Z230" s="73" t="n"/>
      <c r="AA230" s="73" t="n"/>
      <c r="AB230" s="73" t="n"/>
      <c r="AC230" s="73" t="n"/>
      <c r="AD230" s="73" t="n"/>
      <c r="AE230" s="73" t="n"/>
      <c r="AF230" s="73" t="n"/>
      <c r="AG230" s="73" t="n"/>
      <c r="AH230" s="73" t="n"/>
      <c r="AI230" s="73" t="n"/>
      <c r="AJ230" s="73" t="n"/>
      <c r="AK230" s="73" t="n"/>
      <c r="AL230" s="73" t="n"/>
      <c r="AM230" s="73" t="n"/>
      <c r="AN230" s="73" t="n"/>
      <c r="AO230" s="73" t="n"/>
      <c r="AP230" s="73" t="n"/>
      <c r="AQ230" s="73" t="n"/>
      <c r="AR230" s="73" t="n"/>
      <c r="AS230" s="73" t="n"/>
      <c r="AT230" s="73" t="n"/>
      <c r="AU230" s="73" t="n"/>
      <c r="A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  <c r="W231" s="73" t="n"/>
      <c r="X231" s="73" t="n"/>
      <c r="Y231" s="73" t="n"/>
      <c r="Z231" s="73" t="n"/>
      <c r="AA231" s="73" t="n"/>
      <c r="AB231" s="73" t="n"/>
      <c r="AC231" s="73" t="n"/>
      <c r="AD231" s="73" t="n"/>
      <c r="AE231" s="73" t="n"/>
      <c r="AF231" s="73" t="n"/>
      <c r="AG231" s="73" t="n"/>
      <c r="AH231" s="73" t="n"/>
      <c r="AI231" s="73" t="n"/>
      <c r="AJ231" s="73" t="n"/>
      <c r="AK231" s="73" t="n"/>
      <c r="AL231" s="73" t="n"/>
      <c r="AM231" s="73" t="n"/>
      <c r="AN231" s="73" t="n"/>
      <c r="AO231" s="73" t="n"/>
      <c r="AP231" s="73" t="n"/>
      <c r="AQ231" s="73" t="n"/>
      <c r="AR231" s="73" t="n"/>
      <c r="AS231" s="73" t="n"/>
      <c r="AT231" s="73" t="n"/>
      <c r="AU231" s="73" t="n"/>
      <c r="A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  <c r="W232" s="73" t="n"/>
      <c r="X232" s="73" t="n"/>
      <c r="Y232" s="73" t="n"/>
      <c r="Z232" s="73" t="n"/>
      <c r="AA232" s="73" t="n"/>
      <c r="AB232" s="73" t="n"/>
      <c r="AC232" s="73" t="n"/>
      <c r="AD232" s="73" t="n"/>
      <c r="AE232" s="73" t="n"/>
      <c r="AF232" s="73" t="n"/>
      <c r="AG232" s="73" t="n"/>
      <c r="AH232" s="73" t="n"/>
      <c r="AI232" s="73" t="n"/>
      <c r="AJ232" s="73" t="n"/>
      <c r="AK232" s="73" t="n"/>
      <c r="AL232" s="73" t="n"/>
      <c r="AM232" s="73" t="n"/>
      <c r="AN232" s="73" t="n"/>
      <c r="AO232" s="73" t="n"/>
      <c r="AP232" s="73" t="n"/>
      <c r="AQ232" s="73" t="n"/>
      <c r="AR232" s="73" t="n"/>
      <c r="AS232" s="73" t="n"/>
      <c r="AT232" s="73" t="n"/>
      <c r="AU232" s="73" t="n"/>
      <c r="A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  <c r="W233" s="73" t="n"/>
      <c r="X233" s="73" t="n"/>
      <c r="Y233" s="73" t="n"/>
      <c r="Z233" s="73" t="n"/>
      <c r="AA233" s="73" t="n"/>
      <c r="AB233" s="73" t="n"/>
      <c r="AC233" s="73" t="n"/>
      <c r="AD233" s="73" t="n"/>
      <c r="AE233" s="73" t="n"/>
      <c r="AF233" s="73" t="n"/>
      <c r="AG233" s="73" t="n"/>
      <c r="AH233" s="73" t="n"/>
      <c r="AI233" s="73" t="n"/>
      <c r="AJ233" s="73" t="n"/>
      <c r="AK233" s="73" t="n"/>
      <c r="AL233" s="73" t="n"/>
      <c r="AM233" s="73" t="n"/>
      <c r="AN233" s="73" t="n"/>
      <c r="AO233" s="73" t="n"/>
      <c r="AP233" s="73" t="n"/>
      <c r="AQ233" s="73" t="n"/>
      <c r="AR233" s="73" t="n"/>
      <c r="AS233" s="73" t="n"/>
      <c r="AT233" s="73" t="n"/>
      <c r="AU233" s="73" t="n"/>
      <c r="A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  <c r="W234" s="73" t="n"/>
      <c r="X234" s="73" t="n"/>
      <c r="Y234" s="73" t="n"/>
      <c r="Z234" s="73" t="n"/>
      <c r="AA234" s="73" t="n"/>
      <c r="AB234" s="73" t="n"/>
      <c r="AC234" s="73" t="n"/>
      <c r="AD234" s="73" t="n"/>
      <c r="AE234" s="73" t="n"/>
      <c r="AF234" s="73" t="n"/>
      <c r="AG234" s="73" t="n"/>
      <c r="AH234" s="73" t="n"/>
      <c r="AI234" s="73" t="n"/>
      <c r="AJ234" s="73" t="n"/>
      <c r="AK234" s="73" t="n"/>
      <c r="AL234" s="73" t="n"/>
      <c r="AM234" s="73" t="n"/>
      <c r="AN234" s="73" t="n"/>
      <c r="AO234" s="73" t="n"/>
      <c r="AP234" s="73" t="n"/>
      <c r="AQ234" s="73" t="n"/>
      <c r="AR234" s="73" t="n"/>
      <c r="AS234" s="73" t="n"/>
      <c r="AT234" s="73" t="n"/>
      <c r="AU234" s="73" t="n"/>
      <c r="A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  <c r="W235" s="73" t="n"/>
      <c r="X235" s="73" t="n"/>
      <c r="Y235" s="73" t="n"/>
      <c r="Z235" s="73" t="n"/>
      <c r="AA235" s="73" t="n"/>
      <c r="AB235" s="73" t="n"/>
      <c r="AC235" s="73" t="n"/>
      <c r="AD235" s="73" t="n"/>
      <c r="AE235" s="73" t="n"/>
      <c r="AF235" s="73" t="n"/>
      <c r="AG235" s="73" t="n"/>
      <c r="AH235" s="73" t="n"/>
      <c r="AI235" s="73" t="n"/>
      <c r="AJ235" s="73" t="n"/>
      <c r="AK235" s="73" t="n"/>
      <c r="AL235" s="73" t="n"/>
      <c r="AM235" s="73" t="n"/>
      <c r="AN235" s="73" t="n"/>
      <c r="AO235" s="73" t="n"/>
      <c r="AP235" s="73" t="n"/>
      <c r="AQ235" s="73" t="n"/>
      <c r="AR235" s="73" t="n"/>
      <c r="AS235" s="73" t="n"/>
      <c r="AT235" s="73" t="n"/>
      <c r="AU235" s="73" t="n"/>
      <c r="A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  <c r="W236" s="73" t="n"/>
      <c r="X236" s="73" t="n"/>
      <c r="Y236" s="73" t="n"/>
      <c r="Z236" s="73" t="n"/>
      <c r="AA236" s="73" t="n"/>
      <c r="AB236" s="73" t="n"/>
      <c r="AC236" s="73" t="n"/>
      <c r="AD236" s="73" t="n"/>
      <c r="AE236" s="73" t="n"/>
      <c r="AF236" s="73" t="n"/>
      <c r="AG236" s="73" t="n"/>
      <c r="AH236" s="73" t="n"/>
      <c r="AI236" s="73" t="n"/>
      <c r="AJ236" s="73" t="n"/>
      <c r="AK236" s="73" t="n"/>
      <c r="AL236" s="73" t="n"/>
      <c r="AM236" s="73" t="n"/>
      <c r="AN236" s="73" t="n"/>
      <c r="AO236" s="73" t="n"/>
      <c r="AP236" s="73" t="n"/>
      <c r="AQ236" s="73" t="n"/>
      <c r="AR236" s="73" t="n"/>
      <c r="AS236" s="73" t="n"/>
      <c r="AT236" s="73" t="n"/>
      <c r="AU236" s="73" t="n"/>
      <c r="A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  <c r="W237" s="73" t="n"/>
      <c r="X237" s="73" t="n"/>
      <c r="Y237" s="73" t="n"/>
      <c r="Z237" s="73" t="n"/>
      <c r="AA237" s="73" t="n"/>
      <c r="AB237" s="73" t="n"/>
      <c r="AC237" s="73" t="n"/>
      <c r="AD237" s="73" t="n"/>
      <c r="AE237" s="73" t="n"/>
      <c r="AF237" s="73" t="n"/>
      <c r="AG237" s="73" t="n"/>
      <c r="AH237" s="73" t="n"/>
      <c r="AI237" s="73" t="n"/>
      <c r="AJ237" s="73" t="n"/>
      <c r="AK237" s="73" t="n"/>
      <c r="AL237" s="73" t="n"/>
      <c r="AM237" s="73" t="n"/>
      <c r="AN237" s="73" t="n"/>
      <c r="AO237" s="73" t="n"/>
      <c r="AP237" s="73" t="n"/>
      <c r="AQ237" s="73" t="n"/>
      <c r="AR237" s="73" t="n"/>
      <c r="AS237" s="73" t="n"/>
      <c r="AT237" s="73" t="n"/>
      <c r="AU237" s="73" t="n"/>
      <c r="A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  <c r="W238" s="73" t="n"/>
      <c r="X238" s="73" t="n"/>
      <c r="Y238" s="73" t="n"/>
      <c r="Z238" s="73" t="n"/>
      <c r="AA238" s="73" t="n"/>
      <c r="AB238" s="73" t="n"/>
      <c r="AC238" s="73" t="n"/>
      <c r="AD238" s="73" t="n"/>
      <c r="AE238" s="73" t="n"/>
      <c r="AF238" s="73" t="n"/>
      <c r="AG238" s="73" t="n"/>
      <c r="AH238" s="73" t="n"/>
      <c r="AI238" s="73" t="n"/>
      <c r="AJ238" s="73" t="n"/>
      <c r="AK238" s="73" t="n"/>
      <c r="AL238" s="73" t="n"/>
      <c r="AM238" s="73" t="n"/>
      <c r="AN238" s="73" t="n"/>
      <c r="AO238" s="73" t="n"/>
      <c r="AP238" s="73" t="n"/>
      <c r="AQ238" s="73" t="n"/>
      <c r="AR238" s="73" t="n"/>
      <c r="AS238" s="73" t="n"/>
      <c r="AT238" s="73" t="n"/>
      <c r="AU238" s="73" t="n"/>
      <c r="A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  <c r="W239" s="73" t="n"/>
      <c r="X239" s="73" t="n"/>
      <c r="Y239" s="73" t="n"/>
      <c r="Z239" s="73" t="n"/>
      <c r="AA239" s="73" t="n"/>
      <c r="AB239" s="73" t="n"/>
      <c r="AC239" s="73" t="n"/>
      <c r="AD239" s="73" t="n"/>
      <c r="AE239" s="73" t="n"/>
      <c r="AF239" s="73" t="n"/>
      <c r="AG239" s="73" t="n"/>
      <c r="AH239" s="73" t="n"/>
      <c r="AI239" s="73" t="n"/>
      <c r="AJ239" s="73" t="n"/>
      <c r="AK239" s="73" t="n"/>
      <c r="AL239" s="73" t="n"/>
      <c r="AM239" s="73" t="n"/>
      <c r="AN239" s="73" t="n"/>
      <c r="AO239" s="73" t="n"/>
      <c r="AP239" s="73" t="n"/>
      <c r="AQ239" s="73" t="n"/>
      <c r="AR239" s="73" t="n"/>
      <c r="AS239" s="73" t="n"/>
      <c r="AT239" s="73" t="n"/>
      <c r="AU239" s="73" t="n"/>
      <c r="A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  <c r="W240" s="73" t="n"/>
      <c r="X240" s="73" t="n"/>
      <c r="Y240" s="73" t="n"/>
      <c r="Z240" s="73" t="n"/>
      <c r="AA240" s="73" t="n"/>
      <c r="AB240" s="73" t="n"/>
      <c r="AC240" s="73" t="n"/>
      <c r="AD240" s="73" t="n"/>
      <c r="AE240" s="73" t="n"/>
      <c r="AF240" s="73" t="n"/>
      <c r="AG240" s="73" t="n"/>
      <c r="AH240" s="73" t="n"/>
      <c r="AI240" s="73" t="n"/>
      <c r="AJ240" s="73" t="n"/>
      <c r="AK240" s="73" t="n"/>
      <c r="AL240" s="73" t="n"/>
      <c r="AM240" s="73" t="n"/>
      <c r="AN240" s="73" t="n"/>
      <c r="AO240" s="73" t="n"/>
      <c r="AP240" s="73" t="n"/>
      <c r="AQ240" s="73" t="n"/>
      <c r="AR240" s="73" t="n"/>
      <c r="AS240" s="73" t="n"/>
      <c r="AT240" s="73" t="n"/>
      <c r="AU240" s="73" t="n"/>
      <c r="A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  <c r="W241" s="73" t="n"/>
      <c r="X241" s="73" t="n"/>
      <c r="Y241" s="73" t="n"/>
      <c r="Z241" s="73" t="n"/>
      <c r="AA241" s="73" t="n"/>
      <c r="AB241" s="73" t="n"/>
      <c r="AC241" s="73" t="n"/>
      <c r="AD241" s="73" t="n"/>
      <c r="AE241" s="73" t="n"/>
      <c r="AF241" s="73" t="n"/>
      <c r="AG241" s="73" t="n"/>
      <c r="AH241" s="73" t="n"/>
      <c r="AI241" s="73" t="n"/>
      <c r="AJ241" s="73" t="n"/>
      <c r="AK241" s="73" t="n"/>
      <c r="AL241" s="73" t="n"/>
      <c r="AM241" s="73" t="n"/>
      <c r="AN241" s="73" t="n"/>
      <c r="AO241" s="73" t="n"/>
      <c r="AP241" s="73" t="n"/>
      <c r="AQ241" s="73" t="n"/>
      <c r="AR241" s="73" t="n"/>
      <c r="AS241" s="73" t="n"/>
      <c r="AT241" s="73" t="n"/>
      <c r="AU241" s="73" t="n"/>
      <c r="A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  <c r="W242" s="73" t="n"/>
      <c r="X242" s="73" t="n"/>
      <c r="Y242" s="73" t="n"/>
      <c r="Z242" s="73" t="n"/>
      <c r="AA242" s="73" t="n"/>
      <c r="AB242" s="73" t="n"/>
      <c r="AC242" s="73" t="n"/>
      <c r="AD242" s="73" t="n"/>
      <c r="AE242" s="73" t="n"/>
      <c r="AF242" s="73" t="n"/>
      <c r="AG242" s="73" t="n"/>
      <c r="AH242" s="73" t="n"/>
      <c r="AI242" s="73" t="n"/>
      <c r="AJ242" s="73" t="n"/>
      <c r="AK242" s="73" t="n"/>
      <c r="AL242" s="73" t="n"/>
      <c r="AM242" s="73" t="n"/>
      <c r="AN242" s="73" t="n"/>
      <c r="AO242" s="73" t="n"/>
      <c r="AP242" s="73" t="n"/>
      <c r="AQ242" s="73" t="n"/>
      <c r="AR242" s="73" t="n"/>
      <c r="AS242" s="73" t="n"/>
      <c r="AT242" s="73" t="n"/>
      <c r="AU242" s="73" t="n"/>
      <c r="A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  <c r="W243" s="73" t="n"/>
      <c r="X243" s="73" t="n"/>
      <c r="Y243" s="73" t="n"/>
      <c r="Z243" s="73" t="n"/>
      <c r="AA243" s="73" t="n"/>
      <c r="AB243" s="73" t="n"/>
      <c r="AC243" s="73" t="n"/>
      <c r="AD243" s="73" t="n"/>
      <c r="AE243" s="73" t="n"/>
      <c r="AF243" s="73" t="n"/>
      <c r="AG243" s="73" t="n"/>
      <c r="AH243" s="73" t="n"/>
      <c r="AI243" s="73" t="n"/>
      <c r="AJ243" s="73" t="n"/>
      <c r="AK243" s="73" t="n"/>
      <c r="AL243" s="73" t="n"/>
      <c r="AM243" s="73" t="n"/>
      <c r="AN243" s="73" t="n"/>
      <c r="AO243" s="73" t="n"/>
      <c r="AP243" s="73" t="n"/>
      <c r="AQ243" s="73" t="n"/>
      <c r="AR243" s="73" t="n"/>
      <c r="AS243" s="73" t="n"/>
      <c r="AT243" s="73" t="n"/>
      <c r="AU243" s="73" t="n"/>
      <c r="A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  <c r="W244" s="73" t="n"/>
      <c r="X244" s="73" t="n"/>
      <c r="Y244" s="73" t="n"/>
      <c r="Z244" s="73" t="n"/>
      <c r="AA244" s="73" t="n"/>
      <c r="AB244" s="73" t="n"/>
      <c r="AC244" s="73" t="n"/>
      <c r="AD244" s="73" t="n"/>
      <c r="AE244" s="73" t="n"/>
      <c r="AF244" s="73" t="n"/>
      <c r="AG244" s="73" t="n"/>
      <c r="AH244" s="73" t="n"/>
      <c r="AI244" s="73" t="n"/>
      <c r="AJ244" s="73" t="n"/>
      <c r="AK244" s="73" t="n"/>
      <c r="AL244" s="73" t="n"/>
      <c r="AM244" s="73" t="n"/>
      <c r="AN244" s="73" t="n"/>
      <c r="AO244" s="73" t="n"/>
      <c r="AP244" s="73" t="n"/>
      <c r="AQ244" s="73" t="n"/>
      <c r="AR244" s="73" t="n"/>
      <c r="AS244" s="73" t="n"/>
      <c r="AT244" s="73" t="n"/>
      <c r="AU244" s="73" t="n"/>
      <c r="A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  <c r="W245" s="73" t="n"/>
      <c r="X245" s="73" t="n"/>
      <c r="Y245" s="73" t="n"/>
      <c r="Z245" s="73" t="n"/>
      <c r="AA245" s="73" t="n"/>
      <c r="AB245" s="73" t="n"/>
      <c r="AC245" s="73" t="n"/>
      <c r="AD245" s="73" t="n"/>
      <c r="AE245" s="73" t="n"/>
      <c r="AF245" s="73" t="n"/>
      <c r="AG245" s="73" t="n"/>
      <c r="AH245" s="73" t="n"/>
      <c r="AI245" s="73" t="n"/>
      <c r="AJ245" s="73" t="n"/>
      <c r="AK245" s="73" t="n"/>
      <c r="AL245" s="73" t="n"/>
      <c r="AM245" s="73" t="n"/>
      <c r="AN245" s="73" t="n"/>
      <c r="AO245" s="73" t="n"/>
      <c r="AP245" s="73" t="n"/>
      <c r="AQ245" s="73" t="n"/>
      <c r="AR245" s="73" t="n"/>
      <c r="AS245" s="73" t="n"/>
      <c r="AT245" s="73" t="n"/>
      <c r="AU245" s="73" t="n"/>
      <c r="A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  <c r="W246" s="73" t="n"/>
      <c r="X246" s="73" t="n"/>
      <c r="Y246" s="73" t="n"/>
      <c r="Z246" s="73" t="n"/>
      <c r="AA246" s="73" t="n"/>
      <c r="AB246" s="73" t="n"/>
      <c r="AC246" s="73" t="n"/>
      <c r="AD246" s="73" t="n"/>
      <c r="AE246" s="73" t="n"/>
      <c r="AF246" s="73" t="n"/>
      <c r="AG246" s="73" t="n"/>
      <c r="AH246" s="73" t="n"/>
      <c r="AI246" s="73" t="n"/>
      <c r="AJ246" s="73" t="n"/>
      <c r="AK246" s="73" t="n"/>
      <c r="AL246" s="73" t="n"/>
      <c r="AM246" s="73" t="n"/>
      <c r="AN246" s="73" t="n"/>
      <c r="AO246" s="73" t="n"/>
      <c r="AP246" s="73" t="n"/>
      <c r="AQ246" s="73" t="n"/>
      <c r="AR246" s="73" t="n"/>
      <c r="AS246" s="73" t="n"/>
      <c r="AT246" s="73" t="n"/>
      <c r="AU246" s="73" t="n"/>
      <c r="A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  <c r="W247" s="73" t="n"/>
      <c r="X247" s="73" t="n"/>
      <c r="Y247" s="73" t="n"/>
      <c r="Z247" s="73" t="n"/>
      <c r="AA247" s="73" t="n"/>
      <c r="AB247" s="73" t="n"/>
      <c r="AC247" s="73" t="n"/>
      <c r="AD247" s="73" t="n"/>
      <c r="AE247" s="73" t="n"/>
      <c r="AF247" s="73" t="n"/>
      <c r="AG247" s="73" t="n"/>
      <c r="AH247" s="73" t="n"/>
      <c r="AI247" s="73" t="n"/>
      <c r="AJ247" s="73" t="n"/>
      <c r="AK247" s="73" t="n"/>
      <c r="AL247" s="73" t="n"/>
      <c r="AM247" s="73" t="n"/>
      <c r="AN247" s="73" t="n"/>
      <c r="AO247" s="73" t="n"/>
      <c r="AP247" s="73" t="n"/>
      <c r="AQ247" s="73" t="n"/>
      <c r="AR247" s="73" t="n"/>
      <c r="AS247" s="73" t="n"/>
      <c r="AT247" s="73" t="n"/>
      <c r="AU247" s="73" t="n"/>
      <c r="A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  <c r="W248" s="73" t="n"/>
      <c r="X248" s="73" t="n"/>
      <c r="Y248" s="73" t="n"/>
      <c r="Z248" s="73" t="n"/>
      <c r="AA248" s="73" t="n"/>
      <c r="AB248" s="73" t="n"/>
      <c r="AC248" s="73" t="n"/>
      <c r="AD248" s="73" t="n"/>
      <c r="AE248" s="73" t="n"/>
      <c r="AF248" s="73" t="n"/>
      <c r="AG248" s="73" t="n"/>
      <c r="AH248" s="73" t="n"/>
      <c r="AI248" s="73" t="n"/>
      <c r="AJ248" s="73" t="n"/>
      <c r="AK248" s="73" t="n"/>
      <c r="AL248" s="73" t="n"/>
      <c r="AM248" s="73" t="n"/>
      <c r="AN248" s="73" t="n"/>
      <c r="AO248" s="73" t="n"/>
      <c r="AP248" s="73" t="n"/>
      <c r="AQ248" s="73" t="n"/>
      <c r="AR248" s="73" t="n"/>
      <c r="AS248" s="73" t="n"/>
      <c r="AT248" s="73" t="n"/>
      <c r="AU248" s="73" t="n"/>
      <c r="A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  <c r="W249" s="73" t="n"/>
      <c r="X249" s="73" t="n"/>
      <c r="Y249" s="73" t="n"/>
      <c r="Z249" s="73" t="n"/>
      <c r="AA249" s="73" t="n"/>
      <c r="AB249" s="73" t="n"/>
      <c r="AC249" s="73" t="n"/>
      <c r="AD249" s="73" t="n"/>
      <c r="AE249" s="73" t="n"/>
      <c r="AF249" s="73" t="n"/>
      <c r="AG249" s="73" t="n"/>
      <c r="AH249" s="73" t="n"/>
      <c r="AI249" s="73" t="n"/>
      <c r="AJ249" s="73" t="n"/>
      <c r="AK249" s="73" t="n"/>
      <c r="AL249" s="73" t="n"/>
      <c r="AM249" s="73" t="n"/>
      <c r="AN249" s="73" t="n"/>
      <c r="AO249" s="73" t="n"/>
      <c r="AP249" s="73" t="n"/>
      <c r="AQ249" s="73" t="n"/>
      <c r="AR249" s="73" t="n"/>
      <c r="AS249" s="73" t="n"/>
      <c r="AT249" s="73" t="n"/>
      <c r="AU249" s="73" t="n"/>
      <c r="A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  <c r="W250" s="73" t="n"/>
      <c r="X250" s="73" t="n"/>
      <c r="Y250" s="73" t="n"/>
      <c r="Z250" s="73" t="n"/>
      <c r="AA250" s="73" t="n"/>
      <c r="AB250" s="73" t="n"/>
      <c r="AC250" s="73" t="n"/>
      <c r="AD250" s="73" t="n"/>
      <c r="AE250" s="73" t="n"/>
      <c r="AF250" s="73" t="n"/>
      <c r="AG250" s="73" t="n"/>
      <c r="AH250" s="73" t="n"/>
      <c r="AI250" s="73" t="n"/>
      <c r="AJ250" s="73" t="n"/>
      <c r="AK250" s="73" t="n"/>
      <c r="AL250" s="73" t="n"/>
      <c r="AM250" s="73" t="n"/>
      <c r="AN250" s="73" t="n"/>
      <c r="AO250" s="73" t="n"/>
      <c r="AP250" s="73" t="n"/>
      <c r="AQ250" s="73" t="n"/>
      <c r="AR250" s="73" t="n"/>
      <c r="AS250" s="73" t="n"/>
      <c r="AT250" s="73" t="n"/>
      <c r="AU250" s="73" t="n"/>
      <c r="A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  <c r="W251" s="73" t="n"/>
      <c r="X251" s="73" t="n"/>
      <c r="Y251" s="73" t="n"/>
      <c r="Z251" s="73" t="n"/>
      <c r="AA251" s="73" t="n"/>
      <c r="AB251" s="73" t="n"/>
      <c r="AC251" s="73" t="n"/>
      <c r="AD251" s="73" t="n"/>
      <c r="AE251" s="73" t="n"/>
      <c r="AF251" s="73" t="n"/>
      <c r="AG251" s="73" t="n"/>
      <c r="AH251" s="73" t="n"/>
      <c r="AI251" s="73" t="n"/>
      <c r="AJ251" s="73" t="n"/>
      <c r="AK251" s="73" t="n"/>
      <c r="AL251" s="73" t="n"/>
      <c r="AM251" s="73" t="n"/>
      <c r="AN251" s="73" t="n"/>
      <c r="AO251" s="73" t="n"/>
      <c r="AP251" s="73" t="n"/>
      <c r="AQ251" s="73" t="n"/>
      <c r="AR251" s="73" t="n"/>
      <c r="AS251" s="73" t="n"/>
      <c r="AT251" s="73" t="n"/>
      <c r="AU251" s="73" t="n"/>
      <c r="A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  <c r="W252" s="73" t="n"/>
      <c r="X252" s="73" t="n"/>
      <c r="Y252" s="73" t="n"/>
      <c r="Z252" s="73" t="n"/>
      <c r="AA252" s="73" t="n"/>
      <c r="AB252" s="73" t="n"/>
      <c r="AC252" s="73" t="n"/>
      <c r="AD252" s="73" t="n"/>
      <c r="AE252" s="73" t="n"/>
      <c r="AF252" s="73" t="n"/>
      <c r="AG252" s="73" t="n"/>
      <c r="AH252" s="73" t="n"/>
      <c r="AI252" s="73" t="n"/>
      <c r="AJ252" s="73" t="n"/>
      <c r="AK252" s="73" t="n"/>
      <c r="AL252" s="73" t="n"/>
      <c r="AM252" s="73" t="n"/>
      <c r="AN252" s="73" t="n"/>
      <c r="AO252" s="73" t="n"/>
      <c r="AP252" s="73" t="n"/>
      <c r="AQ252" s="73" t="n"/>
      <c r="AR252" s="73" t="n"/>
      <c r="AS252" s="73" t="n"/>
      <c r="AT252" s="73" t="n"/>
      <c r="AU252" s="73" t="n"/>
      <c r="A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  <c r="W253" s="73" t="n"/>
      <c r="X253" s="73" t="n"/>
      <c r="Y253" s="73" t="n"/>
      <c r="Z253" s="73" t="n"/>
      <c r="AA253" s="73" t="n"/>
      <c r="AB253" s="73" t="n"/>
      <c r="AC253" s="73" t="n"/>
      <c r="AD253" s="73" t="n"/>
      <c r="AE253" s="73" t="n"/>
      <c r="AF253" s="73" t="n"/>
      <c r="AG253" s="73" t="n"/>
      <c r="AH253" s="73" t="n"/>
      <c r="AI253" s="73" t="n"/>
      <c r="AJ253" s="73" t="n"/>
      <c r="AK253" s="73" t="n"/>
      <c r="AL253" s="73" t="n"/>
      <c r="AM253" s="73" t="n"/>
      <c r="AN253" s="73" t="n"/>
      <c r="AO253" s="73" t="n"/>
      <c r="AP253" s="73" t="n"/>
      <c r="AQ253" s="73" t="n"/>
      <c r="AR253" s="73" t="n"/>
      <c r="AS253" s="73" t="n"/>
      <c r="AT253" s="73" t="n"/>
      <c r="AU253" s="73" t="n"/>
      <c r="A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  <c r="W254" s="73" t="n"/>
      <c r="X254" s="73" t="n"/>
      <c r="Y254" s="73" t="n"/>
      <c r="Z254" s="73" t="n"/>
      <c r="AA254" s="73" t="n"/>
      <c r="AB254" s="73" t="n"/>
      <c r="AC254" s="73" t="n"/>
      <c r="AD254" s="73" t="n"/>
      <c r="AE254" s="73" t="n"/>
      <c r="AF254" s="73" t="n"/>
      <c r="AG254" s="73" t="n"/>
      <c r="AH254" s="73" t="n"/>
      <c r="AI254" s="73" t="n"/>
      <c r="AJ254" s="73" t="n"/>
      <c r="AK254" s="73" t="n"/>
      <c r="AL254" s="73" t="n"/>
      <c r="AM254" s="73" t="n"/>
      <c r="AN254" s="73" t="n"/>
      <c r="AO254" s="73" t="n"/>
      <c r="AP254" s="73" t="n"/>
      <c r="AQ254" s="73" t="n"/>
      <c r="AR254" s="73" t="n"/>
      <c r="AS254" s="73" t="n"/>
      <c r="AT254" s="73" t="n"/>
      <c r="AU254" s="73" t="n"/>
      <c r="A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  <c r="W255" s="73" t="n"/>
      <c r="X255" s="73" t="n"/>
      <c r="Y255" s="73" t="n"/>
      <c r="Z255" s="73" t="n"/>
      <c r="AA255" s="73" t="n"/>
      <c r="AB255" s="73" t="n"/>
      <c r="AC255" s="73" t="n"/>
      <c r="AD255" s="73" t="n"/>
      <c r="AE255" s="73" t="n"/>
      <c r="AF255" s="73" t="n"/>
      <c r="AG255" s="73" t="n"/>
      <c r="AH255" s="73" t="n"/>
      <c r="AI255" s="73" t="n"/>
      <c r="AJ255" s="73" t="n"/>
      <c r="AK255" s="73" t="n"/>
      <c r="AL255" s="73" t="n"/>
      <c r="AM255" s="73" t="n"/>
      <c r="AN255" s="73" t="n"/>
      <c r="AO255" s="73" t="n"/>
      <c r="AP255" s="73" t="n"/>
      <c r="AQ255" s="73" t="n"/>
      <c r="AR255" s="73" t="n"/>
      <c r="AS255" s="73" t="n"/>
      <c r="AT255" s="73" t="n"/>
      <c r="AU255" s="73" t="n"/>
      <c r="A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  <c r="W256" s="73" t="n"/>
      <c r="X256" s="73" t="n"/>
      <c r="Y256" s="73" t="n"/>
      <c r="Z256" s="73" t="n"/>
      <c r="AA256" s="73" t="n"/>
      <c r="AB256" s="73" t="n"/>
      <c r="AC256" s="73" t="n"/>
      <c r="AD256" s="73" t="n"/>
      <c r="AE256" s="73" t="n"/>
      <c r="AF256" s="73" t="n"/>
      <c r="AG256" s="73" t="n"/>
      <c r="AH256" s="73" t="n"/>
      <c r="AI256" s="73" t="n"/>
      <c r="AJ256" s="73" t="n"/>
      <c r="AK256" s="73" t="n"/>
      <c r="AL256" s="73" t="n"/>
      <c r="AM256" s="73" t="n"/>
      <c r="AN256" s="73" t="n"/>
      <c r="AO256" s="73" t="n"/>
      <c r="AP256" s="73" t="n"/>
      <c r="AQ256" s="73" t="n"/>
      <c r="AR256" s="73" t="n"/>
      <c r="AS256" s="73" t="n"/>
      <c r="AT256" s="73" t="n"/>
      <c r="AU256" s="73" t="n"/>
      <c r="A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  <c r="W257" s="73" t="n"/>
      <c r="X257" s="73" t="n"/>
      <c r="Y257" s="73" t="n"/>
      <c r="Z257" s="73" t="n"/>
      <c r="AA257" s="73" t="n"/>
      <c r="AB257" s="73" t="n"/>
      <c r="AC257" s="73" t="n"/>
      <c r="AD257" s="73" t="n"/>
      <c r="AE257" s="73" t="n"/>
      <c r="AF257" s="73" t="n"/>
      <c r="AG257" s="73" t="n"/>
      <c r="AH257" s="73" t="n"/>
      <c r="AI257" s="73" t="n"/>
      <c r="AJ257" s="73" t="n"/>
      <c r="AK257" s="73" t="n"/>
      <c r="AL257" s="73" t="n"/>
      <c r="AM257" s="73" t="n"/>
      <c r="AN257" s="73" t="n"/>
      <c r="AO257" s="73" t="n"/>
      <c r="AP257" s="73" t="n"/>
      <c r="AQ257" s="73" t="n"/>
      <c r="AR257" s="73" t="n"/>
      <c r="AS257" s="73" t="n"/>
      <c r="AT257" s="73" t="n"/>
      <c r="AU257" s="73" t="n"/>
      <c r="A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  <c r="W258" s="73" t="n"/>
      <c r="X258" s="73" t="n"/>
      <c r="Y258" s="73" t="n"/>
      <c r="Z258" s="73" t="n"/>
      <c r="AA258" s="73" t="n"/>
      <c r="AB258" s="73" t="n"/>
      <c r="AC258" s="73" t="n"/>
      <c r="AD258" s="73" t="n"/>
      <c r="AE258" s="73" t="n"/>
      <c r="AF258" s="73" t="n"/>
      <c r="AG258" s="73" t="n"/>
      <c r="AH258" s="73" t="n"/>
      <c r="AI258" s="73" t="n"/>
      <c r="AJ258" s="73" t="n"/>
      <c r="AK258" s="73" t="n"/>
      <c r="AL258" s="73" t="n"/>
      <c r="AM258" s="73" t="n"/>
      <c r="AN258" s="73" t="n"/>
      <c r="AO258" s="73" t="n"/>
      <c r="AP258" s="73" t="n"/>
      <c r="AQ258" s="73" t="n"/>
      <c r="AR258" s="73" t="n"/>
      <c r="AS258" s="73" t="n"/>
      <c r="AT258" s="73" t="n"/>
      <c r="AU258" s="73" t="n"/>
      <c r="A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  <c r="W259" s="73" t="n"/>
      <c r="X259" s="73" t="n"/>
      <c r="Y259" s="73" t="n"/>
      <c r="Z259" s="73" t="n"/>
      <c r="AA259" s="73" t="n"/>
      <c r="AB259" s="73" t="n"/>
      <c r="AC259" s="73" t="n"/>
      <c r="AD259" s="73" t="n"/>
      <c r="AE259" s="73" t="n"/>
      <c r="AF259" s="73" t="n"/>
      <c r="AG259" s="73" t="n"/>
      <c r="AH259" s="73" t="n"/>
      <c r="AI259" s="73" t="n"/>
      <c r="AJ259" s="73" t="n"/>
      <c r="AK259" s="73" t="n"/>
      <c r="AL259" s="73" t="n"/>
      <c r="AM259" s="73" t="n"/>
      <c r="AN259" s="73" t="n"/>
      <c r="AO259" s="73" t="n"/>
      <c r="AP259" s="73" t="n"/>
      <c r="AQ259" s="73" t="n"/>
      <c r="AR259" s="73" t="n"/>
      <c r="AS259" s="73" t="n"/>
      <c r="AT259" s="73" t="n"/>
      <c r="AU259" s="73" t="n"/>
      <c r="A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  <c r="W260" s="73" t="n"/>
      <c r="X260" s="73" t="n"/>
      <c r="Y260" s="73" t="n"/>
      <c r="Z260" s="73" t="n"/>
      <c r="AA260" s="73" t="n"/>
      <c r="AB260" s="73" t="n"/>
      <c r="AC260" s="73" t="n"/>
      <c r="AD260" s="73" t="n"/>
      <c r="AE260" s="73" t="n"/>
      <c r="AF260" s="73" t="n"/>
      <c r="AG260" s="73" t="n"/>
      <c r="AH260" s="73" t="n"/>
      <c r="AI260" s="73" t="n"/>
      <c r="AJ260" s="73" t="n"/>
      <c r="AK260" s="73" t="n"/>
      <c r="AL260" s="73" t="n"/>
      <c r="AM260" s="73" t="n"/>
      <c r="AN260" s="73" t="n"/>
      <c r="AO260" s="73" t="n"/>
      <c r="AP260" s="73" t="n"/>
      <c r="AQ260" s="73" t="n"/>
      <c r="AR260" s="73" t="n"/>
      <c r="AS260" s="73" t="n"/>
      <c r="AT260" s="73" t="n"/>
      <c r="AU260" s="73" t="n"/>
      <c r="A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  <c r="W261" s="73" t="n"/>
      <c r="X261" s="73" t="n"/>
      <c r="Y261" s="73" t="n"/>
      <c r="Z261" s="73" t="n"/>
      <c r="AA261" s="73" t="n"/>
      <c r="AB261" s="73" t="n"/>
      <c r="AC261" s="73" t="n"/>
      <c r="AD261" s="73" t="n"/>
      <c r="AE261" s="73" t="n"/>
      <c r="AF261" s="73" t="n"/>
      <c r="AG261" s="73" t="n"/>
      <c r="AH261" s="73" t="n"/>
      <c r="AI261" s="73" t="n"/>
      <c r="AJ261" s="73" t="n"/>
      <c r="AK261" s="73" t="n"/>
      <c r="AL261" s="73" t="n"/>
      <c r="AM261" s="73" t="n"/>
      <c r="AN261" s="73" t="n"/>
      <c r="AO261" s="73" t="n"/>
      <c r="AP261" s="73" t="n"/>
      <c r="AQ261" s="73" t="n"/>
      <c r="AR261" s="73" t="n"/>
      <c r="AS261" s="73" t="n"/>
      <c r="AT261" s="73" t="n"/>
      <c r="AU261" s="73" t="n"/>
      <c r="A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  <c r="W262" s="73" t="n"/>
      <c r="X262" s="73" t="n"/>
      <c r="Y262" s="73" t="n"/>
      <c r="Z262" s="73" t="n"/>
      <c r="AA262" s="73" t="n"/>
      <c r="AB262" s="73" t="n"/>
      <c r="AC262" s="73" t="n"/>
      <c r="AD262" s="73" t="n"/>
      <c r="AE262" s="73" t="n"/>
      <c r="AF262" s="73" t="n"/>
      <c r="AG262" s="73" t="n"/>
      <c r="AH262" s="73" t="n"/>
      <c r="AI262" s="73" t="n"/>
      <c r="AJ262" s="73" t="n"/>
      <c r="AK262" s="73" t="n"/>
      <c r="AL262" s="73" t="n"/>
      <c r="AM262" s="73" t="n"/>
      <c r="AN262" s="73" t="n"/>
      <c r="AO262" s="73" t="n"/>
      <c r="AP262" s="73" t="n"/>
      <c r="AQ262" s="73" t="n"/>
      <c r="AR262" s="73" t="n"/>
      <c r="AS262" s="73" t="n"/>
      <c r="AT262" s="73" t="n"/>
      <c r="AU262" s="73" t="n"/>
      <c r="A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  <c r="W263" s="73" t="n"/>
      <c r="X263" s="73" t="n"/>
      <c r="Y263" s="73" t="n"/>
      <c r="Z263" s="73" t="n"/>
      <c r="AA263" s="73" t="n"/>
      <c r="AB263" s="73" t="n"/>
      <c r="AC263" s="73" t="n"/>
      <c r="AD263" s="73" t="n"/>
      <c r="AE263" s="73" t="n"/>
      <c r="AF263" s="73" t="n"/>
      <c r="AG263" s="73" t="n"/>
      <c r="AH263" s="73" t="n"/>
      <c r="AI263" s="73" t="n"/>
      <c r="AJ263" s="73" t="n"/>
      <c r="AK263" s="73" t="n"/>
      <c r="AL263" s="73" t="n"/>
      <c r="AM263" s="73" t="n"/>
      <c r="AN263" s="73" t="n"/>
      <c r="AO263" s="73" t="n"/>
      <c r="AP263" s="73" t="n"/>
      <c r="AQ263" s="73" t="n"/>
      <c r="AR263" s="73" t="n"/>
      <c r="AS263" s="73" t="n"/>
      <c r="AT263" s="73" t="n"/>
      <c r="AU263" s="73" t="n"/>
      <c r="A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  <c r="W264" s="73" t="n"/>
      <c r="X264" s="73" t="n"/>
      <c r="Y264" s="73" t="n"/>
      <c r="Z264" s="73" t="n"/>
      <c r="AA264" s="73" t="n"/>
      <c r="AB264" s="73" t="n"/>
      <c r="AC264" s="73" t="n"/>
      <c r="AD264" s="73" t="n"/>
      <c r="AE264" s="73" t="n"/>
      <c r="AF264" s="73" t="n"/>
      <c r="AG264" s="73" t="n"/>
      <c r="AH264" s="73" t="n"/>
      <c r="AI264" s="73" t="n"/>
      <c r="AJ264" s="73" t="n"/>
      <c r="AK264" s="73" t="n"/>
      <c r="AL264" s="73" t="n"/>
      <c r="AM264" s="73" t="n"/>
      <c r="AN264" s="73" t="n"/>
      <c r="AO264" s="73" t="n"/>
      <c r="AP264" s="73" t="n"/>
      <c r="AQ264" s="73" t="n"/>
      <c r="AR264" s="73" t="n"/>
      <c r="AS264" s="73" t="n"/>
      <c r="AT264" s="73" t="n"/>
      <c r="AU264" s="73" t="n"/>
      <c r="A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  <c r="W265" s="73" t="n"/>
      <c r="X265" s="73" t="n"/>
      <c r="Y265" s="73" t="n"/>
      <c r="Z265" s="73" t="n"/>
      <c r="AA265" s="73" t="n"/>
      <c r="AB265" s="73" t="n"/>
      <c r="AC265" s="73" t="n"/>
      <c r="AD265" s="73" t="n"/>
      <c r="AE265" s="73" t="n"/>
      <c r="AF265" s="73" t="n"/>
      <c r="AG265" s="73" t="n"/>
      <c r="AH265" s="73" t="n"/>
      <c r="AI265" s="73" t="n"/>
      <c r="AJ265" s="73" t="n"/>
      <c r="AK265" s="73" t="n"/>
      <c r="AL265" s="73" t="n"/>
      <c r="AM265" s="73" t="n"/>
      <c r="AN265" s="73" t="n"/>
      <c r="AO265" s="73" t="n"/>
      <c r="AP265" s="73" t="n"/>
      <c r="AQ265" s="73" t="n"/>
      <c r="AR265" s="73" t="n"/>
      <c r="AS265" s="73" t="n"/>
      <c r="AT265" s="73" t="n"/>
      <c r="AU265" s="73" t="n"/>
      <c r="A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  <c r="W266" s="73" t="n"/>
      <c r="X266" s="73" t="n"/>
      <c r="Y266" s="73" t="n"/>
      <c r="Z266" s="73" t="n"/>
      <c r="AA266" s="73" t="n"/>
      <c r="AB266" s="73" t="n"/>
      <c r="AC266" s="73" t="n"/>
      <c r="AD266" s="73" t="n"/>
      <c r="AE266" s="73" t="n"/>
      <c r="AF266" s="73" t="n"/>
      <c r="AG266" s="73" t="n"/>
      <c r="AH266" s="73" t="n"/>
      <c r="AI266" s="73" t="n"/>
      <c r="AJ266" s="73" t="n"/>
      <c r="AK266" s="73" t="n"/>
      <c r="AL266" s="73" t="n"/>
      <c r="AM266" s="73" t="n"/>
      <c r="AN266" s="73" t="n"/>
      <c r="AO266" s="73" t="n"/>
      <c r="AP266" s="73" t="n"/>
      <c r="AQ266" s="73" t="n"/>
      <c r="AR266" s="73" t="n"/>
      <c r="AS266" s="73" t="n"/>
      <c r="AT266" s="73" t="n"/>
      <c r="AU266" s="73" t="n"/>
      <c r="A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  <c r="W267" s="73" t="n"/>
      <c r="X267" s="73" t="n"/>
      <c r="Y267" s="73" t="n"/>
      <c r="Z267" s="73" t="n"/>
      <c r="AA267" s="73" t="n"/>
      <c r="AB267" s="73" t="n"/>
      <c r="AC267" s="73" t="n"/>
      <c r="AD267" s="73" t="n"/>
      <c r="AE267" s="73" t="n"/>
      <c r="AF267" s="73" t="n"/>
      <c r="AG267" s="73" t="n"/>
      <c r="AH267" s="73" t="n"/>
      <c r="AI267" s="73" t="n"/>
      <c r="AJ267" s="73" t="n"/>
      <c r="AK267" s="73" t="n"/>
      <c r="AL267" s="73" t="n"/>
      <c r="AM267" s="73" t="n"/>
      <c r="AN267" s="73" t="n"/>
      <c r="AO267" s="73" t="n"/>
      <c r="AP267" s="73" t="n"/>
      <c r="AQ267" s="73" t="n"/>
      <c r="AR267" s="73" t="n"/>
      <c r="AS267" s="73" t="n"/>
      <c r="AT267" s="73" t="n"/>
      <c r="AU267" s="73" t="n"/>
      <c r="A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  <c r="W268" s="73" t="n"/>
      <c r="X268" s="73" t="n"/>
      <c r="Y268" s="73" t="n"/>
      <c r="Z268" s="73" t="n"/>
      <c r="AA268" s="73" t="n"/>
      <c r="AB268" s="73" t="n"/>
      <c r="AC268" s="73" t="n"/>
      <c r="AD268" s="73" t="n"/>
      <c r="AE268" s="73" t="n"/>
      <c r="AF268" s="73" t="n"/>
      <c r="AG268" s="73" t="n"/>
      <c r="AH268" s="73" t="n"/>
      <c r="AI268" s="73" t="n"/>
      <c r="AJ268" s="73" t="n"/>
      <c r="AK268" s="73" t="n"/>
      <c r="AL268" s="73" t="n"/>
      <c r="AM268" s="73" t="n"/>
      <c r="AN268" s="73" t="n"/>
      <c r="AO268" s="73" t="n"/>
      <c r="AP268" s="73" t="n"/>
      <c r="AQ268" s="73" t="n"/>
      <c r="AR268" s="73" t="n"/>
      <c r="AS268" s="73" t="n"/>
      <c r="AT268" s="73" t="n"/>
      <c r="AU268" s="73" t="n"/>
      <c r="A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  <c r="W269" s="73" t="n"/>
      <c r="X269" s="73" t="n"/>
      <c r="Y269" s="73" t="n"/>
      <c r="Z269" s="73" t="n"/>
      <c r="AA269" s="73" t="n"/>
      <c r="AB269" s="73" t="n"/>
      <c r="AC269" s="73" t="n"/>
      <c r="AD269" s="73" t="n"/>
      <c r="AE269" s="73" t="n"/>
      <c r="AF269" s="73" t="n"/>
      <c r="AG269" s="73" t="n"/>
      <c r="AH269" s="73" t="n"/>
      <c r="AI269" s="73" t="n"/>
      <c r="AJ269" s="73" t="n"/>
      <c r="AK269" s="73" t="n"/>
      <c r="AL269" s="73" t="n"/>
      <c r="AM269" s="73" t="n"/>
      <c r="AN269" s="73" t="n"/>
      <c r="AO269" s="73" t="n"/>
      <c r="AP269" s="73" t="n"/>
      <c r="AQ269" s="73" t="n"/>
      <c r="AR269" s="73" t="n"/>
      <c r="AS269" s="73" t="n"/>
      <c r="AT269" s="73" t="n"/>
      <c r="AU269" s="73" t="n"/>
      <c r="A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  <c r="W270" s="73" t="n"/>
      <c r="X270" s="73" t="n"/>
      <c r="Y270" s="73" t="n"/>
      <c r="Z270" s="73" t="n"/>
      <c r="AA270" s="73" t="n"/>
      <c r="AB270" s="73" t="n"/>
      <c r="AC270" s="73" t="n"/>
      <c r="AD270" s="73" t="n"/>
      <c r="AE270" s="73" t="n"/>
      <c r="AF270" s="73" t="n"/>
      <c r="AG270" s="73" t="n"/>
      <c r="AH270" s="73" t="n"/>
      <c r="AI270" s="73" t="n"/>
      <c r="AJ270" s="73" t="n"/>
      <c r="AK270" s="73" t="n"/>
      <c r="AL270" s="73" t="n"/>
      <c r="AM270" s="73" t="n"/>
      <c r="AN270" s="73" t="n"/>
      <c r="AO270" s="73" t="n"/>
      <c r="AP270" s="73" t="n"/>
      <c r="AQ270" s="73" t="n"/>
      <c r="AR270" s="73" t="n"/>
      <c r="AS270" s="73" t="n"/>
      <c r="AT270" s="73" t="n"/>
      <c r="AU270" s="73" t="n"/>
      <c r="A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  <c r="W271" s="73" t="n"/>
      <c r="X271" s="73" t="n"/>
      <c r="Y271" s="73" t="n"/>
      <c r="Z271" s="73" t="n"/>
      <c r="AA271" s="73" t="n"/>
      <c r="AB271" s="73" t="n"/>
      <c r="AC271" s="73" t="n"/>
      <c r="AD271" s="73" t="n"/>
      <c r="AE271" s="73" t="n"/>
      <c r="AF271" s="73" t="n"/>
      <c r="AG271" s="73" t="n"/>
      <c r="AH271" s="73" t="n"/>
      <c r="AI271" s="73" t="n"/>
      <c r="AJ271" s="73" t="n"/>
      <c r="AK271" s="73" t="n"/>
      <c r="AL271" s="73" t="n"/>
      <c r="AM271" s="73" t="n"/>
      <c r="AN271" s="73" t="n"/>
      <c r="AO271" s="73" t="n"/>
      <c r="AP271" s="73" t="n"/>
      <c r="AQ271" s="73" t="n"/>
      <c r="AR271" s="73" t="n"/>
      <c r="AS271" s="73" t="n"/>
      <c r="AT271" s="73" t="n"/>
      <c r="AU271" s="73" t="n"/>
      <c r="A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  <c r="W272" s="73" t="n"/>
      <c r="X272" s="73" t="n"/>
      <c r="Y272" s="73" t="n"/>
      <c r="Z272" s="73" t="n"/>
      <c r="AA272" s="73" t="n"/>
      <c r="AB272" s="73" t="n"/>
      <c r="AC272" s="73" t="n"/>
      <c r="AD272" s="73" t="n"/>
      <c r="AE272" s="73" t="n"/>
      <c r="AF272" s="73" t="n"/>
      <c r="AG272" s="73" t="n"/>
      <c r="AH272" s="73" t="n"/>
      <c r="AI272" s="73" t="n"/>
      <c r="AJ272" s="73" t="n"/>
      <c r="AK272" s="73" t="n"/>
      <c r="AL272" s="73" t="n"/>
      <c r="AM272" s="73" t="n"/>
      <c r="AN272" s="73" t="n"/>
      <c r="AO272" s="73" t="n"/>
      <c r="AP272" s="73" t="n"/>
      <c r="AQ272" s="73" t="n"/>
      <c r="AR272" s="73" t="n"/>
      <c r="AS272" s="73" t="n"/>
      <c r="AT272" s="73" t="n"/>
      <c r="AU272" s="73" t="n"/>
      <c r="A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  <c r="W273" s="73" t="n"/>
      <c r="X273" s="73" t="n"/>
      <c r="Y273" s="73" t="n"/>
      <c r="Z273" s="73" t="n"/>
      <c r="AA273" s="73" t="n"/>
      <c r="AB273" s="73" t="n"/>
      <c r="AC273" s="73" t="n"/>
      <c r="AD273" s="73" t="n"/>
      <c r="AE273" s="73" t="n"/>
      <c r="AF273" s="73" t="n"/>
      <c r="AG273" s="73" t="n"/>
      <c r="AH273" s="73" t="n"/>
      <c r="AI273" s="73" t="n"/>
      <c r="AJ273" s="73" t="n"/>
      <c r="AK273" s="73" t="n"/>
      <c r="AL273" s="73" t="n"/>
      <c r="AM273" s="73" t="n"/>
      <c r="AN273" s="73" t="n"/>
      <c r="AO273" s="73" t="n"/>
      <c r="AP273" s="73" t="n"/>
      <c r="AQ273" s="73" t="n"/>
      <c r="AR273" s="73" t="n"/>
      <c r="AS273" s="73" t="n"/>
      <c r="AT273" s="73" t="n"/>
      <c r="AU273" s="73" t="n"/>
      <c r="A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  <c r="W274" s="73" t="n"/>
      <c r="X274" s="73" t="n"/>
      <c r="Y274" s="73" t="n"/>
      <c r="Z274" s="73" t="n"/>
      <c r="AA274" s="73" t="n"/>
      <c r="AB274" s="73" t="n"/>
      <c r="AC274" s="73" t="n"/>
      <c r="AD274" s="73" t="n"/>
      <c r="AE274" s="73" t="n"/>
      <c r="AF274" s="73" t="n"/>
      <c r="AG274" s="73" t="n"/>
      <c r="AH274" s="73" t="n"/>
      <c r="AI274" s="73" t="n"/>
      <c r="AJ274" s="73" t="n"/>
      <c r="AK274" s="73" t="n"/>
      <c r="AL274" s="73" t="n"/>
      <c r="AM274" s="73" t="n"/>
      <c r="AN274" s="73" t="n"/>
      <c r="AO274" s="73" t="n"/>
      <c r="AP274" s="73" t="n"/>
      <c r="AQ274" s="73" t="n"/>
      <c r="AR274" s="73" t="n"/>
      <c r="AS274" s="73" t="n"/>
      <c r="AT274" s="73" t="n"/>
      <c r="AU274" s="73" t="n"/>
      <c r="A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  <c r="W275" s="73" t="n"/>
      <c r="X275" s="73" t="n"/>
      <c r="Y275" s="73" t="n"/>
      <c r="Z275" s="73" t="n"/>
      <c r="AA275" s="73" t="n"/>
      <c r="AB275" s="73" t="n"/>
      <c r="AC275" s="73" t="n"/>
      <c r="AD275" s="73" t="n"/>
      <c r="AE275" s="73" t="n"/>
      <c r="AF275" s="73" t="n"/>
      <c r="AG275" s="73" t="n"/>
      <c r="AH275" s="73" t="n"/>
      <c r="AI275" s="73" t="n"/>
      <c r="AJ275" s="73" t="n"/>
      <c r="AK275" s="73" t="n"/>
      <c r="AL275" s="73" t="n"/>
      <c r="AM275" s="73" t="n"/>
      <c r="AN275" s="73" t="n"/>
      <c r="AO275" s="73" t="n"/>
      <c r="AP275" s="73" t="n"/>
      <c r="AQ275" s="73" t="n"/>
      <c r="AR275" s="73" t="n"/>
      <c r="AS275" s="73" t="n"/>
      <c r="AT275" s="73" t="n"/>
      <c r="AU275" s="73" t="n"/>
      <c r="A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  <c r="W276" s="73" t="n"/>
      <c r="X276" s="73" t="n"/>
      <c r="Y276" s="73" t="n"/>
      <c r="Z276" s="73" t="n"/>
      <c r="AA276" s="73" t="n"/>
      <c r="AB276" s="73" t="n"/>
      <c r="AC276" s="73" t="n"/>
      <c r="AD276" s="73" t="n"/>
      <c r="AE276" s="73" t="n"/>
      <c r="AF276" s="73" t="n"/>
      <c r="AG276" s="73" t="n"/>
      <c r="AH276" s="73" t="n"/>
      <c r="AI276" s="73" t="n"/>
      <c r="AJ276" s="73" t="n"/>
      <c r="AK276" s="73" t="n"/>
      <c r="AL276" s="73" t="n"/>
      <c r="AM276" s="73" t="n"/>
      <c r="AN276" s="73" t="n"/>
      <c r="AO276" s="73" t="n"/>
      <c r="AP276" s="73" t="n"/>
      <c r="AQ276" s="73" t="n"/>
      <c r="AR276" s="73" t="n"/>
      <c r="AS276" s="73" t="n"/>
      <c r="AT276" s="73" t="n"/>
      <c r="AU276" s="73" t="n"/>
      <c r="A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  <c r="W277" s="73" t="n"/>
      <c r="X277" s="73" t="n"/>
      <c r="Y277" s="73" t="n"/>
      <c r="Z277" s="73" t="n"/>
      <c r="AA277" s="73" t="n"/>
      <c r="AB277" s="73" t="n"/>
      <c r="AC277" s="73" t="n"/>
      <c r="AD277" s="73" t="n"/>
      <c r="AE277" s="73" t="n"/>
      <c r="AF277" s="73" t="n"/>
      <c r="AG277" s="73" t="n"/>
      <c r="AH277" s="73" t="n"/>
      <c r="AI277" s="73" t="n"/>
      <c r="AJ277" s="73" t="n"/>
      <c r="AK277" s="73" t="n"/>
      <c r="AL277" s="73" t="n"/>
      <c r="AM277" s="73" t="n"/>
      <c r="AN277" s="73" t="n"/>
      <c r="AO277" s="73" t="n"/>
      <c r="AP277" s="73" t="n"/>
      <c r="AQ277" s="73" t="n"/>
      <c r="AR277" s="73" t="n"/>
      <c r="AS277" s="73" t="n"/>
      <c r="AT277" s="73" t="n"/>
      <c r="AU277" s="73" t="n"/>
      <c r="A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  <c r="W278" s="73" t="n"/>
      <c r="X278" s="73" t="n"/>
      <c r="Y278" s="73" t="n"/>
      <c r="Z278" s="73" t="n"/>
      <c r="AA278" s="73" t="n"/>
      <c r="AB278" s="73" t="n"/>
      <c r="AC278" s="73" t="n"/>
      <c r="AD278" s="73" t="n"/>
      <c r="AE278" s="73" t="n"/>
      <c r="AF278" s="73" t="n"/>
      <c r="AG278" s="73" t="n"/>
      <c r="AH278" s="73" t="n"/>
      <c r="AI278" s="73" t="n"/>
      <c r="AJ278" s="73" t="n"/>
      <c r="AK278" s="73" t="n"/>
      <c r="AL278" s="73" t="n"/>
      <c r="AM278" s="73" t="n"/>
      <c r="AN278" s="73" t="n"/>
      <c r="AO278" s="73" t="n"/>
      <c r="AP278" s="73" t="n"/>
      <c r="AQ278" s="73" t="n"/>
      <c r="AR278" s="73" t="n"/>
      <c r="AS278" s="73" t="n"/>
      <c r="AT278" s="73" t="n"/>
      <c r="AU278" s="73" t="n"/>
      <c r="A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  <c r="W279" s="73" t="n"/>
      <c r="X279" s="73" t="n"/>
      <c r="Y279" s="73" t="n"/>
      <c r="Z279" s="73" t="n"/>
      <c r="AA279" s="73" t="n"/>
      <c r="AB279" s="73" t="n"/>
      <c r="AC279" s="73" t="n"/>
      <c r="AD279" s="73" t="n"/>
      <c r="AE279" s="73" t="n"/>
      <c r="AF279" s="73" t="n"/>
      <c r="AG279" s="73" t="n"/>
      <c r="AH279" s="73" t="n"/>
      <c r="AI279" s="73" t="n"/>
      <c r="AJ279" s="73" t="n"/>
      <c r="AK279" s="73" t="n"/>
      <c r="AL279" s="73" t="n"/>
      <c r="AM279" s="73" t="n"/>
      <c r="AN279" s="73" t="n"/>
      <c r="AO279" s="73" t="n"/>
      <c r="AP279" s="73" t="n"/>
      <c r="AQ279" s="73" t="n"/>
      <c r="AR279" s="73" t="n"/>
      <c r="AS279" s="73" t="n"/>
      <c r="AT279" s="73" t="n"/>
      <c r="AU279" s="73" t="n"/>
      <c r="A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  <c r="W280" s="73" t="n"/>
      <c r="X280" s="73" t="n"/>
      <c r="Y280" s="73" t="n"/>
      <c r="Z280" s="73" t="n"/>
      <c r="AA280" s="73" t="n"/>
      <c r="AB280" s="73" t="n"/>
      <c r="AC280" s="73" t="n"/>
      <c r="AD280" s="73" t="n"/>
      <c r="AE280" s="73" t="n"/>
      <c r="AF280" s="73" t="n"/>
      <c r="AG280" s="73" t="n"/>
      <c r="AH280" s="73" t="n"/>
      <c r="AI280" s="73" t="n"/>
      <c r="AJ280" s="73" t="n"/>
      <c r="AK280" s="73" t="n"/>
      <c r="AL280" s="73" t="n"/>
      <c r="AM280" s="73" t="n"/>
      <c r="AN280" s="73" t="n"/>
      <c r="AO280" s="73" t="n"/>
      <c r="AP280" s="73" t="n"/>
      <c r="AQ280" s="73" t="n"/>
      <c r="AR280" s="73" t="n"/>
      <c r="AS280" s="73" t="n"/>
      <c r="AT280" s="73" t="n"/>
      <c r="AU280" s="73" t="n"/>
      <c r="A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  <c r="W281" s="73" t="n"/>
      <c r="X281" s="73" t="n"/>
      <c r="Y281" s="73" t="n"/>
      <c r="Z281" s="73" t="n"/>
      <c r="AA281" s="73" t="n"/>
      <c r="AB281" s="73" t="n"/>
      <c r="AC281" s="73" t="n"/>
      <c r="AD281" s="73" t="n"/>
      <c r="AE281" s="73" t="n"/>
      <c r="AF281" s="73" t="n"/>
      <c r="AG281" s="73" t="n"/>
      <c r="AH281" s="73" t="n"/>
      <c r="AI281" s="73" t="n"/>
      <c r="AJ281" s="73" t="n"/>
      <c r="AK281" s="73" t="n"/>
      <c r="AL281" s="73" t="n"/>
      <c r="AM281" s="73" t="n"/>
      <c r="AN281" s="73" t="n"/>
      <c r="AO281" s="73" t="n"/>
      <c r="AP281" s="73" t="n"/>
      <c r="AQ281" s="73" t="n"/>
      <c r="AR281" s="73" t="n"/>
      <c r="AS281" s="73" t="n"/>
      <c r="AT281" s="73" t="n"/>
      <c r="AU281" s="73" t="n"/>
      <c r="A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  <c r="W282" s="73" t="n"/>
      <c r="X282" s="73" t="n"/>
      <c r="Y282" s="73" t="n"/>
      <c r="Z282" s="73" t="n"/>
      <c r="AA282" s="73" t="n"/>
      <c r="AB282" s="73" t="n"/>
      <c r="AC282" s="73" t="n"/>
      <c r="AD282" s="73" t="n"/>
      <c r="AE282" s="73" t="n"/>
      <c r="AF282" s="73" t="n"/>
      <c r="AG282" s="73" t="n"/>
      <c r="AH282" s="73" t="n"/>
      <c r="AI282" s="73" t="n"/>
      <c r="AJ282" s="73" t="n"/>
      <c r="AK282" s="73" t="n"/>
      <c r="AL282" s="73" t="n"/>
      <c r="AM282" s="73" t="n"/>
      <c r="AN282" s="73" t="n"/>
      <c r="AO282" s="73" t="n"/>
      <c r="AP282" s="73" t="n"/>
      <c r="AQ282" s="73" t="n"/>
      <c r="AR282" s="73" t="n"/>
      <c r="AS282" s="73" t="n"/>
      <c r="AT282" s="73" t="n"/>
      <c r="AU282" s="73" t="n"/>
      <c r="A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  <c r="W283" s="73" t="n"/>
      <c r="X283" s="73" t="n"/>
      <c r="Y283" s="73" t="n"/>
      <c r="Z283" s="73" t="n"/>
      <c r="AA283" s="73" t="n"/>
      <c r="AB283" s="73" t="n"/>
      <c r="AC283" s="73" t="n"/>
      <c r="AD283" s="73" t="n"/>
      <c r="AE283" s="73" t="n"/>
      <c r="AF283" s="73" t="n"/>
      <c r="AG283" s="73" t="n"/>
      <c r="AH283" s="73" t="n"/>
      <c r="AI283" s="73" t="n"/>
      <c r="AJ283" s="73" t="n"/>
      <c r="AK283" s="73" t="n"/>
      <c r="AL283" s="73" t="n"/>
      <c r="AM283" s="73" t="n"/>
      <c r="AN283" s="73" t="n"/>
      <c r="AO283" s="73" t="n"/>
      <c r="AP283" s="73" t="n"/>
      <c r="AQ283" s="73" t="n"/>
      <c r="AR283" s="73" t="n"/>
      <c r="AS283" s="73" t="n"/>
      <c r="AT283" s="73" t="n"/>
      <c r="AU283" s="73" t="n"/>
      <c r="A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  <c r="W284" s="73" t="n"/>
      <c r="X284" s="73" t="n"/>
      <c r="Y284" s="73" t="n"/>
      <c r="Z284" s="73" t="n"/>
      <c r="AA284" s="73" t="n"/>
      <c r="AB284" s="73" t="n"/>
      <c r="AC284" s="73" t="n"/>
      <c r="AD284" s="73" t="n"/>
      <c r="AE284" s="73" t="n"/>
      <c r="AF284" s="73" t="n"/>
      <c r="AG284" s="73" t="n"/>
      <c r="AH284" s="73" t="n"/>
      <c r="AI284" s="73" t="n"/>
      <c r="AJ284" s="73" t="n"/>
      <c r="AK284" s="73" t="n"/>
      <c r="AL284" s="73" t="n"/>
      <c r="AM284" s="73" t="n"/>
      <c r="AN284" s="73" t="n"/>
      <c r="AO284" s="73" t="n"/>
      <c r="AP284" s="73" t="n"/>
      <c r="AQ284" s="73" t="n"/>
      <c r="AR284" s="73" t="n"/>
      <c r="AS284" s="73" t="n"/>
      <c r="AT284" s="73" t="n"/>
      <c r="AU284" s="73" t="n"/>
      <c r="A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  <c r="W285" s="73" t="n"/>
      <c r="X285" s="73" t="n"/>
      <c r="Y285" s="73" t="n"/>
      <c r="Z285" s="73" t="n"/>
      <c r="AA285" s="73" t="n"/>
      <c r="AB285" s="73" t="n"/>
      <c r="AC285" s="73" t="n"/>
      <c r="AD285" s="73" t="n"/>
      <c r="AE285" s="73" t="n"/>
      <c r="AF285" s="73" t="n"/>
      <c r="AG285" s="73" t="n"/>
      <c r="AH285" s="73" t="n"/>
      <c r="AI285" s="73" t="n"/>
      <c r="AJ285" s="73" t="n"/>
      <c r="AK285" s="73" t="n"/>
      <c r="AL285" s="73" t="n"/>
      <c r="AM285" s="73" t="n"/>
      <c r="AN285" s="73" t="n"/>
      <c r="AO285" s="73" t="n"/>
      <c r="AP285" s="73" t="n"/>
      <c r="AQ285" s="73" t="n"/>
      <c r="AR285" s="73" t="n"/>
      <c r="AS285" s="73" t="n"/>
      <c r="AT285" s="73" t="n"/>
      <c r="AU285" s="73" t="n"/>
      <c r="A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  <c r="W286" s="73" t="n"/>
      <c r="X286" s="73" t="n"/>
      <c r="Y286" s="73" t="n"/>
      <c r="Z286" s="73" t="n"/>
      <c r="AA286" s="73" t="n"/>
      <c r="AB286" s="73" t="n"/>
      <c r="AC286" s="73" t="n"/>
      <c r="AD286" s="73" t="n"/>
      <c r="AE286" s="73" t="n"/>
      <c r="AF286" s="73" t="n"/>
      <c r="AG286" s="73" t="n"/>
      <c r="AH286" s="73" t="n"/>
      <c r="AI286" s="73" t="n"/>
      <c r="AJ286" s="73" t="n"/>
      <c r="AK286" s="73" t="n"/>
      <c r="AL286" s="73" t="n"/>
      <c r="AM286" s="73" t="n"/>
      <c r="AN286" s="73" t="n"/>
      <c r="AO286" s="73" t="n"/>
      <c r="AP286" s="73" t="n"/>
      <c r="AQ286" s="73" t="n"/>
      <c r="AR286" s="73" t="n"/>
      <c r="AS286" s="73" t="n"/>
      <c r="AT286" s="73" t="n"/>
      <c r="AU286" s="73" t="n"/>
      <c r="A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  <c r="W287" s="73" t="n"/>
      <c r="X287" s="73" t="n"/>
      <c r="Y287" s="73" t="n"/>
      <c r="Z287" s="73" t="n"/>
      <c r="AA287" s="73" t="n"/>
      <c r="AB287" s="73" t="n"/>
      <c r="AC287" s="73" t="n"/>
      <c r="AD287" s="73" t="n"/>
      <c r="AE287" s="73" t="n"/>
      <c r="AF287" s="73" t="n"/>
      <c r="AG287" s="73" t="n"/>
      <c r="AH287" s="73" t="n"/>
      <c r="AI287" s="73" t="n"/>
      <c r="AJ287" s="73" t="n"/>
      <c r="AK287" s="73" t="n"/>
      <c r="AL287" s="73" t="n"/>
      <c r="AM287" s="73" t="n"/>
      <c r="AN287" s="73" t="n"/>
      <c r="AO287" s="73" t="n"/>
      <c r="AP287" s="73" t="n"/>
      <c r="AQ287" s="73" t="n"/>
      <c r="AR287" s="73" t="n"/>
      <c r="AS287" s="73" t="n"/>
      <c r="AT287" s="73" t="n"/>
      <c r="AU287" s="73" t="n"/>
      <c r="A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  <c r="W288" s="73" t="n"/>
      <c r="X288" s="73" t="n"/>
      <c r="Y288" s="73" t="n"/>
      <c r="Z288" s="73" t="n"/>
      <c r="AA288" s="73" t="n"/>
      <c r="AB288" s="73" t="n"/>
      <c r="AC288" s="73" t="n"/>
      <c r="AD288" s="73" t="n"/>
      <c r="AE288" s="73" t="n"/>
      <c r="AF288" s="73" t="n"/>
      <c r="AG288" s="73" t="n"/>
      <c r="AH288" s="73" t="n"/>
      <c r="AI288" s="73" t="n"/>
      <c r="AJ288" s="73" t="n"/>
      <c r="AK288" s="73" t="n"/>
      <c r="AL288" s="73" t="n"/>
      <c r="AM288" s="73" t="n"/>
      <c r="AN288" s="73" t="n"/>
      <c r="AO288" s="73" t="n"/>
      <c r="AP288" s="73" t="n"/>
      <c r="AQ288" s="73" t="n"/>
      <c r="AR288" s="73" t="n"/>
      <c r="AS288" s="73" t="n"/>
      <c r="AT288" s="73" t="n"/>
      <c r="AU288" s="73" t="n"/>
      <c r="A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  <c r="W289" s="73" t="n"/>
      <c r="X289" s="73" t="n"/>
      <c r="Y289" s="73" t="n"/>
      <c r="Z289" s="73" t="n"/>
      <c r="AA289" s="73" t="n"/>
      <c r="AB289" s="73" t="n"/>
      <c r="AC289" s="73" t="n"/>
      <c r="AD289" s="73" t="n"/>
      <c r="AE289" s="73" t="n"/>
      <c r="AF289" s="73" t="n"/>
      <c r="AG289" s="73" t="n"/>
      <c r="AH289" s="73" t="n"/>
      <c r="AI289" s="73" t="n"/>
      <c r="AJ289" s="73" t="n"/>
      <c r="AK289" s="73" t="n"/>
      <c r="AL289" s="73" t="n"/>
      <c r="AM289" s="73" t="n"/>
      <c r="AN289" s="73" t="n"/>
      <c r="AO289" s="73" t="n"/>
      <c r="AP289" s="73" t="n"/>
      <c r="AQ289" s="73" t="n"/>
      <c r="AR289" s="73" t="n"/>
      <c r="AS289" s="73" t="n"/>
      <c r="AT289" s="73" t="n"/>
      <c r="AU289" s="73" t="n"/>
      <c r="A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  <c r="W290" s="73" t="n"/>
      <c r="X290" s="73" t="n"/>
      <c r="Y290" s="73" t="n"/>
      <c r="Z290" s="73" t="n"/>
      <c r="AA290" s="73" t="n"/>
      <c r="AB290" s="73" t="n"/>
      <c r="AC290" s="73" t="n"/>
      <c r="AD290" s="73" t="n"/>
      <c r="AE290" s="73" t="n"/>
      <c r="AF290" s="73" t="n"/>
      <c r="AG290" s="73" t="n"/>
      <c r="AH290" s="73" t="n"/>
      <c r="AI290" s="73" t="n"/>
      <c r="AJ290" s="73" t="n"/>
      <c r="AK290" s="73" t="n"/>
      <c r="AL290" s="73" t="n"/>
      <c r="AM290" s="73" t="n"/>
      <c r="AN290" s="73" t="n"/>
      <c r="AO290" s="73" t="n"/>
      <c r="AP290" s="73" t="n"/>
      <c r="AQ290" s="73" t="n"/>
      <c r="AR290" s="73" t="n"/>
      <c r="AS290" s="73" t="n"/>
      <c r="AT290" s="73" t="n"/>
      <c r="AU290" s="73" t="n"/>
      <c r="A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  <c r="W291" s="73" t="n"/>
      <c r="X291" s="73" t="n"/>
      <c r="Y291" s="73" t="n"/>
      <c r="Z291" s="73" t="n"/>
      <c r="AA291" s="73" t="n"/>
      <c r="AB291" s="73" t="n"/>
      <c r="AC291" s="73" t="n"/>
      <c r="AD291" s="73" t="n"/>
      <c r="AE291" s="73" t="n"/>
      <c r="AF291" s="73" t="n"/>
      <c r="AG291" s="73" t="n"/>
      <c r="AH291" s="73" t="n"/>
      <c r="AI291" s="73" t="n"/>
      <c r="AJ291" s="73" t="n"/>
      <c r="AK291" s="73" t="n"/>
      <c r="AL291" s="73" t="n"/>
      <c r="AM291" s="73" t="n"/>
      <c r="AN291" s="73" t="n"/>
      <c r="AO291" s="73" t="n"/>
      <c r="AP291" s="73" t="n"/>
      <c r="AQ291" s="73" t="n"/>
      <c r="AR291" s="73" t="n"/>
      <c r="AS291" s="73" t="n"/>
      <c r="AT291" s="73" t="n"/>
      <c r="AU291" s="73" t="n"/>
      <c r="A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  <c r="W292" s="73" t="n"/>
      <c r="X292" s="73" t="n"/>
      <c r="Y292" s="73" t="n"/>
      <c r="Z292" s="73" t="n"/>
      <c r="AA292" s="73" t="n"/>
      <c r="AB292" s="73" t="n"/>
      <c r="AC292" s="73" t="n"/>
      <c r="AD292" s="73" t="n"/>
      <c r="AE292" s="73" t="n"/>
      <c r="AF292" s="73" t="n"/>
      <c r="AG292" s="73" t="n"/>
      <c r="AH292" s="73" t="n"/>
      <c r="AI292" s="73" t="n"/>
      <c r="AJ292" s="73" t="n"/>
      <c r="AK292" s="73" t="n"/>
      <c r="AL292" s="73" t="n"/>
      <c r="AM292" s="73" t="n"/>
      <c r="AN292" s="73" t="n"/>
      <c r="AO292" s="73" t="n"/>
      <c r="AP292" s="73" t="n"/>
      <c r="AQ292" s="73" t="n"/>
      <c r="AR292" s="73" t="n"/>
      <c r="AS292" s="73" t="n"/>
      <c r="AT292" s="73" t="n"/>
      <c r="AU292" s="73" t="n"/>
      <c r="A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  <c r="W293" s="73" t="n"/>
      <c r="X293" s="73" t="n"/>
      <c r="Y293" s="73" t="n"/>
      <c r="Z293" s="73" t="n"/>
      <c r="AA293" s="73" t="n"/>
      <c r="AB293" s="73" t="n"/>
      <c r="AC293" s="73" t="n"/>
      <c r="AD293" s="73" t="n"/>
      <c r="AE293" s="73" t="n"/>
      <c r="AF293" s="73" t="n"/>
      <c r="AG293" s="73" t="n"/>
      <c r="AH293" s="73" t="n"/>
      <c r="AI293" s="73" t="n"/>
      <c r="AJ293" s="73" t="n"/>
      <c r="AK293" s="73" t="n"/>
      <c r="AL293" s="73" t="n"/>
      <c r="AM293" s="73" t="n"/>
      <c r="AN293" s="73" t="n"/>
      <c r="AO293" s="73" t="n"/>
      <c r="AP293" s="73" t="n"/>
      <c r="AQ293" s="73" t="n"/>
      <c r="AR293" s="73" t="n"/>
      <c r="AS293" s="73" t="n"/>
      <c r="AT293" s="73" t="n"/>
      <c r="AU293" s="73" t="n"/>
      <c r="A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  <c r="W294" s="73" t="n"/>
      <c r="X294" s="73" t="n"/>
      <c r="Y294" s="73" t="n"/>
      <c r="Z294" s="73" t="n"/>
      <c r="AA294" s="73" t="n"/>
      <c r="AB294" s="73" t="n"/>
      <c r="AC294" s="73" t="n"/>
      <c r="AD294" s="73" t="n"/>
      <c r="AE294" s="73" t="n"/>
      <c r="AF294" s="73" t="n"/>
      <c r="AG294" s="73" t="n"/>
      <c r="AH294" s="73" t="n"/>
      <c r="AI294" s="73" t="n"/>
      <c r="AJ294" s="73" t="n"/>
      <c r="AK294" s="73" t="n"/>
      <c r="AL294" s="73" t="n"/>
      <c r="AM294" s="73" t="n"/>
      <c r="AN294" s="73" t="n"/>
      <c r="AO294" s="73" t="n"/>
      <c r="AP294" s="73" t="n"/>
      <c r="AQ294" s="73" t="n"/>
      <c r="AR294" s="73" t="n"/>
      <c r="AS294" s="73" t="n"/>
      <c r="AT294" s="73" t="n"/>
      <c r="AU294" s="73" t="n"/>
      <c r="A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  <c r="W295" s="73" t="n"/>
      <c r="X295" s="73" t="n"/>
      <c r="Y295" s="73" t="n"/>
      <c r="Z295" s="73" t="n"/>
      <c r="AA295" s="73" t="n"/>
      <c r="AB295" s="73" t="n"/>
      <c r="AC295" s="73" t="n"/>
      <c r="AD295" s="73" t="n"/>
      <c r="AE295" s="73" t="n"/>
      <c r="AF295" s="73" t="n"/>
      <c r="AG295" s="73" t="n"/>
      <c r="AH295" s="73" t="n"/>
      <c r="AI295" s="73" t="n"/>
      <c r="AJ295" s="73" t="n"/>
      <c r="AK295" s="73" t="n"/>
      <c r="AL295" s="73" t="n"/>
      <c r="AM295" s="73" t="n"/>
      <c r="AN295" s="73" t="n"/>
      <c r="AO295" s="73" t="n"/>
      <c r="AP295" s="73" t="n"/>
      <c r="AQ295" s="73" t="n"/>
      <c r="AR295" s="73" t="n"/>
      <c r="AS295" s="73" t="n"/>
      <c r="AT295" s="73" t="n"/>
      <c r="AU295" s="73" t="n"/>
      <c r="A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  <c r="W296" s="73" t="n"/>
      <c r="X296" s="73" t="n"/>
      <c r="Y296" s="73" t="n"/>
      <c r="Z296" s="73" t="n"/>
      <c r="AA296" s="73" t="n"/>
      <c r="AB296" s="73" t="n"/>
      <c r="AC296" s="73" t="n"/>
      <c r="AD296" s="73" t="n"/>
      <c r="AE296" s="73" t="n"/>
      <c r="AF296" s="73" t="n"/>
      <c r="AG296" s="73" t="n"/>
      <c r="AH296" s="73" t="n"/>
      <c r="AI296" s="73" t="n"/>
      <c r="AJ296" s="73" t="n"/>
      <c r="AK296" s="73" t="n"/>
      <c r="AL296" s="73" t="n"/>
      <c r="AM296" s="73" t="n"/>
      <c r="AN296" s="73" t="n"/>
      <c r="AO296" s="73" t="n"/>
      <c r="AP296" s="73" t="n"/>
      <c r="AQ296" s="73" t="n"/>
      <c r="AR296" s="73" t="n"/>
      <c r="AS296" s="73" t="n"/>
      <c r="AT296" s="73" t="n"/>
      <c r="AU296" s="73" t="n"/>
      <c r="A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  <c r="W297" s="73" t="n"/>
      <c r="X297" s="73" t="n"/>
      <c r="Y297" s="73" t="n"/>
      <c r="Z297" s="73" t="n"/>
      <c r="AA297" s="73" t="n"/>
      <c r="AB297" s="73" t="n"/>
      <c r="AC297" s="73" t="n"/>
      <c r="AD297" s="73" t="n"/>
      <c r="AE297" s="73" t="n"/>
      <c r="AF297" s="73" t="n"/>
      <c r="AG297" s="73" t="n"/>
      <c r="AH297" s="73" t="n"/>
      <c r="AI297" s="73" t="n"/>
      <c r="AJ297" s="73" t="n"/>
      <c r="AK297" s="73" t="n"/>
      <c r="AL297" s="73" t="n"/>
      <c r="AM297" s="73" t="n"/>
      <c r="AN297" s="73" t="n"/>
      <c r="AO297" s="73" t="n"/>
      <c r="AP297" s="73" t="n"/>
      <c r="AQ297" s="73" t="n"/>
      <c r="AR297" s="73" t="n"/>
      <c r="AS297" s="73" t="n"/>
      <c r="AT297" s="73" t="n"/>
      <c r="AU297" s="73" t="n"/>
      <c r="A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  <c r="W298" s="73" t="n"/>
      <c r="X298" s="73" t="n"/>
      <c r="Y298" s="73" t="n"/>
      <c r="Z298" s="73" t="n"/>
      <c r="AA298" s="73" t="n"/>
      <c r="AB298" s="73" t="n"/>
      <c r="AC298" s="73" t="n"/>
      <c r="AD298" s="73" t="n"/>
      <c r="AE298" s="73" t="n"/>
      <c r="AF298" s="73" t="n"/>
      <c r="AG298" s="73" t="n"/>
      <c r="AH298" s="73" t="n"/>
      <c r="AI298" s="73" t="n"/>
      <c r="AJ298" s="73" t="n"/>
      <c r="AK298" s="73" t="n"/>
      <c r="AL298" s="73" t="n"/>
      <c r="AM298" s="73" t="n"/>
      <c r="AN298" s="73" t="n"/>
      <c r="AO298" s="73" t="n"/>
      <c r="AP298" s="73" t="n"/>
      <c r="AQ298" s="73" t="n"/>
      <c r="AR298" s="73" t="n"/>
      <c r="AS298" s="73" t="n"/>
      <c r="AT298" s="73" t="n"/>
      <c r="AU298" s="73" t="n"/>
      <c r="A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  <c r="W299" s="73" t="n"/>
      <c r="X299" s="73" t="n"/>
      <c r="Y299" s="73" t="n"/>
      <c r="Z299" s="73" t="n"/>
      <c r="AA299" s="73" t="n"/>
      <c r="AB299" s="73" t="n"/>
      <c r="AC299" s="73" t="n"/>
      <c r="AD299" s="73" t="n"/>
      <c r="AE299" s="73" t="n"/>
      <c r="AF299" s="73" t="n"/>
      <c r="AG299" s="73" t="n"/>
      <c r="AH299" s="73" t="n"/>
      <c r="AI299" s="73" t="n"/>
      <c r="AJ299" s="73" t="n"/>
      <c r="AK299" s="73" t="n"/>
      <c r="AL299" s="73" t="n"/>
      <c r="AM299" s="73" t="n"/>
      <c r="AN299" s="73" t="n"/>
      <c r="AO299" s="73" t="n"/>
      <c r="AP299" s="73" t="n"/>
      <c r="AQ299" s="73" t="n"/>
      <c r="AR299" s="73" t="n"/>
      <c r="AS299" s="73" t="n"/>
      <c r="AT299" s="73" t="n"/>
      <c r="AU299" s="73" t="n"/>
      <c r="A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  <c r="W300" s="73" t="n"/>
      <c r="X300" s="73" t="n"/>
      <c r="Y300" s="73" t="n"/>
      <c r="Z300" s="73" t="n"/>
      <c r="AA300" s="73" t="n"/>
      <c r="AB300" s="73" t="n"/>
      <c r="AC300" s="73" t="n"/>
      <c r="AD300" s="73" t="n"/>
      <c r="AE300" s="73" t="n"/>
      <c r="AF300" s="73" t="n"/>
      <c r="AG300" s="73" t="n"/>
      <c r="AH300" s="73" t="n"/>
      <c r="AI300" s="73" t="n"/>
      <c r="AJ300" s="73" t="n"/>
      <c r="AK300" s="73" t="n"/>
      <c r="AL300" s="73" t="n"/>
      <c r="AM300" s="73" t="n"/>
      <c r="AN300" s="73" t="n"/>
      <c r="AO300" s="73" t="n"/>
      <c r="AP300" s="73" t="n"/>
      <c r="AQ300" s="73" t="n"/>
      <c r="AR300" s="73" t="n"/>
      <c r="AS300" s="73" t="n"/>
      <c r="AT300" s="73" t="n"/>
      <c r="AU300" s="73" t="n"/>
      <c r="A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  <c r="W301" s="73" t="n"/>
      <c r="X301" s="73" t="n"/>
      <c r="Y301" s="73" t="n"/>
      <c r="Z301" s="73" t="n"/>
      <c r="AA301" s="73" t="n"/>
      <c r="AB301" s="73" t="n"/>
      <c r="AC301" s="73" t="n"/>
      <c r="AD301" s="73" t="n"/>
      <c r="AE301" s="73" t="n"/>
      <c r="AF301" s="73" t="n"/>
      <c r="AG301" s="73" t="n"/>
      <c r="AH301" s="73" t="n"/>
      <c r="AI301" s="73" t="n"/>
      <c r="AJ301" s="73" t="n"/>
      <c r="AK301" s="73" t="n"/>
      <c r="AL301" s="73" t="n"/>
      <c r="AM301" s="73" t="n"/>
      <c r="AN301" s="73" t="n"/>
      <c r="AO301" s="73" t="n"/>
      <c r="AP301" s="73" t="n"/>
      <c r="AQ301" s="73" t="n"/>
      <c r="AR301" s="73" t="n"/>
      <c r="AS301" s="73" t="n"/>
      <c r="AT301" s="73" t="n"/>
      <c r="AU301" s="73" t="n"/>
      <c r="A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  <c r="W302" s="73" t="n"/>
      <c r="X302" s="73" t="n"/>
      <c r="Y302" s="73" t="n"/>
      <c r="Z302" s="73" t="n"/>
      <c r="AA302" s="73" t="n"/>
      <c r="AB302" s="73" t="n"/>
      <c r="AC302" s="73" t="n"/>
      <c r="AD302" s="73" t="n"/>
      <c r="AE302" s="73" t="n"/>
      <c r="AF302" s="73" t="n"/>
      <c r="AG302" s="73" t="n"/>
      <c r="AH302" s="73" t="n"/>
      <c r="AI302" s="73" t="n"/>
      <c r="AJ302" s="73" t="n"/>
      <c r="AK302" s="73" t="n"/>
      <c r="AL302" s="73" t="n"/>
      <c r="AM302" s="73" t="n"/>
      <c r="AN302" s="73" t="n"/>
      <c r="AO302" s="73" t="n"/>
      <c r="AP302" s="73" t="n"/>
      <c r="AQ302" s="73" t="n"/>
      <c r="AR302" s="73" t="n"/>
      <c r="AS302" s="73" t="n"/>
      <c r="AT302" s="73" t="n"/>
      <c r="AU302" s="73" t="n"/>
      <c r="A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  <c r="W303" s="73" t="n"/>
      <c r="X303" s="73" t="n"/>
      <c r="Y303" s="73" t="n"/>
      <c r="Z303" s="73" t="n"/>
      <c r="AA303" s="73" t="n"/>
      <c r="AB303" s="73" t="n"/>
      <c r="AC303" s="73" t="n"/>
      <c r="AD303" s="73" t="n"/>
      <c r="AE303" s="73" t="n"/>
      <c r="AF303" s="73" t="n"/>
      <c r="AG303" s="73" t="n"/>
      <c r="AH303" s="73" t="n"/>
      <c r="AI303" s="73" t="n"/>
      <c r="AJ303" s="73" t="n"/>
      <c r="AK303" s="73" t="n"/>
      <c r="AL303" s="73" t="n"/>
      <c r="AM303" s="73" t="n"/>
      <c r="AN303" s="73" t="n"/>
      <c r="AO303" s="73" t="n"/>
      <c r="AP303" s="73" t="n"/>
      <c r="AQ303" s="73" t="n"/>
      <c r="AR303" s="73" t="n"/>
      <c r="AS303" s="73" t="n"/>
      <c r="AT303" s="73" t="n"/>
      <c r="AU303" s="73" t="n"/>
      <c r="A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  <c r="W304" s="73" t="n"/>
      <c r="X304" s="73" t="n"/>
      <c r="Y304" s="73" t="n"/>
      <c r="Z304" s="73" t="n"/>
      <c r="AA304" s="73" t="n"/>
      <c r="AB304" s="73" t="n"/>
      <c r="AC304" s="73" t="n"/>
      <c r="AD304" s="73" t="n"/>
      <c r="AE304" s="73" t="n"/>
      <c r="AF304" s="73" t="n"/>
      <c r="AG304" s="73" t="n"/>
      <c r="AH304" s="73" t="n"/>
      <c r="AI304" s="73" t="n"/>
      <c r="AJ304" s="73" t="n"/>
      <c r="AK304" s="73" t="n"/>
      <c r="AL304" s="73" t="n"/>
      <c r="AM304" s="73" t="n"/>
      <c r="AN304" s="73" t="n"/>
      <c r="AO304" s="73" t="n"/>
      <c r="AP304" s="73" t="n"/>
      <c r="AQ304" s="73" t="n"/>
      <c r="AR304" s="73" t="n"/>
      <c r="AS304" s="73" t="n"/>
      <c r="AT304" s="73" t="n"/>
      <c r="AU304" s="73" t="n"/>
      <c r="A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  <c r="W305" s="73" t="n"/>
      <c r="X305" s="73" t="n"/>
      <c r="Y305" s="73" t="n"/>
      <c r="Z305" s="73" t="n"/>
      <c r="AA305" s="73" t="n"/>
      <c r="AB305" s="73" t="n"/>
      <c r="AC305" s="73" t="n"/>
      <c r="AD305" s="73" t="n"/>
      <c r="AE305" s="73" t="n"/>
      <c r="AF305" s="73" t="n"/>
      <c r="AG305" s="73" t="n"/>
      <c r="AH305" s="73" t="n"/>
      <c r="AI305" s="73" t="n"/>
      <c r="AJ305" s="73" t="n"/>
      <c r="AK305" s="73" t="n"/>
      <c r="AL305" s="73" t="n"/>
      <c r="AM305" s="73" t="n"/>
      <c r="AN305" s="73" t="n"/>
      <c r="AO305" s="73" t="n"/>
      <c r="AP305" s="73" t="n"/>
      <c r="AQ305" s="73" t="n"/>
      <c r="AR305" s="73" t="n"/>
      <c r="AS305" s="73" t="n"/>
      <c r="AT305" s="73" t="n"/>
      <c r="AU305" s="73" t="n"/>
      <c r="A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  <c r="W306" s="73" t="n"/>
      <c r="X306" s="73" t="n"/>
      <c r="Y306" s="73" t="n"/>
      <c r="Z306" s="73" t="n"/>
      <c r="AA306" s="73" t="n"/>
      <c r="AB306" s="73" t="n"/>
      <c r="AC306" s="73" t="n"/>
      <c r="AD306" s="73" t="n"/>
      <c r="AE306" s="73" t="n"/>
      <c r="AF306" s="73" t="n"/>
      <c r="AG306" s="73" t="n"/>
      <c r="AH306" s="73" t="n"/>
      <c r="AI306" s="73" t="n"/>
      <c r="AJ306" s="73" t="n"/>
      <c r="AK306" s="73" t="n"/>
      <c r="AL306" s="73" t="n"/>
      <c r="AM306" s="73" t="n"/>
      <c r="AN306" s="73" t="n"/>
      <c r="AO306" s="73" t="n"/>
      <c r="AP306" s="73" t="n"/>
      <c r="AQ306" s="73" t="n"/>
      <c r="AR306" s="73" t="n"/>
      <c r="AS306" s="73" t="n"/>
      <c r="AT306" s="73" t="n"/>
      <c r="AU306" s="73" t="n"/>
      <c r="A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  <c r="W307" s="73" t="n"/>
      <c r="X307" s="73" t="n"/>
      <c r="Y307" s="73" t="n"/>
      <c r="Z307" s="73" t="n"/>
      <c r="AA307" s="73" t="n"/>
      <c r="AB307" s="73" t="n"/>
      <c r="AC307" s="73" t="n"/>
      <c r="AD307" s="73" t="n"/>
      <c r="AE307" s="73" t="n"/>
      <c r="AF307" s="73" t="n"/>
      <c r="AG307" s="73" t="n"/>
      <c r="AH307" s="73" t="n"/>
      <c r="AI307" s="73" t="n"/>
      <c r="AJ307" s="73" t="n"/>
      <c r="AK307" s="73" t="n"/>
      <c r="AL307" s="73" t="n"/>
      <c r="AM307" s="73" t="n"/>
      <c r="AN307" s="73" t="n"/>
      <c r="AO307" s="73" t="n"/>
      <c r="AP307" s="73" t="n"/>
      <c r="AQ307" s="73" t="n"/>
      <c r="AR307" s="73" t="n"/>
      <c r="AS307" s="73" t="n"/>
      <c r="AT307" s="73" t="n"/>
      <c r="AU307" s="73" t="n"/>
      <c r="A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  <c r="W308" s="73" t="n"/>
      <c r="X308" s="73" t="n"/>
      <c r="Y308" s="73" t="n"/>
      <c r="Z308" s="73" t="n"/>
      <c r="AA308" s="73" t="n"/>
      <c r="AB308" s="73" t="n"/>
      <c r="AC308" s="73" t="n"/>
      <c r="AD308" s="73" t="n"/>
      <c r="AE308" s="73" t="n"/>
      <c r="AF308" s="73" t="n"/>
      <c r="AG308" s="73" t="n"/>
      <c r="AH308" s="73" t="n"/>
      <c r="AI308" s="73" t="n"/>
      <c r="AJ308" s="73" t="n"/>
      <c r="AK308" s="73" t="n"/>
      <c r="AL308" s="73" t="n"/>
      <c r="AM308" s="73" t="n"/>
      <c r="AN308" s="73" t="n"/>
      <c r="AO308" s="73" t="n"/>
      <c r="AP308" s="73" t="n"/>
      <c r="AQ308" s="73" t="n"/>
      <c r="AR308" s="73" t="n"/>
      <c r="AS308" s="73" t="n"/>
      <c r="AT308" s="73" t="n"/>
      <c r="AU308" s="73" t="n"/>
      <c r="A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  <c r="W309" s="73" t="n"/>
      <c r="X309" s="73" t="n"/>
      <c r="Y309" s="73" t="n"/>
      <c r="Z309" s="73" t="n"/>
      <c r="AA309" s="73" t="n"/>
      <c r="AB309" s="73" t="n"/>
      <c r="AC309" s="73" t="n"/>
      <c r="AD309" s="73" t="n"/>
      <c r="AE309" s="73" t="n"/>
      <c r="AF309" s="73" t="n"/>
      <c r="AG309" s="73" t="n"/>
      <c r="AH309" s="73" t="n"/>
      <c r="AI309" s="73" t="n"/>
      <c r="AJ309" s="73" t="n"/>
      <c r="AK309" s="73" t="n"/>
      <c r="AL309" s="73" t="n"/>
      <c r="AM309" s="73" t="n"/>
      <c r="AN309" s="73" t="n"/>
      <c r="AO309" s="73" t="n"/>
      <c r="AP309" s="73" t="n"/>
      <c r="AQ309" s="73" t="n"/>
      <c r="AR309" s="73" t="n"/>
      <c r="AS309" s="73" t="n"/>
      <c r="AT309" s="73" t="n"/>
      <c r="AU309" s="73" t="n"/>
      <c r="A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  <c r="W310" s="73" t="n"/>
      <c r="X310" s="73" t="n"/>
      <c r="Y310" s="73" t="n"/>
      <c r="Z310" s="73" t="n"/>
      <c r="AA310" s="73" t="n"/>
      <c r="AB310" s="73" t="n"/>
      <c r="AC310" s="73" t="n"/>
      <c r="AD310" s="73" t="n"/>
      <c r="AE310" s="73" t="n"/>
      <c r="AF310" s="73" t="n"/>
      <c r="AG310" s="73" t="n"/>
      <c r="AH310" s="73" t="n"/>
      <c r="AI310" s="73" t="n"/>
      <c r="AJ310" s="73" t="n"/>
      <c r="AK310" s="73" t="n"/>
      <c r="AL310" s="73" t="n"/>
      <c r="AM310" s="73" t="n"/>
      <c r="AN310" s="73" t="n"/>
      <c r="AO310" s="73" t="n"/>
      <c r="AP310" s="73" t="n"/>
      <c r="AQ310" s="73" t="n"/>
      <c r="AR310" s="73" t="n"/>
      <c r="AS310" s="73" t="n"/>
      <c r="AT310" s="73" t="n"/>
      <c r="AU310" s="73" t="n"/>
      <c r="A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  <c r="W311" s="73" t="n"/>
      <c r="X311" s="73" t="n"/>
      <c r="Y311" s="73" t="n"/>
      <c r="Z311" s="73" t="n"/>
      <c r="AA311" s="73" t="n"/>
      <c r="AB311" s="73" t="n"/>
      <c r="AC311" s="73" t="n"/>
      <c r="AD311" s="73" t="n"/>
      <c r="AE311" s="73" t="n"/>
      <c r="AF311" s="73" t="n"/>
      <c r="AG311" s="73" t="n"/>
      <c r="AH311" s="73" t="n"/>
      <c r="AI311" s="73" t="n"/>
      <c r="AJ311" s="73" t="n"/>
      <c r="AK311" s="73" t="n"/>
      <c r="AL311" s="73" t="n"/>
      <c r="AM311" s="73" t="n"/>
      <c r="AN311" s="73" t="n"/>
      <c r="AO311" s="73" t="n"/>
      <c r="AP311" s="73" t="n"/>
      <c r="AQ311" s="73" t="n"/>
      <c r="AR311" s="73" t="n"/>
      <c r="AS311" s="73" t="n"/>
      <c r="AT311" s="73" t="n"/>
      <c r="AU311" s="73" t="n"/>
      <c r="A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  <c r="W312" s="73" t="n"/>
      <c r="X312" s="73" t="n"/>
      <c r="Y312" s="73" t="n"/>
      <c r="Z312" s="73" t="n"/>
      <c r="AA312" s="73" t="n"/>
      <c r="AB312" s="73" t="n"/>
      <c r="AC312" s="73" t="n"/>
      <c r="AD312" s="73" t="n"/>
      <c r="AE312" s="73" t="n"/>
      <c r="AF312" s="73" t="n"/>
      <c r="AG312" s="73" t="n"/>
      <c r="AH312" s="73" t="n"/>
      <c r="AI312" s="73" t="n"/>
      <c r="AJ312" s="73" t="n"/>
      <c r="AK312" s="73" t="n"/>
      <c r="AL312" s="73" t="n"/>
      <c r="AM312" s="73" t="n"/>
      <c r="AN312" s="73" t="n"/>
      <c r="AO312" s="73" t="n"/>
      <c r="AP312" s="73" t="n"/>
      <c r="AQ312" s="73" t="n"/>
      <c r="AR312" s="73" t="n"/>
      <c r="AS312" s="73" t="n"/>
      <c r="AT312" s="73" t="n"/>
      <c r="AU312" s="73" t="n"/>
      <c r="A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  <c r="W313" s="73" t="n"/>
      <c r="X313" s="73" t="n"/>
      <c r="Y313" s="73" t="n"/>
      <c r="Z313" s="73" t="n"/>
      <c r="AA313" s="73" t="n"/>
      <c r="AB313" s="73" t="n"/>
      <c r="AC313" s="73" t="n"/>
      <c r="AD313" s="73" t="n"/>
      <c r="AE313" s="73" t="n"/>
      <c r="AF313" s="73" t="n"/>
      <c r="AG313" s="73" t="n"/>
      <c r="AH313" s="73" t="n"/>
      <c r="AI313" s="73" t="n"/>
      <c r="AJ313" s="73" t="n"/>
      <c r="AK313" s="73" t="n"/>
      <c r="AL313" s="73" t="n"/>
      <c r="AM313" s="73" t="n"/>
      <c r="AN313" s="73" t="n"/>
      <c r="AO313" s="73" t="n"/>
      <c r="AP313" s="73" t="n"/>
      <c r="AQ313" s="73" t="n"/>
      <c r="AR313" s="73" t="n"/>
      <c r="AS313" s="73" t="n"/>
      <c r="AT313" s="73" t="n"/>
      <c r="AU313" s="73" t="n"/>
      <c r="A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  <c r="W314" s="73" t="n"/>
      <c r="X314" s="73" t="n"/>
      <c r="Y314" s="73" t="n"/>
      <c r="Z314" s="73" t="n"/>
      <c r="AA314" s="73" t="n"/>
      <c r="AB314" s="73" t="n"/>
      <c r="AC314" s="73" t="n"/>
      <c r="AD314" s="73" t="n"/>
      <c r="AE314" s="73" t="n"/>
      <c r="AF314" s="73" t="n"/>
      <c r="AG314" s="73" t="n"/>
      <c r="AH314" s="73" t="n"/>
      <c r="AI314" s="73" t="n"/>
      <c r="AJ314" s="73" t="n"/>
      <c r="AK314" s="73" t="n"/>
      <c r="AL314" s="73" t="n"/>
      <c r="AM314" s="73" t="n"/>
      <c r="AN314" s="73" t="n"/>
      <c r="AO314" s="73" t="n"/>
      <c r="AP314" s="73" t="n"/>
      <c r="AQ314" s="73" t="n"/>
      <c r="AR314" s="73" t="n"/>
      <c r="AS314" s="73" t="n"/>
      <c r="AT314" s="73" t="n"/>
      <c r="AU314" s="73" t="n"/>
      <c r="A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  <c r="W315" s="73" t="n"/>
      <c r="X315" s="73" t="n"/>
      <c r="Y315" s="73" t="n"/>
      <c r="Z315" s="73" t="n"/>
      <c r="AA315" s="73" t="n"/>
      <c r="AB315" s="73" t="n"/>
      <c r="AC315" s="73" t="n"/>
      <c r="AD315" s="73" t="n"/>
      <c r="AE315" s="73" t="n"/>
      <c r="AF315" s="73" t="n"/>
      <c r="AG315" s="73" t="n"/>
      <c r="AH315" s="73" t="n"/>
      <c r="AI315" s="73" t="n"/>
      <c r="AJ315" s="73" t="n"/>
      <c r="AK315" s="73" t="n"/>
      <c r="AL315" s="73" t="n"/>
      <c r="AM315" s="73" t="n"/>
      <c r="AN315" s="73" t="n"/>
      <c r="AO315" s="73" t="n"/>
      <c r="AP315" s="73" t="n"/>
      <c r="AQ315" s="73" t="n"/>
      <c r="AR315" s="73" t="n"/>
      <c r="AS315" s="73" t="n"/>
      <c r="AT315" s="73" t="n"/>
      <c r="AU315" s="73" t="n"/>
      <c r="A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  <c r="W316" s="73" t="n"/>
      <c r="X316" s="73" t="n"/>
      <c r="Y316" s="73" t="n"/>
      <c r="Z316" s="73" t="n"/>
      <c r="AA316" s="73" t="n"/>
      <c r="AB316" s="73" t="n"/>
      <c r="AC316" s="73" t="n"/>
      <c r="AD316" s="73" t="n"/>
      <c r="AE316" s="73" t="n"/>
      <c r="AF316" s="73" t="n"/>
      <c r="AG316" s="73" t="n"/>
      <c r="AH316" s="73" t="n"/>
      <c r="AI316" s="73" t="n"/>
      <c r="AJ316" s="73" t="n"/>
      <c r="AK316" s="73" t="n"/>
      <c r="AL316" s="73" t="n"/>
      <c r="AM316" s="73" t="n"/>
      <c r="AN316" s="73" t="n"/>
      <c r="AO316" s="73" t="n"/>
      <c r="AP316" s="73" t="n"/>
      <c r="AQ316" s="73" t="n"/>
      <c r="AR316" s="73" t="n"/>
      <c r="AS316" s="73" t="n"/>
      <c r="AT316" s="73" t="n"/>
      <c r="AU316" s="73" t="n"/>
      <c r="A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  <c r="W317" s="73" t="n"/>
      <c r="X317" s="73" t="n"/>
      <c r="Y317" s="73" t="n"/>
      <c r="Z317" s="73" t="n"/>
      <c r="AA317" s="73" t="n"/>
      <c r="AB317" s="73" t="n"/>
      <c r="AC317" s="73" t="n"/>
      <c r="AD317" s="73" t="n"/>
      <c r="AE317" s="73" t="n"/>
      <c r="AF317" s="73" t="n"/>
      <c r="AG317" s="73" t="n"/>
      <c r="AH317" s="73" t="n"/>
      <c r="AI317" s="73" t="n"/>
      <c r="AJ317" s="73" t="n"/>
      <c r="AK317" s="73" t="n"/>
      <c r="AL317" s="73" t="n"/>
      <c r="AM317" s="73" t="n"/>
      <c r="AN317" s="73" t="n"/>
      <c r="AO317" s="73" t="n"/>
      <c r="AP317" s="73" t="n"/>
      <c r="AQ317" s="73" t="n"/>
      <c r="AR317" s="73" t="n"/>
      <c r="AS317" s="73" t="n"/>
      <c r="AT317" s="73" t="n"/>
      <c r="AU317" s="73" t="n"/>
      <c r="A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  <c r="W318" s="73" t="n"/>
      <c r="X318" s="73" t="n"/>
      <c r="Y318" s="73" t="n"/>
      <c r="Z318" s="73" t="n"/>
      <c r="AA318" s="73" t="n"/>
      <c r="AB318" s="73" t="n"/>
      <c r="AC318" s="73" t="n"/>
      <c r="AD318" s="73" t="n"/>
      <c r="AE318" s="73" t="n"/>
      <c r="AF318" s="73" t="n"/>
      <c r="AG318" s="73" t="n"/>
      <c r="AH318" s="73" t="n"/>
      <c r="AI318" s="73" t="n"/>
      <c r="AJ318" s="73" t="n"/>
      <c r="AK318" s="73" t="n"/>
      <c r="AL318" s="73" t="n"/>
      <c r="AM318" s="73" t="n"/>
      <c r="AN318" s="73" t="n"/>
      <c r="AO318" s="73" t="n"/>
      <c r="AP318" s="73" t="n"/>
      <c r="AQ318" s="73" t="n"/>
      <c r="AR318" s="73" t="n"/>
      <c r="AS318" s="73" t="n"/>
      <c r="AT318" s="73" t="n"/>
      <c r="AU318" s="73" t="n"/>
      <c r="A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  <c r="W319" s="73" t="n"/>
      <c r="X319" s="73" t="n"/>
      <c r="Y319" s="73" t="n"/>
      <c r="Z319" s="73" t="n"/>
      <c r="AA319" s="73" t="n"/>
      <c r="AB319" s="73" t="n"/>
      <c r="AC319" s="73" t="n"/>
      <c r="AD319" s="73" t="n"/>
      <c r="AE319" s="73" t="n"/>
      <c r="AF319" s="73" t="n"/>
      <c r="AG319" s="73" t="n"/>
      <c r="AH319" s="73" t="n"/>
      <c r="AI319" s="73" t="n"/>
      <c r="AJ319" s="73" t="n"/>
      <c r="AK319" s="73" t="n"/>
      <c r="AL319" s="73" t="n"/>
      <c r="AM319" s="73" t="n"/>
      <c r="AN319" s="73" t="n"/>
      <c r="AO319" s="73" t="n"/>
      <c r="AP319" s="73" t="n"/>
      <c r="AQ319" s="73" t="n"/>
      <c r="AR319" s="73" t="n"/>
      <c r="AS319" s="73" t="n"/>
      <c r="AT319" s="73" t="n"/>
      <c r="AU319" s="73" t="n"/>
      <c r="A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  <c r="W320" s="73" t="n"/>
      <c r="X320" s="73" t="n"/>
      <c r="Y320" s="73" t="n"/>
      <c r="Z320" s="73" t="n"/>
      <c r="AA320" s="73" t="n"/>
      <c r="AB320" s="73" t="n"/>
      <c r="AC320" s="73" t="n"/>
      <c r="AD320" s="73" t="n"/>
      <c r="AE320" s="73" t="n"/>
      <c r="AF320" s="73" t="n"/>
      <c r="AG320" s="73" t="n"/>
      <c r="AH320" s="73" t="n"/>
      <c r="AI320" s="73" t="n"/>
      <c r="AJ320" s="73" t="n"/>
      <c r="AK320" s="73" t="n"/>
      <c r="AL320" s="73" t="n"/>
      <c r="AM320" s="73" t="n"/>
      <c r="AN320" s="73" t="n"/>
      <c r="AO320" s="73" t="n"/>
      <c r="AP320" s="73" t="n"/>
      <c r="AQ320" s="73" t="n"/>
      <c r="AR320" s="73" t="n"/>
      <c r="AS320" s="73" t="n"/>
      <c r="AT320" s="73" t="n"/>
      <c r="AU320" s="73" t="n"/>
      <c r="A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  <c r="W321" s="73" t="n"/>
      <c r="X321" s="73" t="n"/>
      <c r="Y321" s="73" t="n"/>
      <c r="Z321" s="73" t="n"/>
      <c r="AA321" s="73" t="n"/>
      <c r="AB321" s="73" t="n"/>
      <c r="AC321" s="73" t="n"/>
      <c r="AD321" s="73" t="n"/>
      <c r="AE321" s="73" t="n"/>
      <c r="AF321" s="73" t="n"/>
      <c r="AG321" s="73" t="n"/>
      <c r="AH321" s="73" t="n"/>
      <c r="AI321" s="73" t="n"/>
      <c r="AJ321" s="73" t="n"/>
      <c r="AK321" s="73" t="n"/>
      <c r="AL321" s="73" t="n"/>
      <c r="AM321" s="73" t="n"/>
      <c r="AN321" s="73" t="n"/>
      <c r="AO321" s="73" t="n"/>
      <c r="AP321" s="73" t="n"/>
      <c r="AQ321" s="73" t="n"/>
      <c r="AR321" s="73" t="n"/>
      <c r="AS321" s="73" t="n"/>
      <c r="AT321" s="73" t="n"/>
      <c r="AU321" s="73" t="n"/>
      <c r="A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  <c r="W322" s="73" t="n"/>
      <c r="X322" s="73" t="n"/>
      <c r="Y322" s="73" t="n"/>
      <c r="Z322" s="73" t="n"/>
      <c r="AA322" s="73" t="n"/>
      <c r="AB322" s="73" t="n"/>
      <c r="AC322" s="73" t="n"/>
      <c r="AD322" s="73" t="n"/>
      <c r="AE322" s="73" t="n"/>
      <c r="AF322" s="73" t="n"/>
      <c r="AG322" s="73" t="n"/>
      <c r="AH322" s="73" t="n"/>
      <c r="AI322" s="73" t="n"/>
      <c r="AJ322" s="73" t="n"/>
      <c r="AK322" s="73" t="n"/>
      <c r="AL322" s="73" t="n"/>
      <c r="AM322" s="73" t="n"/>
      <c r="AN322" s="73" t="n"/>
      <c r="AO322" s="73" t="n"/>
      <c r="AP322" s="73" t="n"/>
      <c r="AQ322" s="73" t="n"/>
      <c r="AR322" s="73" t="n"/>
      <c r="AS322" s="73" t="n"/>
      <c r="AT322" s="73" t="n"/>
      <c r="AU322" s="73" t="n"/>
      <c r="A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  <c r="W323" s="73" t="n"/>
      <c r="X323" s="73" t="n"/>
      <c r="Y323" s="73" t="n"/>
      <c r="Z323" s="73" t="n"/>
      <c r="AA323" s="73" t="n"/>
      <c r="AB323" s="73" t="n"/>
      <c r="AC323" s="73" t="n"/>
      <c r="AD323" s="73" t="n"/>
      <c r="AE323" s="73" t="n"/>
      <c r="AF323" s="73" t="n"/>
      <c r="AG323" s="73" t="n"/>
      <c r="AH323" s="73" t="n"/>
      <c r="AI323" s="73" t="n"/>
      <c r="AJ323" s="73" t="n"/>
      <c r="AK323" s="73" t="n"/>
      <c r="AL323" s="73" t="n"/>
      <c r="AM323" s="73" t="n"/>
      <c r="AN323" s="73" t="n"/>
      <c r="AO323" s="73" t="n"/>
      <c r="AP323" s="73" t="n"/>
      <c r="AQ323" s="73" t="n"/>
      <c r="AR323" s="73" t="n"/>
      <c r="AS323" s="73" t="n"/>
      <c r="AT323" s="73" t="n"/>
      <c r="AU323" s="73" t="n"/>
      <c r="A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  <c r="W324" s="73" t="n"/>
      <c r="X324" s="73" t="n"/>
      <c r="Y324" s="73" t="n"/>
      <c r="Z324" s="73" t="n"/>
      <c r="AA324" s="73" t="n"/>
      <c r="AB324" s="73" t="n"/>
      <c r="AC324" s="73" t="n"/>
      <c r="AD324" s="73" t="n"/>
      <c r="AE324" s="73" t="n"/>
      <c r="AF324" s="73" t="n"/>
      <c r="AG324" s="73" t="n"/>
      <c r="AH324" s="73" t="n"/>
      <c r="AI324" s="73" t="n"/>
      <c r="AJ324" s="73" t="n"/>
      <c r="AK324" s="73" t="n"/>
      <c r="AL324" s="73" t="n"/>
      <c r="AM324" s="73" t="n"/>
      <c r="AN324" s="73" t="n"/>
      <c r="AO324" s="73" t="n"/>
      <c r="AP324" s="73" t="n"/>
      <c r="AQ324" s="73" t="n"/>
      <c r="AR324" s="73" t="n"/>
      <c r="AS324" s="73" t="n"/>
      <c r="AT324" s="73" t="n"/>
      <c r="AU324" s="73" t="n"/>
      <c r="A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  <c r="W325" s="73" t="n"/>
      <c r="X325" s="73" t="n"/>
      <c r="Y325" s="73" t="n"/>
      <c r="Z325" s="73" t="n"/>
      <c r="AA325" s="73" t="n"/>
      <c r="AB325" s="73" t="n"/>
      <c r="AC325" s="73" t="n"/>
      <c r="AD325" s="73" t="n"/>
      <c r="AE325" s="73" t="n"/>
      <c r="AF325" s="73" t="n"/>
      <c r="AG325" s="73" t="n"/>
      <c r="AH325" s="73" t="n"/>
      <c r="AI325" s="73" t="n"/>
      <c r="AJ325" s="73" t="n"/>
      <c r="AK325" s="73" t="n"/>
      <c r="AL325" s="73" t="n"/>
      <c r="AM325" s="73" t="n"/>
      <c r="AN325" s="73" t="n"/>
      <c r="AO325" s="73" t="n"/>
      <c r="AP325" s="73" t="n"/>
      <c r="AQ325" s="73" t="n"/>
      <c r="AR325" s="73" t="n"/>
      <c r="AS325" s="73" t="n"/>
      <c r="AT325" s="73" t="n"/>
      <c r="AU325" s="73" t="n"/>
      <c r="A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  <c r="W326" s="73" t="n"/>
      <c r="X326" s="73" t="n"/>
      <c r="Y326" s="73" t="n"/>
      <c r="Z326" s="73" t="n"/>
      <c r="AA326" s="73" t="n"/>
      <c r="AB326" s="73" t="n"/>
      <c r="AC326" s="73" t="n"/>
      <c r="AD326" s="73" t="n"/>
      <c r="AE326" s="73" t="n"/>
      <c r="AF326" s="73" t="n"/>
      <c r="AG326" s="73" t="n"/>
      <c r="AH326" s="73" t="n"/>
      <c r="AI326" s="73" t="n"/>
      <c r="AJ326" s="73" t="n"/>
      <c r="AK326" s="73" t="n"/>
      <c r="AL326" s="73" t="n"/>
      <c r="AM326" s="73" t="n"/>
      <c r="AN326" s="73" t="n"/>
      <c r="AO326" s="73" t="n"/>
      <c r="AP326" s="73" t="n"/>
      <c r="AQ326" s="73" t="n"/>
      <c r="AR326" s="73" t="n"/>
      <c r="AS326" s="73" t="n"/>
      <c r="AT326" s="73" t="n"/>
      <c r="AU326" s="73" t="n"/>
      <c r="A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  <c r="W327" s="73" t="n"/>
      <c r="X327" s="73" t="n"/>
      <c r="Y327" s="73" t="n"/>
      <c r="Z327" s="73" t="n"/>
      <c r="AA327" s="73" t="n"/>
      <c r="AB327" s="73" t="n"/>
      <c r="AC327" s="73" t="n"/>
      <c r="AD327" s="73" t="n"/>
      <c r="AE327" s="73" t="n"/>
      <c r="AF327" s="73" t="n"/>
      <c r="AG327" s="73" t="n"/>
      <c r="AH327" s="73" t="n"/>
      <c r="AI327" s="73" t="n"/>
      <c r="AJ327" s="73" t="n"/>
      <c r="AK327" s="73" t="n"/>
      <c r="AL327" s="73" t="n"/>
      <c r="AM327" s="73" t="n"/>
      <c r="AN327" s="73" t="n"/>
      <c r="AO327" s="73" t="n"/>
      <c r="AP327" s="73" t="n"/>
      <c r="AQ327" s="73" t="n"/>
      <c r="AR327" s="73" t="n"/>
      <c r="AS327" s="73" t="n"/>
      <c r="AT327" s="73" t="n"/>
      <c r="AU327" s="73" t="n"/>
      <c r="A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  <c r="W328" s="73" t="n"/>
      <c r="X328" s="73" t="n"/>
      <c r="Y328" s="73" t="n"/>
      <c r="Z328" s="73" t="n"/>
      <c r="AA328" s="73" t="n"/>
      <c r="AB328" s="73" t="n"/>
      <c r="AC328" s="73" t="n"/>
      <c r="AD328" s="73" t="n"/>
      <c r="AE328" s="73" t="n"/>
      <c r="AF328" s="73" t="n"/>
      <c r="AG328" s="73" t="n"/>
      <c r="AH328" s="73" t="n"/>
      <c r="AI328" s="73" t="n"/>
      <c r="AJ328" s="73" t="n"/>
      <c r="AK328" s="73" t="n"/>
      <c r="AL328" s="73" t="n"/>
      <c r="AM328" s="73" t="n"/>
      <c r="AN328" s="73" t="n"/>
      <c r="AO328" s="73" t="n"/>
      <c r="AP328" s="73" t="n"/>
      <c r="AQ328" s="73" t="n"/>
      <c r="AR328" s="73" t="n"/>
      <c r="AS328" s="73" t="n"/>
      <c r="AT328" s="73" t="n"/>
      <c r="AU328" s="73" t="n"/>
      <c r="A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  <c r="W329" s="73" t="n"/>
      <c r="X329" s="73" t="n"/>
      <c r="Y329" s="73" t="n"/>
      <c r="Z329" s="73" t="n"/>
      <c r="AA329" s="73" t="n"/>
      <c r="AB329" s="73" t="n"/>
      <c r="AC329" s="73" t="n"/>
      <c r="AD329" s="73" t="n"/>
      <c r="AE329" s="73" t="n"/>
      <c r="AF329" s="73" t="n"/>
      <c r="AG329" s="73" t="n"/>
      <c r="AH329" s="73" t="n"/>
      <c r="AI329" s="73" t="n"/>
      <c r="AJ329" s="73" t="n"/>
      <c r="AK329" s="73" t="n"/>
      <c r="AL329" s="73" t="n"/>
      <c r="AM329" s="73" t="n"/>
      <c r="AN329" s="73" t="n"/>
      <c r="AO329" s="73" t="n"/>
      <c r="AP329" s="73" t="n"/>
      <c r="AQ329" s="73" t="n"/>
      <c r="AR329" s="73" t="n"/>
      <c r="AS329" s="73" t="n"/>
      <c r="AT329" s="73" t="n"/>
      <c r="AU329" s="73" t="n"/>
      <c r="A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  <c r="W330" s="73" t="n"/>
      <c r="X330" s="73" t="n"/>
      <c r="Y330" s="73" t="n"/>
      <c r="Z330" s="73" t="n"/>
      <c r="AA330" s="73" t="n"/>
      <c r="AB330" s="73" t="n"/>
      <c r="AC330" s="73" t="n"/>
      <c r="AD330" s="73" t="n"/>
      <c r="AE330" s="73" t="n"/>
      <c r="AF330" s="73" t="n"/>
      <c r="AG330" s="73" t="n"/>
      <c r="AH330" s="73" t="n"/>
      <c r="AI330" s="73" t="n"/>
      <c r="AJ330" s="73" t="n"/>
      <c r="AK330" s="73" t="n"/>
      <c r="AL330" s="73" t="n"/>
      <c r="AM330" s="73" t="n"/>
      <c r="AN330" s="73" t="n"/>
      <c r="AO330" s="73" t="n"/>
      <c r="AP330" s="73" t="n"/>
      <c r="AQ330" s="73" t="n"/>
      <c r="AR330" s="73" t="n"/>
      <c r="AS330" s="73" t="n"/>
      <c r="AT330" s="73" t="n"/>
      <c r="AU330" s="73" t="n"/>
      <c r="A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  <c r="W331" s="73" t="n"/>
      <c r="X331" s="73" t="n"/>
      <c r="Y331" s="73" t="n"/>
      <c r="Z331" s="73" t="n"/>
      <c r="AA331" s="73" t="n"/>
      <c r="AB331" s="73" t="n"/>
      <c r="AC331" s="73" t="n"/>
      <c r="AD331" s="73" t="n"/>
      <c r="AE331" s="73" t="n"/>
      <c r="AF331" s="73" t="n"/>
      <c r="AG331" s="73" t="n"/>
      <c r="AH331" s="73" t="n"/>
      <c r="AI331" s="73" t="n"/>
      <c r="AJ331" s="73" t="n"/>
      <c r="AK331" s="73" t="n"/>
      <c r="AL331" s="73" t="n"/>
      <c r="AM331" s="73" t="n"/>
      <c r="AN331" s="73" t="n"/>
      <c r="AO331" s="73" t="n"/>
      <c r="AP331" s="73" t="n"/>
      <c r="AQ331" s="73" t="n"/>
      <c r="AR331" s="73" t="n"/>
      <c r="AS331" s="73" t="n"/>
      <c r="AT331" s="73" t="n"/>
      <c r="AU331" s="73" t="n"/>
      <c r="A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  <c r="W332" s="73" t="n"/>
      <c r="X332" s="73" t="n"/>
      <c r="Y332" s="73" t="n"/>
      <c r="Z332" s="73" t="n"/>
      <c r="AA332" s="73" t="n"/>
      <c r="AB332" s="73" t="n"/>
      <c r="AC332" s="73" t="n"/>
      <c r="AD332" s="73" t="n"/>
      <c r="AE332" s="73" t="n"/>
      <c r="AF332" s="73" t="n"/>
      <c r="AG332" s="73" t="n"/>
      <c r="AH332" s="73" t="n"/>
      <c r="AI332" s="73" t="n"/>
      <c r="AJ332" s="73" t="n"/>
      <c r="AK332" s="73" t="n"/>
      <c r="AL332" s="73" t="n"/>
      <c r="AM332" s="73" t="n"/>
      <c r="AN332" s="73" t="n"/>
      <c r="AO332" s="73" t="n"/>
      <c r="AP332" s="73" t="n"/>
      <c r="AQ332" s="73" t="n"/>
      <c r="AR332" s="73" t="n"/>
      <c r="AS332" s="73" t="n"/>
      <c r="AT332" s="73" t="n"/>
      <c r="AU332" s="73" t="n"/>
      <c r="A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  <c r="W333" s="73" t="n"/>
      <c r="X333" s="73" t="n"/>
      <c r="Y333" s="73" t="n"/>
      <c r="Z333" s="73" t="n"/>
      <c r="AA333" s="73" t="n"/>
      <c r="AB333" s="73" t="n"/>
      <c r="AC333" s="73" t="n"/>
      <c r="AD333" s="73" t="n"/>
      <c r="AE333" s="73" t="n"/>
      <c r="AF333" s="73" t="n"/>
      <c r="AG333" s="73" t="n"/>
      <c r="AH333" s="73" t="n"/>
      <c r="AI333" s="73" t="n"/>
      <c r="AJ333" s="73" t="n"/>
      <c r="AK333" s="73" t="n"/>
      <c r="AL333" s="73" t="n"/>
      <c r="AM333" s="73" t="n"/>
      <c r="AN333" s="73" t="n"/>
      <c r="AO333" s="73" t="n"/>
      <c r="AP333" s="73" t="n"/>
      <c r="AQ333" s="73" t="n"/>
      <c r="AR333" s="73" t="n"/>
      <c r="AS333" s="73" t="n"/>
      <c r="AT333" s="73" t="n"/>
      <c r="AU333" s="73" t="n"/>
      <c r="A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  <c r="W334" s="73" t="n"/>
      <c r="X334" s="73" t="n"/>
      <c r="Y334" s="73" t="n"/>
      <c r="Z334" s="73" t="n"/>
      <c r="AA334" s="73" t="n"/>
      <c r="AB334" s="73" t="n"/>
      <c r="AC334" s="73" t="n"/>
      <c r="AD334" s="73" t="n"/>
      <c r="AE334" s="73" t="n"/>
      <c r="AF334" s="73" t="n"/>
      <c r="AG334" s="73" t="n"/>
      <c r="AH334" s="73" t="n"/>
      <c r="AI334" s="73" t="n"/>
      <c r="AJ334" s="73" t="n"/>
      <c r="AK334" s="73" t="n"/>
      <c r="AL334" s="73" t="n"/>
      <c r="AM334" s="73" t="n"/>
      <c r="AN334" s="73" t="n"/>
      <c r="AO334" s="73" t="n"/>
      <c r="AP334" s="73" t="n"/>
      <c r="AQ334" s="73" t="n"/>
      <c r="AR334" s="73" t="n"/>
      <c r="AS334" s="73" t="n"/>
      <c r="AT334" s="73" t="n"/>
      <c r="AU334" s="73" t="n"/>
      <c r="A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  <c r="W335" s="73" t="n"/>
      <c r="X335" s="73" t="n"/>
      <c r="Y335" s="73" t="n"/>
      <c r="Z335" s="73" t="n"/>
      <c r="AA335" s="73" t="n"/>
      <c r="AB335" s="73" t="n"/>
      <c r="AC335" s="73" t="n"/>
      <c r="AD335" s="73" t="n"/>
      <c r="AE335" s="73" t="n"/>
      <c r="AF335" s="73" t="n"/>
      <c r="AG335" s="73" t="n"/>
      <c r="AH335" s="73" t="n"/>
      <c r="AI335" s="73" t="n"/>
      <c r="AJ335" s="73" t="n"/>
      <c r="AK335" s="73" t="n"/>
      <c r="AL335" s="73" t="n"/>
      <c r="AM335" s="73" t="n"/>
      <c r="AN335" s="73" t="n"/>
      <c r="AO335" s="73" t="n"/>
      <c r="AP335" s="73" t="n"/>
      <c r="AQ335" s="73" t="n"/>
      <c r="AR335" s="73" t="n"/>
      <c r="AS335" s="73" t="n"/>
      <c r="AT335" s="73" t="n"/>
      <c r="AU335" s="73" t="n"/>
      <c r="A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  <c r="W336" s="73" t="n"/>
      <c r="X336" s="73" t="n"/>
      <c r="Y336" s="73" t="n"/>
      <c r="Z336" s="73" t="n"/>
      <c r="AA336" s="73" t="n"/>
      <c r="AB336" s="73" t="n"/>
      <c r="AC336" s="73" t="n"/>
      <c r="AD336" s="73" t="n"/>
      <c r="AE336" s="73" t="n"/>
      <c r="AF336" s="73" t="n"/>
      <c r="AG336" s="73" t="n"/>
      <c r="AH336" s="73" t="n"/>
      <c r="AI336" s="73" t="n"/>
      <c r="AJ336" s="73" t="n"/>
      <c r="AK336" s="73" t="n"/>
      <c r="AL336" s="73" t="n"/>
      <c r="AM336" s="73" t="n"/>
      <c r="AN336" s="73" t="n"/>
      <c r="AO336" s="73" t="n"/>
      <c r="AP336" s="73" t="n"/>
      <c r="AQ336" s="73" t="n"/>
      <c r="AR336" s="73" t="n"/>
      <c r="AS336" s="73" t="n"/>
      <c r="AT336" s="73" t="n"/>
      <c r="AU336" s="73" t="n"/>
      <c r="A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  <c r="W337" s="73" t="n"/>
      <c r="X337" s="73" t="n"/>
      <c r="Y337" s="73" t="n"/>
      <c r="Z337" s="73" t="n"/>
      <c r="AA337" s="73" t="n"/>
      <c r="AB337" s="73" t="n"/>
      <c r="AC337" s="73" t="n"/>
      <c r="AD337" s="73" t="n"/>
      <c r="AE337" s="73" t="n"/>
      <c r="AF337" s="73" t="n"/>
      <c r="AG337" s="73" t="n"/>
      <c r="AH337" s="73" t="n"/>
      <c r="AI337" s="73" t="n"/>
      <c r="AJ337" s="73" t="n"/>
      <c r="AK337" s="73" t="n"/>
      <c r="AL337" s="73" t="n"/>
      <c r="AM337" s="73" t="n"/>
      <c r="AN337" s="73" t="n"/>
      <c r="AO337" s="73" t="n"/>
      <c r="AP337" s="73" t="n"/>
      <c r="AQ337" s="73" t="n"/>
      <c r="AR337" s="73" t="n"/>
      <c r="AS337" s="73" t="n"/>
      <c r="AT337" s="73" t="n"/>
      <c r="AU337" s="73" t="n"/>
      <c r="A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  <c r="W338" s="73" t="n"/>
      <c r="X338" s="73" t="n"/>
      <c r="Y338" s="73" t="n"/>
      <c r="Z338" s="73" t="n"/>
      <c r="AA338" s="73" t="n"/>
      <c r="AB338" s="73" t="n"/>
      <c r="AC338" s="73" t="n"/>
      <c r="AD338" s="73" t="n"/>
      <c r="AE338" s="73" t="n"/>
      <c r="AF338" s="73" t="n"/>
      <c r="AG338" s="73" t="n"/>
      <c r="AH338" s="73" t="n"/>
      <c r="AI338" s="73" t="n"/>
      <c r="AJ338" s="73" t="n"/>
      <c r="AK338" s="73" t="n"/>
      <c r="AL338" s="73" t="n"/>
      <c r="AM338" s="73" t="n"/>
      <c r="AN338" s="73" t="n"/>
      <c r="AO338" s="73" t="n"/>
      <c r="AP338" s="73" t="n"/>
      <c r="AQ338" s="73" t="n"/>
      <c r="AR338" s="73" t="n"/>
      <c r="AS338" s="73" t="n"/>
      <c r="AT338" s="73" t="n"/>
      <c r="AU338" s="73" t="n"/>
      <c r="A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  <c r="W339" s="73" t="n"/>
      <c r="X339" s="73" t="n"/>
      <c r="Y339" s="73" t="n"/>
      <c r="Z339" s="73" t="n"/>
      <c r="AA339" s="73" t="n"/>
      <c r="AB339" s="73" t="n"/>
      <c r="AC339" s="73" t="n"/>
      <c r="AD339" s="73" t="n"/>
      <c r="AE339" s="73" t="n"/>
      <c r="AF339" s="73" t="n"/>
      <c r="AG339" s="73" t="n"/>
      <c r="AH339" s="73" t="n"/>
      <c r="AI339" s="73" t="n"/>
      <c r="AJ339" s="73" t="n"/>
      <c r="AK339" s="73" t="n"/>
      <c r="AL339" s="73" t="n"/>
      <c r="AM339" s="73" t="n"/>
      <c r="AN339" s="73" t="n"/>
      <c r="AO339" s="73" t="n"/>
      <c r="AP339" s="73" t="n"/>
      <c r="AQ339" s="73" t="n"/>
      <c r="AR339" s="73" t="n"/>
      <c r="AS339" s="73" t="n"/>
      <c r="AT339" s="73" t="n"/>
      <c r="AU339" s="73" t="n"/>
      <c r="A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  <c r="W340" s="73" t="n"/>
      <c r="X340" s="73" t="n"/>
      <c r="Y340" s="73" t="n"/>
      <c r="Z340" s="73" t="n"/>
      <c r="AA340" s="73" t="n"/>
      <c r="AB340" s="73" t="n"/>
      <c r="AC340" s="73" t="n"/>
      <c r="AD340" s="73" t="n"/>
      <c r="AE340" s="73" t="n"/>
      <c r="AF340" s="73" t="n"/>
      <c r="AG340" s="73" t="n"/>
      <c r="AH340" s="73" t="n"/>
      <c r="AI340" s="73" t="n"/>
      <c r="AJ340" s="73" t="n"/>
      <c r="AK340" s="73" t="n"/>
      <c r="AL340" s="73" t="n"/>
      <c r="AM340" s="73" t="n"/>
      <c r="AN340" s="73" t="n"/>
      <c r="AO340" s="73" t="n"/>
      <c r="AP340" s="73" t="n"/>
      <c r="AQ340" s="73" t="n"/>
      <c r="AR340" s="73" t="n"/>
      <c r="AS340" s="73" t="n"/>
      <c r="AT340" s="73" t="n"/>
      <c r="AU340" s="73" t="n"/>
      <c r="A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  <c r="W341" s="73" t="n"/>
      <c r="X341" s="73" t="n"/>
      <c r="Y341" s="73" t="n"/>
      <c r="Z341" s="73" t="n"/>
      <c r="AA341" s="73" t="n"/>
      <c r="AB341" s="73" t="n"/>
      <c r="AC341" s="73" t="n"/>
      <c r="AD341" s="73" t="n"/>
      <c r="AE341" s="73" t="n"/>
      <c r="AF341" s="73" t="n"/>
      <c r="AG341" s="73" t="n"/>
      <c r="AH341" s="73" t="n"/>
      <c r="AI341" s="73" t="n"/>
      <c r="AJ341" s="73" t="n"/>
      <c r="AK341" s="73" t="n"/>
      <c r="AL341" s="73" t="n"/>
      <c r="AM341" s="73" t="n"/>
      <c r="AN341" s="73" t="n"/>
      <c r="AO341" s="73" t="n"/>
      <c r="AP341" s="73" t="n"/>
      <c r="AQ341" s="73" t="n"/>
      <c r="AR341" s="73" t="n"/>
      <c r="AS341" s="73" t="n"/>
      <c r="AT341" s="73" t="n"/>
      <c r="AU341" s="73" t="n"/>
      <c r="A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  <c r="W342" s="73" t="n"/>
      <c r="X342" s="73" t="n"/>
      <c r="Y342" s="73" t="n"/>
      <c r="Z342" s="73" t="n"/>
      <c r="AA342" s="73" t="n"/>
      <c r="AB342" s="73" t="n"/>
      <c r="AC342" s="73" t="n"/>
      <c r="AD342" s="73" t="n"/>
      <c r="AE342" s="73" t="n"/>
      <c r="AF342" s="73" t="n"/>
      <c r="AG342" s="73" t="n"/>
      <c r="AH342" s="73" t="n"/>
      <c r="AI342" s="73" t="n"/>
      <c r="AJ342" s="73" t="n"/>
      <c r="AK342" s="73" t="n"/>
      <c r="AL342" s="73" t="n"/>
      <c r="AM342" s="73" t="n"/>
      <c r="AN342" s="73" t="n"/>
      <c r="AO342" s="73" t="n"/>
      <c r="AP342" s="73" t="n"/>
      <c r="AQ342" s="73" t="n"/>
      <c r="AR342" s="73" t="n"/>
      <c r="AS342" s="73" t="n"/>
      <c r="AT342" s="73" t="n"/>
      <c r="AU342" s="73" t="n"/>
      <c r="A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  <c r="W343" s="73" t="n"/>
      <c r="X343" s="73" t="n"/>
      <c r="Y343" s="73" t="n"/>
      <c r="Z343" s="73" t="n"/>
      <c r="AA343" s="73" t="n"/>
      <c r="AB343" s="73" t="n"/>
      <c r="AC343" s="73" t="n"/>
      <c r="AD343" s="73" t="n"/>
      <c r="AE343" s="73" t="n"/>
      <c r="AF343" s="73" t="n"/>
      <c r="AG343" s="73" t="n"/>
      <c r="AH343" s="73" t="n"/>
      <c r="AI343" s="73" t="n"/>
      <c r="AJ343" s="73" t="n"/>
      <c r="AK343" s="73" t="n"/>
      <c r="AL343" s="73" t="n"/>
      <c r="AM343" s="73" t="n"/>
      <c r="AN343" s="73" t="n"/>
      <c r="AO343" s="73" t="n"/>
      <c r="AP343" s="73" t="n"/>
      <c r="AQ343" s="73" t="n"/>
      <c r="AR343" s="73" t="n"/>
      <c r="AS343" s="73" t="n"/>
      <c r="AT343" s="73" t="n"/>
      <c r="AU343" s="73" t="n"/>
      <c r="A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  <c r="W344" s="73" t="n"/>
      <c r="X344" s="73" t="n"/>
      <c r="Y344" s="73" t="n"/>
      <c r="Z344" s="73" t="n"/>
      <c r="AA344" s="73" t="n"/>
      <c r="AB344" s="73" t="n"/>
      <c r="AC344" s="73" t="n"/>
      <c r="AD344" s="73" t="n"/>
      <c r="AE344" s="73" t="n"/>
      <c r="AF344" s="73" t="n"/>
      <c r="AG344" s="73" t="n"/>
      <c r="AH344" s="73" t="n"/>
      <c r="AI344" s="73" t="n"/>
      <c r="AJ344" s="73" t="n"/>
      <c r="AK344" s="73" t="n"/>
      <c r="AL344" s="73" t="n"/>
      <c r="AM344" s="73" t="n"/>
      <c r="AN344" s="73" t="n"/>
      <c r="AO344" s="73" t="n"/>
      <c r="AP344" s="73" t="n"/>
      <c r="AQ344" s="73" t="n"/>
      <c r="AR344" s="73" t="n"/>
      <c r="AS344" s="73" t="n"/>
      <c r="AT344" s="73" t="n"/>
      <c r="AU344" s="73" t="n"/>
      <c r="A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  <c r="W345" s="73" t="n"/>
      <c r="X345" s="73" t="n"/>
      <c r="Y345" s="73" t="n"/>
      <c r="Z345" s="73" t="n"/>
      <c r="AA345" s="73" t="n"/>
      <c r="AB345" s="73" t="n"/>
      <c r="AC345" s="73" t="n"/>
      <c r="AD345" s="73" t="n"/>
      <c r="AE345" s="73" t="n"/>
      <c r="AF345" s="73" t="n"/>
      <c r="AG345" s="73" t="n"/>
      <c r="AH345" s="73" t="n"/>
      <c r="AI345" s="73" t="n"/>
      <c r="AJ345" s="73" t="n"/>
      <c r="AK345" s="73" t="n"/>
      <c r="AL345" s="73" t="n"/>
      <c r="AM345" s="73" t="n"/>
      <c r="AN345" s="73" t="n"/>
      <c r="AO345" s="73" t="n"/>
      <c r="AP345" s="73" t="n"/>
      <c r="AQ345" s="73" t="n"/>
      <c r="AR345" s="73" t="n"/>
      <c r="AS345" s="73" t="n"/>
      <c r="AT345" s="73" t="n"/>
      <c r="AU345" s="73" t="n"/>
      <c r="A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  <c r="W346" s="73" t="n"/>
      <c r="X346" s="73" t="n"/>
      <c r="Y346" s="73" t="n"/>
      <c r="Z346" s="73" t="n"/>
      <c r="AA346" s="73" t="n"/>
      <c r="AB346" s="73" t="n"/>
      <c r="AC346" s="73" t="n"/>
      <c r="AD346" s="73" t="n"/>
      <c r="AE346" s="73" t="n"/>
      <c r="AF346" s="73" t="n"/>
      <c r="AG346" s="73" t="n"/>
      <c r="AH346" s="73" t="n"/>
      <c r="AI346" s="73" t="n"/>
      <c r="AJ346" s="73" t="n"/>
      <c r="AK346" s="73" t="n"/>
      <c r="AL346" s="73" t="n"/>
      <c r="AM346" s="73" t="n"/>
      <c r="AN346" s="73" t="n"/>
      <c r="AO346" s="73" t="n"/>
      <c r="AP346" s="73" t="n"/>
      <c r="AQ346" s="73" t="n"/>
      <c r="AR346" s="73" t="n"/>
      <c r="AS346" s="73" t="n"/>
      <c r="AT346" s="73" t="n"/>
      <c r="AU346" s="73" t="n"/>
      <c r="A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  <c r="W347" s="73" t="n"/>
      <c r="X347" s="73" t="n"/>
      <c r="Y347" s="73" t="n"/>
      <c r="Z347" s="73" t="n"/>
      <c r="AA347" s="73" t="n"/>
      <c r="AB347" s="73" t="n"/>
      <c r="AC347" s="73" t="n"/>
      <c r="AD347" s="73" t="n"/>
      <c r="AE347" s="73" t="n"/>
      <c r="AF347" s="73" t="n"/>
      <c r="AG347" s="73" t="n"/>
      <c r="AH347" s="73" t="n"/>
      <c r="AI347" s="73" t="n"/>
      <c r="AJ347" s="73" t="n"/>
      <c r="AK347" s="73" t="n"/>
      <c r="AL347" s="73" t="n"/>
      <c r="AM347" s="73" t="n"/>
      <c r="AN347" s="73" t="n"/>
      <c r="AO347" s="73" t="n"/>
      <c r="AP347" s="73" t="n"/>
      <c r="AQ347" s="73" t="n"/>
      <c r="AR347" s="73" t="n"/>
      <c r="AS347" s="73" t="n"/>
      <c r="AT347" s="73" t="n"/>
      <c r="AU347" s="73" t="n"/>
      <c r="A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  <c r="W348" s="73" t="n"/>
      <c r="X348" s="73" t="n"/>
      <c r="Y348" s="73" t="n"/>
      <c r="Z348" s="73" t="n"/>
      <c r="AA348" s="73" t="n"/>
      <c r="AB348" s="73" t="n"/>
      <c r="AC348" s="73" t="n"/>
      <c r="AD348" s="73" t="n"/>
      <c r="AE348" s="73" t="n"/>
      <c r="AF348" s="73" t="n"/>
      <c r="AG348" s="73" t="n"/>
      <c r="AH348" s="73" t="n"/>
      <c r="AI348" s="73" t="n"/>
      <c r="AJ348" s="73" t="n"/>
      <c r="AK348" s="73" t="n"/>
      <c r="AL348" s="73" t="n"/>
      <c r="AM348" s="73" t="n"/>
      <c r="AN348" s="73" t="n"/>
      <c r="AO348" s="73" t="n"/>
      <c r="AP348" s="73" t="n"/>
      <c r="AQ348" s="73" t="n"/>
      <c r="AR348" s="73" t="n"/>
      <c r="AS348" s="73" t="n"/>
      <c r="AT348" s="73" t="n"/>
      <c r="AU348" s="73" t="n"/>
      <c r="A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  <c r="W349" s="73" t="n"/>
      <c r="X349" s="73" t="n"/>
      <c r="Y349" s="73" t="n"/>
      <c r="Z349" s="73" t="n"/>
      <c r="AA349" s="73" t="n"/>
      <c r="AB349" s="73" t="n"/>
      <c r="AC349" s="73" t="n"/>
      <c r="AD349" s="73" t="n"/>
      <c r="AE349" s="73" t="n"/>
      <c r="AF349" s="73" t="n"/>
      <c r="AG349" s="73" t="n"/>
      <c r="AH349" s="73" t="n"/>
      <c r="AI349" s="73" t="n"/>
      <c r="AJ349" s="73" t="n"/>
      <c r="AK349" s="73" t="n"/>
      <c r="AL349" s="73" t="n"/>
      <c r="AM349" s="73" t="n"/>
      <c r="AN349" s="73" t="n"/>
      <c r="AO349" s="73" t="n"/>
      <c r="AP349" s="73" t="n"/>
      <c r="AQ349" s="73" t="n"/>
      <c r="AR349" s="73" t="n"/>
      <c r="AS349" s="73" t="n"/>
      <c r="AT349" s="73" t="n"/>
      <c r="AU349" s="73" t="n"/>
      <c r="A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  <c r="W350" s="73" t="n"/>
      <c r="X350" s="73" t="n"/>
      <c r="Y350" s="73" t="n"/>
      <c r="Z350" s="73" t="n"/>
      <c r="AA350" s="73" t="n"/>
      <c r="AB350" s="73" t="n"/>
      <c r="AC350" s="73" t="n"/>
      <c r="AD350" s="73" t="n"/>
      <c r="AE350" s="73" t="n"/>
      <c r="AF350" s="73" t="n"/>
      <c r="AG350" s="73" t="n"/>
      <c r="AH350" s="73" t="n"/>
      <c r="AI350" s="73" t="n"/>
      <c r="AJ350" s="73" t="n"/>
      <c r="AK350" s="73" t="n"/>
      <c r="AL350" s="73" t="n"/>
      <c r="AM350" s="73" t="n"/>
      <c r="AN350" s="73" t="n"/>
      <c r="AO350" s="73" t="n"/>
      <c r="AP350" s="73" t="n"/>
      <c r="AQ350" s="73" t="n"/>
      <c r="AR350" s="73" t="n"/>
      <c r="AS350" s="73" t="n"/>
      <c r="AT350" s="73" t="n"/>
      <c r="AU350" s="73" t="n"/>
      <c r="A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  <c r="W351" s="73" t="n"/>
      <c r="X351" s="73" t="n"/>
      <c r="Y351" s="73" t="n"/>
      <c r="Z351" s="73" t="n"/>
      <c r="AA351" s="73" t="n"/>
      <c r="AB351" s="73" t="n"/>
      <c r="AC351" s="73" t="n"/>
      <c r="AD351" s="73" t="n"/>
      <c r="AE351" s="73" t="n"/>
      <c r="AF351" s="73" t="n"/>
      <c r="AG351" s="73" t="n"/>
      <c r="AH351" s="73" t="n"/>
      <c r="AI351" s="73" t="n"/>
      <c r="AJ351" s="73" t="n"/>
      <c r="AK351" s="73" t="n"/>
      <c r="AL351" s="73" t="n"/>
      <c r="AM351" s="73" t="n"/>
      <c r="AN351" s="73" t="n"/>
      <c r="AO351" s="73" t="n"/>
      <c r="AP351" s="73" t="n"/>
      <c r="AQ351" s="73" t="n"/>
      <c r="AR351" s="73" t="n"/>
      <c r="AS351" s="73" t="n"/>
      <c r="AT351" s="73" t="n"/>
      <c r="AU351" s="73" t="n"/>
      <c r="A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  <c r="W352" s="73" t="n"/>
      <c r="X352" s="73" t="n"/>
      <c r="Y352" s="73" t="n"/>
      <c r="Z352" s="73" t="n"/>
      <c r="AA352" s="73" t="n"/>
      <c r="AB352" s="73" t="n"/>
      <c r="AC352" s="73" t="n"/>
      <c r="AD352" s="73" t="n"/>
      <c r="AE352" s="73" t="n"/>
      <c r="AF352" s="73" t="n"/>
      <c r="AG352" s="73" t="n"/>
      <c r="AH352" s="73" t="n"/>
      <c r="AI352" s="73" t="n"/>
      <c r="AJ352" s="73" t="n"/>
      <c r="AK352" s="73" t="n"/>
      <c r="AL352" s="73" t="n"/>
      <c r="AM352" s="73" t="n"/>
      <c r="AN352" s="73" t="n"/>
      <c r="AO352" s="73" t="n"/>
      <c r="AP352" s="73" t="n"/>
      <c r="AQ352" s="73" t="n"/>
      <c r="AR352" s="73" t="n"/>
      <c r="AS352" s="73" t="n"/>
      <c r="AT352" s="73" t="n"/>
      <c r="AU352" s="73" t="n"/>
      <c r="A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  <c r="W353" s="73" t="n"/>
      <c r="X353" s="73" t="n"/>
      <c r="Y353" s="73" t="n"/>
      <c r="Z353" s="73" t="n"/>
      <c r="AA353" s="73" t="n"/>
      <c r="AB353" s="73" t="n"/>
      <c r="AC353" s="73" t="n"/>
      <c r="AD353" s="73" t="n"/>
      <c r="AE353" s="73" t="n"/>
      <c r="AF353" s="73" t="n"/>
      <c r="AG353" s="73" t="n"/>
      <c r="AH353" s="73" t="n"/>
      <c r="AI353" s="73" t="n"/>
      <c r="AJ353" s="73" t="n"/>
      <c r="AK353" s="73" t="n"/>
      <c r="AL353" s="73" t="n"/>
      <c r="AM353" s="73" t="n"/>
      <c r="AN353" s="73" t="n"/>
      <c r="AO353" s="73" t="n"/>
      <c r="AP353" s="73" t="n"/>
      <c r="AQ353" s="73" t="n"/>
      <c r="AR353" s="73" t="n"/>
      <c r="AS353" s="73" t="n"/>
      <c r="AT353" s="73" t="n"/>
      <c r="AU353" s="73" t="n"/>
      <c r="A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  <c r="W354" s="73" t="n"/>
      <c r="X354" s="73" t="n"/>
      <c r="Y354" s="73" t="n"/>
      <c r="Z354" s="73" t="n"/>
      <c r="AA354" s="73" t="n"/>
      <c r="AB354" s="73" t="n"/>
      <c r="AC354" s="73" t="n"/>
      <c r="AD354" s="73" t="n"/>
      <c r="AE354" s="73" t="n"/>
      <c r="AF354" s="73" t="n"/>
      <c r="AG354" s="73" t="n"/>
      <c r="AH354" s="73" t="n"/>
      <c r="AI354" s="73" t="n"/>
      <c r="AJ354" s="73" t="n"/>
      <c r="AK354" s="73" t="n"/>
      <c r="AL354" s="73" t="n"/>
      <c r="AM354" s="73" t="n"/>
      <c r="AN354" s="73" t="n"/>
      <c r="AO354" s="73" t="n"/>
      <c r="AP354" s="73" t="n"/>
      <c r="AQ354" s="73" t="n"/>
      <c r="AR354" s="73" t="n"/>
      <c r="AS354" s="73" t="n"/>
      <c r="AT354" s="73" t="n"/>
      <c r="AU354" s="73" t="n"/>
      <c r="A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40" t="n"/>
      <c r="AY387" s="140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40" t="n"/>
      <c r="AY388" s="140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40" t="n"/>
      <c r="AY389" s="140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40" t="n"/>
      <c r="AY390" s="140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40" t="n"/>
      <c r="AY391" s="140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40" t="n"/>
      <c r="AY392" s="140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40" t="n"/>
      <c r="AY393" s="140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40" t="n"/>
      <c r="AY394" s="140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40" t="n"/>
      <c r="AY395" s="140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40" t="n"/>
      <c r="AY396" s="140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40" t="n"/>
      <c r="AY397" s="140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40" t="n"/>
      <c r="AY398" s="140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40" t="n"/>
      <c r="AY399" s="140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40" t="n"/>
      <c r="AY400" s="140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40" t="n"/>
      <c r="AY401" s="140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40" t="n"/>
      <c r="AY402" s="140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40" t="n"/>
      <c r="AY403" s="140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40" t="n"/>
      <c r="AY404" s="140" t="n"/>
      <c r="AZ404" s="140" t="n"/>
      <c r="BA404" s="12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40" t="n"/>
      <c r="AY405" s="140" t="n"/>
      <c r="AZ405" s="140" t="n"/>
      <c r="BA405" s="12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40" t="n"/>
      <c r="AY406" s="140" t="n"/>
      <c r="AZ406" s="140" t="n"/>
      <c r="BA406" s="12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40" t="n"/>
      <c r="AY407" s="140" t="n"/>
      <c r="AZ407" s="140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40" t="n"/>
      <c r="AY408" s="140" t="n"/>
      <c r="AZ408" s="140" t="n"/>
      <c r="BA408" s="123" t="n"/>
      <c r="BB408" s="123" t="inlineStr">
        <is>
          <t>10년 이하</t>
        </is>
      </c>
      <c r="BC408" s="123" t="inlineStr">
        <is>
          <t>10~20년</t>
        </is>
      </c>
      <c r="BD408" s="123" t="inlineStr">
        <is>
          <t>20~30년</t>
        </is>
      </c>
      <c r="BE408" s="123" t="inlineStr">
        <is>
          <t>30년 이상</t>
        </is>
      </c>
      <c r="BF408" s="123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40" t="n"/>
      <c r="AY409" s="140" t="n"/>
      <c r="BA409" s="12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40" t="n"/>
      <c r="AY410" s="140" t="n"/>
      <c r="BA410" s="12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40" t="n"/>
      <c r="AY411" s="140" t="n"/>
      <c r="BA411" s="12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40" t="n"/>
      <c r="AY412" s="140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40" t="n"/>
      <c r="AY413" s="140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40" t="n"/>
      <c r="AY414" s="140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40" t="n"/>
      <c r="AY415" s="140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40" t="n"/>
      <c r="AY416" s="140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40" t="n"/>
      <c r="AY417" s="140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40" t="n"/>
      <c r="AY418" s="140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40" t="n"/>
      <c r="AY419" s="140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40" t="n"/>
      <c r="AY420" s="140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40" t="n"/>
      <c r="AY421" s="140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40" t="n"/>
      <c r="AY422" s="140" t="n"/>
      <c r="AZ422" s="140" t="n"/>
      <c r="BA422" s="12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40" t="n"/>
      <c r="AY423" s="140" t="n"/>
      <c r="AZ423" s="140" t="n"/>
      <c r="BA423" s="12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40" t="n"/>
      <c r="AY424" s="140" t="n"/>
      <c r="AZ424" s="140" t="n"/>
      <c r="BA424" s="72" t="inlineStr">
        <is>
          <t>40평대↑</t>
        </is>
      </c>
      <c r="BB424" s="143" t="n">
        <v>0</v>
      </c>
      <c r="BC424" s="143" t="n">
        <v>0</v>
      </c>
      <c r="BD424" s="143" t="n">
        <v>0</v>
      </c>
      <c r="BE424" s="143" t="n">
        <v>0</v>
      </c>
      <c r="BF424" s="143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40" t="n"/>
      <c r="AY425" s="140" t="n"/>
      <c r="AZ425" s="140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40" t="n"/>
      <c r="AY426" s="140" t="n"/>
      <c r="AZ426" s="140" t="n"/>
      <c r="BA426" s="12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40" t="n"/>
      <c r="AY427" s="140" t="n"/>
      <c r="BA427" s="12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40" t="n"/>
      <c r="AY428" s="140" t="n"/>
      <c r="BA428" s="72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40" t="n"/>
      <c r="AY429" s="140" t="n"/>
      <c r="BA429" s="12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40" t="n"/>
      <c r="AY430" s="140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40" t="n"/>
      <c r="AY431" s="140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40" t="n"/>
      <c r="AY432" s="140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40" t="n"/>
      <c r="AY433" s="140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40" t="n"/>
      <c r="AY434" s="140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40" t="n"/>
      <c r="AY435" s="140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40" t="n"/>
      <c r="AY436" s="140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40" t="n"/>
      <c r="AY437" s="140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40" t="n"/>
      <c r="AY438" s="140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40" t="n"/>
      <c r="AY439" s="140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40" t="n"/>
      <c r="AY440" s="140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40" t="n"/>
      <c r="AY441" s="140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40" t="n"/>
      <c r="AY442" s="140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40" t="n"/>
      <c r="AY443" s="140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40" t="n"/>
      <c r="AY444" s="140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40" t="n"/>
      <c r="AY445" s="140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40" t="n"/>
      <c r="AY446" s="140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40" t="n"/>
      <c r="AY447" s="140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40" t="n"/>
      <c r="AY448" s="140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40" t="n"/>
      <c r="AY449" s="140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40" t="n"/>
      <c r="AY450" s="140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40" t="n"/>
      <c r="AY451" s="140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40" t="n"/>
      <c r="AY452" s="140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40" t="n"/>
      <c r="AY453" s="140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40" t="n"/>
      <c r="AY454" s="140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40" t="n"/>
      <c r="AY455" s="140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40" t="n"/>
      <c r="AY456" s="140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40" t="n"/>
      <c r="AY457" s="140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40" t="n"/>
      <c r="AY458" s="140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40" t="n"/>
      <c r="AY459" s="140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40" t="n"/>
      <c r="AY460" s="140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40" t="n"/>
      <c r="AY461" s="140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40" t="n"/>
      <c r="AY462" s="140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40" t="n"/>
      <c r="AY463" s="140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40" t="n"/>
      <c r="AY464" s="140" t="n"/>
      <c r="AZ464" s="140" t="n"/>
      <c r="BA464" s="12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40" t="n"/>
      <c r="AY465" s="140" t="n"/>
      <c r="AZ465" s="140" t="n"/>
      <c r="BA465" s="12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40" t="n"/>
      <c r="AY466" s="140" t="n"/>
      <c r="AZ466" s="140" t="n"/>
      <c r="BA466" s="72" t="inlineStr">
        <is>
          <t>40평대↑</t>
        </is>
      </c>
      <c r="BB466" s="143" t="n">
        <v>0</v>
      </c>
      <c r="BC466" s="143" t="n">
        <v>0</v>
      </c>
      <c r="BD466" s="143" t="n">
        <v>0</v>
      </c>
      <c r="BE466" s="143" t="n">
        <v>0</v>
      </c>
      <c r="BF466" s="143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40" t="n"/>
      <c r="AY467" s="140" t="n"/>
      <c r="AZ467" s="140" t="n"/>
      <c r="BA467" s="12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40" t="n"/>
      <c r="AY468" s="140" t="n"/>
      <c r="AZ468" s="140" t="n"/>
      <c r="BA468" s="123" t="n"/>
      <c r="BB468" s="123" t="inlineStr">
        <is>
          <t>10년 이하</t>
        </is>
      </c>
      <c r="BC468" s="123" t="inlineStr">
        <is>
          <t>10~20년</t>
        </is>
      </c>
      <c r="BD468" s="123" t="inlineStr">
        <is>
          <t>20~30년</t>
        </is>
      </c>
      <c r="BE468" s="123" t="inlineStr">
        <is>
          <t>30년 이상</t>
        </is>
      </c>
      <c r="BF468" s="123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40" t="n"/>
      <c r="AY469" s="140" t="n"/>
      <c r="AZ469" s="140" t="n"/>
      <c r="BA469" s="12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40" t="n"/>
      <c r="AY470" s="140" t="n"/>
      <c r="BA470" s="12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40" t="n"/>
      <c r="AY471" s="140" t="n"/>
      <c r="BA471" s="72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40" t="n"/>
      <c r="AY472" s="140" t="n"/>
      <c r="BA472" s="12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40" t="n"/>
      <c r="AY473" s="140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40" t="n"/>
      <c r="AY474" s="140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40" t="n"/>
      <c r="AY475" s="140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40" t="n"/>
      <c r="AY476" s="140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40" t="n"/>
      <c r="AY477" s="140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40" t="n"/>
      <c r="AY478" s="140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40" t="n"/>
      <c r="AY479" s="140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40" t="n"/>
      <c r="AY480" s="140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40" t="n"/>
      <c r="AY481" s="140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40" t="n"/>
      <c r="AY482" s="140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40" t="n"/>
      <c r="AY483" s="140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40" t="n"/>
      <c r="AY484" s="140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40" t="n"/>
      <c r="AY485" s="140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40" t="n"/>
      <c r="AY486" s="140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40" t="n"/>
      <c r="AY487" s="140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40" t="n"/>
      <c r="AY488" s="140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40" t="n"/>
      <c r="AY489" s="140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40" t="n"/>
      <c r="AY490" s="140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40" t="n"/>
      <c r="AY491" s="140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40" t="n"/>
      <c r="AY492" s="140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40" t="n"/>
      <c r="AY493" s="140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40" t="n"/>
      <c r="AY494" s="140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40" t="n"/>
      <c r="AY495" s="140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40" t="n"/>
      <c r="AY496" s="140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40" t="n"/>
      <c r="AY497" s="140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40" t="n"/>
      <c r="AY498" s="140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40" t="n"/>
      <c r="AY499" s="140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40" t="n"/>
      <c r="AY500" s="140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40" t="n"/>
      <c r="AY501" s="140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40" t="n"/>
      <c r="AY502" s="140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40" t="n"/>
      <c r="AY503" s="140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40" t="n"/>
      <c r="AY504" s="140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40" t="n"/>
      <c r="AY505" s="140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40" t="n"/>
      <c r="AY506" s="140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40" t="n"/>
      <c r="AY507" s="140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40" t="n"/>
      <c r="AY508" s="140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40" t="n"/>
      <c r="AY509" s="140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40" t="n"/>
      <c r="AY510" s="140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40" t="n"/>
      <c r="AY511" s="140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40" t="n"/>
      <c r="AY512" s="140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40" t="n"/>
      <c r="AY513" s="140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40" t="n"/>
      <c r="AY514" s="140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40" t="n"/>
      <c r="AY515" s="140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40" t="n"/>
      <c r="AY516" s="140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40" t="n"/>
      <c r="AY517" s="140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40" t="n"/>
      <c r="AY518" s="140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40" t="n"/>
      <c r="AY519" s="140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40" t="n"/>
      <c r="AY520" s="140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40" t="n"/>
      <c r="AY521" s="140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40" t="n"/>
      <c r="AY522" s="140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40" t="n"/>
      <c r="AY523" s="140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40" t="n"/>
      <c r="AY524" s="140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40" t="n"/>
      <c r="AY525" s="140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40" t="n"/>
      <c r="AY526" s="140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40" t="n"/>
      <c r="AY527" s="140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40" t="n"/>
      <c r="AY528" s="140" t="n"/>
      <c r="AZ528" s="140" t="n"/>
      <c r="BA528" s="12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40" t="n"/>
      <c r="AY529" s="140" t="n"/>
      <c r="AZ529" s="140" t="n"/>
      <c r="BA529" s="12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40" t="n"/>
      <c r="AY530" s="140" t="n"/>
      <c r="AZ530" s="140" t="n"/>
      <c r="BA530" s="12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40" t="n"/>
      <c r="AY531" s="140" t="n"/>
      <c r="AZ531" s="140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40" t="n"/>
      <c r="AY532" s="140" t="n"/>
      <c r="AZ532" s="140" t="n"/>
      <c r="BA532" s="123" t="n"/>
      <c r="BB532" s="123" t="inlineStr">
        <is>
          <t>10년 이하</t>
        </is>
      </c>
      <c r="BC532" s="123" t="inlineStr">
        <is>
          <t>10~20년</t>
        </is>
      </c>
      <c r="BD532" s="123" t="inlineStr">
        <is>
          <t>20~30년</t>
        </is>
      </c>
      <c r="BE532" s="123" t="inlineStr">
        <is>
          <t>30년 이상</t>
        </is>
      </c>
      <c r="BF532" s="123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40" t="n"/>
      <c r="AY533" s="140" t="n"/>
      <c r="BA533" s="12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40" t="n"/>
      <c r="AY534" s="140" t="n"/>
      <c r="BA534" s="12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40" t="n"/>
      <c r="AY535" s="140" t="n"/>
      <c r="BA535" s="12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40" t="n"/>
      <c r="AY536" s="140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40" t="n"/>
      <c r="AY537" s="140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40" t="n"/>
      <c r="AY538" s="140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40" t="n"/>
      <c r="AY539" s="140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946" operator="lessThan" dxfId="2">
      <formula>15.1</formula>
    </cfRule>
    <cfRule type="cellIs" priority="99947" operator="lessThan" dxfId="30586">
      <formula>18.1</formula>
    </cfRule>
    <cfRule type="cellIs" priority="99948" operator="lessThan" dxfId="30585">
      <formula>21.1</formula>
    </cfRule>
    <cfRule type="cellIs" priority="99949" operator="lessThan" dxfId="30584">
      <formula>24.1</formula>
    </cfRule>
    <cfRule type="cellIs" priority="99950" operator="lessThan" dxfId="1">
      <formula>30</formula>
    </cfRule>
    <cfRule type="cellIs" priority="99951" operator="lessThan" dxfId="30582">
      <formula>34.1</formula>
    </cfRule>
  </conditionalFormatting>
  <conditionalFormatting sqref="Z3">
    <cfRule type="colorScale" priority="999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943" operator="greaterThan" dxfId="13">
      <formula>0.9</formula>
    </cfRule>
    <cfRule type="cellIs" priority="99944" operator="greaterThan" dxfId="12">
      <formula>0.85</formula>
    </cfRule>
  </conditionalFormatting>
  <conditionalFormatting sqref="N2">
    <cfRule type="cellIs" priority="99941" operator="greaterThan" dxfId="13">
      <formula>0.9</formula>
    </cfRule>
    <cfRule type="cellIs" priority="99942" operator="greaterThan" dxfId="12">
      <formula>0.85</formula>
    </cfRule>
  </conditionalFormatting>
  <conditionalFormatting sqref="AV4">
    <cfRule type="expression" priority="701" dxfId="17">
      <formula>AV4="X"</formula>
    </cfRule>
    <cfRule type="expression" priority="702" dxfId="16">
      <formula>AV4="후보"</formula>
    </cfRule>
  </conditionalFormatting>
  <conditionalFormatting sqref="AC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4">
    <cfRule type="expression" priority="693" dxfId="3">
      <formula>AND(IF(OR($Q4=1,$Q4=2),1,0),IF($X4&lt;=20,1,0))</formula>
    </cfRule>
    <cfRule type="expression" priority="694" dxfId="2">
      <formula>AND(IF($Q4=2,1,0),IF($X4&lt;30,1,0))</formula>
    </cfRule>
    <cfRule type="expression" priority="695" dxfId="1">
      <formula>AND(IF($Q4=3,1,0),IF($X4&lt;30,1,0))</formula>
    </cfRule>
    <cfRule type="expression" priority="696" dxfId="0">
      <formula>AND(IF($Q4=3,1,IF($Q4=4,1,0)),IF($F4&lt;=85,1,0))</formula>
    </cfRule>
  </conditionalFormatting>
  <conditionalFormatting sqref="X4">
    <cfRule type="expression" priority="689" dxfId="3">
      <formula>AND(IF(OR($Q4=1,$Q4=2),1,0),IF($X4&lt;=20,1,0))</formula>
    </cfRule>
    <cfRule type="expression" priority="690" dxfId="2">
      <formula>AND(IF($Q4=2,1,0),IF($X4&lt;30,1,0))</formula>
    </cfRule>
    <cfRule type="expression" priority="691" dxfId="1">
      <formula>AND(IF($Q4=3,1,0),IF($X4&lt;30,1,0))</formula>
    </cfRule>
    <cfRule type="expression" priority="692" dxfId="0">
      <formula>AND(IF($Q4=3,1,IF($Q4=4,1,0)),IF($F4&lt;=85,1,0))</formula>
    </cfRule>
  </conditionalFormatting>
  <conditionalFormatting sqref="AI4">
    <cfRule type="expression" priority="685" dxfId="3">
      <formula>AND(IF(OR($Q4=1,$Q4=2),1,0),IF($X4&lt;=20,1,0))</formula>
    </cfRule>
    <cfRule type="expression" priority="686" dxfId="2">
      <formula>AND(IF($Q4=2,1,0),IF($X4&lt;30,1,0))</formula>
    </cfRule>
    <cfRule type="expression" priority="687" dxfId="1">
      <formula>AND(IF($Q4=3,1,0),IF($X4&lt;30,1,0))</formula>
    </cfRule>
    <cfRule type="expression" priority="688" dxfId="0">
      <formula>AND(IF($Q4=3,1,IF($Q4=4,1,0)),IF($F4&lt;=85,1,0))</formula>
    </cfRule>
  </conditionalFormatting>
  <conditionalFormatting sqref="AV5">
    <cfRule type="expression" priority="683" dxfId="17">
      <formula>AV5="X"</formula>
    </cfRule>
    <cfRule type="expression" priority="684" dxfId="16">
      <formula>AV5="후보"</formula>
    </cfRule>
  </conditionalFormatting>
  <conditionalFormatting sqref="AC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">
    <cfRule type="expression" priority="675" dxfId="3">
      <formula>AND(IF(OR($Q5=1,$Q5=2),1,0),IF($X5&lt;=20,1,0))</formula>
    </cfRule>
    <cfRule type="expression" priority="676" dxfId="2">
      <formula>AND(IF($Q5=2,1,0),IF($X5&lt;30,1,0))</formula>
    </cfRule>
    <cfRule type="expression" priority="677" dxfId="1">
      <formula>AND(IF($Q5=3,1,0),IF($X5&lt;30,1,0))</formula>
    </cfRule>
    <cfRule type="expression" priority="678" dxfId="0">
      <formula>AND(IF($Q5=3,1,IF($Q5=4,1,0)),IF($F5&lt;=85,1,0))</formula>
    </cfRule>
  </conditionalFormatting>
  <conditionalFormatting sqref="X5">
    <cfRule type="expression" priority="671" dxfId="3">
      <formula>AND(IF(OR($Q5=1,$Q5=2),1,0),IF($X5&lt;=20,1,0))</formula>
    </cfRule>
    <cfRule type="expression" priority="672" dxfId="2">
      <formula>AND(IF($Q5=2,1,0),IF($X5&lt;30,1,0))</formula>
    </cfRule>
    <cfRule type="expression" priority="673" dxfId="1">
      <formula>AND(IF($Q5=3,1,0),IF($X5&lt;30,1,0))</formula>
    </cfRule>
    <cfRule type="expression" priority="674" dxfId="0">
      <formula>AND(IF($Q5=3,1,IF($Q5=4,1,0)),IF($F5&lt;=85,1,0))</formula>
    </cfRule>
  </conditionalFormatting>
  <conditionalFormatting sqref="AI5">
    <cfRule type="expression" priority="667" dxfId="3">
      <formula>AND(IF(OR($Q5=1,$Q5=2),1,0),IF($X5&lt;=20,1,0))</formula>
    </cfRule>
    <cfRule type="expression" priority="668" dxfId="2">
      <formula>AND(IF($Q5=2,1,0),IF($X5&lt;30,1,0))</formula>
    </cfRule>
    <cfRule type="expression" priority="669" dxfId="1">
      <formula>AND(IF($Q5=3,1,0),IF($X5&lt;30,1,0))</formula>
    </cfRule>
    <cfRule type="expression" priority="670" dxfId="0">
      <formula>AND(IF($Q5=3,1,IF($Q5=4,1,0)),IF($F5&lt;=85,1,0))</formula>
    </cfRule>
  </conditionalFormatting>
  <conditionalFormatting sqref="AV6">
    <cfRule type="expression" priority="665" dxfId="17">
      <formula>AV6="X"</formula>
    </cfRule>
    <cfRule type="expression" priority="666" dxfId="16">
      <formula>AV6="후보"</formula>
    </cfRule>
  </conditionalFormatting>
  <conditionalFormatting sqref="AC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17">
      <formula>AV7="X"</formula>
    </cfRule>
    <cfRule type="expression" priority="648" dxfId="16">
      <formula>AV7="후보"</formula>
    </cfRule>
  </conditionalFormatting>
  <conditionalFormatting sqref="AC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X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I7">
    <cfRule type="expression" priority="631" dxfId="3">
      <formula>AND(IF(OR($Q7=1,$Q7=2),1,0),IF($X7&lt;=20,1,0))</formula>
    </cfRule>
    <cfRule type="expression" priority="632" dxfId="2">
      <formula>AND(IF($Q7=2,1,0),IF($X7&lt;30,1,0))</formula>
    </cfRule>
    <cfRule type="expression" priority="633" dxfId="1">
      <formula>AND(IF($Q7=3,1,0),IF($X7&lt;30,1,0))</formula>
    </cfRule>
    <cfRule type="expression" priority="634" dxfId="0">
      <formula>AND(IF($Q7=3,1,IF($Q7=4,1,0)),IF($F7&lt;=85,1,0))</formula>
    </cfRule>
  </conditionalFormatting>
  <conditionalFormatting sqref="AV8">
    <cfRule type="expression" priority="629" dxfId="17">
      <formula>AV8="X"</formula>
    </cfRule>
    <cfRule type="expression" priority="630" dxfId="16">
      <formula>AV8="후보"</formula>
    </cfRule>
  </conditionalFormatting>
  <conditionalFormatting sqref="AC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">
    <cfRule type="expression" priority="621" dxfId="3">
      <formula>AND(IF(OR($Q8=1,$Q8=2),1,0),IF($X8&lt;=20,1,0))</formula>
    </cfRule>
    <cfRule type="expression" priority="622" dxfId="2">
      <formula>AND(IF($Q8=2,1,0),IF($X8&lt;30,1,0))</formula>
    </cfRule>
    <cfRule type="expression" priority="623" dxfId="1">
      <formula>AND(IF($Q8=3,1,0),IF($X8&lt;30,1,0))</formula>
    </cfRule>
    <cfRule type="expression" priority="624" dxfId="0">
      <formula>AND(IF($Q8=3,1,IF($Q8=4,1,0)),IF($F8&lt;=85,1,0))</formula>
    </cfRule>
  </conditionalFormatting>
  <conditionalFormatting sqref="X8">
    <cfRule type="expression" priority="617" dxfId="3">
      <formula>AND(IF(OR($Q8=1,$Q8=2),1,0),IF($X8&lt;=20,1,0))</formula>
    </cfRule>
    <cfRule type="expression" priority="618" dxfId="2">
      <formula>AND(IF($Q8=2,1,0),IF($X8&lt;30,1,0))</formula>
    </cfRule>
    <cfRule type="expression" priority="619" dxfId="1">
      <formula>AND(IF($Q8=3,1,0),IF($X8&lt;30,1,0))</formula>
    </cfRule>
    <cfRule type="expression" priority="620" dxfId="0">
      <formula>AND(IF($Q8=3,1,IF($Q8=4,1,0)),IF($F8&lt;=85,1,0))</formula>
    </cfRule>
  </conditionalFormatting>
  <conditionalFormatting sqref="AI8">
    <cfRule type="expression" priority="613" dxfId="3">
      <formula>AND(IF(OR($Q8=1,$Q8=2),1,0),IF($X8&lt;=20,1,0))</formula>
    </cfRule>
    <cfRule type="expression" priority="614" dxfId="2">
      <formula>AND(IF($Q8=2,1,0),IF($X8&lt;30,1,0))</formula>
    </cfRule>
    <cfRule type="expression" priority="615" dxfId="1">
      <formula>AND(IF($Q8=3,1,0),IF($X8&lt;30,1,0))</formula>
    </cfRule>
    <cfRule type="expression" priority="616" dxfId="0">
      <formula>AND(IF($Q8=3,1,IF($Q8=4,1,0)),IF($F8&lt;=85,1,0))</formula>
    </cfRule>
  </conditionalFormatting>
  <conditionalFormatting sqref="AV9">
    <cfRule type="expression" priority="611" dxfId="17">
      <formula>AV9="X"</formula>
    </cfRule>
    <cfRule type="expression" priority="612" dxfId="16">
      <formula>AV9="후보"</formula>
    </cfRule>
  </conditionalFormatting>
  <conditionalFormatting sqref="AC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">
    <cfRule type="expression" priority="603" dxfId="3">
      <formula>AND(IF(OR($Q9=1,$Q9=2),1,0),IF($X9&lt;=20,1,0))</formula>
    </cfRule>
    <cfRule type="expression" priority="604" dxfId="2">
      <formula>AND(IF($Q9=2,1,0),IF($X9&lt;30,1,0))</formula>
    </cfRule>
    <cfRule type="expression" priority="605" dxfId="1">
      <formula>AND(IF($Q9=3,1,0),IF($X9&lt;30,1,0))</formula>
    </cfRule>
    <cfRule type="expression" priority="606" dxfId="0">
      <formula>AND(IF($Q9=3,1,IF($Q9=4,1,0)),IF($F9&lt;=85,1,0))</formula>
    </cfRule>
  </conditionalFormatting>
  <conditionalFormatting sqref="X9">
    <cfRule type="expression" priority="599" dxfId="3">
      <formula>AND(IF(OR($Q9=1,$Q9=2),1,0),IF($X9&lt;=20,1,0))</formula>
    </cfRule>
    <cfRule type="expression" priority="600" dxfId="2">
      <formula>AND(IF($Q9=2,1,0),IF($X9&lt;30,1,0))</formula>
    </cfRule>
    <cfRule type="expression" priority="601" dxfId="1">
      <formula>AND(IF($Q9=3,1,0),IF($X9&lt;30,1,0))</formula>
    </cfRule>
    <cfRule type="expression" priority="602" dxfId="0">
      <formula>AND(IF($Q9=3,1,IF($Q9=4,1,0)),IF($F9&lt;=85,1,0))</formula>
    </cfRule>
  </conditionalFormatting>
  <conditionalFormatting sqref="AI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AV10">
    <cfRule type="expression" priority="593" dxfId="17">
      <formula>AV10="X"</formula>
    </cfRule>
    <cfRule type="expression" priority="594" dxfId="16">
      <formula>AV10="후보"</formula>
    </cfRule>
  </conditionalFormatting>
  <conditionalFormatting sqref="AC1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">
    <cfRule type="expression" priority="585" dxfId="3">
      <formula>AND(IF(OR($Q10=1,$Q10=2),1,0),IF($X10&lt;=20,1,0))</formula>
    </cfRule>
    <cfRule type="expression" priority="586" dxfId="2">
      <formula>AND(IF($Q10=2,1,0),IF($X10&lt;30,1,0))</formula>
    </cfRule>
    <cfRule type="expression" priority="587" dxfId="1">
      <formula>AND(IF($Q10=3,1,0),IF($X10&lt;30,1,0))</formula>
    </cfRule>
    <cfRule type="expression" priority="588" dxfId="0">
      <formula>AND(IF($Q10=3,1,IF($Q10=4,1,0)),IF($F10&lt;=85,1,0))</formula>
    </cfRule>
  </conditionalFormatting>
  <conditionalFormatting sqref="X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AI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V11">
    <cfRule type="expression" priority="575" dxfId="17">
      <formula>AV11="X"</formula>
    </cfRule>
    <cfRule type="expression" priority="576" dxfId="16">
      <formula>AV11="후보"</formula>
    </cfRule>
  </conditionalFormatting>
  <conditionalFormatting sqref="AC1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17">
      <formula>AV12="X"</formula>
    </cfRule>
    <cfRule type="expression" priority="558" dxfId="16">
      <formula>AV12="후보"</formula>
    </cfRule>
  </conditionalFormatting>
  <conditionalFormatting sqref="AC12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X12">
    <cfRule type="expression" priority="545" dxfId="3">
      <formula>AND(IF(OR($Q12=1,$Q12=2),1,0),IF($X12&lt;=20,1,0))</formula>
    </cfRule>
    <cfRule type="expression" priority="546" dxfId="2">
      <formula>AND(IF($Q12=2,1,0),IF($X12&lt;30,1,0))</formula>
    </cfRule>
    <cfRule type="expression" priority="547" dxfId="1">
      <formula>AND(IF($Q12=3,1,0),IF($X12&lt;30,1,0))</formula>
    </cfRule>
    <cfRule type="expression" priority="548" dxfId="0">
      <formula>AND(IF($Q12=3,1,IF($Q12=4,1,0)),IF($F12&lt;=85,1,0))</formula>
    </cfRule>
  </conditionalFormatting>
  <conditionalFormatting sqref="AI12">
    <cfRule type="expression" priority="541" dxfId="3">
      <formula>AND(IF(OR($Q12=1,$Q12=2),1,0),IF($X12&lt;=20,1,0))</formula>
    </cfRule>
    <cfRule type="expression" priority="542" dxfId="2">
      <formula>AND(IF($Q12=2,1,0),IF($X12&lt;30,1,0))</formula>
    </cfRule>
    <cfRule type="expression" priority="543" dxfId="1">
      <formula>AND(IF($Q12=3,1,0),IF($X12&lt;30,1,0))</formula>
    </cfRule>
    <cfRule type="expression" priority="544" dxfId="0">
      <formula>AND(IF($Q12=3,1,IF($Q12=4,1,0)),IF($F12&lt;=85,1,0))</formula>
    </cfRule>
  </conditionalFormatting>
  <conditionalFormatting sqref="AV13">
    <cfRule type="expression" priority="539" dxfId="17">
      <formula>AV13="X"</formula>
    </cfRule>
    <cfRule type="expression" priority="540" dxfId="16">
      <formula>AV13="후보"</formula>
    </cfRule>
  </conditionalFormatting>
  <conditionalFormatting sqref="AC1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3">
    <cfRule type="expression" priority="531" dxfId="3">
      <formula>AND(IF(OR($Q13=1,$Q13=2),1,0),IF($X13&lt;=20,1,0))</formula>
    </cfRule>
    <cfRule type="expression" priority="532" dxfId="2">
      <formula>AND(IF($Q13=2,1,0),IF($X13&lt;30,1,0))</formula>
    </cfRule>
    <cfRule type="expression" priority="533" dxfId="1">
      <formula>AND(IF($Q13=3,1,0),IF($X13&lt;30,1,0))</formula>
    </cfRule>
    <cfRule type="expression" priority="534" dxfId="0">
      <formula>AND(IF($Q13=3,1,IF($Q13=4,1,0)),IF($F13&lt;=85,1,0))</formula>
    </cfRule>
  </conditionalFormatting>
  <conditionalFormatting sqref="X13">
    <cfRule type="expression" priority="527" dxfId="3">
      <formula>AND(IF(OR($Q13=1,$Q13=2),1,0),IF($X13&lt;=20,1,0))</formula>
    </cfRule>
    <cfRule type="expression" priority="528" dxfId="2">
      <formula>AND(IF($Q13=2,1,0),IF($X13&lt;30,1,0))</formula>
    </cfRule>
    <cfRule type="expression" priority="529" dxfId="1">
      <formula>AND(IF($Q13=3,1,0),IF($X13&lt;30,1,0))</formula>
    </cfRule>
    <cfRule type="expression" priority="530" dxfId="0">
      <formula>AND(IF($Q13=3,1,IF($Q13=4,1,0)),IF($F13&lt;=85,1,0))</formula>
    </cfRule>
  </conditionalFormatting>
  <conditionalFormatting sqref="AI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AV14">
    <cfRule type="expression" priority="521" dxfId="17">
      <formula>AV14="X"</formula>
    </cfRule>
    <cfRule type="expression" priority="522" dxfId="16">
      <formula>AV14="후보"</formula>
    </cfRule>
  </conditionalFormatting>
  <conditionalFormatting sqref="AC14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4">
    <cfRule type="expression" priority="513" dxfId="3">
      <formula>AND(IF(OR($Q14=1,$Q14=2),1,0),IF($X14&lt;=20,1,0))</formula>
    </cfRule>
    <cfRule type="expression" priority="514" dxfId="2">
      <formula>AND(IF($Q14=2,1,0),IF($X14&lt;30,1,0))</formula>
    </cfRule>
    <cfRule type="expression" priority="515" dxfId="1">
      <formula>AND(IF($Q14=3,1,0),IF($X14&lt;30,1,0))</formula>
    </cfRule>
    <cfRule type="expression" priority="516" dxfId="0">
      <formula>AND(IF($Q14=3,1,IF($Q14=4,1,0)),IF($F14&lt;=85,1,0))</formula>
    </cfRule>
  </conditionalFormatting>
  <conditionalFormatting sqref="X14">
    <cfRule type="expression" priority="509" dxfId="3">
      <formula>AND(IF(OR($Q14=1,$Q14=2),1,0),IF($X14&lt;=20,1,0))</formula>
    </cfRule>
    <cfRule type="expression" priority="510" dxfId="2">
      <formula>AND(IF($Q14=2,1,0),IF($X14&lt;30,1,0))</formula>
    </cfRule>
    <cfRule type="expression" priority="511" dxfId="1">
      <formula>AND(IF($Q14=3,1,0),IF($X14&lt;30,1,0))</formula>
    </cfRule>
    <cfRule type="expression" priority="512" dxfId="0">
      <formula>AND(IF($Q14=3,1,IF($Q14=4,1,0)),IF($F14&lt;=85,1,0))</formula>
    </cfRule>
  </conditionalFormatting>
  <conditionalFormatting sqref="AI14">
    <cfRule type="expression" priority="505" dxfId="3">
      <formula>AND(IF(OR($Q14=1,$Q14=2),1,0),IF($X14&lt;=20,1,0))</formula>
    </cfRule>
    <cfRule type="expression" priority="506" dxfId="2">
      <formula>AND(IF($Q14=2,1,0),IF($X14&lt;30,1,0))</formula>
    </cfRule>
    <cfRule type="expression" priority="507" dxfId="1">
      <formula>AND(IF($Q14=3,1,0),IF($X14&lt;30,1,0))</formula>
    </cfRule>
    <cfRule type="expression" priority="508" dxfId="0">
      <formula>AND(IF($Q14=3,1,IF($Q14=4,1,0)),IF($F14&lt;=85,1,0))</formula>
    </cfRule>
  </conditionalFormatting>
  <conditionalFormatting sqref="AV15">
    <cfRule type="expression" priority="503" dxfId="17">
      <formula>AV15="X"</formula>
    </cfRule>
    <cfRule type="expression" priority="504" dxfId="16">
      <formula>AV15="후보"</formula>
    </cfRule>
  </conditionalFormatting>
  <conditionalFormatting sqref="AC1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5">
    <cfRule type="expression" priority="495" dxfId="3">
      <formula>AND(IF(OR($Q15=1,$Q15=2),1,0),IF($X15&lt;=20,1,0))</formula>
    </cfRule>
    <cfRule type="expression" priority="496" dxfId="2">
      <formula>AND(IF($Q15=2,1,0),IF($X15&lt;30,1,0))</formula>
    </cfRule>
    <cfRule type="expression" priority="497" dxfId="1">
      <formula>AND(IF($Q15=3,1,0),IF($X15&lt;30,1,0))</formula>
    </cfRule>
    <cfRule type="expression" priority="498" dxfId="0">
      <formula>AND(IF($Q15=3,1,IF($Q15=4,1,0)),IF($F15&lt;=85,1,0))</formula>
    </cfRule>
  </conditionalFormatting>
  <conditionalFormatting sqref="X15">
    <cfRule type="expression" priority="491" dxfId="3">
      <formula>AND(IF(OR($Q15=1,$Q15=2),1,0),IF($X15&lt;=20,1,0))</formula>
    </cfRule>
    <cfRule type="expression" priority="492" dxfId="2">
      <formula>AND(IF($Q15=2,1,0),IF($X15&lt;30,1,0))</formula>
    </cfRule>
    <cfRule type="expression" priority="493" dxfId="1">
      <formula>AND(IF($Q15=3,1,0),IF($X15&lt;30,1,0))</formula>
    </cfRule>
    <cfRule type="expression" priority="494" dxfId="0">
      <formula>AND(IF($Q15=3,1,IF($Q15=4,1,0)),IF($F15&lt;=85,1,0))</formula>
    </cfRule>
  </conditionalFormatting>
  <conditionalFormatting sqref="AI15">
    <cfRule type="expression" priority="487" dxfId="3">
      <formula>AND(IF(OR($Q15=1,$Q15=2),1,0),IF($X15&lt;=20,1,0))</formula>
    </cfRule>
    <cfRule type="expression" priority="488" dxfId="2">
      <formula>AND(IF($Q15=2,1,0),IF($X15&lt;30,1,0))</formula>
    </cfRule>
    <cfRule type="expression" priority="489" dxfId="1">
      <formula>AND(IF($Q15=3,1,0),IF($X15&lt;30,1,0))</formula>
    </cfRule>
    <cfRule type="expression" priority="490" dxfId="0">
      <formula>AND(IF($Q15=3,1,IF($Q15=4,1,0)),IF($F15&lt;=85,1,0))</formula>
    </cfRule>
  </conditionalFormatting>
  <conditionalFormatting sqref="AV16">
    <cfRule type="expression" priority="485" dxfId="17">
      <formula>AV16="X"</formula>
    </cfRule>
    <cfRule type="expression" priority="486" dxfId="16">
      <formula>AV16="후보"</formula>
    </cfRule>
  </conditionalFormatting>
  <conditionalFormatting sqref="AC16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X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I16">
    <cfRule type="expression" priority="469" dxfId="3">
      <formula>AND(IF(OR($Q16=1,$Q16=2),1,0),IF($X16&lt;=20,1,0))</formula>
    </cfRule>
    <cfRule type="expression" priority="470" dxfId="2">
      <formula>AND(IF($Q16=2,1,0),IF($X16&lt;30,1,0))</formula>
    </cfRule>
    <cfRule type="expression" priority="471" dxfId="1">
      <formula>AND(IF($Q16=3,1,0),IF($X16&lt;30,1,0))</formula>
    </cfRule>
    <cfRule type="expression" priority="472" dxfId="0">
      <formula>AND(IF($Q16=3,1,IF($Q16=4,1,0)),IF($F16&lt;=85,1,0))</formula>
    </cfRule>
  </conditionalFormatting>
  <conditionalFormatting sqref="AV17">
    <cfRule type="expression" priority="467" dxfId="17">
      <formula>AV17="X"</formula>
    </cfRule>
    <cfRule type="expression" priority="468" dxfId="16">
      <formula>AV17="후보"</formula>
    </cfRule>
  </conditionalFormatting>
  <conditionalFormatting sqref="AC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X17">
    <cfRule type="expression" priority="455" dxfId="3">
      <formula>AND(IF(OR($Q17=1,$Q17=2),1,0),IF($X17&lt;=20,1,0))</formula>
    </cfRule>
    <cfRule type="expression" priority="456" dxfId="2">
      <formula>AND(IF($Q17=2,1,0),IF($X17&lt;30,1,0))</formula>
    </cfRule>
    <cfRule type="expression" priority="457" dxfId="1">
      <formula>AND(IF($Q17=3,1,0),IF($X17&lt;30,1,0))</formula>
    </cfRule>
    <cfRule type="expression" priority="458" dxfId="0">
      <formula>AND(IF($Q17=3,1,IF($Q17=4,1,0)),IF($F17&lt;=85,1,0))</formula>
    </cfRule>
  </conditionalFormatting>
  <conditionalFormatting sqref="AI17">
    <cfRule type="expression" priority="451" dxfId="3">
      <formula>AND(IF(OR($Q17=1,$Q17=2),1,0),IF($X17&lt;=20,1,0))</formula>
    </cfRule>
    <cfRule type="expression" priority="452" dxfId="2">
      <formula>AND(IF($Q17=2,1,0),IF($X17&lt;30,1,0))</formula>
    </cfRule>
    <cfRule type="expression" priority="453" dxfId="1">
      <formula>AND(IF($Q17=3,1,0),IF($X17&lt;30,1,0))</formula>
    </cfRule>
    <cfRule type="expression" priority="454" dxfId="0">
      <formula>AND(IF($Q17=3,1,IF($Q17=4,1,0)),IF($F17&lt;=85,1,0))</formula>
    </cfRule>
  </conditionalFormatting>
  <conditionalFormatting sqref="AV18">
    <cfRule type="expression" priority="449" dxfId="17">
      <formula>AV18="X"</formula>
    </cfRule>
    <cfRule type="expression" priority="450" dxfId="16">
      <formula>AV18="후보"</formula>
    </cfRule>
  </conditionalFormatting>
  <conditionalFormatting sqref="AC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8">
    <cfRule type="expression" priority="441" dxfId="3">
      <formula>AND(IF(OR($Q18=1,$Q18=2),1,0),IF($X18&lt;=20,1,0))</formula>
    </cfRule>
    <cfRule type="expression" priority="442" dxfId="2">
      <formula>AND(IF($Q18=2,1,0),IF($X18&lt;30,1,0))</formula>
    </cfRule>
    <cfRule type="expression" priority="443" dxfId="1">
      <formula>AND(IF($Q18=3,1,0),IF($X18&lt;30,1,0))</formula>
    </cfRule>
    <cfRule type="expression" priority="444" dxfId="0">
      <formula>AND(IF($Q18=3,1,IF($Q18=4,1,0)),IF($F18&lt;=85,1,0))</formula>
    </cfRule>
  </conditionalFormatting>
  <conditionalFormatting sqref="X18">
    <cfRule type="expression" priority="437" dxfId="3">
      <formula>AND(IF(OR($Q18=1,$Q18=2),1,0),IF($X18&lt;=20,1,0))</formula>
    </cfRule>
    <cfRule type="expression" priority="438" dxfId="2">
      <formula>AND(IF($Q18=2,1,0),IF($X18&lt;30,1,0))</formula>
    </cfRule>
    <cfRule type="expression" priority="439" dxfId="1">
      <formula>AND(IF($Q18=3,1,0),IF($X18&lt;30,1,0))</formula>
    </cfRule>
    <cfRule type="expression" priority="440" dxfId="0">
      <formula>AND(IF($Q18=3,1,IF($Q18=4,1,0)),IF($F18&lt;=85,1,0))</formula>
    </cfRule>
  </conditionalFormatting>
  <conditionalFormatting sqref="AI18">
    <cfRule type="expression" priority="433" dxfId="3">
      <formula>AND(IF(OR($Q18=1,$Q18=2),1,0),IF($X18&lt;=20,1,0))</formula>
    </cfRule>
    <cfRule type="expression" priority="434" dxfId="2">
      <formula>AND(IF($Q18=2,1,0),IF($X18&lt;30,1,0))</formula>
    </cfRule>
    <cfRule type="expression" priority="435" dxfId="1">
      <formula>AND(IF($Q18=3,1,0),IF($X18&lt;30,1,0))</formula>
    </cfRule>
    <cfRule type="expression" priority="436" dxfId="0">
      <formula>AND(IF($Q18=3,1,IF($Q18=4,1,0)),IF($F18&lt;=85,1,0))</formula>
    </cfRule>
  </conditionalFormatting>
  <conditionalFormatting sqref="AV19">
    <cfRule type="expression" priority="431" dxfId="17">
      <formula>AV19="X"</formula>
    </cfRule>
    <cfRule type="expression" priority="432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2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20">
    <cfRule type="expression" priority="405" dxfId="3">
      <formula>AND(IF(OR($Q20=1,$Q20=2),1,0),IF($X20&lt;=20,1,0))</formula>
    </cfRule>
    <cfRule type="expression" priority="406" dxfId="2">
      <formula>AND(IF($Q20=2,1,0),IF($X20&lt;30,1,0))</formula>
    </cfRule>
    <cfRule type="expression" priority="407" dxfId="1">
      <formula>AND(IF($Q20=3,1,0),IF($X20&lt;30,1,0))</formula>
    </cfRule>
    <cfRule type="expression" priority="408" dxfId="0">
      <formula>AND(IF($Q20=3,1,IF($Q20=4,1,0)),IF($F20&lt;=85,1,0))</formula>
    </cfRule>
  </conditionalFormatting>
  <conditionalFormatting sqref="X20">
    <cfRule type="expression" priority="401" dxfId="3">
      <formula>AND(IF(OR($Q20=1,$Q20=2),1,0),IF($X20&lt;=20,1,0))</formula>
    </cfRule>
    <cfRule type="expression" priority="402" dxfId="2">
      <formula>AND(IF($Q20=2,1,0),IF($X20&lt;30,1,0))</formula>
    </cfRule>
    <cfRule type="expression" priority="403" dxfId="1">
      <formula>AND(IF($Q20=3,1,0),IF($X20&lt;30,1,0))</formula>
    </cfRule>
    <cfRule type="expression" priority="404" dxfId="0">
      <formula>AND(IF($Q20=3,1,IF($Q20=4,1,0)),IF($F20&lt;=85,1,0))</formula>
    </cfRule>
  </conditionalFormatting>
  <conditionalFormatting sqref="AI20">
    <cfRule type="expression" priority="397" dxfId="3">
      <formula>AND(IF(OR($Q20=1,$Q20=2),1,0),IF($X20&lt;=20,1,0))</formula>
    </cfRule>
    <cfRule type="expression" priority="398" dxfId="2">
      <formula>AND(IF($Q20=2,1,0),IF($X20&lt;30,1,0))</formula>
    </cfRule>
    <cfRule type="expression" priority="399" dxfId="1">
      <formula>AND(IF($Q20=3,1,0),IF($X20&lt;30,1,0))</formula>
    </cfRule>
    <cfRule type="expression" priority="400" dxfId="0">
      <formula>AND(IF($Q20=3,1,IF($Q20=4,1,0)),IF($F20&lt;=85,1,0))</formula>
    </cfRule>
  </conditionalFormatting>
  <conditionalFormatting sqref="AV21">
    <cfRule type="expression" priority="395" dxfId="17">
      <formula>AV21="X"</formula>
    </cfRule>
    <cfRule type="expression" priority="396" dxfId="16">
      <formula>AV21="후보"</formula>
    </cfRule>
  </conditionalFormatting>
  <conditionalFormatting sqref="AC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X21">
    <cfRule type="expression" priority="383" dxfId="3">
      <formula>AND(IF(OR($Q21=1,$Q21=2),1,0),IF($X21&lt;=20,1,0))</formula>
    </cfRule>
    <cfRule type="expression" priority="384" dxfId="2">
      <formula>AND(IF($Q21=2,1,0),IF($X21&lt;30,1,0))</formula>
    </cfRule>
    <cfRule type="expression" priority="385" dxfId="1">
      <formula>AND(IF($Q21=3,1,0),IF($X21&lt;30,1,0))</formula>
    </cfRule>
    <cfRule type="expression" priority="386" dxfId="0">
      <formula>AND(IF($Q21=3,1,IF($Q21=4,1,0)),IF($F21&lt;=85,1,0))</formula>
    </cfRule>
  </conditionalFormatting>
  <conditionalFormatting sqref="AI21">
    <cfRule type="expression" priority="379" dxfId="3">
      <formula>AND(IF(OR($Q21=1,$Q21=2),1,0),IF($X21&lt;=20,1,0))</formula>
    </cfRule>
    <cfRule type="expression" priority="380" dxfId="2">
      <formula>AND(IF($Q21=2,1,0),IF($X21&lt;30,1,0))</formula>
    </cfRule>
    <cfRule type="expression" priority="381" dxfId="1">
      <formula>AND(IF($Q21=3,1,0),IF($X21&lt;30,1,0))</formula>
    </cfRule>
    <cfRule type="expression" priority="382" dxfId="0">
      <formula>AND(IF($Q21=3,1,IF($Q21=4,1,0)),IF($F21&lt;=85,1,0))</formula>
    </cfRule>
  </conditionalFormatting>
  <conditionalFormatting sqref="AV22">
    <cfRule type="expression" priority="377" dxfId="17">
      <formula>AV22="X"</formula>
    </cfRule>
    <cfRule type="expression" priority="378" dxfId="16">
      <formula>AV22="후보"</formula>
    </cfRule>
  </conditionalFormatting>
  <conditionalFormatting sqref="AC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2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17">
      <formula>AV23="X"</formula>
    </cfRule>
    <cfRule type="expression" priority="360" dxfId="16">
      <formula>AV23="후보"</formula>
    </cfRule>
  </conditionalFormatting>
  <conditionalFormatting sqref="AC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2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23">
    <cfRule type="expression" priority="351" dxfId="3">
      <formula>AND(IF(OR($Q23=1,$Q23=2),1,0),IF($X23&lt;=20,1,0))</formula>
    </cfRule>
    <cfRule type="expression" priority="352" dxfId="2">
      <formula>AND(IF($Q23=2,1,0),IF($X23&lt;30,1,0))</formula>
    </cfRule>
    <cfRule type="expression" priority="353" dxfId="1">
      <formula>AND(IF($Q23=3,1,0),IF($X23&lt;30,1,0))</formula>
    </cfRule>
    <cfRule type="expression" priority="354" dxfId="0">
      <formula>AND(IF($Q23=3,1,IF($Q23=4,1,0)),IF($F23&lt;=85,1,0))</formula>
    </cfRule>
  </conditionalFormatting>
  <conditionalFormatting sqref="X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AI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V24">
    <cfRule type="expression" priority="341" dxfId="17">
      <formula>AV24="X"</formula>
    </cfRule>
    <cfRule type="expression" priority="342" dxfId="16">
      <formula>AV24="후보"</formula>
    </cfRule>
  </conditionalFormatting>
  <conditionalFormatting sqref="AC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17">
      <formula>AV25="X"</formula>
    </cfRule>
    <cfRule type="expression" priority="324" dxfId="16">
      <formula>AV25="후보"</formula>
    </cfRule>
  </conditionalFormatting>
  <conditionalFormatting sqref="AC25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2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X25">
    <cfRule type="expression" priority="311" dxfId="3">
      <formula>AND(IF(OR($Q25=1,$Q25=2),1,0),IF($X25&lt;=20,1,0))</formula>
    </cfRule>
    <cfRule type="expression" priority="312" dxfId="2">
      <formula>AND(IF($Q25=2,1,0),IF($X25&lt;30,1,0))</formula>
    </cfRule>
    <cfRule type="expression" priority="313" dxfId="1">
      <formula>AND(IF($Q25=3,1,0),IF($X25&lt;30,1,0))</formula>
    </cfRule>
    <cfRule type="expression" priority="314" dxfId="0">
      <formula>AND(IF($Q25=3,1,IF($Q25=4,1,0)),IF($F25&lt;=85,1,0))</formula>
    </cfRule>
  </conditionalFormatting>
  <conditionalFormatting sqref="AI25">
    <cfRule type="expression" priority="307" dxfId="3">
      <formula>AND(IF(OR($Q25=1,$Q25=2),1,0),IF($X25&lt;=20,1,0))</formula>
    </cfRule>
    <cfRule type="expression" priority="308" dxfId="2">
      <formula>AND(IF($Q25=2,1,0),IF($X25&lt;30,1,0))</formula>
    </cfRule>
    <cfRule type="expression" priority="309" dxfId="1">
      <formula>AND(IF($Q25=3,1,0),IF($X25&lt;30,1,0))</formula>
    </cfRule>
    <cfRule type="expression" priority="310" dxfId="0">
      <formula>AND(IF($Q25=3,1,IF($Q25=4,1,0)),IF($F25&lt;=85,1,0))</formula>
    </cfRule>
  </conditionalFormatting>
  <conditionalFormatting sqref="AV26">
    <cfRule type="expression" priority="305" dxfId="17">
      <formula>AV26="X"</formula>
    </cfRule>
    <cfRule type="expression" priority="306" dxfId="16">
      <formula>AV26="후보"</formula>
    </cfRule>
  </conditionalFormatting>
  <conditionalFormatting sqref="AC2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2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26">
    <cfRule type="expression" priority="297" dxfId="3">
      <formula>AND(IF(OR($Q26=1,$Q26=2),1,0),IF($X26&lt;=20,1,0))</formula>
    </cfRule>
    <cfRule type="expression" priority="298" dxfId="2">
      <formula>AND(IF($Q26=2,1,0),IF($X26&lt;30,1,0))</formula>
    </cfRule>
    <cfRule type="expression" priority="299" dxfId="1">
      <formula>AND(IF($Q26=3,1,0),IF($X26&lt;30,1,0))</formula>
    </cfRule>
    <cfRule type="expression" priority="300" dxfId="0">
      <formula>AND(IF($Q26=3,1,IF($Q26=4,1,0)),IF($F26&lt;=85,1,0))</formula>
    </cfRule>
  </conditionalFormatting>
  <conditionalFormatting sqref="X26">
    <cfRule type="expression" priority="293" dxfId="3">
      <formula>AND(IF(OR($Q26=1,$Q26=2),1,0),IF($X26&lt;=20,1,0))</formula>
    </cfRule>
    <cfRule type="expression" priority="294" dxfId="2">
      <formula>AND(IF($Q26=2,1,0),IF($X26&lt;30,1,0))</formula>
    </cfRule>
    <cfRule type="expression" priority="295" dxfId="1">
      <formula>AND(IF($Q26=3,1,0),IF($X26&lt;30,1,0))</formula>
    </cfRule>
    <cfRule type="expression" priority="296" dxfId="0">
      <formula>AND(IF($Q26=3,1,IF($Q26=4,1,0)),IF($F26&lt;=85,1,0))</formula>
    </cfRule>
  </conditionalFormatting>
  <conditionalFormatting sqref="AI26">
    <cfRule type="expression" priority="289" dxfId="3">
      <formula>AND(IF(OR($Q26=1,$Q26=2),1,0),IF($X26&lt;=20,1,0))</formula>
    </cfRule>
    <cfRule type="expression" priority="290" dxfId="2">
      <formula>AND(IF($Q26=2,1,0),IF($X26&lt;30,1,0))</formula>
    </cfRule>
    <cfRule type="expression" priority="291" dxfId="1">
      <formula>AND(IF($Q26=3,1,0),IF($X26&lt;30,1,0))</formula>
    </cfRule>
    <cfRule type="expression" priority="292" dxfId="0">
      <formula>AND(IF($Q26=3,1,IF($Q26=4,1,0)),IF($F26&lt;=85,1,0))</formula>
    </cfRule>
  </conditionalFormatting>
  <conditionalFormatting sqref="AV27">
    <cfRule type="expression" priority="287" dxfId="17">
      <formula>AV27="X"</formula>
    </cfRule>
    <cfRule type="expression" priority="288" dxfId="16">
      <formula>AV27="후보"</formula>
    </cfRule>
  </conditionalFormatting>
  <conditionalFormatting sqref="AC2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2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27">
    <cfRule type="expression" priority="279" dxfId="3">
      <formula>AND(IF(OR($Q27=1,$Q27=2),1,0),IF($X27&lt;=20,1,0))</formula>
    </cfRule>
    <cfRule type="expression" priority="280" dxfId="2">
      <formula>AND(IF($Q27=2,1,0),IF($X27&lt;30,1,0))</formula>
    </cfRule>
    <cfRule type="expression" priority="281" dxfId="1">
      <formula>AND(IF($Q27=3,1,0),IF($X27&lt;30,1,0))</formula>
    </cfRule>
    <cfRule type="expression" priority="282" dxfId="0">
      <formula>AND(IF($Q27=3,1,IF($Q27=4,1,0)),IF($F27&lt;=85,1,0))</formula>
    </cfRule>
  </conditionalFormatting>
  <conditionalFormatting sqref="X27">
    <cfRule type="expression" priority="275" dxfId="3">
      <formula>AND(IF(OR($Q27=1,$Q27=2),1,0),IF($X27&lt;=20,1,0))</formula>
    </cfRule>
    <cfRule type="expression" priority="276" dxfId="2">
      <formula>AND(IF($Q27=2,1,0),IF($X27&lt;30,1,0))</formula>
    </cfRule>
    <cfRule type="expression" priority="277" dxfId="1">
      <formula>AND(IF($Q27=3,1,0),IF($X27&lt;30,1,0))</formula>
    </cfRule>
    <cfRule type="expression" priority="278" dxfId="0">
      <formula>AND(IF($Q27=3,1,IF($Q27=4,1,0)),IF($F27&lt;=85,1,0))</formula>
    </cfRule>
  </conditionalFormatting>
  <conditionalFormatting sqref="AI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AV28">
    <cfRule type="expression" priority="269" dxfId="17">
      <formula>AV28="X"</formula>
    </cfRule>
    <cfRule type="expression" priority="270" dxfId="16">
      <formula>AV28="후보"</formula>
    </cfRule>
  </conditionalFormatting>
  <conditionalFormatting sqref="AC2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8">
    <cfRule type="expression" priority="261" dxfId="3">
      <formula>AND(IF(OR($Q28=1,$Q28=2),1,0),IF($X28&lt;=20,1,0))</formula>
    </cfRule>
    <cfRule type="expression" priority="262" dxfId="2">
      <formula>AND(IF($Q28=2,1,0),IF($X28&lt;30,1,0))</formula>
    </cfRule>
    <cfRule type="expression" priority="263" dxfId="1">
      <formula>AND(IF($Q28=3,1,0),IF($X28&lt;30,1,0))</formula>
    </cfRule>
    <cfRule type="expression" priority="264" dxfId="0">
      <formula>AND(IF($Q28=3,1,IF($Q28=4,1,0)),IF($F28&lt;=85,1,0))</formula>
    </cfRule>
  </conditionalFormatting>
  <conditionalFormatting sqref="X28">
    <cfRule type="expression" priority="257" dxfId="3">
      <formula>AND(IF(OR($Q28=1,$Q28=2),1,0),IF($X28&lt;=20,1,0))</formula>
    </cfRule>
    <cfRule type="expression" priority="258" dxfId="2">
      <formula>AND(IF($Q28=2,1,0),IF($X28&lt;30,1,0))</formula>
    </cfRule>
    <cfRule type="expression" priority="259" dxfId="1">
      <formula>AND(IF($Q28=3,1,0),IF($X28&lt;30,1,0))</formula>
    </cfRule>
    <cfRule type="expression" priority="260" dxfId="0">
      <formula>AND(IF($Q28=3,1,IF($Q28=4,1,0)),IF($F28&lt;=85,1,0))</formula>
    </cfRule>
  </conditionalFormatting>
  <conditionalFormatting sqref="AI28">
    <cfRule type="expression" priority="253" dxfId="3">
      <formula>AND(IF(OR($Q28=1,$Q28=2),1,0),IF($X28&lt;=20,1,0))</formula>
    </cfRule>
    <cfRule type="expression" priority="254" dxfId="2">
      <formula>AND(IF($Q28=2,1,0),IF($X28&lt;30,1,0))</formula>
    </cfRule>
    <cfRule type="expression" priority="255" dxfId="1">
      <formula>AND(IF($Q28=3,1,0),IF($X28&lt;30,1,0))</formula>
    </cfRule>
    <cfRule type="expression" priority="256" dxfId="0">
      <formula>AND(IF($Q28=3,1,IF($Q28=4,1,0)),IF($F28&lt;=85,1,0))</formula>
    </cfRule>
  </conditionalFormatting>
  <conditionalFormatting sqref="AV29">
    <cfRule type="expression" priority="251" dxfId="17">
      <formula>AV29="X"</formula>
    </cfRule>
    <cfRule type="expression" priority="252" dxfId="16">
      <formula>AV29="후보"</formula>
    </cfRule>
  </conditionalFormatting>
  <conditionalFormatting sqref="AC2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2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X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I29">
    <cfRule type="expression" priority="235" dxfId="3">
      <formula>AND(IF(OR($Q29=1,$Q29=2),1,0),IF($X29&lt;=20,1,0))</formula>
    </cfRule>
    <cfRule type="expression" priority="236" dxfId="2">
      <formula>AND(IF($Q29=2,1,0),IF($X29&lt;30,1,0))</formula>
    </cfRule>
    <cfRule type="expression" priority="237" dxfId="1">
      <formula>AND(IF($Q29=3,1,0),IF($X29&lt;30,1,0))</formula>
    </cfRule>
    <cfRule type="expression" priority="238" dxfId="0">
      <formula>AND(IF($Q29=3,1,IF($Q29=4,1,0)),IF($F29&lt;=85,1,0))</formula>
    </cfRule>
  </conditionalFormatting>
  <conditionalFormatting sqref="AV30">
    <cfRule type="expression" priority="233" dxfId="17">
      <formula>AV30="X"</formula>
    </cfRule>
    <cfRule type="expression" priority="234" dxfId="16">
      <formula>AV30="후보"</formula>
    </cfRule>
  </conditionalFormatting>
  <conditionalFormatting sqref="AC30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X30">
    <cfRule type="expression" priority="221" dxfId="3">
      <formula>AND(IF(OR($Q30=1,$Q30=2),1,0),IF($X30&lt;=20,1,0))</formula>
    </cfRule>
    <cfRule type="expression" priority="222" dxfId="2">
      <formula>AND(IF($Q30=2,1,0),IF($X30&lt;30,1,0))</formula>
    </cfRule>
    <cfRule type="expression" priority="223" dxfId="1">
      <formula>AND(IF($Q30=3,1,0),IF($X30&lt;30,1,0))</formula>
    </cfRule>
    <cfRule type="expression" priority="224" dxfId="0">
      <formula>AND(IF($Q30=3,1,IF($Q30=4,1,0)),IF($F30&lt;=85,1,0))</formula>
    </cfRule>
  </conditionalFormatting>
  <conditionalFormatting sqref="AI30">
    <cfRule type="expression" priority="217" dxfId="3">
      <formula>AND(IF(OR($Q30=1,$Q30=2),1,0),IF($X30&lt;=20,1,0))</formula>
    </cfRule>
    <cfRule type="expression" priority="218" dxfId="2">
      <formula>AND(IF($Q30=2,1,0),IF($X30&lt;30,1,0))</formula>
    </cfRule>
    <cfRule type="expression" priority="219" dxfId="1">
      <formula>AND(IF($Q30=3,1,0),IF($X30&lt;30,1,0))</formula>
    </cfRule>
    <cfRule type="expression" priority="220" dxfId="0">
      <formula>AND(IF($Q30=3,1,IF($Q30=4,1,0)),IF($F30&lt;=85,1,0))</formula>
    </cfRule>
  </conditionalFormatting>
  <conditionalFormatting sqref="AV31">
    <cfRule type="expression" priority="215" dxfId="17">
      <formula>AV31="X"</formula>
    </cfRule>
    <cfRule type="expression" priority="216" dxfId="16">
      <formula>AV31="후보"</formula>
    </cfRule>
  </conditionalFormatting>
  <conditionalFormatting sqref="AC3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1">
    <cfRule type="expression" priority="207" dxfId="3">
      <formula>AND(IF(OR($Q31=1,$Q31=2),1,0),IF($X31&lt;=20,1,0))</formula>
    </cfRule>
    <cfRule type="expression" priority="208" dxfId="2">
      <formula>AND(IF($Q31=2,1,0),IF($X31&lt;30,1,0))</formula>
    </cfRule>
    <cfRule type="expression" priority="209" dxfId="1">
      <formula>AND(IF($Q31=3,1,0),IF($X31&lt;30,1,0))</formula>
    </cfRule>
    <cfRule type="expression" priority="210" dxfId="0">
      <formula>AND(IF($Q31=3,1,IF($Q31=4,1,0)),IF($F31&lt;=85,1,0))</formula>
    </cfRule>
  </conditionalFormatting>
  <conditionalFormatting sqref="X31">
    <cfRule type="expression" priority="203" dxfId="3">
      <formula>AND(IF(OR($Q31=1,$Q31=2),1,0),IF($X31&lt;=20,1,0))</formula>
    </cfRule>
    <cfRule type="expression" priority="204" dxfId="2">
      <formula>AND(IF($Q31=2,1,0),IF($X31&lt;30,1,0))</formula>
    </cfRule>
    <cfRule type="expression" priority="205" dxfId="1">
      <formula>AND(IF($Q31=3,1,0),IF($X31&lt;30,1,0))</formula>
    </cfRule>
    <cfRule type="expression" priority="206" dxfId="0">
      <formula>AND(IF($Q31=3,1,IF($Q31=4,1,0)),IF($F31&lt;=85,1,0))</formula>
    </cfRule>
  </conditionalFormatting>
  <conditionalFormatting sqref="AI31">
    <cfRule type="expression" priority="199" dxfId="3">
      <formula>AND(IF(OR($Q31=1,$Q31=2),1,0),IF($X31&lt;=20,1,0))</formula>
    </cfRule>
    <cfRule type="expression" priority="200" dxfId="2">
      <formula>AND(IF($Q31=2,1,0),IF($X31&lt;30,1,0))</formula>
    </cfRule>
    <cfRule type="expression" priority="201" dxfId="1">
      <formula>AND(IF($Q31=3,1,0),IF($X31&lt;30,1,0))</formula>
    </cfRule>
    <cfRule type="expression" priority="202" dxfId="0">
      <formula>AND(IF($Q31=3,1,IF($Q31=4,1,0)),IF($F31&lt;=85,1,0))</formula>
    </cfRule>
  </conditionalFormatting>
  <conditionalFormatting sqref="AV32">
    <cfRule type="expression" priority="197" dxfId="17">
      <formula>AV32="X"</formula>
    </cfRule>
    <cfRule type="expression" priority="198" dxfId="16">
      <formula>AV32="후보"</formula>
    </cfRule>
  </conditionalFormatting>
  <conditionalFormatting sqref="AC3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2">
    <cfRule type="expression" priority="189" dxfId="3">
      <formula>AND(IF(OR($Q32=1,$Q32=2),1,0),IF($X32&lt;=20,1,0))</formula>
    </cfRule>
    <cfRule type="expression" priority="190" dxfId="2">
      <formula>AND(IF($Q32=2,1,0),IF($X32&lt;30,1,0))</formula>
    </cfRule>
    <cfRule type="expression" priority="191" dxfId="1">
      <formula>AND(IF($Q32=3,1,0),IF($X32&lt;30,1,0))</formula>
    </cfRule>
    <cfRule type="expression" priority="192" dxfId="0">
      <formula>AND(IF($Q32=3,1,IF($Q32=4,1,0)),IF($F32&lt;=85,1,0))</formula>
    </cfRule>
  </conditionalFormatting>
  <conditionalFormatting sqref="X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AI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V33">
    <cfRule type="expression" priority="179" dxfId="17">
      <formula>AV33="X"</formula>
    </cfRule>
    <cfRule type="expression" priority="180" dxfId="16">
      <formula>AV33="후보"</formula>
    </cfRule>
  </conditionalFormatting>
  <conditionalFormatting sqref="AC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17">
      <formula>AV34="X"</formula>
    </cfRule>
    <cfRule type="expression" priority="162" dxfId="16">
      <formula>AV34="후보"</formula>
    </cfRule>
  </conditionalFormatting>
  <conditionalFormatting sqref="AC34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X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I34">
    <cfRule type="expression" priority="145" dxfId="3">
      <formula>AND(IF(OR($Q34=1,$Q34=2),1,0),IF($X34&lt;=20,1,0))</formula>
    </cfRule>
    <cfRule type="expression" priority="146" dxfId="2">
      <formula>AND(IF($Q34=2,1,0),IF($X34&lt;30,1,0))</formula>
    </cfRule>
    <cfRule type="expression" priority="147" dxfId="1">
      <formula>AND(IF($Q34=3,1,0),IF($X34&lt;30,1,0))</formula>
    </cfRule>
    <cfRule type="expression" priority="148" dxfId="0">
      <formula>AND(IF($Q34=3,1,IF($Q34=4,1,0)),IF($F34&lt;=85,1,0))</formula>
    </cfRule>
  </conditionalFormatting>
  <conditionalFormatting sqref="AV35">
    <cfRule type="expression" priority="143" dxfId="17">
      <formula>AV35="X"</formula>
    </cfRule>
    <cfRule type="expression" priority="144" dxfId="16">
      <formula>AV35="후보"</formula>
    </cfRule>
  </conditionalFormatting>
  <conditionalFormatting sqref="AC35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5">
    <cfRule type="expression" priority="135" dxfId="3">
      <formula>AND(IF(OR($Q35=1,$Q35=2),1,0),IF($X35&lt;=20,1,0))</formula>
    </cfRule>
    <cfRule type="expression" priority="136" dxfId="2">
      <formula>AND(IF($Q35=2,1,0),IF($X35&lt;30,1,0))</formula>
    </cfRule>
    <cfRule type="expression" priority="137" dxfId="1">
      <formula>AND(IF($Q35=3,1,0),IF($X35&lt;30,1,0))</formula>
    </cfRule>
    <cfRule type="expression" priority="138" dxfId="0">
      <formula>AND(IF($Q35=3,1,IF($Q35=4,1,0)),IF($F35&lt;=85,1,0))</formula>
    </cfRule>
  </conditionalFormatting>
  <conditionalFormatting sqref="X35">
    <cfRule type="expression" priority="131" dxfId="3">
      <formula>AND(IF(OR($Q35=1,$Q35=2),1,0),IF($X35&lt;=20,1,0))</formula>
    </cfRule>
    <cfRule type="expression" priority="132" dxfId="2">
      <formula>AND(IF($Q35=2,1,0),IF($X35&lt;30,1,0))</formula>
    </cfRule>
    <cfRule type="expression" priority="133" dxfId="1">
      <formula>AND(IF($Q35=3,1,0),IF($X35&lt;30,1,0))</formula>
    </cfRule>
    <cfRule type="expression" priority="134" dxfId="0">
      <formula>AND(IF($Q35=3,1,IF($Q35=4,1,0)),IF($F35&lt;=85,1,0))</formula>
    </cfRule>
  </conditionalFormatting>
  <conditionalFormatting sqref="AI35">
    <cfRule type="expression" priority="127" dxfId="3">
      <formula>AND(IF(OR($Q35=1,$Q35=2),1,0),IF($X35&lt;=20,1,0))</formula>
    </cfRule>
    <cfRule type="expression" priority="128" dxfId="2">
      <formula>AND(IF($Q35=2,1,0),IF($X35&lt;30,1,0))</formula>
    </cfRule>
    <cfRule type="expression" priority="129" dxfId="1">
      <formula>AND(IF($Q35=3,1,0),IF($X35&lt;30,1,0))</formula>
    </cfRule>
    <cfRule type="expression" priority="130" dxfId="0">
      <formula>AND(IF($Q35=3,1,IF($Q35=4,1,0)),IF($F35&lt;=85,1,0))</formula>
    </cfRule>
  </conditionalFormatting>
  <conditionalFormatting sqref="AV36">
    <cfRule type="expression" priority="125" dxfId="17">
      <formula>AV36="X"</formula>
    </cfRule>
    <cfRule type="expression" priority="126" dxfId="16">
      <formula>AV36="후보"</formula>
    </cfRule>
  </conditionalFormatting>
  <conditionalFormatting sqref="AC36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6">
    <cfRule type="expression" priority="117" dxfId="3">
      <formula>AND(IF(OR($Q36=1,$Q36=2),1,0),IF($X36&lt;=20,1,0))</formula>
    </cfRule>
    <cfRule type="expression" priority="118" dxfId="2">
      <formula>AND(IF($Q36=2,1,0),IF($X36&lt;30,1,0))</formula>
    </cfRule>
    <cfRule type="expression" priority="119" dxfId="1">
      <formula>AND(IF($Q36=3,1,0),IF($X36&lt;30,1,0))</formula>
    </cfRule>
    <cfRule type="expression" priority="120" dxfId="0">
      <formula>AND(IF($Q36=3,1,IF($Q36=4,1,0)),IF($F36&lt;=85,1,0))</formula>
    </cfRule>
  </conditionalFormatting>
  <conditionalFormatting sqref="X36">
    <cfRule type="expression" priority="113" dxfId="3">
      <formula>AND(IF(OR($Q36=1,$Q36=2),1,0),IF($X36&lt;=20,1,0))</formula>
    </cfRule>
    <cfRule type="expression" priority="114" dxfId="2">
      <formula>AND(IF($Q36=2,1,0),IF($X36&lt;30,1,0))</formula>
    </cfRule>
    <cfRule type="expression" priority="115" dxfId="1">
      <formula>AND(IF($Q36=3,1,0),IF($X36&lt;30,1,0))</formula>
    </cfRule>
    <cfRule type="expression" priority="116" dxfId="0">
      <formula>AND(IF($Q36=3,1,IF($Q36=4,1,0)),IF($F36&lt;=85,1,0))</formula>
    </cfRule>
  </conditionalFormatting>
  <conditionalFormatting sqref="AI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AV37">
    <cfRule type="expression" priority="107" dxfId="17">
      <formula>AV37="X"</formula>
    </cfRule>
    <cfRule type="expression" priority="108" dxfId="16">
      <formula>AV37="후보"</formula>
    </cfRule>
  </conditionalFormatting>
  <conditionalFormatting sqref="AC37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7">
    <cfRule type="expression" priority="99" dxfId="3">
      <formula>AND(IF(OR($Q37=1,$Q37=2),1,0),IF($X37&lt;=20,1,0))</formula>
    </cfRule>
    <cfRule type="expression" priority="100" dxfId="2">
      <formula>AND(IF($Q37=2,1,0),IF($X37&lt;30,1,0))</formula>
    </cfRule>
    <cfRule type="expression" priority="101" dxfId="1">
      <formula>AND(IF($Q37=3,1,0),IF($X37&lt;30,1,0))</formula>
    </cfRule>
    <cfRule type="expression" priority="102" dxfId="0">
      <formula>AND(IF($Q37=3,1,IF($Q37=4,1,0)),IF($F37&lt;=85,1,0))</formula>
    </cfRule>
  </conditionalFormatting>
  <conditionalFormatting sqref="X37">
    <cfRule type="expression" priority="95" dxfId="3">
      <formula>AND(IF(OR($Q37=1,$Q37=2),1,0),IF($X37&lt;=20,1,0))</formula>
    </cfRule>
    <cfRule type="expression" priority="96" dxfId="2">
      <formula>AND(IF($Q37=2,1,0),IF($X37&lt;30,1,0))</formula>
    </cfRule>
    <cfRule type="expression" priority="97" dxfId="1">
      <formula>AND(IF($Q37=3,1,0),IF($X37&lt;30,1,0))</formula>
    </cfRule>
    <cfRule type="expression" priority="98" dxfId="0">
      <formula>AND(IF($Q37=3,1,IF($Q37=4,1,0)),IF($F37&lt;=85,1,0))</formula>
    </cfRule>
  </conditionalFormatting>
  <conditionalFormatting sqref="AI37">
    <cfRule type="expression" priority="91" dxfId="3">
      <formula>AND(IF(OR($Q37=1,$Q37=2),1,0),IF($X37&lt;=20,1,0))</formula>
    </cfRule>
    <cfRule type="expression" priority="92" dxfId="2">
      <formula>AND(IF($Q37=2,1,0),IF($X37&lt;30,1,0))</formula>
    </cfRule>
    <cfRule type="expression" priority="93" dxfId="1">
      <formula>AND(IF($Q37=3,1,0),IF($X37&lt;30,1,0))</formula>
    </cfRule>
    <cfRule type="expression" priority="94" dxfId="0">
      <formula>AND(IF($Q37=3,1,IF($Q37=4,1,0)),IF($F37&lt;=85,1,0))</formula>
    </cfRule>
  </conditionalFormatting>
  <conditionalFormatting sqref="AV38">
    <cfRule type="expression" priority="89" dxfId="17">
      <formula>AV38="X"</formula>
    </cfRule>
    <cfRule type="expression" priority="90" dxfId="16">
      <formula>AV38="후보"</formula>
    </cfRule>
  </conditionalFormatting>
  <conditionalFormatting sqref="AC38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X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I38">
    <cfRule type="expression" priority="73" dxfId="3">
      <formula>AND(IF(OR($Q38=1,$Q38=2),1,0),IF($X38&lt;=20,1,0))</formula>
    </cfRule>
    <cfRule type="expression" priority="74" dxfId="2">
      <formula>AND(IF($Q38=2,1,0),IF($X38&lt;30,1,0))</formula>
    </cfRule>
    <cfRule type="expression" priority="75" dxfId="1">
      <formula>AND(IF($Q38=3,1,0),IF($X38&lt;30,1,0))</formula>
    </cfRule>
    <cfRule type="expression" priority="76" dxfId="0">
      <formula>AND(IF($Q38=3,1,IF($Q38=4,1,0)),IF($F38&lt;=85,1,0))</formula>
    </cfRule>
  </conditionalFormatting>
  <conditionalFormatting sqref="AV39">
    <cfRule type="expression" priority="71" dxfId="17">
      <formula>AV39="X"</formula>
    </cfRule>
    <cfRule type="expression" priority="72" dxfId="16">
      <formula>AV39="후보"</formula>
    </cfRule>
  </conditionalFormatting>
  <conditionalFormatting sqref="AC39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X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I39">
    <cfRule type="expression" priority="55" dxfId="3">
      <formula>AND(IF(OR($Q39=1,$Q39=2),1,0),IF($X39&lt;=20,1,0))</formula>
    </cfRule>
    <cfRule type="expression" priority="56" dxfId="2">
      <formula>AND(IF($Q39=2,1,0),IF($X39&lt;30,1,0))</formula>
    </cfRule>
    <cfRule type="expression" priority="57" dxfId="1">
      <formula>AND(IF($Q39=3,1,0),IF($X39&lt;30,1,0))</formula>
    </cfRule>
    <cfRule type="expression" priority="58" dxfId="0">
      <formula>AND(IF($Q39=3,1,IF($Q39=4,1,0)),IF($F39&lt;=85,1,0))</formula>
    </cfRule>
  </conditionalFormatting>
  <conditionalFormatting sqref="AV40">
    <cfRule type="expression" priority="53" dxfId="17">
      <formula>AV40="X"</formula>
    </cfRule>
    <cfRule type="expression" priority="54" dxfId="16">
      <formula>AV40="후보"</formula>
    </cfRule>
  </conditionalFormatting>
  <conditionalFormatting sqref="AC4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0">
    <cfRule type="expression" priority="45" dxfId="3">
      <formula>AND(IF(OR($Q40=1,$Q40=2),1,0),IF($X40&lt;=20,1,0))</formula>
    </cfRule>
    <cfRule type="expression" priority="46" dxfId="2">
      <formula>AND(IF($Q40=2,1,0),IF($X40&lt;30,1,0))</formula>
    </cfRule>
    <cfRule type="expression" priority="47" dxfId="1">
      <formula>AND(IF($Q40=3,1,0),IF($X40&lt;30,1,0))</formula>
    </cfRule>
    <cfRule type="expression" priority="48" dxfId="0">
      <formula>AND(IF($Q40=3,1,IF($Q40=4,1,0)),IF($F40&lt;=85,1,0))</formula>
    </cfRule>
  </conditionalFormatting>
  <conditionalFormatting sqref="X40">
    <cfRule type="expression" priority="41" dxfId="3">
      <formula>AND(IF(OR($Q40=1,$Q40=2),1,0),IF($X40&lt;=20,1,0))</formula>
    </cfRule>
    <cfRule type="expression" priority="42" dxfId="2">
      <formula>AND(IF($Q40=2,1,0),IF($X40&lt;30,1,0))</formula>
    </cfRule>
    <cfRule type="expression" priority="43" dxfId="1">
      <formula>AND(IF($Q40=3,1,0),IF($X40&lt;30,1,0))</formula>
    </cfRule>
    <cfRule type="expression" priority="44" dxfId="0">
      <formula>AND(IF($Q40=3,1,IF($Q40=4,1,0)),IF($F40&lt;=85,1,0))</formula>
    </cfRule>
  </conditionalFormatting>
  <conditionalFormatting sqref="AI40">
    <cfRule type="expression" priority="37" dxfId="3">
      <formula>AND(IF(OR($Q40=1,$Q40=2),1,0),IF($X40&lt;=20,1,0))</formula>
    </cfRule>
    <cfRule type="expression" priority="38" dxfId="2">
      <formula>AND(IF($Q40=2,1,0),IF($X40&lt;30,1,0))</formula>
    </cfRule>
    <cfRule type="expression" priority="39" dxfId="1">
      <formula>AND(IF($Q40=3,1,0),IF($X40&lt;30,1,0))</formula>
    </cfRule>
    <cfRule type="expression" priority="40" dxfId="0">
      <formula>AND(IF($Q40=3,1,IF($Q40=4,1,0)),IF($F40&lt;=85,1,0))</formula>
    </cfRule>
  </conditionalFormatting>
  <conditionalFormatting sqref="AV41">
    <cfRule type="expression" priority="35" dxfId="17">
      <formula>AV41="X"</formula>
    </cfRule>
    <cfRule type="expression" priority="36" dxfId="16">
      <formula>AV41="후보"</formula>
    </cfRule>
  </conditionalFormatting>
  <conditionalFormatting sqref="AC4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1">
    <cfRule type="expression" priority="27" dxfId="3">
      <formula>AND(IF(OR($Q41=1,$Q41=2),1,0),IF($X41&lt;=20,1,0))</formula>
    </cfRule>
    <cfRule type="expression" priority="28" dxfId="2">
      <formula>AND(IF($Q41=2,1,0),IF($X41&lt;30,1,0))</formula>
    </cfRule>
    <cfRule type="expression" priority="29" dxfId="1">
      <formula>AND(IF($Q41=3,1,0),IF($X41&lt;30,1,0))</formula>
    </cfRule>
    <cfRule type="expression" priority="30" dxfId="0">
      <formula>AND(IF($Q41=3,1,IF($Q41=4,1,0)),IF($F41&lt;=85,1,0))</formula>
    </cfRule>
  </conditionalFormatting>
  <conditionalFormatting sqref="X41">
    <cfRule type="expression" priority="23" dxfId="3">
      <formula>AND(IF(OR($Q41=1,$Q41=2),1,0),IF($X41&lt;=20,1,0))</formula>
    </cfRule>
    <cfRule type="expression" priority="24" dxfId="2">
      <formula>AND(IF($Q41=2,1,0),IF($X41&lt;30,1,0))</formula>
    </cfRule>
    <cfRule type="expression" priority="25" dxfId="1">
      <formula>AND(IF($Q41=3,1,0),IF($X41&lt;30,1,0))</formula>
    </cfRule>
    <cfRule type="expression" priority="26" dxfId="0">
      <formula>AND(IF($Q41=3,1,IF($Q41=4,1,0)),IF($F41&lt;=85,1,0))</formula>
    </cfRule>
  </conditionalFormatting>
  <conditionalFormatting sqref="AI41">
    <cfRule type="expression" priority="19" dxfId="3">
      <formula>AND(IF(OR($Q41=1,$Q41=2),1,0),IF($X41&lt;=20,1,0))</formula>
    </cfRule>
    <cfRule type="expression" priority="20" dxfId="2">
      <formula>AND(IF($Q41=2,1,0),IF($X41&lt;30,1,0))</formula>
    </cfRule>
    <cfRule type="expression" priority="21" dxfId="1">
      <formula>AND(IF($Q41=3,1,0),IF($X41&lt;30,1,0))</formula>
    </cfRule>
    <cfRule type="expression" priority="22" dxfId="0">
      <formula>AND(IF($Q41=3,1,IF($Q41=4,1,0)),IF($F41&lt;=85,1,0))</formula>
    </cfRule>
  </conditionalFormatting>
  <conditionalFormatting sqref="AV42">
    <cfRule type="expression" priority="17" dxfId="17">
      <formula>AV42="X"</formula>
    </cfRule>
    <cfRule type="expression" priority="18" dxfId="16">
      <formula>AV42="후보"</formula>
    </cfRule>
  </conditionalFormatting>
  <conditionalFormatting sqref="AC4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G1" sqref="G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6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7" t="inlineStr">
        <is>
          <t>유사평형제거</t>
        </is>
      </c>
      <c r="K1" s="116" t="n"/>
      <c r="L1" s="43" t="inlineStr">
        <is>
          <t>O</t>
        </is>
      </c>
      <c r="M1" s="78" t="n"/>
      <c r="N1" s="117" t="inlineStr">
        <is>
          <t>추출기준세대수</t>
        </is>
      </c>
      <c r="O1" s="116" t="n"/>
      <c r="P1" s="127" t="n">
        <v>30</v>
      </c>
      <c r="Q1" s="118" t="inlineStr">
        <is>
          <t>세대이상</t>
        </is>
      </c>
      <c r="R1" s="119" t="n"/>
      <c r="S1" s="116" t="n"/>
      <c r="T1" s="28" t="n"/>
      <c r="U1" s="25" t="n"/>
      <c r="V1" s="25" t="n"/>
    </row>
    <row r="2" ht="12" customHeight="1" s="126">
      <c r="A2" s="128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6">
      <c r="A3" s="115" t="inlineStr">
        <is>
          <t>단지명</t>
        </is>
      </c>
      <c r="B3" s="115" t="inlineStr">
        <is>
          <t>입주
연도</t>
        </is>
      </c>
      <c r="C3" s="115" t="inlineStr">
        <is>
          <t>총세
대수</t>
        </is>
      </c>
      <c r="D3" s="115" t="inlineStr">
        <is>
          <t>공급
(m2)</t>
        </is>
      </c>
      <c r="E3" s="115" t="inlineStr">
        <is>
          <t>공급
면적</t>
        </is>
      </c>
      <c r="F3" s="115" t="inlineStr">
        <is>
          <t>전용
(m2)</t>
        </is>
      </c>
      <c r="G3" s="115" t="inlineStr">
        <is>
          <t>전용
면적</t>
        </is>
      </c>
      <c r="H3" s="117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7" t="inlineStr">
        <is>
          <t>갭</t>
        </is>
      </c>
      <c r="N3" s="115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5" t="inlineStr">
        <is>
          <t>구
조</t>
        </is>
      </c>
      <c r="T3" s="35" t="inlineStr">
        <is>
          <t>매/전/월
Type</t>
        </is>
      </c>
      <c r="U3" s="117" t="inlineStr">
        <is>
          <t>비고</t>
        </is>
      </c>
      <c r="V3" s="25" t="n"/>
    </row>
    <row r="4" ht="12" customFormat="1" customHeight="1" s="37">
      <c r="A4" s="111" t="inlineStr">
        <is>
          <t>조촌동 군산디오션시티푸르지오</t>
        </is>
      </c>
      <c r="B4" s="112" t="inlineStr">
        <is>
          <t>18.03.</t>
        </is>
      </c>
      <c r="C4" s="132" t="n">
        <v>1400</v>
      </c>
      <c r="D4" s="133" t="n">
        <v>134.7</v>
      </c>
      <c r="E4" s="134" t="n">
        <v>41</v>
      </c>
      <c r="F4" s="133" t="n">
        <v>99.5</v>
      </c>
      <c r="G4" s="17" t="n">
        <v>30</v>
      </c>
      <c r="H4" s="135" t="n">
        <v>49</v>
      </c>
      <c r="I4" s="136" t="n">
        <v>69000</v>
      </c>
      <c r="J4" s="136" t="inlineStr">
        <is>
          <t>9</t>
        </is>
      </c>
      <c r="K4" s="136" t="n"/>
      <c r="L4" s="136" t="n"/>
      <c r="M4" s="137">
        <f>I4-K4</f>
        <v/>
      </c>
      <c r="N4" s="4">
        <f>IF(ISERROR(K4/I4),"",K4/I4)</f>
        <v/>
      </c>
      <c r="O4" s="138">
        <f>I4/E4</f>
        <v/>
      </c>
      <c r="P4" s="138">
        <f>K4/E4</f>
        <v/>
      </c>
      <c r="Q4" s="123" t="n">
        <v>4</v>
      </c>
      <c r="R4" s="123" t="n">
        <v>2</v>
      </c>
      <c r="S4" s="123" t="inlineStr">
        <is>
          <t>계</t>
        </is>
      </c>
      <c r="T4" s="5" t="n">
        <v>134</v>
      </c>
      <c r="U4" s="9" t="n"/>
    </row>
    <row r="5" ht="12" customFormat="1" customHeight="1" s="37">
      <c r="A5" s="111" t="inlineStr">
        <is>
          <t>수송동 한라비발디1단지</t>
        </is>
      </c>
      <c r="B5" s="112" t="inlineStr">
        <is>
          <t>08.11.</t>
        </is>
      </c>
      <c r="C5" s="132" t="n">
        <v>332</v>
      </c>
      <c r="D5" s="133" t="n">
        <v>189.5</v>
      </c>
      <c r="E5" s="134" t="n">
        <v>57</v>
      </c>
      <c r="F5" s="133" t="n">
        <v>155.9</v>
      </c>
      <c r="G5" s="17" t="n">
        <v>47</v>
      </c>
      <c r="H5" s="135" t="n">
        <v>71</v>
      </c>
      <c r="I5" s="136" t="n">
        <v>58000</v>
      </c>
      <c r="J5" s="136" t="inlineStr">
        <is>
          <t>18</t>
        </is>
      </c>
      <c r="K5" s="136" t="n"/>
      <c r="L5" s="136" t="n"/>
      <c r="M5" s="137">
        <f>I5-K5</f>
        <v/>
      </c>
      <c r="N5" s="4">
        <f>IF(ISERROR(K5/I5),"",K5/I5)</f>
        <v/>
      </c>
      <c r="O5" s="138">
        <f>I5/E5</f>
        <v/>
      </c>
      <c r="P5" s="138">
        <f>K5/E5</f>
        <v/>
      </c>
      <c r="Q5" s="123" t="n">
        <v>4</v>
      </c>
      <c r="R5" s="123" t="n">
        <v>2</v>
      </c>
      <c r="S5" s="123" t="inlineStr">
        <is>
          <t>계</t>
        </is>
      </c>
      <c r="T5" s="5" t="n">
        <v>189</v>
      </c>
      <c r="U5" s="9" t="n"/>
    </row>
    <row r="6" ht="12" customFormat="1" customHeight="1" s="37">
      <c r="A6" s="111" t="inlineStr">
        <is>
          <t>미장동 미장코아루</t>
        </is>
      </c>
      <c r="B6" s="112" t="inlineStr">
        <is>
          <t>07.06.</t>
        </is>
      </c>
      <c r="C6" s="132" t="n">
        <v>354</v>
      </c>
      <c r="D6" s="133" t="n">
        <v>215.8</v>
      </c>
      <c r="E6" s="134" t="n">
        <v>65</v>
      </c>
      <c r="F6" s="133" t="n">
        <v>181.1</v>
      </c>
      <c r="G6" s="17" t="n">
        <v>55</v>
      </c>
      <c r="H6" s="135" t="n">
        <v>60</v>
      </c>
      <c r="I6" s="136" t="n">
        <v>56000</v>
      </c>
      <c r="J6" s="136" t="inlineStr">
        <is>
          <t>5</t>
        </is>
      </c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5</v>
      </c>
      <c r="R6" s="123" t="n">
        <v>2</v>
      </c>
      <c r="S6" s="123" t="inlineStr">
        <is>
          <t>계</t>
        </is>
      </c>
      <c r="T6" s="5" t="n">
        <v>215</v>
      </c>
      <c r="U6" s="9" t="n"/>
    </row>
    <row r="7" ht="12" customFormat="1" customHeight="1" s="37">
      <c r="A7" s="111" t="inlineStr">
        <is>
          <t>수송동 수송아이파크(201-2BL)</t>
        </is>
      </c>
      <c r="B7" s="112" t="inlineStr">
        <is>
          <t>08.09.</t>
        </is>
      </c>
      <c r="C7" s="132" t="n">
        <v>566</v>
      </c>
      <c r="D7" s="133" t="n">
        <v>178.7</v>
      </c>
      <c r="E7" s="134" t="n">
        <v>54</v>
      </c>
      <c r="F7" s="133" t="n">
        <v>143.8</v>
      </c>
      <c r="G7" s="17" t="n">
        <v>44</v>
      </c>
      <c r="H7" s="135" t="n">
        <v>94</v>
      </c>
      <c r="I7" s="136" t="n">
        <v>55000</v>
      </c>
      <c r="J7" s="136" t="inlineStr">
        <is>
          <t>6</t>
        </is>
      </c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4</v>
      </c>
      <c r="R7" s="123" t="n">
        <v>2</v>
      </c>
      <c r="S7" s="123" t="inlineStr">
        <is>
          <t>계</t>
        </is>
      </c>
      <c r="T7" s="5" t="n">
        <v>178</v>
      </c>
      <c r="U7" s="9" t="n"/>
    </row>
    <row r="8" ht="12" customFormat="1" customHeight="1" s="37">
      <c r="A8" s="111" t="inlineStr">
        <is>
          <t>미장동 미장대원칸타빌</t>
        </is>
      </c>
      <c r="B8" s="112" t="inlineStr">
        <is>
          <t>18.06.</t>
        </is>
      </c>
      <c r="C8" s="132" t="n">
        <v>805</v>
      </c>
      <c r="D8" s="133" t="n">
        <v>134.7</v>
      </c>
      <c r="E8" s="134" t="n">
        <v>41</v>
      </c>
      <c r="F8" s="133" t="n">
        <v>101.8</v>
      </c>
      <c r="G8" s="17" t="n">
        <v>31</v>
      </c>
      <c r="H8" s="135" t="n">
        <v>70</v>
      </c>
      <c r="I8" s="136" t="n">
        <v>51000</v>
      </c>
      <c r="J8" s="136" t="inlineStr">
        <is>
          <t>9</t>
        </is>
      </c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4</v>
      </c>
      <c r="R8" s="123" t="n">
        <v>2</v>
      </c>
      <c r="S8" s="123" t="inlineStr">
        <is>
          <t>계</t>
        </is>
      </c>
      <c r="T8" s="5" t="n">
        <v>134</v>
      </c>
      <c r="U8" s="9" t="n"/>
    </row>
    <row r="9" ht="12" customFormat="1" customHeight="1" s="37">
      <c r="A9" s="111" t="inlineStr">
        <is>
          <t>조촌동 e편한세상군산디오션시티</t>
        </is>
      </c>
      <c r="B9" s="112" t="inlineStr">
        <is>
          <t>18.11.</t>
        </is>
      </c>
      <c r="C9" s="132" t="n">
        <v>854</v>
      </c>
      <c r="D9" s="133" t="n">
        <v>113.2</v>
      </c>
      <c r="E9" s="134" t="n">
        <v>34</v>
      </c>
      <c r="F9" s="133" t="n">
        <v>85</v>
      </c>
      <c r="G9" s="17" t="n">
        <v>26</v>
      </c>
      <c r="H9" s="135" t="n">
        <v>253</v>
      </c>
      <c r="I9" s="136" t="n">
        <v>50000</v>
      </c>
      <c r="J9" s="136" t="inlineStr">
        <is>
          <t>16</t>
        </is>
      </c>
      <c r="K9" s="136" t="n">
        <v>35000</v>
      </c>
      <c r="L9" s="136" t="inlineStr">
        <is>
          <t>18</t>
        </is>
      </c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inlineStr">
        <is>
          <t>113A</t>
        </is>
      </c>
      <c r="U9" s="9" t="n"/>
    </row>
    <row r="10" ht="12" customFormat="1" customHeight="1" s="37">
      <c r="A10" s="111" t="inlineStr">
        <is>
          <t>조촌동 군산디오션시티푸르지오</t>
        </is>
      </c>
      <c r="B10" s="112" t="inlineStr">
        <is>
          <t>18.03.</t>
        </is>
      </c>
      <c r="C10" s="132" t="n">
        <v>1400</v>
      </c>
      <c r="D10" s="133" t="n">
        <v>114.5</v>
      </c>
      <c r="E10" s="134" t="n">
        <v>35</v>
      </c>
      <c r="F10" s="133" t="n">
        <v>84.7</v>
      </c>
      <c r="G10" s="17" t="n">
        <v>26</v>
      </c>
      <c r="H10" s="135" t="n">
        <v>215</v>
      </c>
      <c r="I10" s="136" t="n">
        <v>49500</v>
      </c>
      <c r="J10" s="136" t="inlineStr">
        <is>
          <t>28</t>
        </is>
      </c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inlineStr">
        <is>
          <t>114A</t>
        </is>
      </c>
      <c r="U10" s="9" t="n"/>
    </row>
    <row r="11" ht="12" customFormat="1" customHeight="1" s="37">
      <c r="A11" s="111" t="inlineStr">
        <is>
          <t>미장동 군산미장2차아이파크</t>
        </is>
      </c>
      <c r="B11" s="112" t="inlineStr">
        <is>
          <t>17.06.</t>
        </is>
      </c>
      <c r="C11" s="132" t="n">
        <v>540</v>
      </c>
      <c r="D11" s="133" t="n">
        <v>130.4</v>
      </c>
      <c r="E11" s="134" t="n">
        <v>39</v>
      </c>
      <c r="F11" s="133" t="n">
        <v>101.8</v>
      </c>
      <c r="G11" s="17" t="n">
        <v>31</v>
      </c>
      <c r="H11" s="135" t="n">
        <v>166</v>
      </c>
      <c r="I11" s="136" t="n">
        <v>49000</v>
      </c>
      <c r="J11" s="136" t="inlineStr">
        <is>
          <t>12</t>
        </is>
      </c>
      <c r="K11" s="136" t="n">
        <v>39000</v>
      </c>
      <c r="L11" s="136" t="inlineStr">
        <is>
          <t>중</t>
        </is>
      </c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2</v>
      </c>
      <c r="S11" s="123" t="inlineStr">
        <is>
          <t>계</t>
        </is>
      </c>
      <c r="T11" s="5" t="n">
        <v>130</v>
      </c>
      <c r="U11" s="9" t="n"/>
    </row>
    <row r="12" ht="12" customFormat="1" customHeight="1" s="37">
      <c r="A12" s="111" t="inlineStr">
        <is>
          <t>수송동 수송아이파크(201-2BL)</t>
        </is>
      </c>
      <c r="B12" s="112" t="inlineStr">
        <is>
          <t>08.09.</t>
        </is>
      </c>
      <c r="C12" s="132" t="n">
        <v>566</v>
      </c>
      <c r="D12" s="133" t="n">
        <v>153.9</v>
      </c>
      <c r="E12" s="134" t="n">
        <v>47</v>
      </c>
      <c r="F12" s="133" t="n">
        <v>119.9</v>
      </c>
      <c r="G12" s="17" t="n">
        <v>36</v>
      </c>
      <c r="H12" s="135" t="n">
        <v>328</v>
      </c>
      <c r="I12" s="136" t="n">
        <v>46000</v>
      </c>
      <c r="J12" s="136" t="inlineStr">
        <is>
          <t>7</t>
        </is>
      </c>
      <c r="K12" s="136" t="n">
        <v>35000</v>
      </c>
      <c r="L12" s="136" t="inlineStr">
        <is>
          <t>9</t>
        </is>
      </c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4</v>
      </c>
      <c r="R12" s="123" t="n">
        <v>2</v>
      </c>
      <c r="S12" s="123" t="inlineStr">
        <is>
          <t>계</t>
        </is>
      </c>
      <c r="T12" s="5" t="n">
        <v>153</v>
      </c>
      <c r="U12" s="9" t="n"/>
    </row>
    <row r="13" ht="12" customFormat="1" customHeight="1" s="37">
      <c r="A13" s="111" t="inlineStr">
        <is>
          <t>미룡동 금광베네스타</t>
        </is>
      </c>
      <c r="B13" s="112" t="inlineStr">
        <is>
          <t>08.12.</t>
        </is>
      </c>
      <c r="C13" s="132" t="n">
        <v>950</v>
      </c>
      <c r="D13" s="133" t="n">
        <v>203.2</v>
      </c>
      <c r="E13" s="134" t="n">
        <v>61</v>
      </c>
      <c r="F13" s="133" t="n">
        <v>172.2</v>
      </c>
      <c r="G13" s="17" t="n">
        <v>52</v>
      </c>
      <c r="H13" s="135" t="n">
        <v>40</v>
      </c>
      <c r="I13" s="136" t="n">
        <v>45000</v>
      </c>
      <c r="J13" s="136" t="inlineStr">
        <is>
          <t>14</t>
        </is>
      </c>
      <c r="K13" s="136" t="n"/>
      <c r="L13" s="136" t="n"/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4</v>
      </c>
      <c r="R13" s="123" t="n">
        <v>2</v>
      </c>
      <c r="S13" s="123" t="inlineStr">
        <is>
          <t>복</t>
        </is>
      </c>
      <c r="T13" s="5" t="inlineStr">
        <is>
          <t>203B</t>
        </is>
      </c>
      <c r="U13" s="9" t="n"/>
    </row>
    <row r="14" ht="12" customFormat="1" customHeight="1" s="37">
      <c r="A14" s="111" t="inlineStr">
        <is>
          <t>미장동 수송공원삼성쉐르빌</t>
        </is>
      </c>
      <c r="B14" s="112" t="inlineStr">
        <is>
          <t>09.12.</t>
        </is>
      </c>
      <c r="C14" s="132" t="n">
        <v>654</v>
      </c>
      <c r="D14" s="133" t="n">
        <v>181.8</v>
      </c>
      <c r="E14" s="134" t="n">
        <v>55</v>
      </c>
      <c r="F14" s="133" t="n">
        <v>149.9</v>
      </c>
      <c r="G14" s="17" t="n">
        <v>45</v>
      </c>
      <c r="H14" s="135" t="n">
        <v>57</v>
      </c>
      <c r="I14" s="136" t="n">
        <v>45000</v>
      </c>
      <c r="J14" s="136" t="inlineStr">
        <is>
          <t>6</t>
        </is>
      </c>
      <c r="K14" s="136" t="n"/>
      <c r="L14" s="136" t="n"/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4</v>
      </c>
      <c r="R14" s="123" t="n">
        <v>2</v>
      </c>
      <c r="S14" s="123" t="inlineStr">
        <is>
          <t>계</t>
        </is>
      </c>
      <c r="T14" s="5" t="n">
        <v>181</v>
      </c>
      <c r="U14" s="9" t="n"/>
    </row>
    <row r="15" ht="12" customFormat="1" customHeight="1" s="37">
      <c r="A15" s="111" t="inlineStr">
        <is>
          <t>조촌동 군산디오션시티푸르지오</t>
        </is>
      </c>
      <c r="B15" s="112" t="inlineStr">
        <is>
          <t>18.03.</t>
        </is>
      </c>
      <c r="C15" s="132" t="n">
        <v>1400</v>
      </c>
      <c r="D15" s="133" t="n">
        <v>101.7</v>
      </c>
      <c r="E15" s="134" t="n">
        <v>31</v>
      </c>
      <c r="F15" s="133" t="n">
        <v>74.90000000000001</v>
      </c>
      <c r="G15" s="17" t="n">
        <v>23</v>
      </c>
      <c r="H15" s="135" t="n">
        <v>279</v>
      </c>
      <c r="I15" s="136" t="n">
        <v>44000</v>
      </c>
      <c r="J15" s="136" t="inlineStr">
        <is>
          <t>26</t>
        </is>
      </c>
      <c r="K15" s="136" t="n"/>
      <c r="L15" s="136" t="n"/>
      <c r="M15" s="137">
        <f>I15-K15</f>
        <v/>
      </c>
      <c r="N15" s="4">
        <f>IF(ISERROR(K15/I15),"",K15/I15)</f>
        <v/>
      </c>
      <c r="O15" s="138">
        <f>I15/E15</f>
        <v/>
      </c>
      <c r="P15" s="138">
        <f>K15/E15</f>
        <v/>
      </c>
      <c r="Q15" s="123" t="n">
        <v>3</v>
      </c>
      <c r="R15" s="123" t="n">
        <v>2</v>
      </c>
      <c r="S15" s="123" t="inlineStr">
        <is>
          <t>계</t>
        </is>
      </c>
      <c r="T15" s="5" t="inlineStr">
        <is>
          <t>101A</t>
        </is>
      </c>
      <c r="U15" s="9" t="n"/>
    </row>
    <row r="16" ht="12" customFormat="1" customHeight="1" s="37">
      <c r="A16" s="111" t="inlineStr">
        <is>
          <t>수송동 군산수송제일오투그란데2단지</t>
        </is>
      </c>
      <c r="B16" s="112" t="inlineStr">
        <is>
          <t>08.10.</t>
        </is>
      </c>
      <c r="C16" s="132" t="n">
        <v>656</v>
      </c>
      <c r="D16" s="133" t="n">
        <v>140.7</v>
      </c>
      <c r="E16" s="134" t="n">
        <v>43</v>
      </c>
      <c r="F16" s="133" t="n">
        <v>110.2</v>
      </c>
      <c r="G16" s="17" t="n">
        <v>33</v>
      </c>
      <c r="H16" s="135" t="n">
        <v>132</v>
      </c>
      <c r="I16" s="136" t="n">
        <v>42000</v>
      </c>
      <c r="J16" s="136" t="inlineStr">
        <is>
          <t>11</t>
        </is>
      </c>
      <c r="K16" s="136" t="n"/>
      <c r="L16" s="136" t="n"/>
      <c r="M16" s="137">
        <f>I16-K16</f>
        <v/>
      </c>
      <c r="N16" s="4">
        <f>IF(ISERROR(K16/I16),"",K16/I16)</f>
        <v/>
      </c>
      <c r="O16" s="138">
        <f>I16/E16</f>
        <v/>
      </c>
      <c r="P16" s="138">
        <f>K16/E16</f>
        <v/>
      </c>
      <c r="Q16" s="123" t="n">
        <v>4</v>
      </c>
      <c r="R16" s="123" t="n">
        <v>2</v>
      </c>
      <c r="S16" s="123" t="inlineStr">
        <is>
          <t>계</t>
        </is>
      </c>
      <c r="T16" s="5" t="n">
        <v>140</v>
      </c>
      <c r="U16" s="9" t="n"/>
    </row>
    <row r="17" ht="12" customFormat="1" customHeight="1" s="37">
      <c r="A17" s="111" t="inlineStr">
        <is>
          <t>미장동 군산미장2차아이파크</t>
        </is>
      </c>
      <c r="B17" s="112" t="inlineStr">
        <is>
          <t>17.06.</t>
        </is>
      </c>
      <c r="C17" s="132" t="n">
        <v>540</v>
      </c>
      <c r="D17" s="133" t="n">
        <v>100.5</v>
      </c>
      <c r="E17" s="134" t="n">
        <v>30</v>
      </c>
      <c r="F17" s="133" t="n">
        <v>75</v>
      </c>
      <c r="G17" s="17" t="n">
        <v>23</v>
      </c>
      <c r="H17" s="135" t="n">
        <v>188</v>
      </c>
      <c r="I17" s="136" t="n">
        <v>40000</v>
      </c>
      <c r="J17" s="136" t="inlineStr">
        <is>
          <t>고</t>
        </is>
      </c>
      <c r="K17" s="136" t="n"/>
      <c r="L17" s="136" t="n"/>
      <c r="M17" s="137">
        <f>I17-K17</f>
        <v/>
      </c>
      <c r="N17" s="4">
        <f>IF(ISERROR(K17/I17),"",K17/I17)</f>
        <v/>
      </c>
      <c r="O17" s="138">
        <f>I17/E17</f>
        <v/>
      </c>
      <c r="P17" s="138">
        <f>K17/E17</f>
        <v/>
      </c>
      <c r="Q17" s="123" t="n">
        <v>3</v>
      </c>
      <c r="R17" s="123" t="n">
        <v>2</v>
      </c>
      <c r="S17" s="123" t="inlineStr">
        <is>
          <t>계</t>
        </is>
      </c>
      <c r="T17" s="5" t="inlineStr">
        <is>
          <t>100A</t>
        </is>
      </c>
      <c r="U17" s="9" t="n"/>
    </row>
    <row r="18" ht="12" customFormat="1" customHeight="1" s="37">
      <c r="A18" s="111" t="inlineStr">
        <is>
          <t>조촌동 e편한세상군산디오션시티</t>
        </is>
      </c>
      <c r="B18" s="112" t="inlineStr">
        <is>
          <t>18.11.</t>
        </is>
      </c>
      <c r="C18" s="132" t="n">
        <v>854</v>
      </c>
      <c r="D18" s="133" t="n">
        <v>100.4</v>
      </c>
      <c r="E18" s="134" t="n">
        <v>30</v>
      </c>
      <c r="F18" s="133" t="n">
        <v>75</v>
      </c>
      <c r="G18" s="17" t="n">
        <v>23</v>
      </c>
      <c r="H18" s="135" t="n">
        <v>174</v>
      </c>
      <c r="I18" s="136" t="n">
        <v>40000</v>
      </c>
      <c r="J18" s="136" t="inlineStr">
        <is>
          <t>6</t>
        </is>
      </c>
      <c r="K18" s="136" t="n"/>
      <c r="L18" s="136" t="n"/>
      <c r="M18" s="137">
        <f>I18-K18</f>
        <v/>
      </c>
      <c r="N18" s="4">
        <f>IF(ISERROR(K18/I18),"",K18/I18)</f>
        <v/>
      </c>
      <c r="O18" s="138">
        <f>I18/E18</f>
        <v/>
      </c>
      <c r="P18" s="138">
        <f>K18/E18</f>
        <v/>
      </c>
      <c r="Q18" s="123" t="n">
        <v>3</v>
      </c>
      <c r="R18" s="123" t="n">
        <v>2</v>
      </c>
      <c r="S18" s="123" t="inlineStr">
        <is>
          <t>계</t>
        </is>
      </c>
      <c r="T18" s="5" t="inlineStr">
        <is>
          <t>100B</t>
        </is>
      </c>
      <c r="U18" s="9" t="n"/>
    </row>
    <row r="19" ht="12" customFormat="1" customHeight="1" s="37">
      <c r="A19" s="111" t="inlineStr">
        <is>
          <t>수송동 수송아이파크(201-2BL)</t>
        </is>
      </c>
      <c r="B19" s="112" t="inlineStr">
        <is>
          <t>08.09.</t>
        </is>
      </c>
      <c r="C19" s="132" t="n">
        <v>566</v>
      </c>
      <c r="D19" s="133" t="n">
        <v>130.7</v>
      </c>
      <c r="E19" s="134" t="n">
        <v>40</v>
      </c>
      <c r="F19" s="133" t="n">
        <v>100.1</v>
      </c>
      <c r="G19" s="17" t="n">
        <v>30</v>
      </c>
      <c r="H19" s="135" t="n">
        <v>87</v>
      </c>
      <c r="I19" s="136" t="n">
        <v>39000</v>
      </c>
      <c r="J19" s="136" t="inlineStr">
        <is>
          <t>10</t>
        </is>
      </c>
      <c r="K19" s="136" t="n">
        <v>34000</v>
      </c>
      <c r="L19" s="136" t="inlineStr">
        <is>
          <t>13</t>
        </is>
      </c>
      <c r="M19" s="137">
        <f>I19-K19</f>
        <v/>
      </c>
      <c r="N19" s="4">
        <f>IF(ISERROR(K19/I19),"",K19/I19)</f>
        <v/>
      </c>
      <c r="O19" s="138">
        <f>I19/E19</f>
        <v/>
      </c>
      <c r="P19" s="138">
        <f>K19/E19</f>
        <v/>
      </c>
      <c r="Q19" s="123" t="n">
        <v>3</v>
      </c>
      <c r="R19" s="123" t="n">
        <v>2</v>
      </c>
      <c r="S19" s="123" t="inlineStr">
        <is>
          <t>계</t>
        </is>
      </c>
      <c r="T19" s="5" t="n">
        <v>130</v>
      </c>
      <c r="U19" s="9" t="n"/>
    </row>
    <row r="20" ht="12" customFormat="1" customHeight="1" s="37">
      <c r="A20" s="111" t="inlineStr">
        <is>
          <t>미장동 수송공원삼성쉐르빌</t>
        </is>
      </c>
      <c r="B20" s="112" t="inlineStr">
        <is>
          <t>09.12.</t>
        </is>
      </c>
      <c r="C20" s="132" t="n">
        <v>654</v>
      </c>
      <c r="D20" s="133" t="n">
        <v>152</v>
      </c>
      <c r="E20" s="134" t="n">
        <v>46</v>
      </c>
      <c r="F20" s="133" t="n">
        <v>121.3</v>
      </c>
      <c r="G20" s="17" t="n">
        <v>37</v>
      </c>
      <c r="H20" s="135" t="n">
        <v>52</v>
      </c>
      <c r="I20" s="136" t="n">
        <v>38500</v>
      </c>
      <c r="J20" s="136" t="inlineStr">
        <is>
          <t>6</t>
        </is>
      </c>
      <c r="K20" s="136" t="n"/>
      <c r="L20" s="136" t="n"/>
      <c r="M20" s="137">
        <f>I20-K20</f>
        <v/>
      </c>
      <c r="N20" s="4">
        <f>IF(ISERROR(K20/I20),"",K20/I20)</f>
        <v/>
      </c>
      <c r="O20" s="138">
        <f>I20/E20</f>
        <v/>
      </c>
      <c r="P20" s="138">
        <f>K20/E20</f>
        <v/>
      </c>
      <c r="Q20" s="123" t="n">
        <v>4</v>
      </c>
      <c r="R20" s="123" t="n">
        <v>2</v>
      </c>
      <c r="S20" s="123" t="inlineStr">
        <is>
          <t>계</t>
        </is>
      </c>
      <c r="T20" s="5" t="n">
        <v>151</v>
      </c>
      <c r="U20" s="9" t="n"/>
    </row>
    <row r="21" ht="12" customFormat="1" customHeight="1" s="37">
      <c r="A21" s="111" t="inlineStr">
        <is>
          <t>미장동 수송공원삼성쉐르빌</t>
        </is>
      </c>
      <c r="B21" s="112" t="inlineStr">
        <is>
          <t>09.12.</t>
        </is>
      </c>
      <c r="C21" s="132" t="n">
        <v>654</v>
      </c>
      <c r="D21" s="133" t="n">
        <v>135.3</v>
      </c>
      <c r="E21" s="134" t="n">
        <v>41</v>
      </c>
      <c r="F21" s="133" t="n">
        <v>103.8</v>
      </c>
      <c r="G21" s="17" t="n">
        <v>31</v>
      </c>
      <c r="H21" s="135" t="n">
        <v>163</v>
      </c>
      <c r="I21" s="136" t="n">
        <v>37000</v>
      </c>
      <c r="J21" s="136" t="inlineStr">
        <is>
          <t>10</t>
        </is>
      </c>
      <c r="K21" s="136" t="n">
        <v>31000</v>
      </c>
      <c r="L21" s="136" t="inlineStr">
        <is>
          <t>9</t>
        </is>
      </c>
      <c r="M21" s="137">
        <f>I21-K21</f>
        <v/>
      </c>
      <c r="N21" s="4">
        <f>IF(ISERROR(K21/I21),"",K21/I21)</f>
        <v/>
      </c>
      <c r="O21" s="138">
        <f>I21/E21</f>
        <v/>
      </c>
      <c r="P21" s="138">
        <f>K21/E21</f>
        <v/>
      </c>
      <c r="Q21" s="123" t="n">
        <v>3</v>
      </c>
      <c r="R21" s="123" t="n">
        <v>2</v>
      </c>
      <c r="S21" s="123" t="inlineStr">
        <is>
          <t>계</t>
        </is>
      </c>
      <c r="T21" s="5" t="inlineStr">
        <is>
          <t>135A</t>
        </is>
      </c>
      <c r="U21" s="9" t="n"/>
    </row>
    <row r="22" ht="12" customFormat="1" customHeight="1" s="37">
      <c r="A22" s="111" t="inlineStr">
        <is>
          <t>미장동 미장대원칸타빌</t>
        </is>
      </c>
      <c r="B22" s="112" t="inlineStr">
        <is>
          <t>18.06.</t>
        </is>
      </c>
      <c r="C22" s="132" t="n">
        <v>805</v>
      </c>
      <c r="D22" s="133" t="n">
        <v>112.4</v>
      </c>
      <c r="E22" s="134" t="n">
        <v>34</v>
      </c>
      <c r="F22" s="133" t="n">
        <v>84.90000000000001</v>
      </c>
      <c r="G22" s="17" t="n">
        <v>26</v>
      </c>
      <c r="H22" s="135" t="n">
        <v>274</v>
      </c>
      <c r="I22" s="136" t="n">
        <v>37000</v>
      </c>
      <c r="J22" s="136" t="inlineStr">
        <is>
          <t>10</t>
        </is>
      </c>
      <c r="K22" s="136" t="n"/>
      <c r="L22" s="136" t="n"/>
      <c r="M22" s="137">
        <f>I22-K22</f>
        <v/>
      </c>
      <c r="N22" s="4">
        <f>IF(ISERROR(K22/I22),"",K22/I22)</f>
        <v/>
      </c>
      <c r="O22" s="138">
        <f>I22/E22</f>
        <v/>
      </c>
      <c r="P22" s="138">
        <f>K22/E22</f>
        <v/>
      </c>
      <c r="Q22" s="123" t="n">
        <v>4</v>
      </c>
      <c r="R22" s="123" t="n">
        <v>2</v>
      </c>
      <c r="S22" s="123" t="inlineStr">
        <is>
          <t>계</t>
        </is>
      </c>
      <c r="T22" s="5" t="n">
        <v>112</v>
      </c>
      <c r="U22" s="9" t="n"/>
    </row>
    <row r="23" ht="12" customFormat="1" customHeight="1" s="37">
      <c r="A23" s="111" t="inlineStr">
        <is>
          <t>미장동 군산미장아이파크</t>
        </is>
      </c>
      <c r="B23" s="112" t="inlineStr">
        <is>
          <t>15.01.</t>
        </is>
      </c>
      <c r="C23" s="132" t="n">
        <v>1078</v>
      </c>
      <c r="D23" s="133" t="n">
        <v>111.3</v>
      </c>
      <c r="E23" s="134" t="n">
        <v>34</v>
      </c>
      <c r="F23" s="133" t="n">
        <v>85</v>
      </c>
      <c r="G23" s="17" t="n">
        <v>26</v>
      </c>
      <c r="H23" s="135" t="n">
        <v>435</v>
      </c>
      <c r="I23" s="136" t="n">
        <v>35500</v>
      </c>
      <c r="J23" s="136" t="inlineStr">
        <is>
          <t>8</t>
        </is>
      </c>
      <c r="K23" s="136" t="n">
        <v>28000</v>
      </c>
      <c r="L23" s="136" t="inlineStr">
        <is>
          <t>14</t>
        </is>
      </c>
      <c r="M23" s="137">
        <f>I23-K23</f>
        <v/>
      </c>
      <c r="N23" s="4">
        <f>IF(ISERROR(K23/I23),"",K23/I23)</f>
        <v/>
      </c>
      <c r="O23" s="138">
        <f>I23/E23</f>
        <v/>
      </c>
      <c r="P23" s="138">
        <f>K23/E23</f>
        <v/>
      </c>
      <c r="Q23" s="123" t="n">
        <v>3</v>
      </c>
      <c r="R23" s="123" t="n">
        <v>2</v>
      </c>
      <c r="S23" s="123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111" t="inlineStr">
        <is>
          <t>미룡동 금광베네스타</t>
        </is>
      </c>
      <c r="B24" s="112" t="inlineStr">
        <is>
          <t>08.12.</t>
        </is>
      </c>
      <c r="C24" s="132" t="n">
        <v>950</v>
      </c>
      <c r="D24" s="133" t="n">
        <v>176.6</v>
      </c>
      <c r="E24" s="134" t="n">
        <v>53</v>
      </c>
      <c r="F24" s="133" t="n">
        <v>139.8</v>
      </c>
      <c r="G24" s="17" t="n">
        <v>42</v>
      </c>
      <c r="H24" s="135" t="n">
        <v>160</v>
      </c>
      <c r="I24" s="136" t="n">
        <v>35000</v>
      </c>
      <c r="J24" s="136" t="inlineStr">
        <is>
          <t>7</t>
        </is>
      </c>
      <c r="K24" s="136" t="n"/>
      <c r="L24" s="136" t="n"/>
      <c r="M24" s="137">
        <f>I24-K24</f>
        <v/>
      </c>
      <c r="N24" s="4">
        <f>IF(ISERROR(K24/I24),"",K24/I24)</f>
        <v/>
      </c>
      <c r="O24" s="138">
        <f>I24/E24</f>
        <v/>
      </c>
      <c r="P24" s="138">
        <f>K24/E24</f>
        <v/>
      </c>
      <c r="Q24" s="123" t="n">
        <v>4</v>
      </c>
      <c r="R24" s="123" t="n">
        <v>2</v>
      </c>
      <c r="S24" s="123" t="inlineStr">
        <is>
          <t>복</t>
        </is>
      </c>
      <c r="T24" s="5" t="n">
        <v>176</v>
      </c>
      <c r="U24" s="9" t="n"/>
    </row>
    <row r="25" ht="12" customFormat="1" customHeight="1" s="37">
      <c r="A25" s="111" t="inlineStr">
        <is>
          <t>미장동 미장대원칸타빌</t>
        </is>
      </c>
      <c r="B25" s="112" t="inlineStr">
        <is>
          <t>18.06.</t>
        </is>
      </c>
      <c r="C25" s="132" t="n">
        <v>805</v>
      </c>
      <c r="D25" s="133" t="n">
        <v>100</v>
      </c>
      <c r="E25" s="134" t="n">
        <v>30</v>
      </c>
      <c r="F25" s="133" t="n">
        <v>74.90000000000001</v>
      </c>
      <c r="G25" s="17" t="n">
        <v>23</v>
      </c>
      <c r="H25" s="135" t="n">
        <v>186</v>
      </c>
      <c r="I25" s="136" t="n">
        <v>34500</v>
      </c>
      <c r="J25" s="136" t="inlineStr">
        <is>
          <t>고</t>
        </is>
      </c>
      <c r="K25" s="136" t="n">
        <v>27000</v>
      </c>
      <c r="L25" s="136" t="inlineStr">
        <is>
          <t>19</t>
        </is>
      </c>
      <c r="M25" s="137">
        <f>I25-K25</f>
        <v/>
      </c>
      <c r="N25" s="4">
        <f>IF(ISERROR(K25/I25),"",K25/I25)</f>
        <v/>
      </c>
      <c r="O25" s="138">
        <f>I25/E25</f>
        <v/>
      </c>
      <c r="P25" s="138">
        <f>K25/E25</f>
        <v/>
      </c>
      <c r="Q25" s="123" t="n">
        <v>3</v>
      </c>
      <c r="R25" s="123" t="n">
        <v>2</v>
      </c>
      <c r="S25" s="123" t="inlineStr">
        <is>
          <t>계</t>
        </is>
      </c>
      <c r="T25" s="5" t="inlineStr">
        <is>
          <t>99A</t>
        </is>
      </c>
      <c r="U25" s="9" t="n"/>
    </row>
    <row r="26" ht="12" customFormat="1" customHeight="1" s="37">
      <c r="A26" s="111" t="inlineStr">
        <is>
          <t>미룡동 금광베네스타</t>
        </is>
      </c>
      <c r="B26" s="112" t="inlineStr">
        <is>
          <t>08.12.</t>
        </is>
      </c>
      <c r="C26" s="132" t="n">
        <v>950</v>
      </c>
      <c r="D26" s="133" t="n">
        <v>160</v>
      </c>
      <c r="E26" s="134" t="n">
        <v>48</v>
      </c>
      <c r="F26" s="133" t="n">
        <v>130.8</v>
      </c>
      <c r="G26" s="17" t="n">
        <v>40</v>
      </c>
      <c r="H26" s="135" t="n">
        <v>320</v>
      </c>
      <c r="I26" s="136" t="n">
        <v>34000</v>
      </c>
      <c r="J26" s="136" t="inlineStr">
        <is>
          <t>5</t>
        </is>
      </c>
      <c r="K26" s="136" t="n"/>
      <c r="L26" s="136" t="n"/>
      <c r="M26" s="137">
        <f>I26-K26</f>
        <v/>
      </c>
      <c r="N26" s="4">
        <f>IF(ISERROR(K26/I26),"",K26/I26)</f>
        <v/>
      </c>
      <c r="O26" s="138">
        <f>I26/E26</f>
        <v/>
      </c>
      <c r="P26" s="138">
        <f>K26/E26</f>
        <v/>
      </c>
      <c r="Q26" s="123" t="n">
        <v>4</v>
      </c>
      <c r="R26" s="123" t="n">
        <v>2</v>
      </c>
      <c r="S26" s="123" t="inlineStr">
        <is>
          <t>복</t>
        </is>
      </c>
      <c r="T26" s="5" t="inlineStr">
        <is>
          <t>160A</t>
        </is>
      </c>
      <c r="U26" s="9" t="n"/>
    </row>
    <row r="27" ht="12" customFormat="1" customHeight="1" s="37">
      <c r="A27" s="111" t="inlineStr">
        <is>
          <t>미장동 미장코아루</t>
        </is>
      </c>
      <c r="B27" s="112" t="inlineStr">
        <is>
          <t>07.06.</t>
        </is>
      </c>
      <c r="C27" s="132" t="n">
        <v>354</v>
      </c>
      <c r="D27" s="133" t="n">
        <v>160.8</v>
      </c>
      <c r="E27" s="134" t="n">
        <v>49</v>
      </c>
      <c r="F27" s="133" t="n">
        <v>129.2</v>
      </c>
      <c r="G27" s="17" t="n">
        <v>39</v>
      </c>
      <c r="H27" s="135" t="n">
        <v>174</v>
      </c>
      <c r="I27" s="136" t="n">
        <v>34000</v>
      </c>
      <c r="J27" s="136" t="inlineStr">
        <is>
          <t>5</t>
        </is>
      </c>
      <c r="K27" s="136" t="n"/>
      <c r="L27" s="136" t="n"/>
      <c r="M27" s="137">
        <f>I27-K27</f>
        <v/>
      </c>
      <c r="N27" s="4">
        <f>IF(ISERROR(K27/I27),"",K27/I27)</f>
        <v/>
      </c>
      <c r="O27" s="138">
        <f>I27/E27</f>
        <v/>
      </c>
      <c r="P27" s="138">
        <f>K27/E27</f>
        <v/>
      </c>
      <c r="Q27" s="123" t="n">
        <v>4</v>
      </c>
      <c r="R27" s="123" t="n">
        <v>2</v>
      </c>
      <c r="S27" s="123" t="inlineStr">
        <is>
          <t>계</t>
        </is>
      </c>
      <c r="T27" s="5" t="n">
        <v>160</v>
      </c>
      <c r="U27" s="9" t="n"/>
    </row>
    <row r="28" ht="12" customFormat="1" customHeight="1" s="37">
      <c r="A28" s="111" t="inlineStr">
        <is>
          <t>미룡동 은파리젠시빌파크</t>
        </is>
      </c>
      <c r="B28" s="112" t="inlineStr">
        <is>
          <t>07.02.</t>
        </is>
      </c>
      <c r="C28" s="132" t="n">
        <v>317</v>
      </c>
      <c r="D28" s="133" t="n">
        <v>159.7</v>
      </c>
      <c r="E28" s="134" t="n">
        <v>48</v>
      </c>
      <c r="F28" s="133" t="n">
        <v>132.4</v>
      </c>
      <c r="G28" s="17" t="n">
        <v>40</v>
      </c>
      <c r="H28" s="135" t="n">
        <v>84</v>
      </c>
      <c r="I28" s="136" t="n">
        <v>33500</v>
      </c>
      <c r="J28" s="136" t="inlineStr">
        <is>
          <t>11</t>
        </is>
      </c>
      <c r="K28" s="136" t="n"/>
      <c r="L28" s="136" t="n"/>
      <c r="M28" s="137">
        <f>I28-K28</f>
        <v/>
      </c>
      <c r="N28" s="4">
        <f>IF(ISERROR(K28/I28),"",K28/I28)</f>
        <v/>
      </c>
      <c r="O28" s="138">
        <f>I28/E28</f>
        <v/>
      </c>
      <c r="P28" s="138">
        <f>K28/E28</f>
        <v/>
      </c>
      <c r="Q28" s="123" t="n">
        <v>4</v>
      </c>
      <c r="R28" s="123" t="n">
        <v>2</v>
      </c>
      <c r="S28" s="123" t="inlineStr">
        <is>
          <t>계</t>
        </is>
      </c>
      <c r="T28" s="5" t="n">
        <v>159</v>
      </c>
      <c r="U28" s="9" t="n"/>
    </row>
    <row r="29" ht="12" customFormat="1" customHeight="1" s="37">
      <c r="A29" s="111" t="inlineStr">
        <is>
          <t>수송동 군산수송제일오투그란데2단지</t>
        </is>
      </c>
      <c r="B29" s="112" t="inlineStr">
        <is>
          <t>08.10.</t>
        </is>
      </c>
      <c r="C29" s="132" t="n">
        <v>656</v>
      </c>
      <c r="D29" s="133" t="n">
        <v>125.6</v>
      </c>
      <c r="E29" s="134" t="n">
        <v>38</v>
      </c>
      <c r="F29" s="133" t="n">
        <v>92.7</v>
      </c>
      <c r="G29" s="17" t="n">
        <v>28</v>
      </c>
      <c r="H29" s="135" t="n">
        <v>274</v>
      </c>
      <c r="I29" s="136" t="n">
        <v>33500</v>
      </c>
      <c r="J29" s="136" t="inlineStr">
        <is>
          <t>14</t>
        </is>
      </c>
      <c r="K29" s="136" t="n"/>
      <c r="L29" s="136" t="n"/>
      <c r="M29" s="137">
        <f>I29-K29</f>
        <v/>
      </c>
      <c r="N29" s="4">
        <f>IF(ISERROR(K29/I29),"",K29/I29)</f>
        <v/>
      </c>
      <c r="O29" s="138">
        <f>I29/E29</f>
        <v/>
      </c>
      <c r="P29" s="138">
        <f>K29/E29</f>
        <v/>
      </c>
      <c r="Q29" s="123" t="n">
        <v>3</v>
      </c>
      <c r="R29" s="123" t="n">
        <v>2</v>
      </c>
      <c r="S29" s="123" t="inlineStr">
        <is>
          <t>계</t>
        </is>
      </c>
      <c r="T29" s="5" t="n">
        <v>125</v>
      </c>
      <c r="U29" s="9" t="n"/>
    </row>
    <row r="30" ht="12" customFormat="1" customHeight="1" s="37">
      <c r="A30" s="111" t="inlineStr">
        <is>
          <t>조촌동 군산디오션시티푸르지오</t>
        </is>
      </c>
      <c r="B30" s="112" t="inlineStr">
        <is>
          <t>18.03.</t>
        </is>
      </c>
      <c r="C30" s="132" t="n">
        <v>1400</v>
      </c>
      <c r="D30" s="133" t="n">
        <v>82</v>
      </c>
      <c r="E30" s="134" t="n">
        <v>25</v>
      </c>
      <c r="F30" s="133" t="n">
        <v>60</v>
      </c>
      <c r="G30" s="17" t="n">
        <v>18</v>
      </c>
      <c r="H30" s="135" t="n">
        <v>189</v>
      </c>
      <c r="I30" s="136" t="n">
        <v>33000</v>
      </c>
      <c r="J30" s="136" t="inlineStr">
        <is>
          <t>23</t>
        </is>
      </c>
      <c r="K30" s="136" t="n">
        <v>25000</v>
      </c>
      <c r="L30" s="136" t="inlineStr">
        <is>
          <t>13</t>
        </is>
      </c>
      <c r="M30" s="137">
        <f>I30-K30</f>
        <v/>
      </c>
      <c r="N30" s="4">
        <f>IF(ISERROR(K30/I30),"",K30/I30)</f>
        <v/>
      </c>
      <c r="O30" s="138">
        <f>I30/E30</f>
        <v/>
      </c>
      <c r="P30" s="138">
        <f>K30/E30</f>
        <v/>
      </c>
      <c r="Q30" s="123" t="n">
        <v>3</v>
      </c>
      <c r="R30" s="123" t="n">
        <v>2</v>
      </c>
      <c r="S30" s="123" t="inlineStr">
        <is>
          <t>계</t>
        </is>
      </c>
      <c r="T30" s="5" t="inlineStr">
        <is>
          <t>81A</t>
        </is>
      </c>
      <c r="U30" s="9" t="n"/>
    </row>
    <row r="31" ht="12" customFormat="1" customHeight="1" s="37">
      <c r="A31" s="111" t="inlineStr">
        <is>
          <t>미룡동 금광베네스타</t>
        </is>
      </c>
      <c r="B31" s="112" t="inlineStr">
        <is>
          <t>08.12.</t>
        </is>
      </c>
      <c r="C31" s="132" t="n">
        <v>950</v>
      </c>
      <c r="D31" s="133" t="n">
        <v>146.5</v>
      </c>
      <c r="E31" s="134" t="n">
        <v>44</v>
      </c>
      <c r="F31" s="133" t="n">
        <v>113.5</v>
      </c>
      <c r="G31" s="17" t="n">
        <v>34</v>
      </c>
      <c r="H31" s="135" t="n">
        <v>114</v>
      </c>
      <c r="I31" s="136" t="n">
        <v>32000</v>
      </c>
      <c r="J31" s="136" t="inlineStr">
        <is>
          <t>19</t>
        </is>
      </c>
      <c r="K31" s="136" t="n"/>
      <c r="L31" s="136" t="n"/>
      <c r="M31" s="137">
        <f>I31-K31</f>
        <v/>
      </c>
      <c r="N31" s="4">
        <f>IF(ISERROR(K31/I31),"",K31/I31)</f>
        <v/>
      </c>
      <c r="O31" s="138">
        <f>I31/E31</f>
        <v/>
      </c>
      <c r="P31" s="138">
        <f>K31/E31</f>
        <v/>
      </c>
      <c r="Q31" s="123" t="n">
        <v>3</v>
      </c>
      <c r="R31" s="123" t="n">
        <v>2</v>
      </c>
      <c r="S31" s="123" t="inlineStr">
        <is>
          <t>복</t>
        </is>
      </c>
      <c r="T31" s="5" t="n">
        <v>146</v>
      </c>
      <c r="U31" s="9" t="n"/>
    </row>
    <row r="32" ht="12" customFormat="1" customHeight="1" s="37">
      <c r="A32" s="111" t="inlineStr">
        <is>
          <t>미룡동 은파롯데캐슬</t>
        </is>
      </c>
      <c r="B32" s="112" t="inlineStr">
        <is>
          <t>07.09.</t>
        </is>
      </c>
      <c r="C32" s="132" t="n">
        <v>307</v>
      </c>
      <c r="D32" s="133" t="n">
        <v>158.3</v>
      </c>
      <c r="E32" s="134" t="n">
        <v>48</v>
      </c>
      <c r="F32" s="133" t="n">
        <v>127.2</v>
      </c>
      <c r="G32" s="17" t="n">
        <v>38</v>
      </c>
      <c r="H32" s="135" t="n">
        <v>77</v>
      </c>
      <c r="I32" s="136" t="n">
        <v>32000</v>
      </c>
      <c r="J32" s="136" t="inlineStr">
        <is>
          <t>8</t>
        </is>
      </c>
      <c r="K32" s="136" t="n"/>
      <c r="L32" s="136" t="n"/>
      <c r="M32" s="137">
        <f>I32-K32</f>
        <v/>
      </c>
      <c r="N32" s="4">
        <f>IF(ISERROR(K32/I32),"",K32/I32)</f>
        <v/>
      </c>
      <c r="O32" s="138">
        <f>I32/E32</f>
        <v/>
      </c>
      <c r="P32" s="138">
        <f>K32/E32</f>
        <v/>
      </c>
      <c r="Q32" s="123" t="n">
        <v>4</v>
      </c>
      <c r="R32" s="123" t="n">
        <v>2</v>
      </c>
      <c r="S32" s="123" t="inlineStr">
        <is>
          <t>복</t>
        </is>
      </c>
      <c r="T32" s="5" t="inlineStr">
        <is>
          <t>158B</t>
        </is>
      </c>
      <c r="U32" s="9" t="n"/>
    </row>
    <row r="33" ht="12" customFormat="1" customHeight="1" s="37">
      <c r="A33" s="111" t="inlineStr">
        <is>
          <t>수송동 한라비발디2단지</t>
        </is>
      </c>
      <c r="B33" s="112" t="inlineStr">
        <is>
          <t>08.11.</t>
        </is>
      </c>
      <c r="C33" s="132" t="n">
        <v>782</v>
      </c>
      <c r="D33" s="133" t="n">
        <v>113.3</v>
      </c>
      <c r="E33" s="134" t="n">
        <v>34</v>
      </c>
      <c r="F33" s="133" t="n">
        <v>85</v>
      </c>
      <c r="G33" s="17" t="n">
        <v>26</v>
      </c>
      <c r="H33" s="135" t="n">
        <v>480</v>
      </c>
      <c r="I33" s="136" t="n">
        <v>32000</v>
      </c>
      <c r="J33" s="136" t="inlineStr">
        <is>
          <t>18</t>
        </is>
      </c>
      <c r="K33" s="136" t="n">
        <v>27000</v>
      </c>
      <c r="L33" s="136" t="inlineStr">
        <is>
          <t>6</t>
        </is>
      </c>
      <c r="M33" s="137">
        <f>I33-K33</f>
        <v/>
      </c>
      <c r="N33" s="4">
        <f>IF(ISERROR(K33/I33),"",K33/I33)</f>
        <v/>
      </c>
      <c r="O33" s="138">
        <f>I33/E33</f>
        <v/>
      </c>
      <c r="P33" s="138">
        <f>K33/E33</f>
        <v/>
      </c>
      <c r="Q33" s="123" t="n">
        <v>3</v>
      </c>
      <c r="R33" s="123" t="n">
        <v>2</v>
      </c>
      <c r="S33" s="123" t="inlineStr">
        <is>
          <t>계</t>
        </is>
      </c>
      <c r="T33" s="5" t="n">
        <v>113</v>
      </c>
      <c r="U33" s="9" t="n"/>
    </row>
    <row r="34" ht="12" customFormat="1" customHeight="1" s="37">
      <c r="A34" s="111" t="inlineStr">
        <is>
          <t>조촌동 e편한세상군산디오션시티</t>
        </is>
      </c>
      <c r="B34" s="112" t="inlineStr">
        <is>
          <t>18.11.</t>
        </is>
      </c>
      <c r="C34" s="132" t="n">
        <v>854</v>
      </c>
      <c r="D34" s="133" t="n">
        <v>80.5</v>
      </c>
      <c r="E34" s="134" t="n">
        <v>24</v>
      </c>
      <c r="F34" s="133" t="n">
        <v>59.9</v>
      </c>
      <c r="G34" s="17" t="n">
        <v>18</v>
      </c>
      <c r="H34" s="135" t="n">
        <v>174</v>
      </c>
      <c r="I34" s="136" t="n">
        <v>32000</v>
      </c>
      <c r="J34" s="136" t="inlineStr">
        <is>
          <t>23</t>
        </is>
      </c>
      <c r="K34" s="136" t="n">
        <v>25000</v>
      </c>
      <c r="L34" s="136" t="inlineStr">
        <is>
          <t>13</t>
        </is>
      </c>
      <c r="M34" s="137">
        <f>I34-K34</f>
        <v/>
      </c>
      <c r="N34" s="4">
        <f>IF(ISERROR(K34/I34),"",K34/I34)</f>
        <v/>
      </c>
      <c r="O34" s="138">
        <f>I34/E34</f>
        <v/>
      </c>
      <c r="P34" s="138">
        <f>K34/E34</f>
        <v/>
      </c>
      <c r="Q34" s="123" t="n">
        <v>3</v>
      </c>
      <c r="R34" s="123" t="n">
        <v>2</v>
      </c>
      <c r="S34" s="123" t="inlineStr">
        <is>
          <t>계</t>
        </is>
      </c>
      <c r="T34" s="5" t="n">
        <v>80</v>
      </c>
      <c r="U34" s="9" t="n"/>
    </row>
    <row r="35" ht="12" customFormat="1" customHeight="1" s="37">
      <c r="A35" s="111" t="inlineStr">
        <is>
          <t>수송동 군산수송세영리첼</t>
        </is>
      </c>
      <c r="B35" s="112" t="inlineStr">
        <is>
          <t>10.06.</t>
        </is>
      </c>
      <c r="C35" s="132" t="n">
        <v>1041</v>
      </c>
      <c r="D35" s="133" t="n">
        <v>114.2</v>
      </c>
      <c r="E35" s="134" t="n">
        <v>35</v>
      </c>
      <c r="F35" s="133" t="n">
        <v>85</v>
      </c>
      <c r="G35" s="17" t="n">
        <v>26</v>
      </c>
      <c r="H35" s="135" t="n">
        <v>466</v>
      </c>
      <c r="I35" s="136" t="n">
        <v>31700</v>
      </c>
      <c r="J35" s="136" t="inlineStr">
        <is>
          <t>9</t>
        </is>
      </c>
      <c r="K35" s="136" t="n">
        <v>26000</v>
      </c>
      <c r="L35" s="136" t="inlineStr">
        <is>
          <t>16</t>
        </is>
      </c>
      <c r="M35" s="137">
        <f>I35-K35</f>
        <v/>
      </c>
      <c r="N35" s="4">
        <f>IF(ISERROR(K35/I35),"",K35/I35)</f>
        <v/>
      </c>
      <c r="O35" s="138">
        <f>I35/E35</f>
        <v/>
      </c>
      <c r="P35" s="138">
        <f>K35/E35</f>
        <v/>
      </c>
      <c r="Q35" s="123" t="n">
        <v>3</v>
      </c>
      <c r="R35" s="123" t="n">
        <v>2</v>
      </c>
      <c r="S35" s="123" t="inlineStr">
        <is>
          <t>계</t>
        </is>
      </c>
      <c r="T35" s="5" t="inlineStr">
        <is>
          <t>114A</t>
        </is>
      </c>
      <c r="U35" s="9" t="n"/>
    </row>
    <row r="36" ht="12" customFormat="1" customHeight="1" s="37">
      <c r="A36" s="111" t="inlineStr">
        <is>
          <t>미장동 수송공원삼성쉐르빌</t>
        </is>
      </c>
      <c r="B36" s="112" t="inlineStr">
        <is>
          <t>09.12.</t>
        </is>
      </c>
      <c r="C36" s="132" t="n">
        <v>654</v>
      </c>
      <c r="D36" s="133" t="n">
        <v>113</v>
      </c>
      <c r="E36" s="134" t="n">
        <v>34</v>
      </c>
      <c r="F36" s="133" t="n">
        <v>84.40000000000001</v>
      </c>
      <c r="G36" s="17" t="n">
        <v>26</v>
      </c>
      <c r="H36" s="135" t="n">
        <v>205</v>
      </c>
      <c r="I36" s="136" t="n">
        <v>31000</v>
      </c>
      <c r="J36" s="136" t="inlineStr">
        <is>
          <t>11</t>
        </is>
      </c>
      <c r="K36" s="136" t="n">
        <v>24000</v>
      </c>
      <c r="L36" s="136" t="inlineStr">
        <is>
          <t>8</t>
        </is>
      </c>
      <c r="M36" s="137">
        <f>I36-K36</f>
        <v/>
      </c>
      <c r="N36" s="4">
        <f>IF(ISERROR(K36/I36),"",K36/I36)</f>
        <v/>
      </c>
      <c r="O36" s="138">
        <f>I36/E36</f>
        <v/>
      </c>
      <c r="P36" s="138">
        <f>K36/E36</f>
        <v/>
      </c>
      <c r="Q36" s="123" t="n">
        <v>3</v>
      </c>
      <c r="R36" s="123" t="n">
        <v>2</v>
      </c>
      <c r="S36" s="123" t="inlineStr">
        <is>
          <t>계</t>
        </is>
      </c>
      <c r="T36" s="5" t="inlineStr">
        <is>
          <t>113A</t>
        </is>
      </c>
      <c r="U36" s="9" t="n"/>
    </row>
    <row r="37" ht="12" customFormat="1" customHeight="1" s="37">
      <c r="A37" s="111" t="inlineStr">
        <is>
          <t>옥산면 군산대광로제비앙</t>
        </is>
      </c>
      <c r="B37" s="112" t="inlineStr">
        <is>
          <t>17.12.</t>
        </is>
      </c>
      <c r="C37" s="132" t="n">
        <v>469</v>
      </c>
      <c r="D37" s="133" t="n">
        <v>109.8</v>
      </c>
      <c r="E37" s="134" t="n">
        <v>33</v>
      </c>
      <c r="F37" s="133" t="n">
        <v>85</v>
      </c>
      <c r="G37" s="17" t="n">
        <v>26</v>
      </c>
      <c r="H37" s="135" t="n">
        <v>380</v>
      </c>
      <c r="I37" s="136" t="n">
        <v>31000</v>
      </c>
      <c r="J37" s="136" t="inlineStr">
        <is>
          <t>19</t>
        </is>
      </c>
      <c r="K37" s="136" t="n">
        <v>24000</v>
      </c>
      <c r="L37" s="136" t="inlineStr">
        <is>
          <t>23</t>
        </is>
      </c>
      <c r="M37" s="137">
        <f>I37-K37</f>
        <v/>
      </c>
      <c r="N37" s="4">
        <f>IF(ISERROR(K37/I37),"",K37/I37)</f>
        <v/>
      </c>
      <c r="O37" s="138">
        <f>I37/E37</f>
        <v/>
      </c>
      <c r="P37" s="138">
        <f>K37/E37</f>
        <v/>
      </c>
      <c r="Q37" s="123" t="n">
        <v>3</v>
      </c>
      <c r="R37" s="123" t="n">
        <v>2</v>
      </c>
      <c r="S37" s="123" t="inlineStr">
        <is>
          <t>계</t>
        </is>
      </c>
      <c r="T37" s="5" t="inlineStr">
        <is>
          <t>109A</t>
        </is>
      </c>
      <c r="U37" s="9" t="n"/>
    </row>
    <row r="38" ht="12" customFormat="1" customHeight="1" s="37">
      <c r="A38" s="111" t="inlineStr">
        <is>
          <t>수송동 군산수송제일오투그란데1단지</t>
        </is>
      </c>
      <c r="B38" s="112" t="inlineStr">
        <is>
          <t>08.10.</t>
        </is>
      </c>
      <c r="C38" s="132" t="n">
        <v>724</v>
      </c>
      <c r="D38" s="133" t="n">
        <v>115.6</v>
      </c>
      <c r="E38" s="134" t="n">
        <v>35</v>
      </c>
      <c r="F38" s="133" t="n">
        <v>84.90000000000001</v>
      </c>
      <c r="G38" s="17" t="n">
        <v>26</v>
      </c>
      <c r="H38" s="135" t="n">
        <v>206</v>
      </c>
      <c r="I38" s="136" t="n">
        <v>30000</v>
      </c>
      <c r="J38" s="136" t="inlineStr">
        <is>
          <t>15</t>
        </is>
      </c>
      <c r="K38" s="136" t="n">
        <v>28000</v>
      </c>
      <c r="L38" s="136" t="inlineStr">
        <is>
          <t>6</t>
        </is>
      </c>
      <c r="M38" s="137">
        <f>I38-K38</f>
        <v/>
      </c>
      <c r="N38" s="4">
        <f>IF(ISERROR(K38/I38),"",K38/I38)</f>
        <v/>
      </c>
      <c r="O38" s="138">
        <f>I38/E38</f>
        <v/>
      </c>
      <c r="P38" s="138">
        <f>K38/E38</f>
        <v/>
      </c>
      <c r="Q38" s="123" t="n">
        <v>3</v>
      </c>
      <c r="R38" s="123" t="n">
        <v>2</v>
      </c>
      <c r="S38" s="123" t="inlineStr">
        <is>
          <t>계</t>
        </is>
      </c>
      <c r="T38" s="5" t="inlineStr">
        <is>
          <t>115A</t>
        </is>
      </c>
      <c r="U38" s="9" t="n"/>
    </row>
    <row r="39" ht="12" customFormat="1" customHeight="1" s="37">
      <c r="A39" s="111" t="inlineStr">
        <is>
          <t>나운동 나운보람더하임</t>
        </is>
      </c>
      <c r="B39" s="112" t="inlineStr">
        <is>
          <t>10.03.</t>
        </is>
      </c>
      <c r="C39" s="132" t="n">
        <v>437</v>
      </c>
      <c r="D39" s="133" t="n">
        <v>152.7</v>
      </c>
      <c r="E39" s="134" t="n">
        <v>46</v>
      </c>
      <c r="F39" s="133" t="n">
        <v>118.6</v>
      </c>
      <c r="G39" s="17" t="n">
        <v>36</v>
      </c>
      <c r="H39" s="135" t="n">
        <v>54</v>
      </c>
      <c r="I39" s="136" t="n">
        <v>29500</v>
      </c>
      <c r="J39" s="136" t="inlineStr">
        <is>
          <t>5</t>
        </is>
      </c>
      <c r="K39" s="136" t="n"/>
      <c r="L39" s="136" t="n"/>
      <c r="M39" s="137">
        <f>I39-K39</f>
        <v/>
      </c>
      <c r="N39" s="4">
        <f>IF(ISERROR(K39/I39),"",K39/I39)</f>
        <v/>
      </c>
      <c r="O39" s="138">
        <f>I39/E39</f>
        <v/>
      </c>
      <c r="P39" s="138">
        <f>K39/E39</f>
        <v/>
      </c>
      <c r="Q39" s="123" t="n">
        <v>4</v>
      </c>
      <c r="R39" s="123" t="n">
        <v>2</v>
      </c>
      <c r="S39" s="123" t="inlineStr">
        <is>
          <t>계</t>
        </is>
      </c>
      <c r="T39" s="5" t="n">
        <v>152</v>
      </c>
      <c r="U39" s="9" t="n"/>
    </row>
    <row r="40" ht="12" customFormat="1" customHeight="1" s="37">
      <c r="A40" s="111" t="inlineStr">
        <is>
          <t>미장동 미장대원칸타빌</t>
        </is>
      </c>
      <c r="B40" s="112" t="inlineStr">
        <is>
          <t>18.06.</t>
        </is>
      </c>
      <c r="C40" s="132" t="n">
        <v>805</v>
      </c>
      <c r="D40" s="133" t="n">
        <v>87.90000000000001</v>
      </c>
      <c r="E40" s="134" t="n">
        <v>27</v>
      </c>
      <c r="F40" s="133" t="n">
        <v>65.90000000000001</v>
      </c>
      <c r="G40" s="17" t="n">
        <v>20</v>
      </c>
      <c r="H40" s="135" t="n">
        <v>47</v>
      </c>
      <c r="I40" s="136" t="n">
        <v>29000</v>
      </c>
      <c r="J40" s="136" t="inlineStr">
        <is>
          <t>21</t>
        </is>
      </c>
      <c r="K40" s="136" t="n"/>
      <c r="L40" s="136" t="n"/>
      <c r="M40" s="137">
        <f>I40-K40</f>
        <v/>
      </c>
      <c r="N40" s="4">
        <f>IF(ISERROR(K40/I40),"",K40/I40)</f>
        <v/>
      </c>
      <c r="O40" s="138">
        <f>I40/E40</f>
        <v/>
      </c>
      <c r="P40" s="138">
        <f>K40/E40</f>
        <v/>
      </c>
      <c r="Q40" s="123" t="n">
        <v>3</v>
      </c>
      <c r="R40" s="123" t="n">
        <v>2</v>
      </c>
      <c r="S40" s="123" t="inlineStr">
        <is>
          <t>계</t>
        </is>
      </c>
      <c r="T40" s="5" t="inlineStr">
        <is>
          <t>87B</t>
        </is>
      </c>
      <c r="U40" s="9" t="n"/>
    </row>
    <row r="41" ht="12" customFormat="1" customHeight="1" s="37">
      <c r="A41" s="111" t="inlineStr">
        <is>
          <t>미장동 미장대원칸타빌</t>
        </is>
      </c>
      <c r="B41" s="112" t="inlineStr">
        <is>
          <t>18.06.</t>
        </is>
      </c>
      <c r="C41" s="132" t="n">
        <v>805</v>
      </c>
      <c r="D41" s="133" t="n">
        <v>80.3</v>
      </c>
      <c r="E41" s="134" t="n">
        <v>24</v>
      </c>
      <c r="F41" s="133" t="n">
        <v>59.9</v>
      </c>
      <c r="G41" s="17" t="n">
        <v>18</v>
      </c>
      <c r="H41" s="135" t="n">
        <v>78</v>
      </c>
      <c r="I41" s="136" t="n">
        <v>28500</v>
      </c>
      <c r="J41" s="136" t="inlineStr">
        <is>
          <t>19</t>
        </is>
      </c>
      <c r="K41" s="136" t="n"/>
      <c r="L41" s="136" t="n"/>
      <c r="M41" s="137">
        <f>I41-K41</f>
        <v/>
      </c>
      <c r="N41" s="4">
        <f>IF(ISERROR(K41/I41),"",K41/I41)</f>
        <v/>
      </c>
      <c r="O41" s="138">
        <f>I41/E41</f>
        <v/>
      </c>
      <c r="P41" s="138">
        <f>K41/E41</f>
        <v/>
      </c>
      <c r="Q41" s="123" t="n">
        <v>3</v>
      </c>
      <c r="R41" s="123" t="n">
        <v>1</v>
      </c>
      <c r="S41" s="123" t="inlineStr">
        <is>
          <t>계</t>
        </is>
      </c>
      <c r="T41" s="5" t="n">
        <v>80</v>
      </c>
      <c r="U41" s="9" t="n"/>
    </row>
    <row r="42" ht="12" customFormat="1" customHeight="1" s="37">
      <c r="A42" s="111" t="inlineStr">
        <is>
          <t>조촌동 타워써미트</t>
        </is>
      </c>
      <c r="B42" s="112" t="inlineStr">
        <is>
          <t>12.06.</t>
        </is>
      </c>
      <c r="C42" s="132" t="n">
        <v>770</v>
      </c>
      <c r="D42" s="133" t="n">
        <v>112.1</v>
      </c>
      <c r="E42" s="134" t="n">
        <v>34</v>
      </c>
      <c r="F42" s="133" t="n">
        <v>85</v>
      </c>
      <c r="G42" s="17" t="n">
        <v>26</v>
      </c>
      <c r="H42" s="135" t="n">
        <v>277</v>
      </c>
      <c r="I42" s="136" t="n">
        <v>28000</v>
      </c>
      <c r="J42" s="136" t="inlineStr">
        <is>
          <t>7</t>
        </is>
      </c>
      <c r="K42" s="136" t="n">
        <v>20000</v>
      </c>
      <c r="L42" s="136" t="inlineStr">
        <is>
          <t>중</t>
        </is>
      </c>
      <c r="M42" s="137">
        <f>I42-K42</f>
        <v/>
      </c>
      <c r="N42" s="4">
        <f>IF(ISERROR(K42/I42),"",K42/I42)</f>
        <v/>
      </c>
      <c r="O42" s="138">
        <f>I42/E42</f>
        <v/>
      </c>
      <c r="P42" s="138">
        <f>K42/E42</f>
        <v/>
      </c>
      <c r="Q42" s="123" t="n">
        <v>3</v>
      </c>
      <c r="R42" s="123" t="n">
        <v>2</v>
      </c>
      <c r="S42" s="123" t="inlineStr">
        <is>
          <t>계</t>
        </is>
      </c>
      <c r="T42" s="5" t="inlineStr">
        <is>
          <t>112B</t>
        </is>
      </c>
      <c r="U42" s="9" t="n"/>
    </row>
    <row r="43" ht="12" customFormat="1" customHeight="1" s="37">
      <c r="A43" s="111" t="inlineStr">
        <is>
          <t>경암동 경암제일오투그란데</t>
        </is>
      </c>
      <c r="B43" s="112" t="inlineStr">
        <is>
          <t>15.11.</t>
        </is>
      </c>
      <c r="C43" s="132" t="n">
        <v>352</v>
      </c>
      <c r="D43" s="133" t="n">
        <v>110.6</v>
      </c>
      <c r="E43" s="134" t="n">
        <v>33</v>
      </c>
      <c r="F43" s="133" t="n">
        <v>84.5</v>
      </c>
      <c r="G43" s="17" t="n">
        <v>26</v>
      </c>
      <c r="H43" s="135" t="n">
        <v>131</v>
      </c>
      <c r="I43" s="136" t="n">
        <v>27000</v>
      </c>
      <c r="J43" s="136" t="inlineStr">
        <is>
          <t>9</t>
        </is>
      </c>
      <c r="K43" s="136" t="n"/>
      <c r="L43" s="136" t="n"/>
      <c r="M43" s="137">
        <f>I43-K43</f>
        <v/>
      </c>
      <c r="N43" s="4">
        <f>IF(ISERROR(K43/I43),"",K43/I43)</f>
        <v/>
      </c>
      <c r="O43" s="138">
        <f>I43/E43</f>
        <v/>
      </c>
      <c r="P43" s="138">
        <f>K43/E43</f>
        <v/>
      </c>
      <c r="Q43" s="123" t="n">
        <v>3</v>
      </c>
      <c r="R43" s="123" t="n">
        <v>2</v>
      </c>
      <c r="S43" s="123" t="inlineStr">
        <is>
          <t>계</t>
        </is>
      </c>
      <c r="T43" s="5" t="inlineStr">
        <is>
          <t>110B</t>
        </is>
      </c>
      <c r="U43" s="9" t="n"/>
    </row>
    <row r="44" ht="12" customFormat="1" customHeight="1" s="37">
      <c r="A44" s="111" t="inlineStr">
        <is>
          <t>수송동 군산수송제일오투그란데1단지</t>
        </is>
      </c>
      <c r="B44" s="112" t="inlineStr">
        <is>
          <t>08.10.</t>
        </is>
      </c>
      <c r="C44" s="132" t="n">
        <v>724</v>
      </c>
      <c r="D44" s="133" t="n">
        <v>99</v>
      </c>
      <c r="E44" s="134" t="n">
        <v>30</v>
      </c>
      <c r="F44" s="133" t="n">
        <v>69</v>
      </c>
      <c r="G44" s="17" t="n">
        <v>21</v>
      </c>
      <c r="H44" s="135" t="n">
        <v>212</v>
      </c>
      <c r="I44" s="136" t="n">
        <v>27000</v>
      </c>
      <c r="J44" s="136" t="inlineStr">
        <is>
          <t>9</t>
        </is>
      </c>
      <c r="K44" s="136" t="n">
        <v>22500</v>
      </c>
      <c r="L44" s="136" t="inlineStr">
        <is>
          <t>5</t>
        </is>
      </c>
      <c r="M44" s="137">
        <f>I44-K44</f>
        <v/>
      </c>
      <c r="N44" s="4">
        <f>IF(ISERROR(K44/I44),"",K44/I44)</f>
        <v/>
      </c>
      <c r="O44" s="138">
        <f>I44/E44</f>
        <v/>
      </c>
      <c r="P44" s="138">
        <f>K44/E44</f>
        <v/>
      </c>
      <c r="Q44" s="123" t="n">
        <v>3</v>
      </c>
      <c r="R44" s="123" t="n">
        <v>2</v>
      </c>
      <c r="S44" s="123" t="inlineStr">
        <is>
          <t>계</t>
        </is>
      </c>
      <c r="T44" s="5" t="n">
        <v>99</v>
      </c>
      <c r="U44" s="9" t="n"/>
    </row>
    <row r="45" ht="12" customFormat="1" customHeight="1" s="37">
      <c r="A45" s="111" t="inlineStr">
        <is>
          <t>옥산면 힐스테이트은파</t>
        </is>
      </c>
      <c r="B45" s="112" t="inlineStr">
        <is>
          <t>15.09.</t>
        </is>
      </c>
      <c r="C45" s="132" t="n">
        <v>449</v>
      </c>
      <c r="D45" s="133" t="n">
        <v>110.9</v>
      </c>
      <c r="E45" s="134" t="n">
        <v>34</v>
      </c>
      <c r="F45" s="133" t="n">
        <v>85</v>
      </c>
      <c r="G45" s="17" t="n">
        <v>26</v>
      </c>
      <c r="H45" s="135" t="n">
        <v>449</v>
      </c>
      <c r="I45" s="136" t="n">
        <v>27000</v>
      </c>
      <c r="J45" s="136" t="inlineStr">
        <is>
          <t>18</t>
        </is>
      </c>
      <c r="K45" s="136" t="n">
        <v>23000</v>
      </c>
      <c r="L45" s="136" t="inlineStr">
        <is>
          <t>14</t>
        </is>
      </c>
      <c r="M45" s="137">
        <f>I45-K45</f>
        <v/>
      </c>
      <c r="N45" s="4">
        <f>IF(ISERROR(K45/I45),"",K45/I45)</f>
        <v/>
      </c>
      <c r="O45" s="138">
        <f>I45/E45</f>
        <v/>
      </c>
      <c r="P45" s="138">
        <f>K45/E45</f>
        <v/>
      </c>
      <c r="Q45" s="123" t="n">
        <v>3</v>
      </c>
      <c r="R45" s="123" t="n">
        <v>2</v>
      </c>
      <c r="S45" s="123" t="inlineStr">
        <is>
          <t>계</t>
        </is>
      </c>
      <c r="T45" s="5" t="n">
        <v>110</v>
      </c>
      <c r="U45" s="9" t="n"/>
    </row>
    <row r="46" ht="12" customFormat="1" customHeight="1" s="37">
      <c r="A46" s="111" t="inlineStr">
        <is>
          <t>조촌동 센트럴파크</t>
        </is>
      </c>
      <c r="B46" s="112" t="inlineStr">
        <is>
          <t>17.10.</t>
        </is>
      </c>
      <c r="C46" s="132" t="n">
        <v>480</v>
      </c>
      <c r="D46" s="133" t="n">
        <v>110.7</v>
      </c>
      <c r="E46" s="134" t="n">
        <v>33</v>
      </c>
      <c r="F46" s="133" t="n">
        <v>84.90000000000001</v>
      </c>
      <c r="G46" s="17" t="n">
        <v>26</v>
      </c>
      <c r="H46" s="135" t="n">
        <v>251</v>
      </c>
      <c r="I46" s="136" t="n">
        <v>27000</v>
      </c>
      <c r="J46" s="136" t="inlineStr">
        <is>
          <t>14</t>
        </is>
      </c>
      <c r="K46" s="136" t="n">
        <v>24000</v>
      </c>
      <c r="L46" s="136" t="inlineStr">
        <is>
          <t>30</t>
        </is>
      </c>
      <c r="M46" s="137">
        <f>I46-K46</f>
        <v/>
      </c>
      <c r="N46" s="4">
        <f>IF(ISERROR(K46/I46),"",K46/I46)</f>
        <v/>
      </c>
      <c r="O46" s="138">
        <f>I46/E46</f>
        <v/>
      </c>
      <c r="P46" s="138">
        <f>K46/E46</f>
        <v/>
      </c>
      <c r="Q46" s="123" t="n">
        <v>3</v>
      </c>
      <c r="R46" s="123" t="n">
        <v>2</v>
      </c>
      <c r="S46" s="123" t="inlineStr">
        <is>
          <t>계</t>
        </is>
      </c>
      <c r="T46" s="5" t="inlineStr">
        <is>
          <t>110A</t>
        </is>
      </c>
      <c r="U46" s="9" t="n"/>
    </row>
    <row r="47" ht="12" customFormat="1" customHeight="1" s="37">
      <c r="A47" s="111" t="inlineStr">
        <is>
          <t>미장동 군산미장아이파크</t>
        </is>
      </c>
      <c r="B47" s="112" t="inlineStr">
        <is>
          <t>15.01.</t>
        </is>
      </c>
      <c r="C47" s="132" t="n">
        <v>1078</v>
      </c>
      <c r="D47" s="133" t="n">
        <v>80.3</v>
      </c>
      <c r="E47" s="134" t="n">
        <v>24</v>
      </c>
      <c r="F47" s="133" t="n">
        <v>60</v>
      </c>
      <c r="G47" s="17" t="n">
        <v>18</v>
      </c>
      <c r="H47" s="135" t="n">
        <v>141</v>
      </c>
      <c r="I47" s="136" t="n">
        <v>24000</v>
      </c>
      <c r="J47" s="136" t="inlineStr">
        <is>
          <t>5</t>
        </is>
      </c>
      <c r="K47" s="136" t="n"/>
      <c r="L47" s="136" t="n"/>
      <c r="M47" s="137">
        <f>I47-K47</f>
        <v/>
      </c>
      <c r="N47" s="4">
        <f>IF(ISERROR(K47/I47),"",K47/I47)</f>
        <v/>
      </c>
      <c r="O47" s="138">
        <f>I47/E47</f>
        <v/>
      </c>
      <c r="P47" s="138">
        <f>K47/E47</f>
        <v/>
      </c>
      <c r="Q47" s="123" t="n">
        <v>3</v>
      </c>
      <c r="R47" s="123" t="n">
        <v>2</v>
      </c>
      <c r="S47" s="123" t="inlineStr">
        <is>
          <t>계</t>
        </is>
      </c>
      <c r="T47" s="5" t="n">
        <v>80</v>
      </c>
      <c r="U47" s="9" t="n"/>
    </row>
    <row r="48" ht="12" customFormat="1" customHeight="1" s="37">
      <c r="A48" s="111" t="inlineStr">
        <is>
          <t>나운동 현대4차</t>
        </is>
      </c>
      <c r="B48" s="112" t="inlineStr">
        <is>
          <t>98.09.</t>
        </is>
      </c>
      <c r="C48" s="132" t="n">
        <v>636</v>
      </c>
      <c r="D48" s="133" t="n">
        <v>124.6</v>
      </c>
      <c r="E48" s="134" t="n">
        <v>38</v>
      </c>
      <c r="F48" s="133" t="n">
        <v>99.90000000000001</v>
      </c>
      <c r="G48" s="17" t="n">
        <v>30</v>
      </c>
      <c r="H48" s="135" t="n">
        <v>78</v>
      </c>
      <c r="I48" s="136" t="n">
        <v>23000</v>
      </c>
      <c r="J48" s="136" t="inlineStr">
        <is>
          <t>5</t>
        </is>
      </c>
      <c r="K48" s="136" t="n"/>
      <c r="L48" s="136" t="n"/>
      <c r="M48" s="137">
        <f>I48-K48</f>
        <v/>
      </c>
      <c r="N48" s="4">
        <f>IF(ISERROR(K48/I48),"",K48/I48)</f>
        <v/>
      </c>
      <c r="O48" s="138">
        <f>I48/E48</f>
        <v/>
      </c>
      <c r="P48" s="138">
        <f>K48/E48</f>
        <v/>
      </c>
      <c r="Q48" s="123" t="n">
        <v>3</v>
      </c>
      <c r="R48" s="123" t="n">
        <v>2</v>
      </c>
      <c r="S48" s="123" t="inlineStr">
        <is>
          <t>계</t>
        </is>
      </c>
      <c r="T48" s="5" t="n">
        <v>124</v>
      </c>
      <c r="U48" s="9" t="n"/>
    </row>
    <row r="49" ht="12" customFormat="1" customHeight="1" s="37">
      <c r="A49" s="111" t="inlineStr">
        <is>
          <t>나운동 주공3단지</t>
        </is>
      </c>
      <c r="B49" s="112" t="inlineStr">
        <is>
          <t>83.12.</t>
        </is>
      </c>
      <c r="C49" s="132" t="n">
        <v>800</v>
      </c>
      <c r="D49" s="133" t="n">
        <v>66</v>
      </c>
      <c r="E49" s="134" t="n">
        <v>20</v>
      </c>
      <c r="F49" s="133" t="n">
        <v>66</v>
      </c>
      <c r="G49" s="17" t="n">
        <v>20</v>
      </c>
      <c r="H49" s="135" t="n">
        <v>125</v>
      </c>
      <c r="I49" s="136" t="n">
        <v>22000</v>
      </c>
      <c r="J49" s="136" t="inlineStr">
        <is>
          <t>고</t>
        </is>
      </c>
      <c r="K49" s="136" t="n"/>
      <c r="L49" s="136" t="n"/>
      <c r="M49" s="137">
        <f>I49-K49</f>
        <v/>
      </c>
      <c r="N49" s="4">
        <f>IF(ISERROR(K49/I49),"",K49/I49)</f>
        <v/>
      </c>
      <c r="O49" s="138">
        <f>I49/E49</f>
        <v/>
      </c>
      <c r="P49" s="138">
        <f>K49/E49</f>
        <v/>
      </c>
      <c r="Q49" s="123" t="n">
        <v>3</v>
      </c>
      <c r="R49" s="123" t="n">
        <v>1</v>
      </c>
      <c r="S49" s="123" t="inlineStr">
        <is>
          <t>계</t>
        </is>
      </c>
      <c r="T49" s="5" t="inlineStr">
        <is>
          <t>65B</t>
        </is>
      </c>
      <c r="U49" s="9" t="n"/>
    </row>
    <row r="50" ht="12" customFormat="1" customHeight="1" s="37">
      <c r="A50" s="111" t="inlineStr">
        <is>
          <t>나운동 롯데3차</t>
        </is>
      </c>
      <c r="B50" s="112" t="inlineStr">
        <is>
          <t>94.06.</t>
        </is>
      </c>
      <c r="C50" s="132" t="n">
        <v>572</v>
      </c>
      <c r="D50" s="133" t="n">
        <v>153.4</v>
      </c>
      <c r="E50" s="134" t="n">
        <v>46</v>
      </c>
      <c r="F50" s="133" t="n">
        <v>131.8</v>
      </c>
      <c r="G50" s="17" t="n">
        <v>40</v>
      </c>
      <c r="H50" s="135" t="n">
        <v>52</v>
      </c>
      <c r="I50" s="136" t="n">
        <v>22000</v>
      </c>
      <c r="J50" s="136" t="inlineStr">
        <is>
          <t>12</t>
        </is>
      </c>
      <c r="K50" s="136" t="n"/>
      <c r="L50" s="136" t="n"/>
      <c r="M50" s="137">
        <f>I50-K50</f>
        <v/>
      </c>
      <c r="N50" s="4">
        <f>IF(ISERROR(K50/I50),"",K50/I50)</f>
        <v/>
      </c>
      <c r="O50" s="138">
        <f>I50/E50</f>
        <v/>
      </c>
      <c r="P50" s="138">
        <f>K50/E50</f>
        <v/>
      </c>
      <c r="Q50" s="123" t="n">
        <v>4</v>
      </c>
      <c r="R50" s="123" t="n">
        <v>2</v>
      </c>
      <c r="S50" s="123" t="inlineStr">
        <is>
          <t>계</t>
        </is>
      </c>
      <c r="T50" s="5" t="n">
        <v>153</v>
      </c>
      <c r="U50" s="9" t="n"/>
    </row>
    <row r="51" ht="12" customFormat="1" customHeight="1" s="37">
      <c r="A51" s="111" t="inlineStr">
        <is>
          <t>수송동 수송오투그란데2차</t>
        </is>
      </c>
      <c r="B51" s="112" t="inlineStr">
        <is>
          <t>11.03.</t>
        </is>
      </c>
      <c r="C51" s="132" t="n">
        <v>570</v>
      </c>
      <c r="D51" s="133" t="n">
        <v>83</v>
      </c>
      <c r="E51" s="134" t="n">
        <v>25</v>
      </c>
      <c r="F51" s="133" t="n">
        <v>60</v>
      </c>
      <c r="G51" s="17" t="n">
        <v>18</v>
      </c>
      <c r="H51" s="135" t="n">
        <v>235</v>
      </c>
      <c r="I51" s="136" t="n">
        <v>21500</v>
      </c>
      <c r="J51" s="136" t="inlineStr">
        <is>
          <t>5</t>
        </is>
      </c>
      <c r="K51" s="136" t="n">
        <v>18500</v>
      </c>
      <c r="L51" s="136" t="inlineStr">
        <is>
          <t>15</t>
        </is>
      </c>
      <c r="M51" s="137">
        <f>I51-K51</f>
        <v/>
      </c>
      <c r="N51" s="4">
        <f>IF(ISERROR(K51/I51),"",K51/I51)</f>
        <v/>
      </c>
      <c r="O51" s="138">
        <f>I51/E51</f>
        <v/>
      </c>
      <c r="P51" s="138">
        <f>K51/E51</f>
        <v/>
      </c>
      <c r="Q51" s="123" t="n">
        <v>3</v>
      </c>
      <c r="R51" s="123" t="n">
        <v>2</v>
      </c>
      <c r="S51" s="123" t="inlineStr">
        <is>
          <t>계</t>
        </is>
      </c>
      <c r="T51" s="5" t="inlineStr">
        <is>
          <t>82B</t>
        </is>
      </c>
      <c r="U51" s="9" t="n"/>
    </row>
    <row r="52" ht="12" customFormat="1" customHeight="1" s="37">
      <c r="A52" s="111" t="inlineStr">
        <is>
          <t>조촌동 타워써미트</t>
        </is>
      </c>
      <c r="B52" s="112" t="inlineStr">
        <is>
          <t>12.06.</t>
        </is>
      </c>
      <c r="C52" s="132" t="n">
        <v>770</v>
      </c>
      <c r="D52" s="133" t="n">
        <v>79.09999999999999</v>
      </c>
      <c r="E52" s="134" t="n">
        <v>24</v>
      </c>
      <c r="F52" s="133" t="n">
        <v>59.9</v>
      </c>
      <c r="G52" s="17" t="n">
        <v>18</v>
      </c>
      <c r="H52" s="135" t="n">
        <v>129</v>
      </c>
      <c r="I52" s="136" t="n">
        <v>21000</v>
      </c>
      <c r="J52" s="136" t="inlineStr">
        <is>
          <t>5</t>
        </is>
      </c>
      <c r="K52" s="136" t="n">
        <v>17000</v>
      </c>
      <c r="L52" s="136" t="inlineStr">
        <is>
          <t>24</t>
        </is>
      </c>
      <c r="M52" s="137">
        <f>I52-K52</f>
        <v/>
      </c>
      <c r="N52" s="4">
        <f>IF(ISERROR(K52/I52),"",K52/I52)</f>
        <v/>
      </c>
      <c r="O52" s="138">
        <f>I52/E52</f>
        <v/>
      </c>
      <c r="P52" s="138">
        <f>K52/E52</f>
        <v/>
      </c>
      <c r="Q52" s="123" t="n">
        <v>3</v>
      </c>
      <c r="R52" s="123" t="n">
        <v>1</v>
      </c>
      <c r="S52" s="123" t="inlineStr">
        <is>
          <t>계</t>
        </is>
      </c>
      <c r="T52" s="5" t="n">
        <v>79</v>
      </c>
      <c r="U52" s="9" t="n"/>
    </row>
    <row r="53" ht="12" customFormat="1" customHeight="1" s="37">
      <c r="A53" s="111" t="inlineStr">
        <is>
          <t>미장동 파인빌2차</t>
        </is>
      </c>
      <c r="B53" s="112" t="inlineStr">
        <is>
          <t>06.06.</t>
        </is>
      </c>
      <c r="C53" s="132" t="n">
        <v>351</v>
      </c>
      <c r="D53" s="133" t="n">
        <v>119.9</v>
      </c>
      <c r="E53" s="134" t="n">
        <v>36</v>
      </c>
      <c r="F53" s="133" t="n">
        <v>85</v>
      </c>
      <c r="G53" s="17" t="n">
        <v>26</v>
      </c>
      <c r="H53" s="135" t="n">
        <v>202</v>
      </c>
      <c r="I53" s="136" t="n">
        <v>20500</v>
      </c>
      <c r="J53" s="136" t="inlineStr">
        <is>
          <t>14</t>
        </is>
      </c>
      <c r="K53" s="136" t="n">
        <v>19000</v>
      </c>
      <c r="L53" s="136" t="inlineStr">
        <is>
          <t>9</t>
        </is>
      </c>
      <c r="M53" s="137">
        <f>I53-K53</f>
        <v/>
      </c>
      <c r="N53" s="4">
        <f>IF(ISERROR(K53/I53),"",K53/I53)</f>
        <v/>
      </c>
      <c r="O53" s="138">
        <f>I53/E53</f>
        <v/>
      </c>
      <c r="P53" s="138">
        <f>K53/E53</f>
        <v/>
      </c>
      <c r="Q53" s="123" t="n">
        <v>3</v>
      </c>
      <c r="R53" s="123" t="n">
        <v>2</v>
      </c>
      <c r="S53" s="123" t="inlineStr">
        <is>
          <t>복</t>
        </is>
      </c>
      <c r="T53" s="5" t="n">
        <v>119</v>
      </c>
      <c r="U53" s="9" t="n"/>
    </row>
    <row r="54" ht="12" customFormat="1" customHeight="1" s="37">
      <c r="A54" s="111" t="inlineStr">
        <is>
          <t>수송동 현대</t>
        </is>
      </c>
      <c r="B54" s="112" t="inlineStr">
        <is>
          <t>97.06.</t>
        </is>
      </c>
      <c r="C54" s="132" t="n">
        <v>657</v>
      </c>
      <c r="D54" s="133" t="n">
        <v>105.2</v>
      </c>
      <c r="E54" s="134" t="n">
        <v>32</v>
      </c>
      <c r="F54" s="133" t="n">
        <v>85</v>
      </c>
      <c r="G54" s="17" t="n">
        <v>26</v>
      </c>
      <c r="H54" s="135" t="n">
        <v>249</v>
      </c>
      <c r="I54" s="136" t="n">
        <v>20000</v>
      </c>
      <c r="J54" s="136" t="inlineStr">
        <is>
          <t>14</t>
        </is>
      </c>
      <c r="K54" s="136" t="n">
        <v>18000</v>
      </c>
      <c r="L54" s="136" t="inlineStr">
        <is>
          <t>12</t>
        </is>
      </c>
      <c r="M54" s="137">
        <f>I54-K54</f>
        <v/>
      </c>
      <c r="N54" s="4">
        <f>IF(ISERROR(K54/I54),"",K54/I54)</f>
        <v/>
      </c>
      <c r="O54" s="138">
        <f>I54/E54</f>
        <v/>
      </c>
      <c r="P54" s="138">
        <f>K54/E54</f>
        <v/>
      </c>
      <c r="Q54" s="123" t="n">
        <v>3</v>
      </c>
      <c r="R54" s="123" t="n">
        <v>2</v>
      </c>
      <c r="S54" s="123" t="inlineStr">
        <is>
          <t>계</t>
        </is>
      </c>
      <c r="T54" s="5" t="n">
        <v>105</v>
      </c>
      <c r="U54" s="9" t="n"/>
    </row>
    <row r="55" ht="12" customFormat="1" customHeight="1" s="37">
      <c r="A55" s="111" t="inlineStr">
        <is>
          <t>나운동 수송코아루</t>
        </is>
      </c>
      <c r="B55" s="112" t="inlineStr">
        <is>
          <t>09.03.</t>
        </is>
      </c>
      <c r="C55" s="132" t="n">
        <v>392</v>
      </c>
      <c r="D55" s="133" t="n">
        <v>87.09999999999999</v>
      </c>
      <c r="E55" s="134" t="n">
        <v>26</v>
      </c>
      <c r="F55" s="133" t="n">
        <v>59.6</v>
      </c>
      <c r="G55" s="17" t="n">
        <v>18</v>
      </c>
      <c r="H55" s="135" t="n">
        <v>392</v>
      </c>
      <c r="I55" s="136" t="n">
        <v>19800</v>
      </c>
      <c r="J55" s="136" t="inlineStr">
        <is>
          <t>19</t>
        </is>
      </c>
      <c r="K55" s="136" t="n"/>
      <c r="L55" s="136" t="n"/>
      <c r="M55" s="137">
        <f>I55-K55</f>
        <v/>
      </c>
      <c r="N55" s="4">
        <f>IF(ISERROR(K55/I55),"",K55/I55)</f>
        <v/>
      </c>
      <c r="O55" s="138">
        <f>I55/E55</f>
        <v/>
      </c>
      <c r="P55" s="138">
        <f>K55/E55</f>
        <v/>
      </c>
      <c r="Q55" s="123" t="n">
        <v>3</v>
      </c>
      <c r="R55" s="123" t="n">
        <v>2</v>
      </c>
      <c r="S55" s="123" t="inlineStr">
        <is>
          <t>계</t>
        </is>
      </c>
      <c r="T55" s="5" t="n">
        <v>87</v>
      </c>
      <c r="U55" s="9" t="n"/>
    </row>
    <row r="56" ht="12" customFormat="1" customHeight="1" s="37">
      <c r="A56" s="111" t="inlineStr">
        <is>
          <t>나운동 현대4차</t>
        </is>
      </c>
      <c r="B56" s="112" t="inlineStr">
        <is>
          <t>98.09.</t>
        </is>
      </c>
      <c r="C56" s="132" t="n">
        <v>636</v>
      </c>
      <c r="D56" s="133" t="n">
        <v>105.9</v>
      </c>
      <c r="E56" s="134" t="n">
        <v>32</v>
      </c>
      <c r="F56" s="133" t="n">
        <v>85</v>
      </c>
      <c r="G56" s="17" t="n">
        <v>26</v>
      </c>
      <c r="H56" s="135" t="n">
        <v>386</v>
      </c>
      <c r="I56" s="136" t="n">
        <v>19200</v>
      </c>
      <c r="J56" s="136" t="inlineStr">
        <is>
          <t>10</t>
        </is>
      </c>
      <c r="K56" s="136" t="n"/>
      <c r="L56" s="136" t="n"/>
      <c r="M56" s="137">
        <f>I56-K56</f>
        <v/>
      </c>
      <c r="N56" s="4">
        <f>IF(ISERROR(K56/I56),"",K56/I56)</f>
        <v/>
      </c>
      <c r="O56" s="138">
        <f>I56/E56</f>
        <v/>
      </c>
      <c r="P56" s="138">
        <f>K56/E56</f>
        <v/>
      </c>
      <c r="Q56" s="123" t="n">
        <v>3</v>
      </c>
      <c r="R56" s="123" t="n">
        <v>2</v>
      </c>
      <c r="S56" s="123" t="inlineStr">
        <is>
          <t>계</t>
        </is>
      </c>
      <c r="T56" s="5" t="n">
        <v>105</v>
      </c>
      <c r="U56" s="9" t="n"/>
    </row>
    <row r="57" ht="12" customFormat="1" customHeight="1" s="37">
      <c r="A57" s="111" t="inlineStr">
        <is>
          <t>수송동 수송제일</t>
        </is>
      </c>
      <c r="B57" s="112" t="inlineStr">
        <is>
          <t>02.03.</t>
        </is>
      </c>
      <c r="C57" s="132" t="n">
        <v>941</v>
      </c>
      <c r="D57" s="133" t="n">
        <v>111.5</v>
      </c>
      <c r="E57" s="134" t="n">
        <v>34</v>
      </c>
      <c r="F57" s="133" t="n">
        <v>84.7</v>
      </c>
      <c r="G57" s="17" t="n">
        <v>26</v>
      </c>
      <c r="H57" s="135" t="n">
        <v>729</v>
      </c>
      <c r="I57" s="136" t="n">
        <v>19000</v>
      </c>
      <c r="J57" s="136" t="inlineStr">
        <is>
          <t>17</t>
        </is>
      </c>
      <c r="K57" s="136" t="n">
        <v>17000</v>
      </c>
      <c r="L57" s="136" t="inlineStr">
        <is>
          <t>11</t>
        </is>
      </c>
      <c r="M57" s="137">
        <f>I57-K57</f>
        <v/>
      </c>
      <c r="N57" s="4">
        <f>IF(ISERROR(K57/I57),"",K57/I57)</f>
        <v/>
      </c>
      <c r="O57" s="138">
        <f>I57/E57</f>
        <v/>
      </c>
      <c r="P57" s="138">
        <f>K57/E57</f>
        <v/>
      </c>
      <c r="Q57" s="123" t="n">
        <v>3</v>
      </c>
      <c r="R57" s="123" t="n">
        <v>2</v>
      </c>
      <c r="S57" s="123" t="inlineStr">
        <is>
          <t>계</t>
        </is>
      </c>
      <c r="T57" s="5" t="inlineStr">
        <is>
          <t>111A</t>
        </is>
      </c>
      <c r="U57" s="9" t="n"/>
    </row>
    <row r="58" ht="12" customFormat="1" customHeight="1" s="37">
      <c r="A58" s="111" t="inlineStr">
        <is>
          <t>나운동 주공3단지</t>
        </is>
      </c>
      <c r="B58" s="112" t="inlineStr">
        <is>
          <t>83.12.</t>
        </is>
      </c>
      <c r="C58" s="132" t="n">
        <v>800</v>
      </c>
      <c r="D58" s="133" t="n">
        <v>54.1</v>
      </c>
      <c r="E58" s="134" t="n">
        <v>16</v>
      </c>
      <c r="F58" s="133" t="n">
        <v>54.1</v>
      </c>
      <c r="G58" s="17" t="n">
        <v>16</v>
      </c>
      <c r="H58" s="135" t="n">
        <v>115</v>
      </c>
      <c r="I58" s="136" t="n">
        <v>18000</v>
      </c>
      <c r="J58" s="136" t="inlineStr">
        <is>
          <t>5</t>
        </is>
      </c>
      <c r="K58" s="136" t="n"/>
      <c r="L58" s="136" t="n"/>
      <c r="M58" s="137">
        <f>I58-K58</f>
        <v/>
      </c>
      <c r="N58" s="4">
        <f>IF(ISERROR(K58/I58),"",K58/I58)</f>
        <v/>
      </c>
      <c r="O58" s="138">
        <f>I58/E58</f>
        <v/>
      </c>
      <c r="P58" s="138">
        <f>K58/E58</f>
        <v/>
      </c>
      <c r="Q58" s="123" t="n">
        <v>2</v>
      </c>
      <c r="R58" s="123" t="n">
        <v>1</v>
      </c>
      <c r="S58" s="123" t="inlineStr">
        <is>
          <t>계</t>
        </is>
      </c>
      <c r="T58" s="5" t="inlineStr">
        <is>
          <t>54B</t>
        </is>
      </c>
      <c r="U58" s="9" t="n"/>
    </row>
    <row r="59" ht="12" customFormat="1" customHeight="1" s="37">
      <c r="A59" s="111" t="inlineStr">
        <is>
          <t>나운동 동신</t>
        </is>
      </c>
      <c r="B59" s="112" t="inlineStr">
        <is>
          <t>97.12.</t>
        </is>
      </c>
      <c r="C59" s="132" t="n">
        <v>420</v>
      </c>
      <c r="D59" s="133" t="n">
        <v>112.4</v>
      </c>
      <c r="E59" s="134" t="n">
        <v>34</v>
      </c>
      <c r="F59" s="133" t="n">
        <v>92.3</v>
      </c>
      <c r="G59" s="17" t="n">
        <v>28</v>
      </c>
      <c r="H59" s="135" t="n">
        <v>270</v>
      </c>
      <c r="I59" s="136" t="n">
        <v>18000</v>
      </c>
      <c r="J59" s="136" t="inlineStr">
        <is>
          <t>15</t>
        </is>
      </c>
      <c r="K59" s="136" t="n"/>
      <c r="L59" s="136" t="n"/>
      <c r="M59" s="137">
        <f>I59-K59</f>
        <v/>
      </c>
      <c r="N59" s="4">
        <f>IF(ISERROR(K59/I59),"",K59/I59)</f>
        <v/>
      </c>
      <c r="O59" s="138">
        <f>I59/E59</f>
        <v/>
      </c>
      <c r="P59" s="138">
        <f>K59/E59</f>
        <v/>
      </c>
      <c r="Q59" s="123" t="n">
        <v>3</v>
      </c>
      <c r="R59" s="123" t="n">
        <v>2</v>
      </c>
      <c r="S59" s="123" t="inlineStr">
        <is>
          <t>계</t>
        </is>
      </c>
      <c r="T59" s="5" t="n">
        <v>112</v>
      </c>
      <c r="U59" s="9" t="n"/>
    </row>
    <row r="60" ht="12" customFormat="1" customHeight="1" s="37">
      <c r="A60" s="111" t="inlineStr">
        <is>
          <t>수송동 수송오투그란데2차</t>
        </is>
      </c>
      <c r="B60" s="112" t="inlineStr">
        <is>
          <t>11.03.</t>
        </is>
      </c>
      <c r="C60" s="132" t="n">
        <v>570</v>
      </c>
      <c r="D60" s="133" t="n">
        <v>71.8</v>
      </c>
      <c r="E60" s="134" t="n">
        <v>22</v>
      </c>
      <c r="F60" s="133" t="n">
        <v>49.9</v>
      </c>
      <c r="G60" s="17" t="n">
        <v>15</v>
      </c>
      <c r="H60" s="135" t="n">
        <v>104</v>
      </c>
      <c r="I60" s="136" t="n">
        <v>18000</v>
      </c>
      <c r="J60" s="136" t="inlineStr">
        <is>
          <t>13</t>
        </is>
      </c>
      <c r="K60" s="136" t="n">
        <v>16000</v>
      </c>
      <c r="L60" s="136" t="inlineStr">
        <is>
          <t>7</t>
        </is>
      </c>
      <c r="M60" s="137">
        <f>I60-K60</f>
        <v/>
      </c>
      <c r="N60" s="4">
        <f>IF(ISERROR(K60/I60),"",K60/I60)</f>
        <v/>
      </c>
      <c r="O60" s="138">
        <f>I60/E60</f>
        <v/>
      </c>
      <c r="P60" s="138">
        <f>K60/E60</f>
        <v/>
      </c>
      <c r="Q60" s="123" t="n">
        <v>2</v>
      </c>
      <c r="R60" s="123" t="n">
        <v>1</v>
      </c>
      <c r="S60" s="123" t="inlineStr">
        <is>
          <t>계</t>
        </is>
      </c>
      <c r="T60" s="5" t="n">
        <v>71</v>
      </c>
      <c r="U60" s="9" t="n"/>
    </row>
    <row r="61" ht="12" customFormat="1" customHeight="1" s="37">
      <c r="A61" s="111" t="inlineStr">
        <is>
          <t>나운동 주공3단지</t>
        </is>
      </c>
      <c r="B61" s="112" t="inlineStr">
        <is>
          <t>83.12.</t>
        </is>
      </c>
      <c r="C61" s="132" t="n">
        <v>800</v>
      </c>
      <c r="D61" s="133" t="n">
        <v>53.6</v>
      </c>
      <c r="E61" s="134" t="n">
        <v>16</v>
      </c>
      <c r="F61" s="133" t="n">
        <v>48.6</v>
      </c>
      <c r="G61" s="17" t="n">
        <v>15</v>
      </c>
      <c r="H61" s="135" t="n">
        <v>136</v>
      </c>
      <c r="I61" s="136" t="n">
        <v>17500</v>
      </c>
      <c r="J61" s="136" t="inlineStr">
        <is>
          <t>5</t>
        </is>
      </c>
      <c r="K61" s="136" t="n"/>
      <c r="L61" s="136" t="n"/>
      <c r="M61" s="137">
        <f>I61-K61</f>
        <v/>
      </c>
      <c r="N61" s="4">
        <f>IF(ISERROR(K61/I61),"",K61/I61)</f>
        <v/>
      </c>
      <c r="O61" s="138">
        <f>I61/E61</f>
        <v/>
      </c>
      <c r="P61" s="138">
        <f>K61/E61</f>
        <v/>
      </c>
      <c r="Q61" s="123" t="n">
        <v>2</v>
      </c>
      <c r="R61" s="123" t="n">
        <v>1</v>
      </c>
      <c r="S61" s="123" t="inlineStr">
        <is>
          <t>계</t>
        </is>
      </c>
      <c r="T61" s="5" t="inlineStr">
        <is>
          <t>53A</t>
        </is>
      </c>
      <c r="U61" s="9" t="n"/>
    </row>
    <row r="62" ht="12" customFormat="1" customHeight="1" s="37">
      <c r="A62" s="111" t="inlineStr">
        <is>
          <t>수송동 현대</t>
        </is>
      </c>
      <c r="B62" s="112" t="inlineStr">
        <is>
          <t>97.06.</t>
        </is>
      </c>
      <c r="C62" s="132" t="n">
        <v>657</v>
      </c>
      <c r="D62" s="133" t="n">
        <v>96.40000000000001</v>
      </c>
      <c r="E62" s="134" t="n">
        <v>29</v>
      </c>
      <c r="F62" s="133" t="n">
        <v>75.2</v>
      </c>
      <c r="G62" s="17" t="n">
        <v>23</v>
      </c>
      <c r="H62" s="135" t="n">
        <v>136</v>
      </c>
      <c r="I62" s="136" t="n">
        <v>17500</v>
      </c>
      <c r="J62" s="136" t="inlineStr">
        <is>
          <t>14</t>
        </is>
      </c>
      <c r="K62" s="136" t="n"/>
      <c r="L62" s="136" t="n"/>
      <c r="M62" s="137">
        <f>I62-K62</f>
        <v/>
      </c>
      <c r="N62" s="4">
        <f>IF(ISERROR(K62/I62),"",K62/I62)</f>
        <v/>
      </c>
      <c r="O62" s="138">
        <f>I62/E62</f>
        <v/>
      </c>
      <c r="P62" s="138">
        <f>K62/E62</f>
        <v/>
      </c>
      <c r="Q62" s="123" t="n">
        <v>3</v>
      </c>
      <c r="R62" s="123" t="n">
        <v>1</v>
      </c>
      <c r="S62" s="123" t="inlineStr">
        <is>
          <t>계</t>
        </is>
      </c>
      <c r="T62" s="5" t="n">
        <v>96</v>
      </c>
      <c r="U62" s="9" t="n"/>
    </row>
    <row r="63" ht="12" customFormat="1" customHeight="1" s="37">
      <c r="A63" s="111" t="inlineStr">
        <is>
          <t>나운동 금호타운2차</t>
        </is>
      </c>
      <c r="B63" s="112" t="inlineStr">
        <is>
          <t>94.09.</t>
        </is>
      </c>
      <c r="C63" s="132" t="n">
        <v>336</v>
      </c>
      <c r="D63" s="133" t="n">
        <v>103</v>
      </c>
      <c r="E63" s="134" t="n">
        <v>31</v>
      </c>
      <c r="F63" s="133" t="n">
        <v>84.8</v>
      </c>
      <c r="G63" s="17" t="n">
        <v>26</v>
      </c>
      <c r="H63" s="135" t="n">
        <v>120</v>
      </c>
      <c r="I63" s="136" t="n">
        <v>17300</v>
      </c>
      <c r="J63" s="136" t="inlineStr">
        <is>
          <t>8</t>
        </is>
      </c>
      <c r="K63" s="136" t="n"/>
      <c r="L63" s="136" t="n"/>
      <c r="M63" s="137">
        <f>I63-K63</f>
        <v/>
      </c>
      <c r="N63" s="4">
        <f>IF(ISERROR(K63/I63),"",K63/I63)</f>
        <v/>
      </c>
      <c r="O63" s="138">
        <f>I63/E63</f>
        <v/>
      </c>
      <c r="P63" s="138">
        <f>K63/E63</f>
        <v/>
      </c>
      <c r="Q63" s="123" t="n">
        <v>3</v>
      </c>
      <c r="R63" s="123" t="n">
        <v>2</v>
      </c>
      <c r="S63" s="123" t="inlineStr">
        <is>
          <t>계</t>
        </is>
      </c>
      <c r="T63" s="5" t="n">
        <v>103</v>
      </c>
      <c r="U63" s="9" t="n"/>
    </row>
    <row r="64" ht="12" customFormat="1" customHeight="1" s="37">
      <c r="A64" s="111" t="inlineStr">
        <is>
          <t>나운동 삼성(401)</t>
        </is>
      </c>
      <c r="B64" s="112" t="inlineStr">
        <is>
          <t>98.05.</t>
        </is>
      </c>
      <c r="C64" s="132" t="n">
        <v>670</v>
      </c>
      <c r="D64" s="133" t="n">
        <v>107.4</v>
      </c>
      <c r="E64" s="134" t="n">
        <v>32</v>
      </c>
      <c r="F64" s="133" t="n">
        <v>85</v>
      </c>
      <c r="G64" s="17" t="n">
        <v>26</v>
      </c>
      <c r="H64" s="135" t="n">
        <v>422</v>
      </c>
      <c r="I64" s="136" t="n">
        <v>17200</v>
      </c>
      <c r="J64" s="136" t="inlineStr">
        <is>
          <t>11</t>
        </is>
      </c>
      <c r="K64" s="136" t="n"/>
      <c r="L64" s="136" t="n"/>
      <c r="M64" s="137">
        <f>I64-K64</f>
        <v/>
      </c>
      <c r="N64" s="4">
        <f>IF(ISERROR(K64/I64),"",K64/I64)</f>
        <v/>
      </c>
      <c r="O64" s="138">
        <f>I64/E64</f>
        <v/>
      </c>
      <c r="P64" s="138">
        <f>K64/E64</f>
        <v/>
      </c>
      <c r="Q64" s="123" t="n">
        <v>3</v>
      </c>
      <c r="R64" s="123" t="n">
        <v>2</v>
      </c>
      <c r="S64" s="123" t="inlineStr">
        <is>
          <t>계</t>
        </is>
      </c>
      <c r="T64" s="5" t="n">
        <v>107</v>
      </c>
      <c r="U64" s="9" t="n"/>
    </row>
    <row r="65" ht="12" customFormat="1" customHeight="1" s="37">
      <c r="A65" s="111" t="inlineStr">
        <is>
          <t>나운동 우성</t>
        </is>
      </c>
      <c r="B65" s="112" t="inlineStr">
        <is>
          <t>95.06.</t>
        </is>
      </c>
      <c r="C65" s="132" t="n">
        <v>345</v>
      </c>
      <c r="D65" s="133" t="n">
        <v>120.2</v>
      </c>
      <c r="E65" s="134" t="n">
        <v>36</v>
      </c>
      <c r="F65" s="133" t="n">
        <v>100</v>
      </c>
      <c r="G65" s="17" t="n">
        <v>30</v>
      </c>
      <c r="H65" s="135" t="n">
        <v>270</v>
      </c>
      <c r="I65" s="136" t="n">
        <v>17000</v>
      </c>
      <c r="J65" s="136" t="inlineStr">
        <is>
          <t>7</t>
        </is>
      </c>
      <c r="K65" s="136" t="n"/>
      <c r="L65" s="136" t="n"/>
      <c r="M65" s="137">
        <f>I65-K65</f>
        <v/>
      </c>
      <c r="N65" s="4">
        <f>IF(ISERROR(K65/I65),"",K65/I65)</f>
        <v/>
      </c>
      <c r="O65" s="138">
        <f>I65/E65</f>
        <v/>
      </c>
      <c r="P65" s="138">
        <f>K65/E65</f>
        <v/>
      </c>
      <c r="Q65" s="123" t="n">
        <v>3</v>
      </c>
      <c r="R65" s="123" t="n">
        <v>2</v>
      </c>
      <c r="S65" s="123" t="inlineStr">
        <is>
          <t>계</t>
        </is>
      </c>
      <c r="T65" s="5" t="n">
        <v>120</v>
      </c>
      <c r="U65" s="9" t="n"/>
    </row>
    <row r="66" ht="12" customFormat="1" customHeight="1" s="37">
      <c r="A66" s="111" t="inlineStr">
        <is>
          <t>조촌동 삼성</t>
        </is>
      </c>
      <c r="B66" s="112" t="inlineStr">
        <is>
          <t>92.10.</t>
        </is>
      </c>
      <c r="C66" s="132" t="n">
        <v>306</v>
      </c>
      <c r="D66" s="133" t="n">
        <v>104.6</v>
      </c>
      <c r="E66" s="134" t="n">
        <v>32</v>
      </c>
      <c r="F66" s="133" t="n">
        <v>85</v>
      </c>
      <c r="G66" s="17" t="n">
        <v>26</v>
      </c>
      <c r="H66" s="135" t="n">
        <v>132</v>
      </c>
      <c r="I66" s="136" t="n">
        <v>16800</v>
      </c>
      <c r="J66" s="136" t="inlineStr">
        <is>
          <t>11</t>
        </is>
      </c>
      <c r="K66" s="136" t="n"/>
      <c r="L66" s="136" t="n"/>
      <c r="M66" s="137">
        <f>I66-K66</f>
        <v/>
      </c>
      <c r="N66" s="4">
        <f>IF(ISERROR(K66/I66),"",K66/I66)</f>
        <v/>
      </c>
      <c r="O66" s="138">
        <f>I66/E66</f>
        <v/>
      </c>
      <c r="P66" s="138">
        <f>K66/E66</f>
        <v/>
      </c>
      <c r="Q66" s="123" t="n">
        <v>3</v>
      </c>
      <c r="R66" s="123" t="n">
        <v>2</v>
      </c>
      <c r="S66" s="123" t="inlineStr">
        <is>
          <t>계</t>
        </is>
      </c>
      <c r="T66" s="5" t="n">
        <v>104</v>
      </c>
      <c r="U66" s="9" t="n"/>
    </row>
    <row r="67" ht="12" customFormat="1" customHeight="1" s="37">
      <c r="A67" s="111" t="inlineStr">
        <is>
          <t>조촌동 현대</t>
        </is>
      </c>
      <c r="B67" s="112" t="inlineStr">
        <is>
          <t>95.09.</t>
        </is>
      </c>
      <c r="C67" s="132" t="n">
        <v>560</v>
      </c>
      <c r="D67" s="133" t="n">
        <v>103.9</v>
      </c>
      <c r="E67" s="134" t="n">
        <v>31</v>
      </c>
      <c r="F67" s="133" t="n">
        <v>85</v>
      </c>
      <c r="G67" s="17" t="n">
        <v>26</v>
      </c>
      <c r="H67" s="135" t="n">
        <v>420</v>
      </c>
      <c r="I67" s="136" t="n">
        <v>16500</v>
      </c>
      <c r="J67" s="136" t="inlineStr">
        <is>
          <t>6</t>
        </is>
      </c>
      <c r="K67" s="136" t="n"/>
      <c r="L67" s="136" t="n"/>
      <c r="M67" s="137">
        <f>I67-K67</f>
        <v/>
      </c>
      <c r="N67" s="4">
        <f>IF(ISERROR(K67/I67),"",K67/I67)</f>
        <v/>
      </c>
      <c r="O67" s="138">
        <f>I67/E67</f>
        <v/>
      </c>
      <c r="P67" s="138">
        <f>K67/E67</f>
        <v/>
      </c>
      <c r="Q67" s="123" t="n">
        <v>3</v>
      </c>
      <c r="R67" s="123" t="n">
        <v>2</v>
      </c>
      <c r="S67" s="123" t="inlineStr">
        <is>
          <t>계</t>
        </is>
      </c>
      <c r="T67" s="5" t="n">
        <v>103</v>
      </c>
      <c r="U67" s="9" t="n"/>
    </row>
    <row r="68" ht="12" customFormat="1" customHeight="1" s="37">
      <c r="A68" s="111" t="inlineStr">
        <is>
          <t>나운동 서호</t>
        </is>
      </c>
      <c r="B68" s="112" t="inlineStr">
        <is>
          <t>95.06.</t>
        </is>
      </c>
      <c r="C68" s="132" t="n">
        <v>490</v>
      </c>
      <c r="D68" s="133" t="n">
        <v>103.8</v>
      </c>
      <c r="E68" s="134" t="n">
        <v>31</v>
      </c>
      <c r="F68" s="133" t="n">
        <v>85</v>
      </c>
      <c r="G68" s="17" t="n">
        <v>26</v>
      </c>
      <c r="H68" s="135" t="n">
        <v>228</v>
      </c>
      <c r="I68" s="136" t="n">
        <v>15700</v>
      </c>
      <c r="J68" s="136" t="inlineStr">
        <is>
          <t>8</t>
        </is>
      </c>
      <c r="K68" s="136" t="n">
        <v>14500</v>
      </c>
      <c r="L68" s="136" t="inlineStr">
        <is>
          <t>7</t>
        </is>
      </c>
      <c r="M68" s="137">
        <f>I68-K68</f>
        <v/>
      </c>
      <c r="N68" s="4">
        <f>IF(ISERROR(K68/I68),"",K68/I68)</f>
        <v/>
      </c>
      <c r="O68" s="138">
        <f>I68/E68</f>
        <v/>
      </c>
      <c r="P68" s="138">
        <f>K68/E68</f>
        <v/>
      </c>
      <c r="Q68" s="123" t="n">
        <v>3</v>
      </c>
      <c r="R68" s="123" t="n">
        <v>2</v>
      </c>
      <c r="S68" s="123" t="inlineStr">
        <is>
          <t>계</t>
        </is>
      </c>
      <c r="T68" s="5" t="n">
        <v>103</v>
      </c>
      <c r="U68" s="9" t="n"/>
    </row>
    <row r="69" ht="12" customFormat="1" customHeight="1" s="37">
      <c r="A69" s="111" t="inlineStr">
        <is>
          <t>나운동 롯데3차</t>
        </is>
      </c>
      <c r="B69" s="112" t="inlineStr">
        <is>
          <t>94.06.</t>
        </is>
      </c>
      <c r="C69" s="132" t="n">
        <v>572</v>
      </c>
      <c r="D69" s="133" t="n">
        <v>104.5</v>
      </c>
      <c r="E69" s="134" t="n">
        <v>32</v>
      </c>
      <c r="F69" s="133" t="n">
        <v>84.8</v>
      </c>
      <c r="G69" s="17" t="n">
        <v>26</v>
      </c>
      <c r="H69" s="135" t="n">
        <v>286</v>
      </c>
      <c r="I69" s="136" t="n">
        <v>15500</v>
      </c>
      <c r="J69" s="136" t="inlineStr">
        <is>
          <t>12</t>
        </is>
      </c>
      <c r="K69" s="136" t="n"/>
      <c r="L69" s="136" t="n"/>
      <c r="M69" s="137">
        <f>I69-K69</f>
        <v/>
      </c>
      <c r="N69" s="4">
        <f>IF(ISERROR(K69/I69),"",K69/I69)</f>
        <v/>
      </c>
      <c r="O69" s="138">
        <f>I69/E69</f>
        <v/>
      </c>
      <c r="P69" s="138">
        <f>K69/E69</f>
        <v/>
      </c>
      <c r="Q69" s="123" t="n">
        <v>3</v>
      </c>
      <c r="R69" s="123" t="n">
        <v>2</v>
      </c>
      <c r="S69" s="123" t="inlineStr">
        <is>
          <t>계</t>
        </is>
      </c>
      <c r="T69" s="5" t="n">
        <v>104</v>
      </c>
      <c r="U69" s="9" t="n"/>
    </row>
    <row r="70" ht="12" customFormat="1" customHeight="1" s="37">
      <c r="A70" s="111" t="inlineStr">
        <is>
          <t>미장동 파인빌1차</t>
        </is>
      </c>
      <c r="B70" s="112" t="inlineStr">
        <is>
          <t>04.11.</t>
        </is>
      </c>
      <c r="C70" s="132" t="n">
        <v>499</v>
      </c>
      <c r="D70" s="133" t="n">
        <v>80.09999999999999</v>
      </c>
      <c r="E70" s="134" t="n">
        <v>24</v>
      </c>
      <c r="F70" s="133" t="n">
        <v>60</v>
      </c>
      <c r="G70" s="17" t="n">
        <v>18</v>
      </c>
      <c r="H70" s="135" t="n">
        <v>139</v>
      </c>
      <c r="I70" s="136" t="n">
        <v>15500</v>
      </c>
      <c r="J70" s="136" t="inlineStr">
        <is>
          <t>7</t>
        </is>
      </c>
      <c r="K70" s="136" t="n">
        <v>14000</v>
      </c>
      <c r="L70" s="136" t="inlineStr">
        <is>
          <t>13</t>
        </is>
      </c>
      <c r="M70" s="137">
        <f>I70-K70</f>
        <v/>
      </c>
      <c r="N70" s="4">
        <f>IF(ISERROR(K70/I70),"",K70/I70)</f>
        <v/>
      </c>
      <c r="O70" s="138">
        <f>I70/E70</f>
        <v/>
      </c>
      <c r="P70" s="138">
        <f>K70/E70</f>
        <v/>
      </c>
      <c r="Q70" s="123" t="n">
        <v>3</v>
      </c>
      <c r="R70" s="123" t="n">
        <v>1</v>
      </c>
      <c r="S70" s="123" t="inlineStr">
        <is>
          <t>계</t>
        </is>
      </c>
      <c r="T70" s="5" t="n">
        <v>80</v>
      </c>
      <c r="U70" s="9" t="n"/>
    </row>
    <row r="71" ht="12" customFormat="1" customHeight="1" s="37">
      <c r="A71" s="111" t="inlineStr">
        <is>
          <t>나운동 현대3차</t>
        </is>
      </c>
      <c r="B71" s="112" t="inlineStr">
        <is>
          <t>95.06.</t>
        </is>
      </c>
      <c r="C71" s="132" t="n">
        <v>479</v>
      </c>
      <c r="D71" s="133" t="n">
        <v>105.3</v>
      </c>
      <c r="E71" s="134" t="n">
        <v>32</v>
      </c>
      <c r="F71" s="133" t="n">
        <v>85</v>
      </c>
      <c r="G71" s="17" t="n">
        <v>26</v>
      </c>
      <c r="H71" s="135" t="n">
        <v>199</v>
      </c>
      <c r="I71" s="136" t="n">
        <v>14500</v>
      </c>
      <c r="J71" s="136" t="inlineStr">
        <is>
          <t>7</t>
        </is>
      </c>
      <c r="K71" s="136" t="n"/>
      <c r="L71" s="136" t="n"/>
      <c r="M71" s="137">
        <f>I71-K71</f>
        <v/>
      </c>
      <c r="N71" s="4">
        <f>IF(ISERROR(K71/I71),"",K71/I71)</f>
        <v/>
      </c>
      <c r="O71" s="138">
        <f>I71/E71</f>
        <v/>
      </c>
      <c r="P71" s="138">
        <f>K71/E71</f>
        <v/>
      </c>
      <c r="Q71" s="123" t="n">
        <v>3</v>
      </c>
      <c r="R71" s="123" t="n">
        <v>2</v>
      </c>
      <c r="S71" s="123" t="inlineStr">
        <is>
          <t>계</t>
        </is>
      </c>
      <c r="T71" s="5" t="n">
        <v>105</v>
      </c>
      <c r="U71" s="9" t="n"/>
    </row>
    <row r="72" ht="12" customFormat="1" customHeight="1" s="37">
      <c r="A72" s="111" t="inlineStr">
        <is>
          <t>나운동 나운보람더하임</t>
        </is>
      </c>
      <c r="B72" s="112" t="inlineStr">
        <is>
          <t>10.03.</t>
        </is>
      </c>
      <c r="C72" s="132" t="n">
        <v>437</v>
      </c>
      <c r="D72" s="133" t="n">
        <v>78</v>
      </c>
      <c r="E72" s="134" t="n">
        <v>24</v>
      </c>
      <c r="F72" s="133" t="n">
        <v>59.9</v>
      </c>
      <c r="G72" s="17" t="n">
        <v>18</v>
      </c>
      <c r="H72" s="135" t="n">
        <v>155</v>
      </c>
      <c r="I72" s="136" t="n">
        <v>14200</v>
      </c>
      <c r="J72" s="136" t="inlineStr">
        <is>
          <t>5</t>
        </is>
      </c>
      <c r="K72" s="136" t="n">
        <v>13000</v>
      </c>
      <c r="L72" s="136" t="inlineStr">
        <is>
          <t>10</t>
        </is>
      </c>
      <c r="M72" s="137">
        <f>I72-K72</f>
        <v/>
      </c>
      <c r="N72" s="4">
        <f>IF(ISERROR(K72/I72),"",K72/I72)</f>
        <v/>
      </c>
      <c r="O72" s="138">
        <f>I72/E72</f>
        <v/>
      </c>
      <c r="P72" s="138">
        <f>K72/E72</f>
        <v/>
      </c>
      <c r="Q72" s="123" t="n">
        <v>3</v>
      </c>
      <c r="R72" s="123" t="n">
        <v>2</v>
      </c>
      <c r="S72" s="123" t="inlineStr">
        <is>
          <t>계</t>
        </is>
      </c>
      <c r="T72" s="5" t="n">
        <v>77</v>
      </c>
      <c r="U72" s="9" t="n"/>
    </row>
    <row r="73" ht="12" customFormat="1" customHeight="1" s="37">
      <c r="A73" s="111" t="inlineStr">
        <is>
          <t>나운동 현대4차</t>
        </is>
      </c>
      <c r="B73" s="112" t="inlineStr">
        <is>
          <t>98.09.</t>
        </is>
      </c>
      <c r="C73" s="132" t="n">
        <v>636</v>
      </c>
      <c r="D73" s="133" t="n">
        <v>74.8</v>
      </c>
      <c r="E73" s="134" t="n">
        <v>23</v>
      </c>
      <c r="F73" s="133" t="n">
        <v>60</v>
      </c>
      <c r="G73" s="17" t="n">
        <v>18</v>
      </c>
      <c r="H73" s="135" t="n">
        <v>64</v>
      </c>
      <c r="I73" s="136" t="n">
        <v>14200</v>
      </c>
      <c r="J73" s="136" t="inlineStr">
        <is>
          <t>8</t>
        </is>
      </c>
      <c r="K73" s="136" t="n"/>
      <c r="L73" s="136" t="n"/>
      <c r="M73" s="137">
        <f>I73-K73</f>
        <v/>
      </c>
      <c r="N73" s="4">
        <f>IF(ISERROR(K73/I73),"",K73/I73)</f>
        <v/>
      </c>
      <c r="O73" s="138">
        <f>I73/E73</f>
        <v/>
      </c>
      <c r="P73" s="138">
        <f>K73/E73</f>
        <v/>
      </c>
      <c r="Q73" s="123" t="n">
        <v>3</v>
      </c>
      <c r="R73" s="123" t="n">
        <v>1</v>
      </c>
      <c r="S73" s="123" t="inlineStr">
        <is>
          <t>계</t>
        </is>
      </c>
      <c r="T73" s="5" t="n">
        <v>74</v>
      </c>
      <c r="U73" s="9" t="n"/>
    </row>
    <row r="74" ht="12" customFormat="1" customHeight="1" s="37">
      <c r="A74" s="111" t="inlineStr">
        <is>
          <t>나운동 나운현대2차</t>
        </is>
      </c>
      <c r="B74" s="112" t="inlineStr">
        <is>
          <t>93.10.</t>
        </is>
      </c>
      <c r="C74" s="132" t="n">
        <v>899</v>
      </c>
      <c r="D74" s="133" t="n">
        <v>105.9</v>
      </c>
      <c r="E74" s="134" t="n">
        <v>32</v>
      </c>
      <c r="F74" s="133" t="n">
        <v>84.7</v>
      </c>
      <c r="G74" s="17" t="n">
        <v>26</v>
      </c>
      <c r="H74" s="135" t="n">
        <v>377</v>
      </c>
      <c r="I74" s="136" t="n">
        <v>14000</v>
      </c>
      <c r="J74" s="136" t="inlineStr">
        <is>
          <t>6</t>
        </is>
      </c>
      <c r="K74" s="136" t="n">
        <v>12000</v>
      </c>
      <c r="L74" s="136" t="inlineStr">
        <is>
          <t>고</t>
        </is>
      </c>
      <c r="M74" s="137">
        <f>I74-K74</f>
        <v/>
      </c>
      <c r="N74" s="4">
        <f>IF(ISERROR(K74/I74),"",K74/I74)</f>
        <v/>
      </c>
      <c r="O74" s="138">
        <f>I74/E74</f>
        <v/>
      </c>
      <c r="P74" s="138">
        <f>K74/E74</f>
        <v/>
      </c>
      <c r="Q74" s="123" t="n">
        <v>3</v>
      </c>
      <c r="R74" s="123" t="n">
        <v>2</v>
      </c>
      <c r="S74" s="123" t="inlineStr">
        <is>
          <t>계</t>
        </is>
      </c>
      <c r="T74" s="5" t="n">
        <v>105</v>
      </c>
      <c r="U74" s="9" t="n"/>
    </row>
    <row r="75" ht="12" customFormat="1" customHeight="1" s="37">
      <c r="A75" s="111" t="inlineStr">
        <is>
          <t>나운동 금호타운1차</t>
        </is>
      </c>
      <c r="B75" s="112" t="inlineStr">
        <is>
          <t>91.09.</t>
        </is>
      </c>
      <c r="C75" s="132" t="n">
        <v>930</v>
      </c>
      <c r="D75" s="133" t="n">
        <v>101.7</v>
      </c>
      <c r="E75" s="134" t="n">
        <v>31</v>
      </c>
      <c r="F75" s="133" t="n">
        <v>84.8</v>
      </c>
      <c r="G75" s="17" t="n">
        <v>26</v>
      </c>
      <c r="H75" s="135" t="n">
        <v>600</v>
      </c>
      <c r="I75" s="136" t="n">
        <v>14000</v>
      </c>
      <c r="J75" s="136" t="inlineStr">
        <is>
          <t>14</t>
        </is>
      </c>
      <c r="K75" s="136" t="n">
        <v>12000</v>
      </c>
      <c r="L75" s="136" t="inlineStr">
        <is>
          <t>14</t>
        </is>
      </c>
      <c r="M75" s="137">
        <f>I75-K75</f>
        <v/>
      </c>
      <c r="N75" s="4">
        <f>IF(ISERROR(K75/I75),"",K75/I75)</f>
        <v/>
      </c>
      <c r="O75" s="138">
        <f>I75/E75</f>
        <v/>
      </c>
      <c r="P75" s="138">
        <f>K75/E75</f>
        <v/>
      </c>
      <c r="Q75" s="123" t="n">
        <v>3</v>
      </c>
      <c r="R75" s="123" t="n">
        <v>2</v>
      </c>
      <c r="S75" s="123" t="inlineStr">
        <is>
          <t>계</t>
        </is>
      </c>
      <c r="T75" s="5" t="n">
        <v>101</v>
      </c>
      <c r="U75" s="9" t="n"/>
    </row>
    <row r="76" ht="12" customFormat="1" customHeight="1" s="37">
      <c r="A76" s="111" t="inlineStr">
        <is>
          <t>수송동 동신</t>
        </is>
      </c>
      <c r="B76" s="112" t="inlineStr">
        <is>
          <t>91.09.</t>
        </is>
      </c>
      <c r="C76" s="132" t="n">
        <v>660</v>
      </c>
      <c r="D76" s="133" t="n">
        <v>105</v>
      </c>
      <c r="E76" s="134" t="n">
        <v>32</v>
      </c>
      <c r="F76" s="133" t="n">
        <v>84.8</v>
      </c>
      <c r="G76" s="17" t="n">
        <v>26</v>
      </c>
      <c r="H76" s="135" t="n">
        <v>240</v>
      </c>
      <c r="I76" s="136" t="n">
        <v>14000</v>
      </c>
      <c r="J76" s="136" t="inlineStr">
        <is>
          <t>13</t>
        </is>
      </c>
      <c r="K76" s="136" t="n">
        <v>10500</v>
      </c>
      <c r="L76" s="136" t="inlineStr">
        <is>
          <t>15</t>
        </is>
      </c>
      <c r="M76" s="137">
        <f>I76-K76</f>
        <v/>
      </c>
      <c r="N76" s="4">
        <f>IF(ISERROR(K76/I76),"",K76/I76)</f>
        <v/>
      </c>
      <c r="O76" s="138">
        <f>I76/E76</f>
        <v/>
      </c>
      <c r="P76" s="138">
        <f>K76/E76</f>
        <v/>
      </c>
      <c r="Q76" s="123" t="n">
        <v>3</v>
      </c>
      <c r="R76" s="123" t="n">
        <v>2</v>
      </c>
      <c r="S76" s="123" t="inlineStr">
        <is>
          <t>복</t>
        </is>
      </c>
      <c r="T76" s="5" t="n">
        <v>105</v>
      </c>
      <c r="U76" s="9" t="n"/>
    </row>
    <row r="77" ht="12" customFormat="1" customHeight="1" s="37">
      <c r="A77" s="111" t="inlineStr">
        <is>
          <t>나운동 롯데2차</t>
        </is>
      </c>
      <c r="B77" s="112" t="inlineStr">
        <is>
          <t>92.08.</t>
        </is>
      </c>
      <c r="C77" s="132" t="n">
        <v>460</v>
      </c>
      <c r="D77" s="133" t="n">
        <v>106</v>
      </c>
      <c r="E77" s="134" t="n">
        <v>32</v>
      </c>
      <c r="F77" s="133" t="n">
        <v>84.8</v>
      </c>
      <c r="G77" s="17" t="n">
        <v>26</v>
      </c>
      <c r="H77" s="135" t="n">
        <v>278</v>
      </c>
      <c r="I77" s="136" t="n">
        <v>13800</v>
      </c>
      <c r="J77" s="136" t="inlineStr">
        <is>
          <t>중</t>
        </is>
      </c>
      <c r="K77" s="136" t="n"/>
      <c r="L77" s="136" t="n"/>
      <c r="M77" s="137">
        <f>I77-K77</f>
        <v/>
      </c>
      <c r="N77" s="4">
        <f>IF(ISERROR(K77/I77),"",K77/I77)</f>
        <v/>
      </c>
      <c r="O77" s="138">
        <f>I77/E77</f>
        <v/>
      </c>
      <c r="P77" s="138">
        <f>K77/E77</f>
        <v/>
      </c>
      <c r="Q77" s="123" t="n">
        <v>3</v>
      </c>
      <c r="R77" s="123" t="n">
        <v>2</v>
      </c>
      <c r="S77" s="123" t="inlineStr">
        <is>
          <t>계</t>
        </is>
      </c>
      <c r="T77" s="5" t="n">
        <v>105</v>
      </c>
      <c r="U77" s="9" t="n"/>
    </row>
    <row r="78" ht="12" customFormat="1" customHeight="1" s="37">
      <c r="A78" s="111" t="inlineStr">
        <is>
          <t>나운동 롯데1차</t>
        </is>
      </c>
      <c r="B78" s="112" t="inlineStr">
        <is>
          <t>91.03.</t>
        </is>
      </c>
      <c r="C78" s="132" t="n">
        <v>420</v>
      </c>
      <c r="D78" s="133" t="n">
        <v>105.9</v>
      </c>
      <c r="E78" s="134" t="n">
        <v>32</v>
      </c>
      <c r="F78" s="133" t="n">
        <v>84.8</v>
      </c>
      <c r="G78" s="17" t="n">
        <v>26</v>
      </c>
      <c r="H78" s="135" t="n">
        <v>182</v>
      </c>
      <c r="I78" s="136" t="n">
        <v>13500</v>
      </c>
      <c r="J78" s="136" t="inlineStr">
        <is>
          <t>6</t>
        </is>
      </c>
      <c r="K78" s="136" t="n"/>
      <c r="L78" s="136" t="n"/>
      <c r="M78" s="137">
        <f>I78-K78</f>
        <v/>
      </c>
      <c r="N78" s="4">
        <f>IF(ISERROR(K78/I78),"",K78/I78)</f>
        <v/>
      </c>
      <c r="O78" s="138">
        <f>I78/E78</f>
        <v/>
      </c>
      <c r="P78" s="138">
        <f>K78/E78</f>
        <v/>
      </c>
      <c r="Q78" s="123" t="n">
        <v>3</v>
      </c>
      <c r="R78" s="123" t="n">
        <v>2</v>
      </c>
      <c r="S78" s="123" t="inlineStr">
        <is>
          <t>계</t>
        </is>
      </c>
      <c r="T78" s="5" t="n">
        <v>105</v>
      </c>
      <c r="U78" s="9" t="n"/>
    </row>
    <row r="79" ht="12" customFormat="1" customHeight="1" s="37">
      <c r="A79" s="111" t="inlineStr">
        <is>
          <t>문화동 삼성</t>
        </is>
      </c>
      <c r="B79" s="112" t="inlineStr">
        <is>
          <t>92.08.</t>
        </is>
      </c>
      <c r="C79" s="132" t="n">
        <v>716</v>
      </c>
      <c r="D79" s="133" t="n">
        <v>104</v>
      </c>
      <c r="E79" s="134" t="n">
        <v>31</v>
      </c>
      <c r="F79" s="133" t="n">
        <v>84.90000000000001</v>
      </c>
      <c r="G79" s="17" t="n">
        <v>26</v>
      </c>
      <c r="H79" s="135" t="n">
        <v>462</v>
      </c>
      <c r="I79" s="136" t="n">
        <v>13500</v>
      </c>
      <c r="J79" s="136" t="inlineStr">
        <is>
          <t>6</t>
        </is>
      </c>
      <c r="K79" s="136" t="n">
        <v>14000</v>
      </c>
      <c r="L79" s="136" t="inlineStr">
        <is>
          <t>12</t>
        </is>
      </c>
      <c r="M79" s="137">
        <f>I79-K79</f>
        <v/>
      </c>
      <c r="N79" s="4">
        <f>IF(ISERROR(K79/I79),"",K79/I79)</f>
        <v/>
      </c>
      <c r="O79" s="138">
        <f>I79/E79</f>
        <v/>
      </c>
      <c r="P79" s="138">
        <f>K79/E79</f>
        <v/>
      </c>
      <c r="Q79" s="123" t="n">
        <v>3</v>
      </c>
      <c r="R79" s="123" t="n">
        <v>2</v>
      </c>
      <c r="S79" s="123" t="inlineStr">
        <is>
          <t>계</t>
        </is>
      </c>
      <c r="T79" s="5" t="n">
        <v>104</v>
      </c>
      <c r="U79" s="9" t="n"/>
    </row>
    <row r="80" ht="12" customFormat="1" customHeight="1" s="37">
      <c r="A80" s="111" t="inlineStr">
        <is>
          <t>구암동 현대</t>
        </is>
      </c>
      <c r="B80" s="112" t="inlineStr">
        <is>
          <t>94.03.</t>
        </is>
      </c>
      <c r="C80" s="132" t="n">
        <v>1084</v>
      </c>
      <c r="D80" s="133" t="n">
        <v>102.5</v>
      </c>
      <c r="E80" s="134" t="n">
        <v>31</v>
      </c>
      <c r="F80" s="133" t="n">
        <v>84.90000000000001</v>
      </c>
      <c r="G80" s="17" t="n">
        <v>26</v>
      </c>
      <c r="H80" s="135" t="n">
        <v>537</v>
      </c>
      <c r="I80" s="136" t="n">
        <v>13200</v>
      </c>
      <c r="J80" s="136" t="inlineStr">
        <is>
          <t>10</t>
        </is>
      </c>
      <c r="K80" s="136" t="n"/>
      <c r="L80" s="136" t="n"/>
      <c r="M80" s="137">
        <f>I80-K80</f>
        <v/>
      </c>
      <c r="N80" s="4">
        <f>IF(ISERROR(K80/I80),"",K80/I80)</f>
        <v/>
      </c>
      <c r="O80" s="138">
        <f>I80/E80</f>
        <v/>
      </c>
      <c r="P80" s="138">
        <f>K80/E80</f>
        <v/>
      </c>
      <c r="Q80" s="123" t="n">
        <v>3</v>
      </c>
      <c r="R80" s="123" t="n">
        <v>2</v>
      </c>
      <c r="S80" s="123" t="inlineStr">
        <is>
          <t>계</t>
        </is>
      </c>
      <c r="T80" s="5" t="n">
        <v>102</v>
      </c>
      <c r="U80" s="9" t="n"/>
    </row>
    <row r="81" ht="12" customFormat="1" customHeight="1" s="37">
      <c r="A81" s="111" t="inlineStr">
        <is>
          <t>문화동 삼성</t>
        </is>
      </c>
      <c r="B81" s="112" t="inlineStr">
        <is>
          <t>92.08.</t>
        </is>
      </c>
      <c r="C81" s="132" t="n">
        <v>716</v>
      </c>
      <c r="D81" s="133" t="n">
        <v>93.09999999999999</v>
      </c>
      <c r="E81" s="134" t="n">
        <v>28</v>
      </c>
      <c r="F81" s="133" t="n">
        <v>76</v>
      </c>
      <c r="G81" s="17" t="n">
        <v>23</v>
      </c>
      <c r="H81" s="135" t="n">
        <v>198</v>
      </c>
      <c r="I81" s="136" t="n">
        <v>12800</v>
      </c>
      <c r="J81" s="136" t="inlineStr">
        <is>
          <t>6</t>
        </is>
      </c>
      <c r="K81" s="136" t="n"/>
      <c r="L81" s="136" t="n"/>
      <c r="M81" s="137">
        <f>I81-K81</f>
        <v/>
      </c>
      <c r="N81" s="4">
        <f>IF(ISERROR(K81/I81),"",K81/I81)</f>
        <v/>
      </c>
      <c r="O81" s="138">
        <f>I81/E81</f>
        <v/>
      </c>
      <c r="P81" s="138">
        <f>K81/E81</f>
        <v/>
      </c>
      <c r="Q81" s="123" t="n">
        <v>3</v>
      </c>
      <c r="R81" s="123" t="n">
        <v>1</v>
      </c>
      <c r="S81" s="123" t="inlineStr">
        <is>
          <t>계</t>
        </is>
      </c>
      <c r="T81" s="5" t="n">
        <v>93</v>
      </c>
      <c r="U81" s="9" t="n"/>
    </row>
    <row r="82" ht="12" customFormat="1" customHeight="1" s="37">
      <c r="A82" s="111" t="inlineStr">
        <is>
          <t>구암동 세풍</t>
        </is>
      </c>
      <c r="B82" s="112" t="inlineStr">
        <is>
          <t>97.01.</t>
        </is>
      </c>
      <c r="C82" s="132" t="n">
        <v>437</v>
      </c>
      <c r="D82" s="133" t="n">
        <v>106</v>
      </c>
      <c r="E82" s="134" t="n">
        <v>32</v>
      </c>
      <c r="F82" s="133" t="n">
        <v>85</v>
      </c>
      <c r="G82" s="17" t="n">
        <v>26</v>
      </c>
      <c r="H82" s="135" t="n">
        <v>208</v>
      </c>
      <c r="I82" s="136" t="n">
        <v>12500</v>
      </c>
      <c r="J82" s="136" t="inlineStr">
        <is>
          <t>10</t>
        </is>
      </c>
      <c r="K82" s="136" t="n"/>
      <c r="L82" s="136" t="n"/>
      <c r="M82" s="137">
        <f>I82-K82</f>
        <v/>
      </c>
      <c r="N82" s="4">
        <f>IF(ISERROR(K82/I82),"",K82/I82)</f>
        <v/>
      </c>
      <c r="O82" s="138">
        <f>I82/E82</f>
        <v/>
      </c>
      <c r="P82" s="138">
        <f>K82/E82</f>
        <v/>
      </c>
      <c r="Q82" s="123" t="n">
        <v>3</v>
      </c>
      <c r="R82" s="123" t="n">
        <v>2</v>
      </c>
      <c r="S82" s="123" t="inlineStr">
        <is>
          <t>계</t>
        </is>
      </c>
      <c r="T82" s="5" t="inlineStr">
        <is>
          <t>106B</t>
        </is>
      </c>
      <c r="U82" s="9" t="n"/>
    </row>
    <row r="83" ht="12" customFormat="1" customHeight="1" s="37">
      <c r="A83" s="111" t="inlineStr">
        <is>
          <t>나운동 금호타운1차</t>
        </is>
      </c>
      <c r="B83" s="112" t="inlineStr">
        <is>
          <t>91.09.</t>
        </is>
      </c>
      <c r="C83" s="132" t="n">
        <v>930</v>
      </c>
      <c r="D83" s="133" t="n">
        <v>89.09999999999999</v>
      </c>
      <c r="E83" s="134" t="n">
        <v>27</v>
      </c>
      <c r="F83" s="133" t="n">
        <v>73.09999999999999</v>
      </c>
      <c r="G83" s="17" t="n">
        <v>22</v>
      </c>
      <c r="H83" s="135" t="n">
        <v>330</v>
      </c>
      <c r="I83" s="136" t="n">
        <v>12500</v>
      </c>
      <c r="J83" s="136" t="inlineStr">
        <is>
          <t>15</t>
        </is>
      </c>
      <c r="K83" s="136" t="n"/>
      <c r="L83" s="136" t="n"/>
      <c r="M83" s="137">
        <f>I83-K83</f>
        <v/>
      </c>
      <c r="N83" s="4">
        <f>IF(ISERROR(K83/I83),"",K83/I83)</f>
        <v/>
      </c>
      <c r="O83" s="138">
        <f>I83/E83</f>
        <v/>
      </c>
      <c r="P83" s="138">
        <f>K83/E83</f>
        <v/>
      </c>
      <c r="Q83" s="123" t="n">
        <v>3</v>
      </c>
      <c r="R83" s="123" t="n">
        <v>2</v>
      </c>
      <c r="S83" s="123" t="inlineStr">
        <is>
          <t>계</t>
        </is>
      </c>
      <c r="T83" s="5" t="n">
        <v>89</v>
      </c>
      <c r="U83" s="9" t="n"/>
    </row>
    <row r="84" ht="12" customFormat="1" customHeight="1" s="37">
      <c r="A84" s="111" t="inlineStr">
        <is>
          <t>조촌동 현대</t>
        </is>
      </c>
      <c r="B84" s="112" t="inlineStr">
        <is>
          <t>95.09.</t>
        </is>
      </c>
      <c r="C84" s="132" t="n">
        <v>560</v>
      </c>
      <c r="D84" s="133" t="n">
        <v>91.90000000000001</v>
      </c>
      <c r="E84" s="134" t="n">
        <v>28</v>
      </c>
      <c r="F84" s="133" t="n">
        <v>75.09999999999999</v>
      </c>
      <c r="G84" s="17" t="n">
        <v>23</v>
      </c>
      <c r="H84" s="135" t="n">
        <v>112</v>
      </c>
      <c r="I84" s="136" t="n">
        <v>12500</v>
      </c>
      <c r="J84" s="136" t="inlineStr">
        <is>
          <t>12</t>
        </is>
      </c>
      <c r="K84" s="136" t="n"/>
      <c r="L84" s="136" t="n"/>
      <c r="M84" s="137">
        <f>I84-K84</f>
        <v/>
      </c>
      <c r="N84" s="4">
        <f>IF(ISERROR(K84/I84),"",K84/I84)</f>
        <v/>
      </c>
      <c r="O84" s="138">
        <f>I84/E84</f>
        <v/>
      </c>
      <c r="P84" s="138">
        <f>K84/E84</f>
        <v/>
      </c>
      <c r="Q84" s="123" t="n">
        <v>3</v>
      </c>
      <c r="R84" s="123" t="n">
        <v>1</v>
      </c>
      <c r="S84" s="123" t="inlineStr">
        <is>
          <t>계</t>
        </is>
      </c>
      <c r="T84" s="5" t="n">
        <v>91</v>
      </c>
      <c r="U84" s="9" t="n"/>
    </row>
    <row r="85" ht="12" customFormat="1" customHeight="1" s="37">
      <c r="A85" s="111" t="inlineStr">
        <is>
          <t>나운동 롯데1차</t>
        </is>
      </c>
      <c r="B85" s="112" t="inlineStr">
        <is>
          <t>91.03.</t>
        </is>
      </c>
      <c r="C85" s="132" t="n">
        <v>420</v>
      </c>
      <c r="D85" s="133" t="n">
        <v>91.90000000000001</v>
      </c>
      <c r="E85" s="134" t="n">
        <v>28</v>
      </c>
      <c r="F85" s="133" t="n">
        <v>74</v>
      </c>
      <c r="G85" s="17" t="n">
        <v>22</v>
      </c>
      <c r="H85" s="135" t="n">
        <v>104</v>
      </c>
      <c r="I85" s="136" t="n">
        <v>12200</v>
      </c>
      <c r="J85" s="136" t="inlineStr">
        <is>
          <t>9</t>
        </is>
      </c>
      <c r="K85" s="136" t="n"/>
      <c r="L85" s="136" t="n"/>
      <c r="M85" s="137">
        <f>I85-K85</f>
        <v/>
      </c>
      <c r="N85" s="4">
        <f>IF(ISERROR(K85/I85),"",K85/I85)</f>
        <v/>
      </c>
      <c r="O85" s="138">
        <f>I85/E85</f>
        <v/>
      </c>
      <c r="P85" s="138">
        <f>K85/E85</f>
        <v/>
      </c>
      <c r="Q85" s="123" t="n">
        <v>3</v>
      </c>
      <c r="R85" s="123" t="n">
        <v>1</v>
      </c>
      <c r="S85" s="123" t="inlineStr">
        <is>
          <t>계</t>
        </is>
      </c>
      <c r="T85" s="5" t="n">
        <v>91</v>
      </c>
      <c r="U85" s="9" t="n"/>
    </row>
    <row r="86" ht="12" customFormat="1" customHeight="1" s="37">
      <c r="A86" s="111" t="inlineStr">
        <is>
          <t>경암동 새한</t>
        </is>
      </c>
      <c r="B86" s="112" t="inlineStr">
        <is>
          <t>95.06.</t>
        </is>
      </c>
      <c r="C86" s="132" t="n">
        <v>304</v>
      </c>
      <c r="D86" s="133" t="n">
        <v>105.5</v>
      </c>
      <c r="E86" s="134" t="n">
        <v>32</v>
      </c>
      <c r="F86" s="133" t="n">
        <v>85</v>
      </c>
      <c r="G86" s="17" t="n">
        <v>26</v>
      </c>
      <c r="H86" s="135" t="n">
        <v>79</v>
      </c>
      <c r="I86" s="136" t="n">
        <v>12000</v>
      </c>
      <c r="J86" s="136" t="inlineStr">
        <is>
          <t>8</t>
        </is>
      </c>
      <c r="K86" s="136" t="n"/>
      <c r="L86" s="136" t="n"/>
      <c r="M86" s="137">
        <f>I86-K86</f>
        <v/>
      </c>
      <c r="N86" s="4">
        <f>IF(ISERROR(K86/I86),"",K86/I86)</f>
        <v/>
      </c>
      <c r="O86" s="138">
        <f>I86/E86</f>
        <v/>
      </c>
      <c r="P86" s="138">
        <f>K86/E86</f>
        <v/>
      </c>
      <c r="Q86" s="123" t="n">
        <v>3</v>
      </c>
      <c r="R86" s="123" t="n">
        <v>2</v>
      </c>
      <c r="S86" s="123" t="inlineStr">
        <is>
          <t>계</t>
        </is>
      </c>
      <c r="T86" s="5" t="n">
        <v>105</v>
      </c>
      <c r="U86" s="9" t="n"/>
    </row>
    <row r="87" ht="12" customFormat="1" customHeight="1" s="37">
      <c r="A87" s="111" t="inlineStr">
        <is>
          <t>나운동 신일</t>
        </is>
      </c>
      <c r="B87" s="112" t="inlineStr">
        <is>
          <t>95.12.</t>
        </is>
      </c>
      <c r="C87" s="132" t="n">
        <v>600</v>
      </c>
      <c r="D87" s="133" t="n">
        <v>75.09999999999999</v>
      </c>
      <c r="E87" s="134" t="n">
        <v>23</v>
      </c>
      <c r="F87" s="133" t="n">
        <v>59.9</v>
      </c>
      <c r="G87" s="17" t="n">
        <v>18</v>
      </c>
      <c r="H87" s="135" t="n">
        <v>600</v>
      </c>
      <c r="I87" s="136" t="n">
        <v>12000</v>
      </c>
      <c r="J87" s="136" t="inlineStr">
        <is>
          <t>15</t>
        </is>
      </c>
      <c r="K87" s="136" t="n">
        <v>10500</v>
      </c>
      <c r="L87" s="136" t="inlineStr">
        <is>
          <t>5</t>
        </is>
      </c>
      <c r="M87" s="137">
        <f>I87-K87</f>
        <v/>
      </c>
      <c r="N87" s="4">
        <f>IF(ISERROR(K87/I87),"",K87/I87)</f>
        <v/>
      </c>
      <c r="O87" s="138">
        <f>I87/E87</f>
        <v/>
      </c>
      <c r="P87" s="138">
        <f>K87/E87</f>
        <v/>
      </c>
      <c r="Q87" s="123" t="n">
        <v>3</v>
      </c>
      <c r="R87" s="123" t="n">
        <v>1</v>
      </c>
      <c r="S87" s="123" t="inlineStr">
        <is>
          <t>계</t>
        </is>
      </c>
      <c r="T87" s="5" t="n">
        <v>75</v>
      </c>
      <c r="U87" s="9" t="n"/>
    </row>
    <row r="88" ht="12" customFormat="1" customHeight="1" s="37">
      <c r="A88" s="111" t="inlineStr">
        <is>
          <t>오식도동 한성필하우스</t>
        </is>
      </c>
      <c r="B88" s="112" t="inlineStr">
        <is>
          <t>12.08.</t>
        </is>
      </c>
      <c r="C88" s="132" t="n">
        <v>892</v>
      </c>
      <c r="D88" s="133" t="n">
        <v>84.40000000000001</v>
      </c>
      <c r="E88" s="134" t="n">
        <v>26</v>
      </c>
      <c r="F88" s="133" t="n">
        <v>59.9</v>
      </c>
      <c r="G88" s="17" t="n">
        <v>18</v>
      </c>
      <c r="H88" s="135" t="n">
        <v>465</v>
      </c>
      <c r="I88" s="136" t="n">
        <v>12000</v>
      </c>
      <c r="J88" s="136" t="inlineStr">
        <is>
          <t>18</t>
        </is>
      </c>
      <c r="K88" s="136" t="n">
        <v>8000</v>
      </c>
      <c r="L88" s="136" t="inlineStr">
        <is>
          <t>16</t>
        </is>
      </c>
      <c r="M88" s="137">
        <f>I88-K88</f>
        <v/>
      </c>
      <c r="N88" s="4">
        <f>IF(ISERROR(K88/I88),"",K88/I88)</f>
        <v/>
      </c>
      <c r="O88" s="138">
        <f>I88/E88</f>
        <v/>
      </c>
      <c r="P88" s="138">
        <f>K88/E88</f>
        <v/>
      </c>
      <c r="Q88" s="123" t="n">
        <v>3</v>
      </c>
      <c r="R88" s="123" t="n">
        <v>2</v>
      </c>
      <c r="S88" s="123" t="inlineStr">
        <is>
          <t>계</t>
        </is>
      </c>
      <c r="T88" s="5" t="inlineStr">
        <is>
          <t>84A</t>
        </is>
      </c>
      <c r="U88" s="9" t="n"/>
    </row>
    <row r="89" ht="12" customFormat="1" customHeight="1" s="37">
      <c r="A89" s="111" t="inlineStr">
        <is>
          <t>나운동 서호</t>
        </is>
      </c>
      <c r="B89" s="112" t="inlineStr">
        <is>
          <t>95.06.</t>
        </is>
      </c>
      <c r="C89" s="132" t="n">
        <v>490</v>
      </c>
      <c r="D89" s="133" t="n">
        <v>83.8</v>
      </c>
      <c r="E89" s="134" t="n">
        <v>25</v>
      </c>
      <c r="F89" s="133" t="n">
        <v>67.90000000000001</v>
      </c>
      <c r="G89" s="17" t="n">
        <v>21</v>
      </c>
      <c r="H89" s="135" t="n">
        <v>262</v>
      </c>
      <c r="I89" s="136" t="n">
        <v>11500</v>
      </c>
      <c r="J89" s="136" t="inlineStr">
        <is>
          <t>5</t>
        </is>
      </c>
      <c r="K89" s="136" t="n"/>
      <c r="L89" s="136" t="n"/>
      <c r="M89" s="137">
        <f>I89-K89</f>
        <v/>
      </c>
      <c r="N89" s="4">
        <f>IF(ISERROR(K89/I89),"",K89/I89)</f>
        <v/>
      </c>
      <c r="O89" s="138">
        <f>I89/E89</f>
        <v/>
      </c>
      <c r="P89" s="138">
        <f>K89/E89</f>
        <v/>
      </c>
      <c r="Q89" s="123" t="n">
        <v>3</v>
      </c>
      <c r="R89" s="123" t="n">
        <v>1</v>
      </c>
      <c r="S89" s="123" t="inlineStr">
        <is>
          <t>계</t>
        </is>
      </c>
      <c r="T89" s="5" t="n">
        <v>83</v>
      </c>
      <c r="U89" s="9" t="n"/>
    </row>
    <row r="90" ht="12" customFormat="1" customHeight="1" s="37">
      <c r="A90" s="111" t="inlineStr">
        <is>
          <t>나운동 영창</t>
        </is>
      </c>
      <c r="B90" s="112" t="inlineStr">
        <is>
          <t>95.06.</t>
        </is>
      </c>
      <c r="C90" s="132" t="n">
        <v>765</v>
      </c>
      <c r="D90" s="133" t="n">
        <v>74.7</v>
      </c>
      <c r="E90" s="134" t="n">
        <v>23</v>
      </c>
      <c r="F90" s="133" t="n">
        <v>59.9</v>
      </c>
      <c r="G90" s="17" t="n">
        <v>18</v>
      </c>
      <c r="H90" s="135" t="n">
        <v>300</v>
      </c>
      <c r="I90" s="136" t="n">
        <v>11500</v>
      </c>
      <c r="J90" s="136" t="inlineStr">
        <is>
          <t>7</t>
        </is>
      </c>
      <c r="K90" s="136" t="n"/>
      <c r="L90" s="136" t="n"/>
      <c r="M90" s="137">
        <f>I90-K90</f>
        <v/>
      </c>
      <c r="N90" s="4">
        <f>IF(ISERROR(K90/I90),"",K90/I90)</f>
        <v/>
      </c>
      <c r="O90" s="138">
        <f>I90/E90</f>
        <v/>
      </c>
      <c r="P90" s="138">
        <f>K90/E90</f>
        <v/>
      </c>
      <c r="Q90" s="123" t="n">
        <v>3</v>
      </c>
      <c r="R90" s="123" t="n">
        <v>1</v>
      </c>
      <c r="S90" s="123" t="inlineStr">
        <is>
          <t>계</t>
        </is>
      </c>
      <c r="T90" s="5" t="n">
        <v>74</v>
      </c>
      <c r="U90" s="9" t="n"/>
    </row>
    <row r="91" ht="12" customFormat="1" customHeight="1" s="37">
      <c r="A91" s="111" t="inlineStr">
        <is>
          <t>미룡동 미룡주공2단지</t>
        </is>
      </c>
      <c r="B91" s="112" t="inlineStr">
        <is>
          <t>01.03.</t>
        </is>
      </c>
      <c r="C91" s="132" t="n">
        <v>874</v>
      </c>
      <c r="D91" s="133" t="n">
        <v>80.7</v>
      </c>
      <c r="E91" s="134" t="n">
        <v>24</v>
      </c>
      <c r="F91" s="133" t="n">
        <v>59.4</v>
      </c>
      <c r="G91" s="17" t="n">
        <v>18</v>
      </c>
      <c r="H91" s="135" t="n">
        <v>267</v>
      </c>
      <c r="I91" s="136" t="n">
        <v>11500</v>
      </c>
      <c r="J91" s="136" t="inlineStr">
        <is>
          <t>9</t>
        </is>
      </c>
      <c r="K91" s="136" t="n">
        <v>12500</v>
      </c>
      <c r="L91" s="136" t="inlineStr">
        <is>
          <t>8</t>
        </is>
      </c>
      <c r="M91" s="137">
        <f>I91-K91</f>
        <v/>
      </c>
      <c r="N91" s="4">
        <f>IF(ISERROR(K91/I91),"",K91/I91)</f>
        <v/>
      </c>
      <c r="O91" s="138">
        <f>I91/E91</f>
        <v/>
      </c>
      <c r="P91" s="138">
        <f>K91/E91</f>
        <v/>
      </c>
      <c r="Q91" s="123" t="n">
        <v>3</v>
      </c>
      <c r="R91" s="123" t="n">
        <v>1</v>
      </c>
      <c r="S91" s="123" t="inlineStr">
        <is>
          <t>계</t>
        </is>
      </c>
      <c r="T91" s="5" t="inlineStr">
        <is>
          <t>80B</t>
        </is>
      </c>
      <c r="U91" s="9" t="n"/>
    </row>
    <row r="92" ht="12" customFormat="1" customHeight="1" s="37">
      <c r="A92" s="111" t="inlineStr">
        <is>
          <t>미룡동 미룡주공3단지</t>
        </is>
      </c>
      <c r="B92" s="112" t="inlineStr">
        <is>
          <t>01.06.</t>
        </is>
      </c>
      <c r="C92" s="132" t="n">
        <v>1460</v>
      </c>
      <c r="D92" s="133" t="n">
        <v>77.90000000000001</v>
      </c>
      <c r="E92" s="134" t="n">
        <v>24</v>
      </c>
      <c r="F92" s="133" t="n">
        <v>59.4</v>
      </c>
      <c r="G92" s="17" t="n">
        <v>18</v>
      </c>
      <c r="H92" s="135" t="n">
        <v>759</v>
      </c>
      <c r="I92" s="136" t="n">
        <v>11400</v>
      </c>
      <c r="J92" s="136" t="inlineStr">
        <is>
          <t>18</t>
        </is>
      </c>
      <c r="K92" s="136" t="n">
        <v>12000</v>
      </c>
      <c r="L92" s="136" t="inlineStr">
        <is>
          <t>12</t>
        </is>
      </c>
      <c r="M92" s="137">
        <f>I92-K92</f>
        <v/>
      </c>
      <c r="N92" s="4">
        <f>IF(ISERROR(K92/I92),"",K92/I92)</f>
        <v/>
      </c>
      <c r="O92" s="138">
        <f>I92/E92</f>
        <v/>
      </c>
      <c r="P92" s="138">
        <f>K92/E92</f>
        <v/>
      </c>
      <c r="Q92" s="123" t="n">
        <v>3</v>
      </c>
      <c r="R92" s="123" t="n">
        <v>1</v>
      </c>
      <c r="S92" s="123" t="inlineStr">
        <is>
          <t>계</t>
        </is>
      </c>
      <c r="T92" s="5" t="inlineStr">
        <is>
          <t>77A</t>
        </is>
      </c>
      <c r="U92" s="9" t="n"/>
    </row>
    <row r="93" ht="12" customFormat="1" customHeight="1" s="37">
      <c r="A93" s="111" t="inlineStr">
        <is>
          <t>나운동 롯데2차</t>
        </is>
      </c>
      <c r="B93" s="112" t="inlineStr">
        <is>
          <t>92.08.</t>
        </is>
      </c>
      <c r="C93" s="132" t="n">
        <v>460</v>
      </c>
      <c r="D93" s="133" t="n">
        <v>92</v>
      </c>
      <c r="E93" s="134" t="n">
        <v>28</v>
      </c>
      <c r="F93" s="133" t="n">
        <v>74</v>
      </c>
      <c r="G93" s="17" t="n">
        <v>22</v>
      </c>
      <c r="H93" s="135" t="n">
        <v>104</v>
      </c>
      <c r="I93" s="136" t="n">
        <v>10500</v>
      </c>
      <c r="J93" s="136" t="inlineStr">
        <is>
          <t>13</t>
        </is>
      </c>
      <c r="K93" s="136" t="n"/>
      <c r="L93" s="136" t="n"/>
      <c r="M93" s="137">
        <f>I93-K93</f>
        <v/>
      </c>
      <c r="N93" s="4">
        <f>IF(ISERROR(K93/I93),"",K93/I93)</f>
        <v/>
      </c>
      <c r="O93" s="138">
        <f>I93/E93</f>
        <v/>
      </c>
      <c r="P93" s="138">
        <f>K93/E93</f>
        <v/>
      </c>
      <c r="Q93" s="123" t="n">
        <v>3</v>
      </c>
      <c r="R93" s="123" t="n">
        <v>1</v>
      </c>
      <c r="S93" s="123" t="inlineStr">
        <is>
          <t>계</t>
        </is>
      </c>
      <c r="T93" s="5" t="n">
        <v>91</v>
      </c>
      <c r="U93" s="9" t="n"/>
    </row>
    <row r="94" ht="12" customFormat="1" customHeight="1" s="37">
      <c r="A94" s="111" t="inlineStr">
        <is>
          <t>소룡동 군산성원</t>
        </is>
      </c>
      <c r="B94" s="112" t="inlineStr">
        <is>
          <t>04.07.</t>
        </is>
      </c>
      <c r="C94" s="132" t="n">
        <v>675</v>
      </c>
      <c r="D94" s="133" t="n">
        <v>106.8</v>
      </c>
      <c r="E94" s="134" t="n">
        <v>32</v>
      </c>
      <c r="F94" s="133" t="n">
        <v>85</v>
      </c>
      <c r="G94" s="17" t="n">
        <v>26</v>
      </c>
      <c r="H94" s="135" t="n">
        <v>405</v>
      </c>
      <c r="I94" s="136" t="n">
        <v>10500</v>
      </c>
      <c r="J94" s="136" t="inlineStr">
        <is>
          <t>6</t>
        </is>
      </c>
      <c r="K94" s="136" t="n">
        <v>9500</v>
      </c>
      <c r="L94" s="136" t="inlineStr">
        <is>
          <t>7</t>
        </is>
      </c>
      <c r="M94" s="137">
        <f>I94-K94</f>
        <v/>
      </c>
      <c r="N94" s="4">
        <f>IF(ISERROR(K94/I94),"",K94/I94)</f>
        <v/>
      </c>
      <c r="O94" s="138">
        <f>I94/E94</f>
        <v/>
      </c>
      <c r="P94" s="138">
        <f>K94/E94</f>
        <v/>
      </c>
      <c r="Q94" s="123" t="n">
        <v>3</v>
      </c>
      <c r="R94" s="123" t="n">
        <v>2</v>
      </c>
      <c r="S94" s="123" t="inlineStr">
        <is>
          <t>계</t>
        </is>
      </c>
      <c r="T94" s="5" t="n">
        <v>106</v>
      </c>
      <c r="U94" s="9" t="n"/>
    </row>
    <row r="95" ht="12" customFormat="1" customHeight="1" s="37">
      <c r="A95" s="111" t="inlineStr">
        <is>
          <t>나운동 한울</t>
        </is>
      </c>
      <c r="B95" s="112" t="inlineStr">
        <is>
          <t>96.07.</t>
        </is>
      </c>
      <c r="C95" s="132" t="n">
        <v>840</v>
      </c>
      <c r="D95" s="133" t="n">
        <v>76.09999999999999</v>
      </c>
      <c r="E95" s="134" t="n">
        <v>23</v>
      </c>
      <c r="F95" s="133" t="n">
        <v>59.7</v>
      </c>
      <c r="G95" s="17" t="n">
        <v>18</v>
      </c>
      <c r="H95" s="135" t="n">
        <v>477</v>
      </c>
      <c r="I95" s="136" t="n">
        <v>10100</v>
      </c>
      <c r="J95" s="136" t="inlineStr">
        <is>
          <t>7</t>
        </is>
      </c>
      <c r="K95" s="136" t="n">
        <v>10000</v>
      </c>
      <c r="L95" s="136" t="inlineStr">
        <is>
          <t>14</t>
        </is>
      </c>
      <c r="M95" s="137">
        <f>I95-K95</f>
        <v/>
      </c>
      <c r="N95" s="4">
        <f>IF(ISERROR(K95/I95),"",K95/I95)</f>
        <v/>
      </c>
      <c r="O95" s="138">
        <f>I95/E95</f>
        <v/>
      </c>
      <c r="P95" s="138">
        <f>K95/E95</f>
        <v/>
      </c>
      <c r="Q95" s="123" t="n">
        <v>3</v>
      </c>
      <c r="R95" s="123" t="n">
        <v>1</v>
      </c>
      <c r="S95" s="123" t="inlineStr">
        <is>
          <t>계</t>
        </is>
      </c>
      <c r="T95" s="5" t="inlineStr">
        <is>
          <t>76A</t>
        </is>
      </c>
      <c r="U95" s="9" t="n"/>
    </row>
    <row r="96" ht="12" customFormat="1" customHeight="1" s="37">
      <c r="A96" s="111" t="inlineStr">
        <is>
          <t>나운동 현대백조</t>
        </is>
      </c>
      <c r="B96" s="112" t="inlineStr">
        <is>
          <t>92.11.</t>
        </is>
      </c>
      <c r="C96" s="132" t="n">
        <v>498</v>
      </c>
      <c r="D96" s="133" t="n">
        <v>95.8</v>
      </c>
      <c r="E96" s="134" t="n">
        <v>29</v>
      </c>
      <c r="F96" s="133" t="n">
        <v>84.59999999999999</v>
      </c>
      <c r="G96" s="17" t="n">
        <v>26</v>
      </c>
      <c r="H96" s="135" t="n">
        <v>384</v>
      </c>
      <c r="I96" s="136" t="n">
        <v>10000</v>
      </c>
      <c r="J96" s="136" t="inlineStr">
        <is>
          <t>13</t>
        </is>
      </c>
      <c r="K96" s="136" t="n"/>
      <c r="L96" s="136" t="n"/>
      <c r="M96" s="137">
        <f>I96-K96</f>
        <v/>
      </c>
      <c r="N96" s="4">
        <f>IF(ISERROR(K96/I96),"",K96/I96)</f>
        <v/>
      </c>
      <c r="O96" s="138">
        <f>I96/E96</f>
        <v/>
      </c>
      <c r="P96" s="138">
        <f>K96/E96</f>
        <v/>
      </c>
      <c r="Q96" s="123" t="n">
        <v>3</v>
      </c>
      <c r="R96" s="123" t="n">
        <v>2</v>
      </c>
      <c r="S96" s="123" t="inlineStr">
        <is>
          <t>계</t>
        </is>
      </c>
      <c r="T96" s="5" t="inlineStr">
        <is>
          <t>95B</t>
        </is>
      </c>
      <c r="U96" s="9" t="n"/>
    </row>
    <row r="97" ht="12" customFormat="1" customHeight="1" s="37">
      <c r="A97" s="111" t="inlineStr">
        <is>
          <t>소룡동 군산성원</t>
        </is>
      </c>
      <c r="B97" s="112" t="inlineStr">
        <is>
          <t>04.07.</t>
        </is>
      </c>
      <c r="C97" s="132" t="n">
        <v>675</v>
      </c>
      <c r="D97" s="133" t="n">
        <v>75</v>
      </c>
      <c r="E97" s="134" t="n">
        <v>23</v>
      </c>
      <c r="F97" s="133" t="n">
        <v>59.7</v>
      </c>
      <c r="G97" s="17" t="n">
        <v>18</v>
      </c>
      <c r="H97" s="135" t="n">
        <v>270</v>
      </c>
      <c r="I97" s="136" t="n">
        <v>10000</v>
      </c>
      <c r="J97" s="136" t="inlineStr">
        <is>
          <t>5</t>
        </is>
      </c>
      <c r="K97" s="136" t="n"/>
      <c r="L97" s="136" t="n"/>
      <c r="M97" s="137">
        <f>I97-K97</f>
        <v/>
      </c>
      <c r="N97" s="4">
        <f>IF(ISERROR(K97/I97),"",K97/I97)</f>
        <v/>
      </c>
      <c r="O97" s="138">
        <f>I97/E97</f>
        <v/>
      </c>
      <c r="P97" s="138">
        <f>K97/E97</f>
        <v/>
      </c>
      <c r="Q97" s="123" t="n">
        <v>3</v>
      </c>
      <c r="R97" s="123" t="n">
        <v>1</v>
      </c>
      <c r="S97" s="123" t="inlineStr">
        <is>
          <t>계</t>
        </is>
      </c>
      <c r="T97" s="5" t="n">
        <v>75</v>
      </c>
      <c r="U97" s="9" t="n"/>
    </row>
    <row r="98" ht="12" customFormat="1" customHeight="1" s="37">
      <c r="A98" s="111" t="inlineStr">
        <is>
          <t>소룡동 소룡제이파크</t>
        </is>
      </c>
      <c r="B98" s="112" t="inlineStr">
        <is>
          <t>06.06.</t>
        </is>
      </c>
      <c r="C98" s="132" t="n">
        <v>972</v>
      </c>
      <c r="D98" s="133" t="n">
        <v>78.8</v>
      </c>
      <c r="E98" s="134" t="n">
        <v>24</v>
      </c>
      <c r="F98" s="133" t="n">
        <v>60</v>
      </c>
      <c r="G98" s="17" t="n">
        <v>18</v>
      </c>
      <c r="H98" s="135" t="n">
        <v>252</v>
      </c>
      <c r="I98" s="136" t="n">
        <v>9700</v>
      </c>
      <c r="J98" s="136" t="inlineStr">
        <is>
          <t>8</t>
        </is>
      </c>
      <c r="K98" s="136" t="n"/>
      <c r="L98" s="136" t="n"/>
      <c r="M98" s="137">
        <f>I98-K98</f>
        <v/>
      </c>
      <c r="N98" s="4">
        <f>IF(ISERROR(K98/I98),"",K98/I98)</f>
        <v/>
      </c>
      <c r="O98" s="138">
        <f>I98/E98</f>
        <v/>
      </c>
      <c r="P98" s="138">
        <f>K98/E98</f>
        <v/>
      </c>
      <c r="Q98" s="123" t="n">
        <v>2</v>
      </c>
      <c r="R98" s="123" t="n">
        <v>1</v>
      </c>
      <c r="S98" s="123" t="inlineStr">
        <is>
          <t>계</t>
        </is>
      </c>
      <c r="T98" s="5" t="inlineStr">
        <is>
          <t>78B</t>
        </is>
      </c>
      <c r="U98" s="9" t="n"/>
    </row>
    <row r="99" ht="12" customFormat="1" customHeight="1" s="37">
      <c r="A99" s="111" t="inlineStr">
        <is>
          <t>소룡동 동아</t>
        </is>
      </c>
      <c r="B99" s="112" t="inlineStr">
        <is>
          <t>90.10.</t>
        </is>
      </c>
      <c r="C99" s="132" t="n">
        <v>702</v>
      </c>
      <c r="D99" s="133" t="n">
        <v>103.9</v>
      </c>
      <c r="E99" s="134" t="n">
        <v>31</v>
      </c>
      <c r="F99" s="133" t="n">
        <v>84.90000000000001</v>
      </c>
      <c r="G99" s="17" t="n">
        <v>26</v>
      </c>
      <c r="H99" s="135" t="n">
        <v>210</v>
      </c>
      <c r="I99" s="136" t="n">
        <v>9500</v>
      </c>
      <c r="J99" s="136" t="inlineStr">
        <is>
          <t>12</t>
        </is>
      </c>
      <c r="K99" s="136" t="n"/>
      <c r="L99" s="136" t="n"/>
      <c r="M99" s="137">
        <f>I99-K99</f>
        <v/>
      </c>
      <c r="N99" s="4">
        <f>IF(ISERROR(K99/I99),"",K99/I99)</f>
        <v/>
      </c>
      <c r="O99" s="138">
        <f>I99/E99</f>
        <v/>
      </c>
      <c r="P99" s="138">
        <f>K99/E99</f>
        <v/>
      </c>
      <c r="Q99" s="123" t="n">
        <v>3</v>
      </c>
      <c r="R99" s="123" t="n">
        <v>2</v>
      </c>
      <c r="S99" s="123" t="inlineStr">
        <is>
          <t>계</t>
        </is>
      </c>
      <c r="T99" s="5" t="n">
        <v>103</v>
      </c>
      <c r="U99" s="9" t="n"/>
    </row>
    <row r="100" ht="12" customFormat="1" customHeight="1" s="37">
      <c r="A100" s="111" t="inlineStr">
        <is>
          <t>나운동 금호타운2차</t>
        </is>
      </c>
      <c r="B100" s="112" t="inlineStr">
        <is>
          <t>94.09.</t>
        </is>
      </c>
      <c r="C100" s="132" t="n">
        <v>336</v>
      </c>
      <c r="D100" s="133" t="n">
        <v>83.8</v>
      </c>
      <c r="E100" s="134" t="n">
        <v>25</v>
      </c>
      <c r="F100" s="133" t="n">
        <v>59.9</v>
      </c>
      <c r="G100" s="17" t="n">
        <v>18</v>
      </c>
      <c r="H100" s="135" t="n">
        <v>120</v>
      </c>
      <c r="I100" s="136" t="n">
        <v>9300</v>
      </c>
      <c r="J100" s="136" t="inlineStr">
        <is>
          <t>6</t>
        </is>
      </c>
      <c r="K100" s="136" t="n"/>
      <c r="L100" s="136" t="n"/>
      <c r="M100" s="137">
        <f>I100-K100</f>
        <v/>
      </c>
      <c r="N100" s="4">
        <f>IF(ISERROR(K100/I100),"",K100/I100)</f>
        <v/>
      </c>
      <c r="O100" s="138">
        <f>I100/E100</f>
        <v/>
      </c>
      <c r="P100" s="138">
        <f>K100/E100</f>
        <v/>
      </c>
      <c r="Q100" s="123" t="n">
        <v>2</v>
      </c>
      <c r="R100" s="123" t="n">
        <v>1</v>
      </c>
      <c r="S100" s="123" t="inlineStr">
        <is>
          <t>계</t>
        </is>
      </c>
      <c r="T100" s="5" t="n">
        <v>83</v>
      </c>
      <c r="U100" s="9" t="n"/>
    </row>
    <row r="101" ht="12" customFormat="1" customHeight="1" s="37">
      <c r="A101" s="111" t="inlineStr">
        <is>
          <t>나운동 현대3차</t>
        </is>
      </c>
      <c r="B101" s="112" t="inlineStr">
        <is>
          <t>95.06.</t>
        </is>
      </c>
      <c r="C101" s="132" t="n">
        <v>479</v>
      </c>
      <c r="D101" s="133" t="n">
        <v>74.3</v>
      </c>
      <c r="E101" s="134" t="n">
        <v>22</v>
      </c>
      <c r="F101" s="133" t="n">
        <v>60</v>
      </c>
      <c r="G101" s="17" t="n">
        <v>18</v>
      </c>
      <c r="H101" s="135" t="n">
        <v>180</v>
      </c>
      <c r="I101" s="136" t="n">
        <v>9300</v>
      </c>
      <c r="J101" s="136" t="inlineStr">
        <is>
          <t>12</t>
        </is>
      </c>
      <c r="K101" s="136" t="n">
        <v>9300</v>
      </c>
      <c r="L101" s="136" t="inlineStr">
        <is>
          <t>20</t>
        </is>
      </c>
      <c r="M101" s="137">
        <f>I101-K101</f>
        <v/>
      </c>
      <c r="N101" s="4">
        <f>IF(ISERROR(K101/I101),"",K101/I101)</f>
        <v/>
      </c>
      <c r="O101" s="138">
        <f>I101/E101</f>
        <v/>
      </c>
      <c r="P101" s="138">
        <f>K101/E101</f>
        <v/>
      </c>
      <c r="Q101" s="123" t="n">
        <v>3</v>
      </c>
      <c r="R101" s="123" t="n">
        <v>1</v>
      </c>
      <c r="S101" s="123" t="inlineStr">
        <is>
          <t>복</t>
        </is>
      </c>
      <c r="T101" s="5" t="n">
        <v>74</v>
      </c>
      <c r="U101" s="9" t="n"/>
    </row>
    <row r="102" ht="12" customFormat="1" customHeight="1" s="37">
      <c r="A102" s="111" t="inlineStr">
        <is>
          <t>산북동 코오롱</t>
        </is>
      </c>
      <c r="B102" s="112" t="inlineStr">
        <is>
          <t>94.11.</t>
        </is>
      </c>
      <c r="C102" s="132" t="n">
        <v>380</v>
      </c>
      <c r="D102" s="133" t="n">
        <v>75.90000000000001</v>
      </c>
      <c r="E102" s="134" t="n">
        <v>23</v>
      </c>
      <c r="F102" s="133" t="n">
        <v>59.4</v>
      </c>
      <c r="G102" s="17" t="n">
        <v>18</v>
      </c>
      <c r="H102" s="135" t="n">
        <v>254</v>
      </c>
      <c r="I102" s="136" t="n">
        <v>9000</v>
      </c>
      <c r="J102" s="136" t="inlineStr">
        <is>
          <t>12</t>
        </is>
      </c>
      <c r="K102" s="136" t="n"/>
      <c r="L102" s="136" t="n"/>
      <c r="M102" s="137">
        <f>I102-K102</f>
        <v/>
      </c>
      <c r="N102" s="4">
        <f>IF(ISERROR(K102/I102),"",K102/I102)</f>
        <v/>
      </c>
      <c r="O102" s="138">
        <f>I102/E102</f>
        <v/>
      </c>
      <c r="P102" s="138">
        <f>K102/E102</f>
        <v/>
      </c>
      <c r="Q102" s="123" t="n">
        <v>3</v>
      </c>
      <c r="R102" s="123" t="n">
        <v>1</v>
      </c>
      <c r="S102" s="123" t="inlineStr">
        <is>
          <t>계</t>
        </is>
      </c>
      <c r="T102" s="5" t="n">
        <v>75</v>
      </c>
      <c r="U102" s="9" t="n"/>
    </row>
    <row r="103" ht="12" customFormat="1" customHeight="1" s="37">
      <c r="A103" s="111" t="inlineStr">
        <is>
          <t>조촌동 동신개나리</t>
        </is>
      </c>
      <c r="B103" s="112" t="inlineStr">
        <is>
          <t>95.12.</t>
        </is>
      </c>
      <c r="C103" s="132" t="n">
        <v>383</v>
      </c>
      <c r="D103" s="133" t="n">
        <v>76</v>
      </c>
      <c r="E103" s="134" t="n">
        <v>23</v>
      </c>
      <c r="F103" s="133" t="n">
        <v>59.8</v>
      </c>
      <c r="G103" s="17" t="n">
        <v>18</v>
      </c>
      <c r="H103" s="135" t="n">
        <v>263</v>
      </c>
      <c r="I103" s="136" t="n">
        <v>9000</v>
      </c>
      <c r="J103" s="136" t="inlineStr">
        <is>
          <t>9</t>
        </is>
      </c>
      <c r="K103" s="136" t="n"/>
      <c r="L103" s="136" t="n"/>
      <c r="M103" s="137">
        <f>I103-K103</f>
        <v/>
      </c>
      <c r="N103" s="4">
        <f>IF(ISERROR(K103/I103),"",K103/I103)</f>
        <v/>
      </c>
      <c r="O103" s="138">
        <f>I103/E103</f>
        <v/>
      </c>
      <c r="P103" s="138">
        <f>K103/E103</f>
        <v/>
      </c>
      <c r="Q103" s="123" t="n">
        <v>3</v>
      </c>
      <c r="R103" s="123" t="n">
        <v>1</v>
      </c>
      <c r="S103" s="123" t="inlineStr">
        <is>
          <t>계</t>
        </is>
      </c>
      <c r="T103" s="5" t="n">
        <v>76</v>
      </c>
      <c r="U103" s="9" t="n"/>
    </row>
    <row r="104" ht="12" customFormat="1" customHeight="1" s="37">
      <c r="A104" s="111" t="inlineStr">
        <is>
          <t>나운동 나운현대2차</t>
        </is>
      </c>
      <c r="B104" s="112" t="inlineStr">
        <is>
          <t>93.10.</t>
        </is>
      </c>
      <c r="C104" s="132" t="n">
        <v>899</v>
      </c>
      <c r="D104" s="133" t="n">
        <v>74.2</v>
      </c>
      <c r="E104" s="134" t="n">
        <v>22</v>
      </c>
      <c r="F104" s="133" t="n">
        <v>59.4</v>
      </c>
      <c r="G104" s="17" t="n">
        <v>18</v>
      </c>
      <c r="H104" s="135" t="n">
        <v>344</v>
      </c>
      <c r="I104" s="136" t="n">
        <v>8700</v>
      </c>
      <c r="J104" s="136" t="inlineStr">
        <is>
          <t>13</t>
        </is>
      </c>
      <c r="K104" s="136" t="n">
        <v>7900</v>
      </c>
      <c r="L104" s="136" t="inlineStr">
        <is>
          <t>6</t>
        </is>
      </c>
      <c r="M104" s="137">
        <f>I104-K104</f>
        <v/>
      </c>
      <c r="N104" s="4">
        <f>IF(ISERROR(K104/I104),"",K104/I104)</f>
        <v/>
      </c>
      <c r="O104" s="138">
        <f>I104/E104</f>
        <v/>
      </c>
      <c r="P104" s="138">
        <f>K104/E104</f>
        <v/>
      </c>
      <c r="Q104" s="123" t="n">
        <v>3</v>
      </c>
      <c r="R104" s="123" t="n">
        <v>1</v>
      </c>
      <c r="S104" s="123" t="inlineStr">
        <is>
          <t>계</t>
        </is>
      </c>
      <c r="T104" s="5" t="n">
        <v>74</v>
      </c>
      <c r="U104" s="9" t="n"/>
    </row>
    <row r="105" ht="12" customFormat="1" customHeight="1" s="37">
      <c r="A105" s="111" t="inlineStr">
        <is>
          <t>산북동 산북주공</t>
        </is>
      </c>
      <c r="B105" s="112" t="inlineStr">
        <is>
          <t>89.04.</t>
        </is>
      </c>
      <c r="C105" s="132" t="n">
        <v>750</v>
      </c>
      <c r="D105" s="133" t="n">
        <v>57.9</v>
      </c>
      <c r="E105" s="134" t="n">
        <v>18</v>
      </c>
      <c r="F105" s="133" t="n">
        <v>47</v>
      </c>
      <c r="G105" s="17" t="n">
        <v>14</v>
      </c>
      <c r="H105" s="135" t="n">
        <v>290</v>
      </c>
      <c r="I105" s="136" t="n">
        <v>8500</v>
      </c>
      <c r="J105" s="136" t="inlineStr">
        <is>
          <t>5</t>
        </is>
      </c>
      <c r="K105" s="136" t="n"/>
      <c r="L105" s="136" t="n"/>
      <c r="M105" s="137">
        <f>I105-K105</f>
        <v/>
      </c>
      <c r="N105" s="4">
        <f>IF(ISERROR(K105/I105),"",K105/I105)</f>
        <v/>
      </c>
      <c r="O105" s="138">
        <f>I105/E105</f>
        <v/>
      </c>
      <c r="P105" s="138">
        <f>K105/E105</f>
        <v/>
      </c>
      <c r="Q105" s="123" t="n">
        <v>2</v>
      </c>
      <c r="R105" s="123" t="n">
        <v>1</v>
      </c>
      <c r="S105" s="123" t="inlineStr">
        <is>
          <t>계</t>
        </is>
      </c>
      <c r="T105" s="5" t="n">
        <v>57</v>
      </c>
      <c r="U105" s="9" t="n"/>
    </row>
    <row r="106" ht="12" customFormat="1" customHeight="1" s="37">
      <c r="A106" s="111" t="inlineStr">
        <is>
          <t>삼학동 군산삼학대우</t>
        </is>
      </c>
      <c r="B106" s="112" t="inlineStr">
        <is>
          <t>96.07.</t>
        </is>
      </c>
      <c r="C106" s="132" t="n">
        <v>381</v>
      </c>
      <c r="D106" s="133" t="n">
        <v>81.09999999999999</v>
      </c>
      <c r="E106" s="134" t="n">
        <v>25</v>
      </c>
      <c r="F106" s="133" t="n">
        <v>59.9</v>
      </c>
      <c r="G106" s="17" t="n">
        <v>18</v>
      </c>
      <c r="H106" s="135" t="n">
        <v>159</v>
      </c>
      <c r="I106" s="136" t="n">
        <v>8500</v>
      </c>
      <c r="J106" s="136" t="inlineStr">
        <is>
          <t>고</t>
        </is>
      </c>
      <c r="K106" s="136" t="n"/>
      <c r="L106" s="136" t="n"/>
      <c r="M106" s="137">
        <f>I106-K106</f>
        <v/>
      </c>
      <c r="N106" s="4">
        <f>IF(ISERROR(K106/I106),"",K106/I106)</f>
        <v/>
      </c>
      <c r="O106" s="138">
        <f>I106/E106</f>
        <v/>
      </c>
      <c r="P106" s="138">
        <f>K106/E106</f>
        <v/>
      </c>
      <c r="Q106" s="123" t="n">
        <v>3</v>
      </c>
      <c r="R106" s="123" t="n">
        <v>1</v>
      </c>
      <c r="S106" s="123" t="inlineStr">
        <is>
          <t>복</t>
        </is>
      </c>
      <c r="T106" s="5" t="n">
        <v>81</v>
      </c>
      <c r="U106" s="9" t="n"/>
    </row>
    <row r="107" ht="12" customFormat="1" customHeight="1" s="37">
      <c r="A107" s="111" t="inlineStr">
        <is>
          <t>소룡동 그린서해맨션</t>
        </is>
      </c>
      <c r="B107" s="112" t="inlineStr">
        <is>
          <t>93.12.</t>
        </is>
      </c>
      <c r="C107" s="132" t="n">
        <v>350</v>
      </c>
      <c r="D107" s="133" t="n">
        <v>103.5</v>
      </c>
      <c r="E107" s="134" t="n">
        <v>31</v>
      </c>
      <c r="F107" s="133" t="n">
        <v>84.90000000000001</v>
      </c>
      <c r="G107" s="17" t="n">
        <v>26</v>
      </c>
      <c r="H107" s="135" t="n">
        <v>52</v>
      </c>
      <c r="I107" s="136" t="n">
        <v>8500</v>
      </c>
      <c r="J107" s="136" t="inlineStr">
        <is>
          <t>10</t>
        </is>
      </c>
      <c r="K107" s="136" t="n"/>
      <c r="L107" s="136" t="n"/>
      <c r="M107" s="137">
        <f>I107-K107</f>
        <v/>
      </c>
      <c r="N107" s="4">
        <f>IF(ISERROR(K107/I107),"",K107/I107)</f>
        <v/>
      </c>
      <c r="O107" s="138">
        <f>I107/E107</f>
        <v/>
      </c>
      <c r="P107" s="138">
        <f>K107/E107</f>
        <v/>
      </c>
      <c r="Q107" s="123" t="n">
        <v>3</v>
      </c>
      <c r="R107" s="123" t="n">
        <v>2</v>
      </c>
      <c r="S107" s="123" t="inlineStr">
        <is>
          <t>계</t>
        </is>
      </c>
      <c r="T107" s="5" t="inlineStr">
        <is>
          <t>103B</t>
        </is>
      </c>
      <c r="U107" s="9" t="n"/>
    </row>
    <row r="108" ht="12" customFormat="1" customHeight="1" s="37">
      <c r="A108" s="111" t="inlineStr">
        <is>
          <t>나운동 주공5단지</t>
        </is>
      </c>
      <c r="B108" s="112" t="inlineStr">
        <is>
          <t>95.07.</t>
        </is>
      </c>
      <c r="C108" s="132" t="n">
        <v>1541</v>
      </c>
      <c r="D108" s="133" t="n">
        <v>79.2</v>
      </c>
      <c r="E108" s="134" t="n">
        <v>24</v>
      </c>
      <c r="F108" s="133" t="n">
        <v>58.1</v>
      </c>
      <c r="G108" s="17" t="n">
        <v>18</v>
      </c>
      <c r="H108" s="135" t="n">
        <v>1243</v>
      </c>
      <c r="I108" s="136" t="n">
        <v>8300</v>
      </c>
      <c r="J108" s="136" t="inlineStr">
        <is>
          <t>8</t>
        </is>
      </c>
      <c r="K108" s="136" t="n">
        <v>7500</v>
      </c>
      <c r="L108" s="136" t="inlineStr">
        <is>
          <t>14</t>
        </is>
      </c>
      <c r="M108" s="137">
        <f>I108-K108</f>
        <v/>
      </c>
      <c r="N108" s="4">
        <f>IF(ISERROR(K108/I108),"",K108/I108)</f>
        <v/>
      </c>
      <c r="O108" s="138">
        <f>I108/E108</f>
        <v/>
      </c>
      <c r="P108" s="138">
        <f>K108/E108</f>
        <v/>
      </c>
      <c r="Q108" s="123" t="n">
        <v>3</v>
      </c>
      <c r="R108" s="123" t="n">
        <v>1</v>
      </c>
      <c r="S108" s="123" t="inlineStr">
        <is>
          <t>복</t>
        </is>
      </c>
      <c r="T108" s="5" t="n">
        <v>79</v>
      </c>
      <c r="U108" s="9" t="n"/>
    </row>
    <row r="109" ht="12" customFormat="1" customHeight="1" s="37">
      <c r="A109" s="111" t="inlineStr">
        <is>
          <t>나운동 나운유원</t>
        </is>
      </c>
      <c r="B109" s="112" t="inlineStr">
        <is>
          <t>90.11.</t>
        </is>
      </c>
      <c r="C109" s="132" t="n">
        <v>458</v>
      </c>
      <c r="D109" s="133" t="n">
        <v>81.3</v>
      </c>
      <c r="E109" s="134" t="n">
        <v>25</v>
      </c>
      <c r="F109" s="133" t="n">
        <v>65.09999999999999</v>
      </c>
      <c r="G109" s="17" t="n">
        <v>20</v>
      </c>
      <c r="H109" s="135" t="n">
        <v>144</v>
      </c>
      <c r="I109" s="136" t="n">
        <v>8000</v>
      </c>
      <c r="J109" s="136" t="inlineStr">
        <is>
          <t>12</t>
        </is>
      </c>
      <c r="K109" s="136" t="n">
        <v>7000</v>
      </c>
      <c r="L109" s="136" t="inlineStr">
        <is>
          <t>고</t>
        </is>
      </c>
      <c r="M109" s="137">
        <f>I109-K109</f>
        <v/>
      </c>
      <c r="N109" s="4">
        <f>IF(ISERROR(K109/I109),"",K109/I109)</f>
        <v/>
      </c>
      <c r="O109" s="138">
        <f>I109/E109</f>
        <v/>
      </c>
      <c r="P109" s="138">
        <f>K109/E109</f>
        <v/>
      </c>
      <c r="Q109" s="123" t="n">
        <v>3</v>
      </c>
      <c r="R109" s="123" t="n">
        <v>1</v>
      </c>
      <c r="S109" s="123" t="inlineStr">
        <is>
          <t>계</t>
        </is>
      </c>
      <c r="T109" s="5" t="n">
        <v>81</v>
      </c>
      <c r="U109" s="9" t="n"/>
    </row>
    <row r="110" ht="12" customFormat="1" customHeight="1" s="37">
      <c r="A110" s="111" t="inlineStr">
        <is>
          <t>나운동 주공5단지</t>
        </is>
      </c>
      <c r="B110" s="112" t="inlineStr">
        <is>
          <t>95.07.</t>
        </is>
      </c>
      <c r="C110" s="132" t="n">
        <v>1541</v>
      </c>
      <c r="D110" s="133" t="n">
        <v>69.8</v>
      </c>
      <c r="E110" s="134" t="n">
        <v>21</v>
      </c>
      <c r="F110" s="133" t="n">
        <v>49.7</v>
      </c>
      <c r="G110" s="17" t="n">
        <v>15</v>
      </c>
      <c r="H110" s="135" t="n">
        <v>149</v>
      </c>
      <c r="I110" s="136" t="n">
        <v>8000</v>
      </c>
      <c r="J110" s="136" t="inlineStr">
        <is>
          <t>8</t>
        </is>
      </c>
      <c r="K110" s="136" t="n"/>
      <c r="L110" s="136" t="n"/>
      <c r="M110" s="137">
        <f>I110-K110</f>
        <v/>
      </c>
      <c r="N110" s="4">
        <f>IF(ISERROR(K110/I110),"",K110/I110)</f>
        <v/>
      </c>
      <c r="O110" s="138">
        <f>I110/E110</f>
        <v/>
      </c>
      <c r="P110" s="138">
        <f>K110/E110</f>
        <v/>
      </c>
      <c r="Q110" s="123" t="n">
        <v>2</v>
      </c>
      <c r="R110" s="123" t="n">
        <v>1</v>
      </c>
      <c r="S110" s="123" t="inlineStr">
        <is>
          <t>복</t>
        </is>
      </c>
      <c r="T110" s="5" t="n">
        <v>69</v>
      </c>
      <c r="U110" s="9" t="n"/>
    </row>
    <row r="111" ht="12" customFormat="1" customHeight="1" s="37">
      <c r="A111" s="111" t="inlineStr">
        <is>
          <t>미룡동 미룡주공3단지</t>
        </is>
      </c>
      <c r="B111" s="112" t="inlineStr">
        <is>
          <t>01.06.</t>
        </is>
      </c>
      <c r="C111" s="132" t="n">
        <v>1460</v>
      </c>
      <c r="D111" s="133" t="n">
        <v>65.40000000000001</v>
      </c>
      <c r="E111" s="134" t="n">
        <v>20</v>
      </c>
      <c r="F111" s="133" t="n">
        <v>49.9</v>
      </c>
      <c r="G111" s="17" t="n">
        <v>15</v>
      </c>
      <c r="H111" s="135" t="n">
        <v>529</v>
      </c>
      <c r="I111" s="136" t="n">
        <v>8000</v>
      </c>
      <c r="J111" s="136" t="inlineStr">
        <is>
          <t>15</t>
        </is>
      </c>
      <c r="K111" s="136" t="n">
        <v>7500</v>
      </c>
      <c r="L111" s="136" t="inlineStr">
        <is>
          <t>18</t>
        </is>
      </c>
      <c r="M111" s="137">
        <f>I111-K111</f>
        <v/>
      </c>
      <c r="N111" s="4">
        <f>IF(ISERROR(K111/I111),"",K111/I111)</f>
        <v/>
      </c>
      <c r="O111" s="138">
        <f>I111/E111</f>
        <v/>
      </c>
      <c r="P111" s="138">
        <f>K111/E111</f>
        <v/>
      </c>
      <c r="Q111" s="123" t="n">
        <v>2</v>
      </c>
      <c r="R111" s="123" t="n">
        <v>1</v>
      </c>
      <c r="S111" s="123" t="inlineStr">
        <is>
          <t>계</t>
        </is>
      </c>
      <c r="T111" s="5" t="inlineStr">
        <is>
          <t>65C</t>
        </is>
      </c>
      <c r="U111" s="9" t="n"/>
    </row>
    <row r="112" ht="12" customFormat="1" customHeight="1" s="37">
      <c r="A112" s="111" t="inlineStr">
        <is>
          <t>미룡동 미룡주공2단지</t>
        </is>
      </c>
      <c r="B112" s="112" t="inlineStr">
        <is>
          <t>01.03.</t>
        </is>
      </c>
      <c r="C112" s="132" t="n">
        <v>874</v>
      </c>
      <c r="D112" s="133" t="n">
        <v>68.3</v>
      </c>
      <c r="E112" s="134" t="n">
        <v>21</v>
      </c>
      <c r="F112" s="133" t="n">
        <v>50.3</v>
      </c>
      <c r="G112" s="17" t="n">
        <v>15</v>
      </c>
      <c r="H112" s="135" t="n">
        <v>288</v>
      </c>
      <c r="I112" s="136" t="n">
        <v>8000</v>
      </c>
      <c r="J112" s="136" t="inlineStr">
        <is>
          <t>7</t>
        </is>
      </c>
      <c r="K112" s="136" t="n"/>
      <c r="L112" s="136" t="n"/>
      <c r="M112" s="137">
        <f>I112-K112</f>
        <v/>
      </c>
      <c r="N112" s="4">
        <f>IF(ISERROR(K112/I112),"",K112/I112)</f>
        <v/>
      </c>
      <c r="O112" s="138">
        <f>I112/E112</f>
        <v/>
      </c>
      <c r="P112" s="138">
        <f>K112/E112</f>
        <v/>
      </c>
      <c r="Q112" s="123" t="n">
        <v>2</v>
      </c>
      <c r="R112" s="123" t="n">
        <v>1</v>
      </c>
      <c r="S112" s="123" t="inlineStr">
        <is>
          <t>복</t>
        </is>
      </c>
      <c r="T112" s="5" t="inlineStr">
        <is>
          <t>68A</t>
        </is>
      </c>
      <c r="U112" s="9" t="n"/>
    </row>
    <row r="113" ht="12" customFormat="1" customHeight="1" s="37">
      <c r="A113" s="111" t="inlineStr">
        <is>
          <t>나운동 영창</t>
        </is>
      </c>
      <c r="B113" s="112" t="inlineStr">
        <is>
          <t>95.06.</t>
        </is>
      </c>
      <c r="C113" s="132" t="n">
        <v>765</v>
      </c>
      <c r="D113" s="133" t="n">
        <v>71.5</v>
      </c>
      <c r="E113" s="134" t="n">
        <v>22</v>
      </c>
      <c r="F113" s="133" t="n">
        <v>49.8</v>
      </c>
      <c r="G113" s="17" t="n">
        <v>15</v>
      </c>
      <c r="H113" s="135" t="n">
        <v>120</v>
      </c>
      <c r="I113" s="136" t="n">
        <v>7500</v>
      </c>
      <c r="J113" s="136" t="inlineStr">
        <is>
          <t>13</t>
        </is>
      </c>
      <c r="K113" s="136" t="n">
        <v>6500</v>
      </c>
      <c r="L113" s="136" t="inlineStr">
        <is>
          <t>10</t>
        </is>
      </c>
      <c r="M113" s="137">
        <f>I113-K113</f>
        <v/>
      </c>
      <c r="N113" s="4">
        <f>IF(ISERROR(K113/I113),"",K113/I113)</f>
        <v/>
      </c>
      <c r="O113" s="138">
        <f>I113/E113</f>
        <v/>
      </c>
      <c r="P113" s="138">
        <f>K113/E113</f>
        <v/>
      </c>
      <c r="Q113" s="123" t="n">
        <v>2</v>
      </c>
      <c r="R113" s="123" t="n">
        <v>1</v>
      </c>
      <c r="S113" s="123" t="inlineStr">
        <is>
          <t>복</t>
        </is>
      </c>
      <c r="T113" s="5" t="n">
        <v>71</v>
      </c>
      <c r="U113" s="9" t="n"/>
    </row>
    <row r="114" ht="12" customFormat="1" customHeight="1" s="37">
      <c r="A114" s="111" t="inlineStr">
        <is>
          <t>수송동 동신</t>
        </is>
      </c>
      <c r="B114" s="112" t="inlineStr">
        <is>
          <t>91.09.</t>
        </is>
      </c>
      <c r="C114" s="132" t="n">
        <v>660</v>
      </c>
      <c r="D114" s="133" t="n">
        <v>83.5</v>
      </c>
      <c r="E114" s="134" t="n">
        <v>25</v>
      </c>
      <c r="F114" s="133" t="n">
        <v>67.40000000000001</v>
      </c>
      <c r="G114" s="17" t="n">
        <v>20</v>
      </c>
      <c r="H114" s="135" t="n">
        <v>120</v>
      </c>
      <c r="I114" s="136" t="n">
        <v>7500</v>
      </c>
      <c r="J114" s="136" t="inlineStr">
        <is>
          <t>7</t>
        </is>
      </c>
      <c r="K114" s="136" t="n"/>
      <c r="L114" s="136" t="n"/>
      <c r="M114" s="137">
        <f>I114-K114</f>
        <v/>
      </c>
      <c r="N114" s="4">
        <f>IF(ISERROR(K114/I114),"",K114/I114)</f>
        <v/>
      </c>
      <c r="O114" s="138">
        <f>I114/E114</f>
        <v/>
      </c>
      <c r="P114" s="138">
        <f>K114/E114</f>
        <v/>
      </c>
      <c r="Q114" s="123" t="n">
        <v>3</v>
      </c>
      <c r="R114" s="123" t="n">
        <v>1</v>
      </c>
      <c r="S114" s="123" t="inlineStr">
        <is>
          <t>복</t>
        </is>
      </c>
      <c r="T114" s="5" t="n">
        <v>83</v>
      </c>
      <c r="U114" s="9" t="n"/>
    </row>
    <row r="115" ht="12" customFormat="1" customHeight="1" s="37">
      <c r="A115" s="111" t="inlineStr">
        <is>
          <t>구암동 현대</t>
        </is>
      </c>
      <c r="B115" s="112" t="inlineStr">
        <is>
          <t>94.03.</t>
        </is>
      </c>
      <c r="C115" s="132" t="n">
        <v>1084</v>
      </c>
      <c r="D115" s="133" t="n">
        <v>80.09999999999999</v>
      </c>
      <c r="E115" s="134" t="n">
        <v>24</v>
      </c>
      <c r="F115" s="133" t="n">
        <v>59.9</v>
      </c>
      <c r="G115" s="17" t="n">
        <v>18</v>
      </c>
      <c r="H115" s="135" t="n">
        <v>427</v>
      </c>
      <c r="I115" s="136" t="n">
        <v>7000</v>
      </c>
      <c r="J115" s="136" t="inlineStr">
        <is>
          <t>15</t>
        </is>
      </c>
      <c r="K115" s="136" t="n"/>
      <c r="L115" s="136" t="n"/>
      <c r="M115" s="137">
        <f>I115-K115</f>
        <v/>
      </c>
      <c r="N115" s="4">
        <f>IF(ISERROR(K115/I115),"",K115/I115)</f>
        <v/>
      </c>
      <c r="O115" s="138">
        <f>I115/E115</f>
        <v/>
      </c>
      <c r="P115" s="138">
        <f>K115/E115</f>
        <v/>
      </c>
      <c r="Q115" s="123" t="n">
        <v>3</v>
      </c>
      <c r="R115" s="123" t="n">
        <v>1</v>
      </c>
      <c r="S115" s="123" t="inlineStr">
        <is>
          <t>계</t>
        </is>
      </c>
      <c r="T115" s="5" t="n">
        <v>80</v>
      </c>
      <c r="U115" s="9" t="n"/>
    </row>
    <row r="116" ht="12" customFormat="1" customHeight="1" s="37">
      <c r="A116" s="111" t="inlineStr">
        <is>
          <t>소룡동 소룡진흥</t>
        </is>
      </c>
      <c r="B116" s="112" t="inlineStr">
        <is>
          <t>91.05.</t>
        </is>
      </c>
      <c r="C116" s="132" t="n">
        <v>499</v>
      </c>
      <c r="D116" s="133" t="n">
        <v>88.3</v>
      </c>
      <c r="E116" s="134" t="n">
        <v>27</v>
      </c>
      <c r="F116" s="133" t="n">
        <v>72</v>
      </c>
      <c r="G116" s="17" t="n">
        <v>22</v>
      </c>
      <c r="H116" s="135" t="n">
        <v>128</v>
      </c>
      <c r="I116" s="136" t="n">
        <v>6700</v>
      </c>
      <c r="J116" s="136" t="inlineStr">
        <is>
          <t>12</t>
        </is>
      </c>
      <c r="K116" s="136" t="n"/>
      <c r="L116" s="136" t="n"/>
      <c r="M116" s="137">
        <f>I116-K116</f>
        <v/>
      </c>
      <c r="N116" s="4">
        <f>IF(ISERROR(K116/I116),"",K116/I116)</f>
        <v/>
      </c>
      <c r="O116" s="138">
        <f>I116/E116</f>
        <v/>
      </c>
      <c r="P116" s="138">
        <f>K116/E116</f>
        <v/>
      </c>
      <c r="Q116" s="123" t="n">
        <v>3</v>
      </c>
      <c r="R116" s="123" t="n">
        <v>2</v>
      </c>
      <c r="S116" s="123" t="inlineStr">
        <is>
          <t>계</t>
        </is>
      </c>
      <c r="T116" s="5" t="n">
        <v>88</v>
      </c>
      <c r="U116" s="9" t="n"/>
    </row>
    <row r="117" ht="12" customFormat="1" customHeight="1" s="37">
      <c r="A117" s="111" t="inlineStr">
        <is>
          <t>조촌동 동신개나리</t>
        </is>
      </c>
      <c r="B117" s="112" t="inlineStr">
        <is>
          <t>95.12.</t>
        </is>
      </c>
      <c r="C117" s="132" t="n">
        <v>383</v>
      </c>
      <c r="D117" s="133" t="n">
        <v>60.5</v>
      </c>
      <c r="E117" s="134" t="n">
        <v>18</v>
      </c>
      <c r="F117" s="133" t="n">
        <v>47.6</v>
      </c>
      <c r="G117" s="17" t="n">
        <v>14</v>
      </c>
      <c r="H117" s="135" t="n">
        <v>120</v>
      </c>
      <c r="I117" s="136" t="n">
        <v>6400</v>
      </c>
      <c r="J117" s="136" t="inlineStr">
        <is>
          <t>13</t>
        </is>
      </c>
      <c r="K117" s="136" t="n"/>
      <c r="L117" s="136" t="n"/>
      <c r="M117" s="137">
        <f>I117-K117</f>
        <v/>
      </c>
      <c r="N117" s="4">
        <f>IF(ISERROR(K117/I117),"",K117/I117)</f>
        <v/>
      </c>
      <c r="O117" s="138">
        <f>I117/E117</f>
        <v/>
      </c>
      <c r="P117" s="138">
        <f>K117/E117</f>
        <v/>
      </c>
      <c r="Q117" s="123" t="n">
        <v>3</v>
      </c>
      <c r="R117" s="123" t="n">
        <v>1</v>
      </c>
      <c r="S117" s="123" t="inlineStr">
        <is>
          <t>계</t>
        </is>
      </c>
      <c r="T117" s="5" t="n">
        <v>60</v>
      </c>
      <c r="U117" s="9" t="n"/>
    </row>
    <row r="118" ht="12" customFormat="1" customHeight="1" s="37">
      <c r="A118" s="111" t="inlineStr">
        <is>
          <t>소룡동 동아</t>
        </is>
      </c>
      <c r="B118" s="112" t="inlineStr">
        <is>
          <t>90.10.</t>
        </is>
      </c>
      <c r="C118" s="132" t="n">
        <v>702</v>
      </c>
      <c r="D118" s="133" t="n">
        <v>79.5</v>
      </c>
      <c r="E118" s="134" t="n">
        <v>24</v>
      </c>
      <c r="F118" s="133" t="n">
        <v>60.5</v>
      </c>
      <c r="G118" s="17" t="n">
        <v>18</v>
      </c>
      <c r="H118" s="135" t="n">
        <v>251</v>
      </c>
      <c r="I118" s="136" t="n">
        <v>6000</v>
      </c>
      <c r="J118" s="136" t="inlineStr">
        <is>
          <t>10</t>
        </is>
      </c>
      <c r="K118" s="136" t="n"/>
      <c r="L118" s="136" t="n"/>
      <c r="M118" s="137">
        <f>I118-K118</f>
        <v/>
      </c>
      <c r="N118" s="4">
        <f>IF(ISERROR(K118/I118),"",K118/I118)</f>
        <v/>
      </c>
      <c r="O118" s="138">
        <f>I118/E118</f>
        <v/>
      </c>
      <c r="P118" s="138">
        <f>K118/E118</f>
        <v/>
      </c>
      <c r="Q118" s="123" t="n">
        <v>3</v>
      </c>
      <c r="R118" s="123" t="n">
        <v>1</v>
      </c>
      <c r="S118" s="123" t="inlineStr">
        <is>
          <t>계</t>
        </is>
      </c>
      <c r="T118" s="5" t="inlineStr">
        <is>
          <t>79A</t>
        </is>
      </c>
      <c r="U118" s="9" t="n"/>
    </row>
    <row r="119" ht="12" customFormat="1" customHeight="1" s="37">
      <c r="A119" s="111" t="inlineStr">
        <is>
          <t>나운동 세경</t>
        </is>
      </c>
      <c r="B119" s="112" t="inlineStr">
        <is>
          <t>02.12.</t>
        </is>
      </c>
      <c r="C119" s="132" t="n">
        <v>1186</v>
      </c>
      <c r="D119" s="133" t="n">
        <v>69</v>
      </c>
      <c r="E119" s="134" t="n">
        <v>21</v>
      </c>
      <c r="F119" s="133" t="n">
        <v>53.8</v>
      </c>
      <c r="G119" s="17" t="n">
        <v>16</v>
      </c>
      <c r="H119" s="135" t="n">
        <v>941</v>
      </c>
      <c r="I119" s="136" t="n">
        <v>5700</v>
      </c>
      <c r="J119" s="136" t="inlineStr">
        <is>
          <t>15</t>
        </is>
      </c>
      <c r="K119" s="136" t="n"/>
      <c r="L119" s="136" t="n"/>
      <c r="M119" s="137">
        <f>I119-K119</f>
        <v/>
      </c>
      <c r="N119" s="4">
        <f>IF(ISERROR(K119/I119),"",K119/I119)</f>
        <v/>
      </c>
      <c r="O119" s="138">
        <f>I119/E119</f>
        <v/>
      </c>
      <c r="P119" s="138">
        <f>K119/E119</f>
        <v/>
      </c>
      <c r="Q119" s="123" t="n">
        <v>2</v>
      </c>
      <c r="R119" s="123" t="n">
        <v>1</v>
      </c>
      <c r="S119" s="123" t="inlineStr">
        <is>
          <t>복</t>
        </is>
      </c>
      <c r="T119" s="5" t="n">
        <v>68</v>
      </c>
      <c r="U119" s="9" t="n"/>
    </row>
    <row r="120" ht="12" customFormat="1" customHeight="1" s="37">
      <c r="A120" s="111" t="inlineStr">
        <is>
          <t>소룡동 소룡진흥</t>
        </is>
      </c>
      <c r="B120" s="112" t="inlineStr">
        <is>
          <t>91.05.</t>
        </is>
      </c>
      <c r="C120" s="132" t="n">
        <v>499</v>
      </c>
      <c r="D120" s="133" t="n">
        <v>78.40000000000001</v>
      </c>
      <c r="E120" s="134" t="n">
        <v>24</v>
      </c>
      <c r="F120" s="133" t="n">
        <v>59.8</v>
      </c>
      <c r="G120" s="17" t="n">
        <v>18</v>
      </c>
      <c r="H120" s="135" t="n">
        <v>48</v>
      </c>
      <c r="I120" s="136" t="n">
        <v>5350</v>
      </c>
      <c r="J120" s="136" t="inlineStr">
        <is>
          <t>9</t>
        </is>
      </c>
      <c r="K120" s="136" t="n"/>
      <c r="L120" s="136" t="n"/>
      <c r="M120" s="137">
        <f>I120-K120</f>
        <v/>
      </c>
      <c r="N120" s="4">
        <f>IF(ISERROR(K120/I120),"",K120/I120)</f>
        <v/>
      </c>
      <c r="O120" s="138">
        <f>I120/E120</f>
        <v/>
      </c>
      <c r="P120" s="138">
        <f>K120/E120</f>
        <v/>
      </c>
      <c r="Q120" s="123" t="n">
        <v>3</v>
      </c>
      <c r="R120" s="123" t="n">
        <v>1</v>
      </c>
      <c r="S120" s="123" t="inlineStr">
        <is>
          <t>복</t>
        </is>
      </c>
      <c r="T120" s="5" t="inlineStr">
        <is>
          <t>78A</t>
        </is>
      </c>
      <c r="U120" s="9" t="n"/>
    </row>
    <row r="121" ht="12" customFormat="1" customHeight="1" s="37">
      <c r="A121" s="111" t="inlineStr">
        <is>
          <t>나운동 영창</t>
        </is>
      </c>
      <c r="B121" s="112" t="inlineStr">
        <is>
          <t>95.06.</t>
        </is>
      </c>
      <c r="C121" s="132" t="n">
        <v>765</v>
      </c>
      <c r="D121" s="133" t="n">
        <v>56.5</v>
      </c>
      <c r="E121" s="134" t="n">
        <v>17</v>
      </c>
      <c r="F121" s="133" t="n">
        <v>39.3</v>
      </c>
      <c r="G121" s="17" t="n">
        <v>12</v>
      </c>
      <c r="H121" s="135" t="n">
        <v>60</v>
      </c>
      <c r="I121" s="136" t="n">
        <v>5000</v>
      </c>
      <c r="J121" s="136" t="inlineStr">
        <is>
          <t>10</t>
        </is>
      </c>
      <c r="K121" s="136" t="n"/>
      <c r="L121" s="136" t="n"/>
      <c r="M121" s="137">
        <f>I121-K121</f>
        <v/>
      </c>
      <c r="N121" s="4">
        <f>IF(ISERROR(K121/I121),"",K121/I121)</f>
        <v/>
      </c>
      <c r="O121" s="138">
        <f>I121/E121</f>
        <v/>
      </c>
      <c r="P121" s="138">
        <f>K121/E121</f>
        <v/>
      </c>
      <c r="Q121" s="123" t="n">
        <v>2</v>
      </c>
      <c r="R121" s="123" t="n">
        <v>1</v>
      </c>
      <c r="S121" s="123" t="inlineStr">
        <is>
          <t>복</t>
        </is>
      </c>
      <c r="T121" s="5" t="n">
        <v>56</v>
      </c>
      <c r="U121" s="9" t="n"/>
    </row>
    <row r="122" ht="12" customFormat="1" customHeight="1" s="37">
      <c r="A122" s="111" t="inlineStr">
        <is>
          <t>소룡동 신도시</t>
        </is>
      </c>
      <c r="B122" s="112" t="inlineStr">
        <is>
          <t>01.12.</t>
        </is>
      </c>
      <c r="C122" s="132" t="n">
        <v>720</v>
      </c>
      <c r="D122" s="133" t="n">
        <v>63</v>
      </c>
      <c r="E122" s="134" t="n">
        <v>19</v>
      </c>
      <c r="F122" s="133" t="n">
        <v>45.4</v>
      </c>
      <c r="G122" s="17" t="n">
        <v>14</v>
      </c>
      <c r="H122" s="135" t="n">
        <v>416</v>
      </c>
      <c r="I122" s="136" t="n">
        <v>4700</v>
      </c>
      <c r="J122" s="136" t="inlineStr">
        <is>
          <t>16</t>
        </is>
      </c>
      <c r="K122" s="136" t="n"/>
      <c r="L122" s="136" t="n"/>
      <c r="M122" s="137">
        <f>I122-K122</f>
        <v/>
      </c>
      <c r="N122" s="4">
        <f>IF(ISERROR(K122/I122),"",K122/I122)</f>
        <v/>
      </c>
      <c r="O122" s="138">
        <f>I122/E122</f>
        <v/>
      </c>
      <c r="P122" s="138">
        <f>K122/E122</f>
        <v/>
      </c>
      <c r="Q122" s="123" t="n">
        <v>2</v>
      </c>
      <c r="R122" s="123" t="n">
        <v>1</v>
      </c>
      <c r="S122" s="123" t="inlineStr">
        <is>
          <t>복</t>
        </is>
      </c>
      <c r="T122" s="5" t="inlineStr">
        <is>
          <t>62A</t>
        </is>
      </c>
      <c r="U122" s="9" t="n"/>
    </row>
    <row r="123" ht="12" customFormat="1" customHeight="1" s="37">
      <c r="A123" s="111" t="inlineStr">
        <is>
          <t>나운동 세경</t>
        </is>
      </c>
      <c r="B123" s="112" t="inlineStr">
        <is>
          <t>02.12.</t>
        </is>
      </c>
      <c r="C123" s="132" t="n">
        <v>1186</v>
      </c>
      <c r="D123" s="133" t="n">
        <v>51.7</v>
      </c>
      <c r="E123" s="134" t="n">
        <v>16</v>
      </c>
      <c r="F123" s="133" t="n">
        <v>40.3</v>
      </c>
      <c r="G123" s="17" t="n">
        <v>12</v>
      </c>
      <c r="H123" s="135" t="n">
        <v>230</v>
      </c>
      <c r="I123" s="136" t="n">
        <v>4500</v>
      </c>
      <c r="J123" s="136" t="inlineStr">
        <is>
          <t>9</t>
        </is>
      </c>
      <c r="K123" s="136" t="n"/>
      <c r="L123" s="136" t="n"/>
      <c r="M123" s="137">
        <f>I123-K123</f>
        <v/>
      </c>
      <c r="N123" s="4">
        <f>IF(ISERROR(K123/I123),"",K123/I123)</f>
        <v/>
      </c>
      <c r="O123" s="138">
        <f>I123/E123</f>
        <v/>
      </c>
      <c r="P123" s="138">
        <f>K123/E123</f>
        <v/>
      </c>
      <c r="Q123" s="123" t="n">
        <v>1</v>
      </c>
      <c r="R123" s="123" t="n">
        <v>1</v>
      </c>
      <c r="S123" s="123" t="inlineStr">
        <is>
          <t>복</t>
        </is>
      </c>
      <c r="T123" s="5" t="n">
        <v>51</v>
      </c>
      <c r="U123" s="9" t="n"/>
    </row>
    <row r="124" ht="12" customFormat="1" customHeight="1" s="37">
      <c r="A124" s="111" t="inlineStr">
        <is>
          <t>경암동 경암부향하나로</t>
        </is>
      </c>
      <c r="B124" s="112" t="inlineStr">
        <is>
          <t>98.09.</t>
        </is>
      </c>
      <c r="C124" s="132" t="n">
        <v>880</v>
      </c>
      <c r="D124" s="133" t="n">
        <v>55</v>
      </c>
      <c r="E124" s="134" t="n">
        <v>17</v>
      </c>
      <c r="F124" s="133" t="n">
        <v>40</v>
      </c>
      <c r="G124" s="17" t="n">
        <v>12</v>
      </c>
      <c r="H124" s="135" t="n">
        <v>163</v>
      </c>
      <c r="I124" s="136" t="n">
        <v>4400</v>
      </c>
      <c r="J124" s="136" t="inlineStr">
        <is>
          <t>13</t>
        </is>
      </c>
      <c r="K124" s="136" t="n"/>
      <c r="L124" s="136" t="n"/>
      <c r="M124" s="137">
        <f>I124-K124</f>
        <v/>
      </c>
      <c r="N124" s="4">
        <f>IF(ISERROR(K124/I124),"",K124/I124)</f>
        <v/>
      </c>
      <c r="O124" s="138">
        <f>I124/E124</f>
        <v/>
      </c>
      <c r="P124" s="138">
        <f>K124/E124</f>
        <v/>
      </c>
      <c r="Q124" s="123" t="n">
        <v>3</v>
      </c>
      <c r="R124" s="123" t="n">
        <v>1</v>
      </c>
      <c r="S124" s="123" t="inlineStr">
        <is>
          <t>계</t>
        </is>
      </c>
      <c r="T124" s="5" t="n">
        <v>54</v>
      </c>
      <c r="U124" s="9" t="n"/>
    </row>
    <row r="125" ht="12" customFormat="1" customHeight="1" s="37">
      <c r="A125" s="111" t="inlineStr">
        <is>
          <t>소룡동 소룡진흥</t>
        </is>
      </c>
      <c r="B125" s="112" t="inlineStr">
        <is>
          <t>91.05.</t>
        </is>
      </c>
      <c r="C125" s="132" t="n">
        <v>499</v>
      </c>
      <c r="D125" s="133" t="n">
        <v>63.4</v>
      </c>
      <c r="E125" s="134" t="n">
        <v>19</v>
      </c>
      <c r="F125" s="133" t="n">
        <v>49.3</v>
      </c>
      <c r="G125" s="17" t="n">
        <v>15</v>
      </c>
      <c r="H125" s="135" t="n">
        <v>50</v>
      </c>
      <c r="I125" s="136" t="n">
        <v>3800</v>
      </c>
      <c r="J125" s="136" t="inlineStr">
        <is>
          <t>9</t>
        </is>
      </c>
      <c r="K125" s="136" t="n"/>
      <c r="L125" s="136" t="n"/>
      <c r="M125" s="137">
        <f>I125-K125</f>
        <v/>
      </c>
      <c r="N125" s="4">
        <f>IF(ISERROR(K125/I125),"",K125/I125)</f>
        <v/>
      </c>
      <c r="O125" s="138">
        <f>I125/E125</f>
        <v/>
      </c>
      <c r="P125" s="138">
        <f>K125/E125</f>
        <v/>
      </c>
      <c r="Q125" s="123" t="n">
        <v>2</v>
      </c>
      <c r="R125" s="123" t="n">
        <v>1</v>
      </c>
      <c r="S125" s="123" t="inlineStr">
        <is>
          <t>계</t>
        </is>
      </c>
      <c r="T125" s="5" t="n">
        <v>63</v>
      </c>
      <c r="U125" s="9" t="n"/>
    </row>
    <row r="126" ht="12" customFormat="1" customHeight="1" s="37">
      <c r="A126" s="111" t="inlineStr">
        <is>
          <t>미룡동 미룡대명1차</t>
        </is>
      </c>
      <c r="B126" s="112" t="inlineStr">
        <is>
          <t>98.06.</t>
        </is>
      </c>
      <c r="C126" s="132" t="n">
        <v>498</v>
      </c>
      <c r="D126" s="133" t="n">
        <v>53.9</v>
      </c>
      <c r="E126" s="134" t="n">
        <v>16</v>
      </c>
      <c r="F126" s="133" t="n">
        <v>40</v>
      </c>
      <c r="G126" s="17" t="n">
        <v>12</v>
      </c>
      <c r="H126" s="135" t="n">
        <v>498</v>
      </c>
      <c r="I126" s="136" t="n">
        <v>3600</v>
      </c>
      <c r="J126" s="136" t="inlineStr">
        <is>
          <t>18</t>
        </is>
      </c>
      <c r="K126" s="136" t="n">
        <v>4500</v>
      </c>
      <c r="L126" s="136" t="inlineStr">
        <is>
          <t>11</t>
        </is>
      </c>
      <c r="M126" s="137">
        <f>I126-K126</f>
        <v/>
      </c>
      <c r="N126" s="4">
        <f>IF(ISERROR(K126/I126),"",K126/I126)</f>
        <v/>
      </c>
      <c r="O126" s="138">
        <f>I126/E126</f>
        <v/>
      </c>
      <c r="P126" s="138">
        <f>K126/E126</f>
        <v/>
      </c>
      <c r="Q126" s="123" t="n">
        <v>2</v>
      </c>
      <c r="R126" s="123" t="n">
        <v>1</v>
      </c>
      <c r="S126" s="123" t="inlineStr">
        <is>
          <t>계</t>
        </is>
      </c>
      <c r="T126" s="5" t="n">
        <v>53</v>
      </c>
      <c r="U126" s="9" t="n"/>
    </row>
    <row r="127" ht="12" customFormat="1" customHeight="1" s="37">
      <c r="A127" s="111" t="inlineStr">
        <is>
          <t>산북동 부향하나로1차</t>
        </is>
      </c>
      <c r="B127" s="112" t="inlineStr">
        <is>
          <t>97.03.</t>
        </is>
      </c>
      <c r="C127" s="132" t="n">
        <v>349</v>
      </c>
      <c r="D127" s="133" t="n">
        <v>51.5</v>
      </c>
      <c r="E127" s="134" t="n">
        <v>16</v>
      </c>
      <c r="F127" s="133" t="n">
        <v>39</v>
      </c>
      <c r="G127" s="17" t="n">
        <v>12</v>
      </c>
      <c r="H127" s="135" t="n">
        <v>295</v>
      </c>
      <c r="I127" s="136" t="n">
        <v>2100</v>
      </c>
      <c r="J127" s="136" t="inlineStr">
        <is>
          <t>7</t>
        </is>
      </c>
      <c r="K127" s="136" t="n"/>
      <c r="L127" s="136" t="n"/>
      <c r="M127" s="137">
        <f>I127-K127</f>
        <v/>
      </c>
      <c r="N127" s="4">
        <f>IF(ISERROR(K127/I127),"",K127/I127)</f>
        <v/>
      </c>
      <c r="O127" s="138">
        <f>I127/E127</f>
        <v/>
      </c>
      <c r="P127" s="138">
        <f>K127/E127</f>
        <v/>
      </c>
      <c r="Q127" s="123" t="n">
        <v>2</v>
      </c>
      <c r="R127" s="123" t="n">
        <v>1</v>
      </c>
      <c r="S127" s="123" t="inlineStr">
        <is>
          <t>복</t>
        </is>
      </c>
      <c r="T127" s="5" t="n">
        <v>51</v>
      </c>
      <c r="U127" s="9" t="n"/>
    </row>
    <row r="128" ht="12" customFormat="1" customHeight="1" s="37">
      <c r="A128" s="111" t="inlineStr">
        <is>
          <t>산북동 산북부향하나로4차</t>
        </is>
      </c>
      <c r="B128" s="112" t="inlineStr">
        <is>
          <t>97.12.</t>
        </is>
      </c>
      <c r="C128" s="132" t="n">
        <v>404</v>
      </c>
      <c r="D128" s="133" t="n">
        <v>52.1</v>
      </c>
      <c r="E128" s="134" t="n">
        <v>16</v>
      </c>
      <c r="F128" s="133" t="n">
        <v>39.1</v>
      </c>
      <c r="G128" s="17" t="n">
        <v>12</v>
      </c>
      <c r="H128" s="135" t="n">
        <v>105</v>
      </c>
      <c r="I128" s="136" t="n">
        <v>1900</v>
      </c>
      <c r="J128" s="136" t="inlineStr">
        <is>
          <t>11</t>
        </is>
      </c>
      <c r="K128" s="136" t="n"/>
      <c r="L128" s="136" t="n"/>
      <c r="M128" s="137">
        <f>I128-K128</f>
        <v/>
      </c>
      <c r="N128" s="4">
        <f>IF(ISERROR(K128/I128),"",K128/I128)</f>
        <v/>
      </c>
      <c r="O128" s="138">
        <f>I128/E128</f>
        <v/>
      </c>
      <c r="P128" s="138">
        <f>K128/E128</f>
        <v/>
      </c>
      <c r="Q128" s="123" t="n">
        <v>1</v>
      </c>
      <c r="R128" s="123" t="n">
        <v>1</v>
      </c>
      <c r="S128" s="123" t="inlineStr">
        <is>
          <t>계</t>
        </is>
      </c>
      <c r="T128" s="5" t="n">
        <v>52</v>
      </c>
      <c r="U128" s="9" t="n"/>
    </row>
    <row r="129" ht="12" customFormat="1" customHeight="1" s="37">
      <c r="A129" s="111" t="inlineStr">
        <is>
          <t>경암동 새한</t>
        </is>
      </c>
      <c r="B129" s="112" t="inlineStr">
        <is>
          <t>95.06.</t>
        </is>
      </c>
      <c r="C129" s="132" t="n">
        <v>304</v>
      </c>
      <c r="D129" s="133" t="n">
        <v>76.8</v>
      </c>
      <c r="E129" s="134" t="n">
        <v>23</v>
      </c>
      <c r="F129" s="133" t="n">
        <v>59.3</v>
      </c>
      <c r="G129" s="17" t="n">
        <v>18</v>
      </c>
      <c r="H129" s="135" t="n">
        <v>138</v>
      </c>
      <c r="I129" s="136" t="n"/>
      <c r="J129" s="136" t="n"/>
      <c r="K129" s="136" t="n"/>
      <c r="L129" s="136" t="n"/>
      <c r="M129" s="137">
        <f>I129-K129</f>
        <v/>
      </c>
      <c r="N129" s="4">
        <f>IF(ISERROR(K129/I129),"",K129/I129)</f>
        <v/>
      </c>
      <c r="O129" s="138">
        <f>I129/E129</f>
        <v/>
      </c>
      <c r="P129" s="138">
        <f>K129/E129</f>
        <v/>
      </c>
      <c r="Q129" s="123" t="n">
        <v>3</v>
      </c>
      <c r="R129" s="123" t="n">
        <v>1</v>
      </c>
      <c r="S129" s="123" t="inlineStr">
        <is>
          <t>복</t>
        </is>
      </c>
      <c r="T129" s="5" t="n">
        <v>76</v>
      </c>
      <c r="U129" s="9" t="n"/>
    </row>
    <row r="130" ht="12" customFormat="1" customHeight="1" s="37">
      <c r="A130" s="111" t="inlineStr">
        <is>
          <t>경암동 새한</t>
        </is>
      </c>
      <c r="B130" s="112" t="inlineStr">
        <is>
          <t>95.06.</t>
        </is>
      </c>
      <c r="C130" s="132" t="n">
        <v>304</v>
      </c>
      <c r="D130" s="133" t="n">
        <v>91.09999999999999</v>
      </c>
      <c r="E130" s="134" t="n">
        <v>28</v>
      </c>
      <c r="F130" s="133" t="n">
        <v>74.09999999999999</v>
      </c>
      <c r="G130" s="17" t="n">
        <v>22</v>
      </c>
      <c r="H130" s="135" t="n">
        <v>87</v>
      </c>
      <c r="I130" s="136" t="n"/>
      <c r="J130" s="136" t="n"/>
      <c r="K130" s="136" t="n"/>
      <c r="L130" s="136" t="n"/>
      <c r="M130" s="137">
        <f>I130-K130</f>
        <v/>
      </c>
      <c r="N130" s="4">
        <f>IF(ISERROR(K130/I130),"",K130/I130)</f>
        <v/>
      </c>
      <c r="O130" s="138">
        <f>I130/E130</f>
        <v/>
      </c>
      <c r="P130" s="138">
        <f>K130/E130</f>
        <v/>
      </c>
      <c r="Q130" s="123" t="n">
        <v>3</v>
      </c>
      <c r="R130" s="123" t="n">
        <v>2</v>
      </c>
      <c r="S130" s="123" t="inlineStr">
        <is>
          <t>계</t>
        </is>
      </c>
      <c r="T130" s="5" t="n">
        <v>91</v>
      </c>
      <c r="U130" s="9" t="n"/>
    </row>
    <row r="131" ht="12" customFormat="1" customHeight="1" s="37">
      <c r="A131" s="111" t="inlineStr">
        <is>
          <t>구암동 현대</t>
        </is>
      </c>
      <c r="B131" s="112" t="inlineStr">
        <is>
          <t>94.03.</t>
        </is>
      </c>
      <c r="C131" s="132" t="n">
        <v>1084</v>
      </c>
      <c r="D131" s="133" t="n">
        <v>146.3</v>
      </c>
      <c r="E131" s="134" t="n">
        <v>44</v>
      </c>
      <c r="F131" s="133" t="n">
        <v>125.9</v>
      </c>
      <c r="G131" s="17" t="n">
        <v>38</v>
      </c>
      <c r="H131" s="135" t="n">
        <v>120</v>
      </c>
      <c r="I131" s="136" t="n"/>
      <c r="J131" s="136" t="n"/>
      <c r="K131" s="136" t="n"/>
      <c r="L131" s="136" t="n"/>
      <c r="M131" s="137">
        <f>I131-K131</f>
        <v/>
      </c>
      <c r="N131" s="4">
        <f>IF(ISERROR(K131/I131),"",K131/I131)</f>
        <v/>
      </c>
      <c r="O131" s="138">
        <f>I131/E131</f>
        <v/>
      </c>
      <c r="P131" s="138">
        <f>K131/E131</f>
        <v/>
      </c>
      <c r="Q131" s="123" t="n">
        <v>4</v>
      </c>
      <c r="R131" s="123" t="n">
        <v>2</v>
      </c>
      <c r="S131" s="123" t="inlineStr">
        <is>
          <t>계</t>
        </is>
      </c>
      <c r="T131" s="5" t="n">
        <v>146</v>
      </c>
      <c r="U131" s="9" t="n"/>
    </row>
    <row r="132" ht="12" customFormat="1" customHeight="1" s="37">
      <c r="A132" s="111" t="inlineStr">
        <is>
          <t>구암동 세풍</t>
        </is>
      </c>
      <c r="B132" s="112" t="inlineStr">
        <is>
          <t>97.01.</t>
        </is>
      </c>
      <c r="C132" s="132" t="n">
        <v>437</v>
      </c>
      <c r="D132" s="133" t="n">
        <v>74.7</v>
      </c>
      <c r="E132" s="134" t="n">
        <v>23</v>
      </c>
      <c r="F132" s="133" t="n">
        <v>59.9</v>
      </c>
      <c r="G132" s="17" t="n">
        <v>18</v>
      </c>
      <c r="H132" s="135" t="n">
        <v>164</v>
      </c>
      <c r="I132" s="136" t="n"/>
      <c r="J132" s="136" t="n"/>
      <c r="K132" s="136" t="n"/>
      <c r="L132" s="136" t="n"/>
      <c r="M132" s="137">
        <f>I132-K132</f>
        <v/>
      </c>
      <c r="N132" s="4">
        <f>IF(ISERROR(K132/I132),"",K132/I132)</f>
        <v/>
      </c>
      <c r="O132" s="138">
        <f>I132/E132</f>
        <v/>
      </c>
      <c r="P132" s="138">
        <f>K132/E132</f>
        <v/>
      </c>
      <c r="Q132" s="123" t="n">
        <v>3</v>
      </c>
      <c r="R132" s="123" t="n">
        <v>1</v>
      </c>
      <c r="S132" s="123" t="inlineStr">
        <is>
          <t>계</t>
        </is>
      </c>
      <c r="T132" s="5" t="inlineStr">
        <is>
          <t>74B</t>
        </is>
      </c>
      <c r="U132" s="9" t="n"/>
    </row>
    <row r="133" ht="12" customFormat="1" customHeight="1" s="37">
      <c r="A133" s="111" t="inlineStr">
        <is>
          <t>금광동 삼성</t>
        </is>
      </c>
      <c r="B133" s="112" t="inlineStr">
        <is>
          <t>90.11.</t>
        </is>
      </c>
      <c r="C133" s="132" t="n">
        <v>424</v>
      </c>
      <c r="D133" s="133" t="n">
        <v>106.7</v>
      </c>
      <c r="E133" s="134" t="n">
        <v>32</v>
      </c>
      <c r="F133" s="133" t="n">
        <v>84.90000000000001</v>
      </c>
      <c r="G133" s="17" t="n">
        <v>26</v>
      </c>
      <c r="H133" s="135" t="n">
        <v>192</v>
      </c>
      <c r="I133" s="136" t="n"/>
      <c r="J133" s="136" t="n"/>
      <c r="K133" s="136" t="n"/>
      <c r="L133" s="136" t="n"/>
      <c r="M133" s="137">
        <f>I133-K133</f>
        <v/>
      </c>
      <c r="N133" s="4">
        <f>IF(ISERROR(K133/I133),"",K133/I133)</f>
        <v/>
      </c>
      <c r="O133" s="138">
        <f>I133/E133</f>
        <v/>
      </c>
      <c r="P133" s="138">
        <f>K133/E133</f>
        <v/>
      </c>
      <c r="Q133" s="123" t="n">
        <v>3</v>
      </c>
      <c r="R133" s="123" t="n">
        <v>2</v>
      </c>
      <c r="S133" s="123" t="inlineStr">
        <is>
          <t>계</t>
        </is>
      </c>
      <c r="T133" s="5" t="inlineStr">
        <is>
          <t>106B</t>
        </is>
      </c>
      <c r="U133" s="9" t="n"/>
    </row>
    <row r="134" ht="12" customFormat="1" customHeight="1" s="37">
      <c r="A134" s="111" t="inlineStr">
        <is>
          <t>금광동 삼성</t>
        </is>
      </c>
      <c r="B134" s="112" t="inlineStr">
        <is>
          <t>90.11.</t>
        </is>
      </c>
      <c r="C134" s="132" t="n">
        <v>424</v>
      </c>
      <c r="D134" s="133" t="n">
        <v>155.4</v>
      </c>
      <c r="E134" s="134" t="n">
        <v>47</v>
      </c>
      <c r="F134" s="133" t="n">
        <v>128.5</v>
      </c>
      <c r="G134" s="17" t="n">
        <v>39</v>
      </c>
      <c r="H134" s="135" t="n">
        <v>88</v>
      </c>
      <c r="I134" s="136" t="n"/>
      <c r="J134" s="136" t="n"/>
      <c r="K134" s="136" t="n"/>
      <c r="L134" s="136" t="n"/>
      <c r="M134" s="137">
        <f>I134-K134</f>
        <v/>
      </c>
      <c r="N134" s="4">
        <f>IF(ISERROR(K134/I134),"",K134/I134)</f>
        <v/>
      </c>
      <c r="O134" s="138">
        <f>I134/E134</f>
        <v/>
      </c>
      <c r="P134" s="138">
        <f>K134/E134</f>
        <v/>
      </c>
      <c r="Q134" s="123" t="n">
        <v>4</v>
      </c>
      <c r="R134" s="123" t="n">
        <v>2</v>
      </c>
      <c r="S134" s="123" t="inlineStr">
        <is>
          <t>복</t>
        </is>
      </c>
      <c r="T134" s="5" t="n">
        <v>155</v>
      </c>
      <c r="U134" s="9" t="n"/>
    </row>
    <row r="135" ht="12" customFormat="1" customHeight="1" s="37">
      <c r="A135" s="111" t="inlineStr">
        <is>
          <t>나운동 나운금호어울림센트럴</t>
        </is>
      </c>
      <c r="B135" s="112" t="inlineStr">
        <is>
          <t>22.09.</t>
        </is>
      </c>
      <c r="C135" s="132" t="n">
        <v>993</v>
      </c>
      <c r="D135" s="133" t="n">
        <v>80.5</v>
      </c>
      <c r="E135" s="134" t="n">
        <v>24</v>
      </c>
      <c r="F135" s="133" t="n">
        <v>59.8</v>
      </c>
      <c r="G135" s="17" t="n">
        <v>18</v>
      </c>
      <c r="H135" s="135" t="n">
        <v>178</v>
      </c>
      <c r="I135" s="136" t="n"/>
      <c r="J135" s="136" t="n"/>
      <c r="K135" s="136" t="n"/>
      <c r="L135" s="136" t="n"/>
      <c r="M135" s="137">
        <f>I135-K135</f>
        <v/>
      </c>
      <c r="N135" s="4">
        <f>IF(ISERROR(K135/I135),"",K135/I135)</f>
        <v/>
      </c>
      <c r="O135" s="138">
        <f>I135/E135</f>
        <v/>
      </c>
      <c r="P135" s="138">
        <f>K135/E135</f>
        <v/>
      </c>
      <c r="Q135" s="123" t="n">
        <v>3</v>
      </c>
      <c r="R135" s="123" t="n">
        <v>2</v>
      </c>
      <c r="S135" s="123" t="inlineStr">
        <is>
          <t>계</t>
        </is>
      </c>
      <c r="T135" s="5" t="inlineStr">
        <is>
          <t>80A</t>
        </is>
      </c>
      <c r="U135" s="9" t="n"/>
    </row>
    <row r="136" ht="12" customFormat="1" customHeight="1" s="37">
      <c r="A136" s="111" t="inlineStr">
        <is>
          <t>나운동 나운금호어울림센트럴</t>
        </is>
      </c>
      <c r="B136" s="112" t="inlineStr">
        <is>
          <t>22.09.</t>
        </is>
      </c>
      <c r="C136" s="132" t="n">
        <v>993</v>
      </c>
      <c r="D136" s="133" t="n">
        <v>98.3</v>
      </c>
      <c r="E136" s="134" t="n">
        <v>30</v>
      </c>
      <c r="F136" s="133" t="n">
        <v>73.40000000000001</v>
      </c>
      <c r="G136" s="17" t="n">
        <v>22</v>
      </c>
      <c r="H136" s="135" t="n">
        <v>86</v>
      </c>
      <c r="I136" s="136" t="n"/>
      <c r="J136" s="136" t="n"/>
      <c r="K136" s="136" t="n"/>
      <c r="L136" s="136" t="n"/>
      <c r="M136" s="137">
        <f>I136-K136</f>
        <v/>
      </c>
      <c r="N136" s="4">
        <f>IF(ISERROR(K136/I136),"",K136/I136)</f>
        <v/>
      </c>
      <c r="O136" s="138">
        <f>I136/E136</f>
        <v/>
      </c>
      <c r="P136" s="138">
        <f>K136/E136</f>
        <v/>
      </c>
      <c r="Q136" s="123" t="n">
        <v>3</v>
      </c>
      <c r="R136" s="123" t="n">
        <v>2</v>
      </c>
      <c r="S136" s="123" t="inlineStr">
        <is>
          <t>계</t>
        </is>
      </c>
      <c r="T136" s="5" t="n">
        <v>98</v>
      </c>
      <c r="U136" s="9" t="n"/>
    </row>
    <row r="137" ht="12" customFormat="1" customHeight="1" s="37">
      <c r="A137" s="111" t="inlineStr">
        <is>
          <t>나운동 나운금호어울림센트럴</t>
        </is>
      </c>
      <c r="B137" s="112" t="inlineStr">
        <is>
          <t>22.09.</t>
        </is>
      </c>
      <c r="C137" s="132" t="n">
        <v>993</v>
      </c>
      <c r="D137" s="133" t="n">
        <v>112.4</v>
      </c>
      <c r="E137" s="134" t="n">
        <v>34</v>
      </c>
      <c r="F137" s="133" t="n">
        <v>85</v>
      </c>
      <c r="G137" s="17" t="n">
        <v>26</v>
      </c>
      <c r="H137" s="135" t="n">
        <v>36</v>
      </c>
      <c r="I137" s="136" t="n"/>
      <c r="J137" s="136" t="n"/>
      <c r="K137" s="136" t="n"/>
      <c r="L137" s="136" t="n"/>
      <c r="M137" s="137">
        <f>I137-K137</f>
        <v/>
      </c>
      <c r="N137" s="4">
        <f>IF(ISERROR(K137/I137),"",K137/I137)</f>
        <v/>
      </c>
      <c r="O137" s="138">
        <f>I137/E137</f>
        <v/>
      </c>
      <c r="P137" s="138">
        <f>K137/E137</f>
        <v/>
      </c>
      <c r="Q137" s="123" t="n">
        <v>3</v>
      </c>
      <c r="R137" s="123" t="n">
        <v>2</v>
      </c>
      <c r="S137" s="123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111" t="inlineStr">
        <is>
          <t>나운동 금호타운2차</t>
        </is>
      </c>
      <c r="B138" s="112" t="inlineStr">
        <is>
          <t>94.09.</t>
        </is>
      </c>
      <c r="C138" s="132" t="n">
        <v>336</v>
      </c>
      <c r="D138" s="133" t="n">
        <v>148.8</v>
      </c>
      <c r="E138" s="134" t="n">
        <v>45</v>
      </c>
      <c r="F138" s="133" t="n">
        <v>126.6</v>
      </c>
      <c r="G138" s="17" t="n">
        <v>38</v>
      </c>
      <c r="H138" s="135" t="n">
        <v>96</v>
      </c>
      <c r="I138" s="136" t="n"/>
      <c r="J138" s="136" t="n"/>
      <c r="K138" s="136" t="n"/>
      <c r="L138" s="136" t="n"/>
      <c r="M138" s="137">
        <f>I138-K138</f>
        <v/>
      </c>
      <c r="N138" s="4">
        <f>IF(ISERROR(K138/I138),"",K138/I138)</f>
        <v/>
      </c>
      <c r="O138" s="138">
        <f>I138/E138</f>
        <v/>
      </c>
      <c r="P138" s="138">
        <f>K138/E138</f>
        <v/>
      </c>
      <c r="Q138" s="123" t="n">
        <v>4</v>
      </c>
      <c r="R138" s="123" t="n">
        <v>2</v>
      </c>
      <c r="S138" s="123" t="inlineStr">
        <is>
          <t>계</t>
        </is>
      </c>
      <c r="T138" s="5" t="n">
        <v>148</v>
      </c>
      <c r="U138" s="9" t="n"/>
    </row>
    <row r="139" ht="12" customFormat="1" customHeight="1" s="37">
      <c r="A139" s="111" t="inlineStr">
        <is>
          <t>나운동 나운현대2차</t>
        </is>
      </c>
      <c r="B139" s="112" t="inlineStr">
        <is>
          <t>93.10.</t>
        </is>
      </c>
      <c r="C139" s="132" t="n">
        <v>899</v>
      </c>
      <c r="D139" s="133" t="n">
        <v>94.09999999999999</v>
      </c>
      <c r="E139" s="134" t="n">
        <v>28</v>
      </c>
      <c r="F139" s="133" t="n">
        <v>75.3</v>
      </c>
      <c r="G139" s="17" t="n">
        <v>23</v>
      </c>
      <c r="H139" s="135" t="n">
        <v>119</v>
      </c>
      <c r="I139" s="136" t="n"/>
      <c r="J139" s="136" t="n"/>
      <c r="K139" s="136" t="n"/>
      <c r="L139" s="136" t="n"/>
      <c r="M139" s="137">
        <f>I139-K139</f>
        <v/>
      </c>
      <c r="N139" s="4">
        <f>IF(ISERROR(K139/I139),"",K139/I139)</f>
        <v/>
      </c>
      <c r="O139" s="138">
        <f>I139/E139</f>
        <v/>
      </c>
      <c r="P139" s="138">
        <f>K139/E139</f>
        <v/>
      </c>
      <c r="Q139" s="123" t="n">
        <v>3</v>
      </c>
      <c r="R139" s="123" t="n">
        <v>1</v>
      </c>
      <c r="S139" s="123" t="inlineStr">
        <is>
          <t>계</t>
        </is>
      </c>
      <c r="T139" s="5" t="n">
        <v>94</v>
      </c>
      <c r="U139" s="9" t="n"/>
    </row>
    <row r="140" ht="12" customFormat="1" customHeight="1" s="37">
      <c r="A140" s="111" t="inlineStr">
        <is>
          <t>나운동 나운현대2차</t>
        </is>
      </c>
      <c r="B140" s="112" t="inlineStr">
        <is>
          <t>93.10.</t>
        </is>
      </c>
      <c r="C140" s="132" t="n">
        <v>899</v>
      </c>
      <c r="D140" s="133" t="n">
        <v>168.1</v>
      </c>
      <c r="E140" s="134" t="n">
        <v>51</v>
      </c>
      <c r="F140" s="133" t="n">
        <v>134.6</v>
      </c>
      <c r="G140" s="17" t="n">
        <v>41</v>
      </c>
      <c r="H140" s="135" t="n">
        <v>59</v>
      </c>
      <c r="I140" s="136" t="n"/>
      <c r="J140" s="136" t="n"/>
      <c r="K140" s="136" t="n"/>
      <c r="L140" s="136" t="n"/>
      <c r="M140" s="137">
        <f>I140-K140</f>
        <v/>
      </c>
      <c r="N140" s="4">
        <f>IF(ISERROR(K140/I140),"",K140/I140)</f>
        <v/>
      </c>
      <c r="O140" s="138">
        <f>I140/E140</f>
        <v/>
      </c>
      <c r="P140" s="138">
        <f>K140/E140</f>
        <v/>
      </c>
      <c r="Q140" s="123" t="n">
        <v>4</v>
      </c>
      <c r="R140" s="123" t="n">
        <v>2</v>
      </c>
      <c r="S140" s="123" t="inlineStr">
        <is>
          <t>계</t>
        </is>
      </c>
      <c r="T140" s="5" t="n">
        <v>168</v>
      </c>
      <c r="U140" s="9" t="n"/>
    </row>
    <row r="141" ht="12" customFormat="1" customHeight="1" s="37">
      <c r="A141" s="111" t="inlineStr">
        <is>
          <t>나운동 현대1차</t>
        </is>
      </c>
      <c r="B141" s="112" t="inlineStr">
        <is>
          <t>90.04.</t>
        </is>
      </c>
      <c r="C141" s="132" t="n">
        <v>498</v>
      </c>
      <c r="D141" s="133" t="n">
        <v>89.5</v>
      </c>
      <c r="E141" s="134" t="n">
        <v>27</v>
      </c>
      <c r="F141" s="133" t="n">
        <v>72.2</v>
      </c>
      <c r="G141" s="17" t="n">
        <v>22</v>
      </c>
      <c r="H141" s="135" t="n">
        <v>112</v>
      </c>
      <c r="I141" s="136" t="n"/>
      <c r="J141" s="136" t="n"/>
      <c r="K141" s="136" t="n"/>
      <c r="L141" s="136" t="n"/>
      <c r="M141" s="137">
        <f>I141-K141</f>
        <v/>
      </c>
      <c r="N141" s="4">
        <f>IF(ISERROR(K141/I141),"",K141/I141)</f>
        <v/>
      </c>
      <c r="O141" s="138">
        <f>I141/E141</f>
        <v/>
      </c>
      <c r="P141" s="138">
        <f>K141/E141</f>
        <v/>
      </c>
      <c r="Q141" s="123" t="n">
        <v>3</v>
      </c>
      <c r="R141" s="123" t="n">
        <v>1</v>
      </c>
      <c r="S141" s="123" t="inlineStr">
        <is>
          <t>계</t>
        </is>
      </c>
      <c r="T141" s="5" t="n">
        <v>89</v>
      </c>
      <c r="U141" s="9" t="n"/>
    </row>
    <row r="142" ht="12" customFormat="1" customHeight="1" s="37">
      <c r="A142" s="111" t="inlineStr">
        <is>
          <t>나운동 현대1차</t>
        </is>
      </c>
      <c r="B142" s="112" t="inlineStr">
        <is>
          <t>90.04.</t>
        </is>
      </c>
      <c r="C142" s="132" t="n">
        <v>498</v>
      </c>
      <c r="D142" s="133" t="n">
        <v>104.1</v>
      </c>
      <c r="E142" s="134" t="n">
        <v>31</v>
      </c>
      <c r="F142" s="133" t="n">
        <v>84.7</v>
      </c>
      <c r="G142" s="17" t="n">
        <v>26</v>
      </c>
      <c r="H142" s="135" t="n">
        <v>330</v>
      </c>
      <c r="I142" s="136" t="n"/>
      <c r="J142" s="136" t="n"/>
      <c r="K142" s="136" t="n"/>
      <c r="L142" s="136" t="n"/>
      <c r="M142" s="137">
        <f>I142-K142</f>
        <v/>
      </c>
      <c r="N142" s="4">
        <f>IF(ISERROR(K142/I142),"",K142/I142)</f>
        <v/>
      </c>
      <c r="O142" s="138">
        <f>I142/E142</f>
        <v/>
      </c>
      <c r="P142" s="138">
        <f>K142/E142</f>
        <v/>
      </c>
      <c r="Q142" s="123" t="n">
        <v>3</v>
      </c>
      <c r="R142" s="123" t="n">
        <v>1</v>
      </c>
      <c r="S142" s="123" t="inlineStr">
        <is>
          <t>계</t>
        </is>
      </c>
      <c r="T142" s="5" t="n">
        <v>104</v>
      </c>
      <c r="U142" s="9" t="n"/>
    </row>
    <row r="143" ht="12" customFormat="1" customHeight="1" s="37">
      <c r="A143" s="111" t="inlineStr">
        <is>
          <t>나운동 현대1차</t>
        </is>
      </c>
      <c r="B143" s="112" t="inlineStr">
        <is>
          <t>90.04.</t>
        </is>
      </c>
      <c r="C143" s="132" t="n">
        <v>498</v>
      </c>
      <c r="D143" s="133" t="n">
        <v>149.3</v>
      </c>
      <c r="E143" s="134" t="n">
        <v>45</v>
      </c>
      <c r="F143" s="133" t="n">
        <v>126.2</v>
      </c>
      <c r="G143" s="17" t="n">
        <v>38</v>
      </c>
      <c r="H143" s="135" t="n">
        <v>56</v>
      </c>
      <c r="I143" s="136" t="n"/>
      <c r="J143" s="136" t="n"/>
      <c r="K143" s="136" t="n"/>
      <c r="L143" s="136" t="n"/>
      <c r="M143" s="137">
        <f>I143-K143</f>
        <v/>
      </c>
      <c r="N143" s="4">
        <f>IF(ISERROR(K143/I143),"",K143/I143)</f>
        <v/>
      </c>
      <c r="O143" s="138">
        <f>I143/E143</f>
        <v/>
      </c>
      <c r="P143" s="138">
        <f>K143/E143</f>
        <v/>
      </c>
      <c r="Q143" s="123" t="n">
        <v>4</v>
      </c>
      <c r="R143" s="123" t="n">
        <v>2</v>
      </c>
      <c r="S143" s="123" t="inlineStr">
        <is>
          <t>계</t>
        </is>
      </c>
      <c r="T143" s="5" t="n">
        <v>149</v>
      </c>
      <c r="U143" s="9" t="n"/>
    </row>
    <row r="144" ht="12" customFormat="1" customHeight="1" s="37">
      <c r="A144" s="111" t="inlineStr">
        <is>
          <t>나운동 나운청솔</t>
        </is>
      </c>
      <c r="B144" s="112" t="inlineStr">
        <is>
          <t>02.12.</t>
        </is>
      </c>
      <c r="C144" s="132" t="n">
        <v>495</v>
      </c>
      <c r="D144" s="133" t="n">
        <v>63.7</v>
      </c>
      <c r="E144" s="134" t="n">
        <v>19</v>
      </c>
      <c r="F144" s="133" t="n">
        <v>49.7</v>
      </c>
      <c r="G144" s="17" t="n">
        <v>15</v>
      </c>
      <c r="H144" s="135" t="n">
        <v>495</v>
      </c>
      <c r="I144" s="136" t="n"/>
      <c r="J144" s="136" t="n"/>
      <c r="K144" s="136" t="n"/>
      <c r="L144" s="136" t="n"/>
      <c r="M144" s="137">
        <f>I144-K144</f>
        <v/>
      </c>
      <c r="N144" s="4">
        <f>IF(ISERROR(K144/I144),"",K144/I144)</f>
        <v/>
      </c>
      <c r="O144" s="138">
        <f>I144/E144</f>
        <v/>
      </c>
      <c r="P144" s="138">
        <f>K144/E144</f>
        <v/>
      </c>
      <c r="Q144" s="123" t="n">
        <v>2</v>
      </c>
      <c r="R144" s="123" t="n">
        <v>1</v>
      </c>
      <c r="S144" s="123" t="inlineStr">
        <is>
          <t>계</t>
        </is>
      </c>
      <c r="T144" s="5" t="n">
        <v>63</v>
      </c>
      <c r="U144" s="9" t="n"/>
    </row>
    <row r="145" ht="12" customFormat="1" customHeight="1" s="37">
      <c r="A145" s="111" t="inlineStr">
        <is>
          <t>나운동 롯데4차</t>
        </is>
      </c>
      <c r="B145" s="112" t="inlineStr">
        <is>
          <t>96.04.</t>
        </is>
      </c>
      <c r="C145" s="132" t="n">
        <v>210</v>
      </c>
      <c r="D145" s="133" t="n">
        <v>122.5</v>
      </c>
      <c r="E145" s="134" t="n">
        <v>37</v>
      </c>
      <c r="F145" s="133" t="n">
        <v>99.90000000000001</v>
      </c>
      <c r="G145" s="17" t="n">
        <v>30</v>
      </c>
      <c r="H145" s="135" t="n">
        <v>90</v>
      </c>
      <c r="I145" s="136" t="n"/>
      <c r="J145" s="136" t="n"/>
      <c r="K145" s="136" t="n"/>
      <c r="L145" s="136" t="n"/>
      <c r="M145" s="137">
        <f>I145-K145</f>
        <v/>
      </c>
      <c r="N145" s="4">
        <f>IF(ISERROR(K145/I145),"",K145/I145)</f>
        <v/>
      </c>
      <c r="O145" s="138">
        <f>I145/E145</f>
        <v/>
      </c>
      <c r="P145" s="138">
        <f>K145/E145</f>
        <v/>
      </c>
      <c r="Q145" s="123" t="n">
        <v>4</v>
      </c>
      <c r="R145" s="123" t="n">
        <v>2</v>
      </c>
      <c r="S145" s="123" t="inlineStr">
        <is>
          <t>계</t>
        </is>
      </c>
      <c r="T145" s="5" t="n">
        <v>122</v>
      </c>
      <c r="U145" s="9" t="n"/>
    </row>
    <row r="146" ht="12" customFormat="1" customHeight="1" s="37">
      <c r="A146" s="111" t="inlineStr">
        <is>
          <t>나운동 롯데4차</t>
        </is>
      </c>
      <c r="B146" s="112" t="inlineStr">
        <is>
          <t>96.04.</t>
        </is>
      </c>
      <c r="C146" s="132" t="n">
        <v>210</v>
      </c>
      <c r="D146" s="133" t="n">
        <v>160</v>
      </c>
      <c r="E146" s="134" t="n">
        <v>48</v>
      </c>
      <c r="F146" s="133" t="n">
        <v>134.9</v>
      </c>
      <c r="G146" s="17" t="n">
        <v>41</v>
      </c>
      <c r="H146" s="135" t="n">
        <v>90</v>
      </c>
      <c r="I146" s="136" t="n"/>
      <c r="J146" s="136" t="n"/>
      <c r="K146" s="136" t="n"/>
      <c r="L146" s="136" t="n"/>
      <c r="M146" s="137">
        <f>I146-K146</f>
        <v/>
      </c>
      <c r="N146" s="4">
        <f>IF(ISERROR(K146/I146),"",K146/I146)</f>
        <v/>
      </c>
      <c r="O146" s="138">
        <f>I146/E146</f>
        <v/>
      </c>
      <c r="P146" s="138">
        <f>K146/E146</f>
        <v/>
      </c>
      <c r="Q146" s="123" t="n">
        <v>4</v>
      </c>
      <c r="R146" s="123" t="n">
        <v>2</v>
      </c>
      <c r="S146" s="123" t="inlineStr">
        <is>
          <t>계</t>
        </is>
      </c>
      <c r="T146" s="5" t="n">
        <v>160</v>
      </c>
      <c r="U146" s="9" t="n"/>
    </row>
    <row r="147" ht="12" customFormat="1" customHeight="1" s="37">
      <c r="A147" s="111" t="inlineStr">
        <is>
          <t>나운동 롯데4차</t>
        </is>
      </c>
      <c r="B147" s="112" t="inlineStr">
        <is>
          <t>96.04.</t>
        </is>
      </c>
      <c r="C147" s="132" t="n">
        <v>210</v>
      </c>
      <c r="D147" s="133" t="n">
        <v>197.4</v>
      </c>
      <c r="E147" s="134" t="n">
        <v>60</v>
      </c>
      <c r="F147" s="133" t="n">
        <v>164.9</v>
      </c>
      <c r="G147" s="17" t="n">
        <v>50</v>
      </c>
      <c r="H147" s="135" t="n">
        <v>30</v>
      </c>
      <c r="I147" s="136" t="n"/>
      <c r="J147" s="136" t="n"/>
      <c r="K147" s="136" t="n"/>
      <c r="L147" s="136" t="n"/>
      <c r="M147" s="137">
        <f>I147-K147</f>
        <v/>
      </c>
      <c r="N147" s="4">
        <f>IF(ISERROR(K147/I147),"",K147/I147)</f>
        <v/>
      </c>
      <c r="O147" s="138">
        <f>I147/E147</f>
        <v/>
      </c>
      <c r="P147" s="138">
        <f>K147/E147</f>
        <v/>
      </c>
      <c r="Q147" s="123" t="n">
        <v>4</v>
      </c>
      <c r="R147" s="123" t="n">
        <v>2</v>
      </c>
      <c r="S147" s="123" t="inlineStr">
        <is>
          <t>계</t>
        </is>
      </c>
      <c r="T147" s="5" t="n">
        <v>197</v>
      </c>
      <c r="U147" s="9" t="n"/>
    </row>
    <row r="148" ht="12" customFormat="1" customHeight="1" s="37">
      <c r="A148" s="111" t="inlineStr">
        <is>
          <t>나운동 롯데2차</t>
        </is>
      </c>
      <c r="B148" s="112" t="inlineStr">
        <is>
          <t>92.08.</t>
        </is>
      </c>
      <c r="C148" s="132" t="n">
        <v>460</v>
      </c>
      <c r="D148" s="133" t="n">
        <v>155.6</v>
      </c>
      <c r="E148" s="134" t="n">
        <v>47</v>
      </c>
      <c r="F148" s="133" t="n">
        <v>131.8</v>
      </c>
      <c r="G148" s="17" t="n">
        <v>40</v>
      </c>
      <c r="H148" s="135" t="n">
        <v>78</v>
      </c>
      <c r="I148" s="136" t="n"/>
      <c r="J148" s="136" t="n"/>
      <c r="K148" s="136" t="n"/>
      <c r="L148" s="136" t="n"/>
      <c r="M148" s="137">
        <f>I148-K148</f>
        <v/>
      </c>
      <c r="N148" s="4">
        <f>IF(ISERROR(K148/I148),"",K148/I148)</f>
        <v/>
      </c>
      <c r="O148" s="138">
        <f>I148/E148</f>
        <v/>
      </c>
      <c r="P148" s="138">
        <f>K148/E148</f>
        <v/>
      </c>
      <c r="Q148" s="123" t="n">
        <v>4</v>
      </c>
      <c r="R148" s="123" t="n">
        <v>2</v>
      </c>
      <c r="S148" s="123" t="inlineStr">
        <is>
          <t>계</t>
        </is>
      </c>
      <c r="T148" s="5" t="n">
        <v>155</v>
      </c>
      <c r="U148" s="9" t="n"/>
    </row>
    <row r="149" ht="12" customFormat="1" customHeight="1" s="37">
      <c r="A149" s="111" t="inlineStr">
        <is>
          <t>나운동 우성</t>
        </is>
      </c>
      <c r="B149" s="112" t="inlineStr">
        <is>
          <t>95.06.</t>
        </is>
      </c>
      <c r="C149" s="132" t="n">
        <v>345</v>
      </c>
      <c r="D149" s="133" t="n">
        <v>115.7</v>
      </c>
      <c r="E149" s="134" t="n">
        <v>35</v>
      </c>
      <c r="F149" s="133" t="n">
        <v>93.59999999999999</v>
      </c>
      <c r="G149" s="17" t="n">
        <v>28</v>
      </c>
      <c r="H149" s="135" t="n">
        <v>75</v>
      </c>
      <c r="I149" s="136" t="n"/>
      <c r="J149" s="136" t="n"/>
      <c r="K149" s="136" t="n"/>
      <c r="L149" s="136" t="n"/>
      <c r="M149" s="137">
        <f>I149-K149</f>
        <v/>
      </c>
      <c r="N149" s="4">
        <f>IF(ISERROR(K149/I149),"",K149/I149)</f>
        <v/>
      </c>
      <c r="O149" s="138">
        <f>I149/E149</f>
        <v/>
      </c>
      <c r="P149" s="138">
        <f>K149/E149</f>
        <v/>
      </c>
      <c r="Q149" s="123" t="n">
        <v>3</v>
      </c>
      <c r="R149" s="123" t="n">
        <v>2</v>
      </c>
      <c r="S149" s="123" t="inlineStr">
        <is>
          <t>계</t>
        </is>
      </c>
      <c r="T149" s="5" t="n">
        <v>115</v>
      </c>
      <c r="U149" s="9" t="n"/>
    </row>
    <row r="150" ht="12" customFormat="1" customHeight="1" s="37">
      <c r="A150" s="111" t="inlineStr">
        <is>
          <t>나운동 나운보람더하임</t>
        </is>
      </c>
      <c r="B150" s="112" t="inlineStr">
        <is>
          <t>10.03.</t>
        </is>
      </c>
      <c r="C150" s="132" t="n">
        <v>437</v>
      </c>
      <c r="D150" s="133" t="n">
        <v>110.6</v>
      </c>
      <c r="E150" s="134" t="n">
        <v>33</v>
      </c>
      <c r="F150" s="133" t="n">
        <v>85</v>
      </c>
      <c r="G150" s="17" t="n">
        <v>26</v>
      </c>
      <c r="H150" s="135" t="n">
        <v>202</v>
      </c>
      <c r="I150" s="136" t="n"/>
      <c r="J150" s="136" t="n"/>
      <c r="K150" s="136" t="n"/>
      <c r="L150" s="136" t="n"/>
      <c r="M150" s="137">
        <f>I150-K150</f>
        <v/>
      </c>
      <c r="N150" s="4">
        <f>IF(ISERROR(K150/I150),"",K150/I150)</f>
        <v/>
      </c>
      <c r="O150" s="138">
        <f>I150/E150</f>
        <v/>
      </c>
      <c r="P150" s="138">
        <f>K150/E150</f>
        <v/>
      </c>
      <c r="Q150" s="123" t="n">
        <v>3</v>
      </c>
      <c r="R150" s="123" t="n">
        <v>2</v>
      </c>
      <c r="S150" s="123" t="inlineStr">
        <is>
          <t>계</t>
        </is>
      </c>
      <c r="T150" s="5" t="inlineStr">
        <is>
          <t>110A</t>
        </is>
      </c>
      <c r="U150" s="9" t="n"/>
    </row>
    <row r="151" ht="12" customFormat="1" customHeight="1" s="37">
      <c r="A151" s="111" t="inlineStr">
        <is>
          <t>나운동 동신</t>
        </is>
      </c>
      <c r="B151" s="112" t="inlineStr">
        <is>
          <t>97.12.</t>
        </is>
      </c>
      <c r="C151" s="132" t="n">
        <v>420</v>
      </c>
      <c r="D151" s="133" t="n">
        <v>136.5</v>
      </c>
      <c r="E151" s="134" t="n">
        <v>41</v>
      </c>
      <c r="F151" s="133" t="n">
        <v>114.6</v>
      </c>
      <c r="G151" s="17" t="n">
        <v>35</v>
      </c>
      <c r="H151" s="135" t="n">
        <v>150</v>
      </c>
      <c r="I151" s="136" t="n"/>
      <c r="J151" s="136" t="n"/>
      <c r="K151" s="136" t="n"/>
      <c r="L151" s="136" t="n"/>
      <c r="M151" s="137">
        <f>I151-K151</f>
        <v/>
      </c>
      <c r="N151" s="4">
        <f>IF(ISERROR(K151/I151),"",K151/I151)</f>
        <v/>
      </c>
      <c r="O151" s="138">
        <f>I151/E151</f>
        <v/>
      </c>
      <c r="P151" s="138">
        <f>K151/E151</f>
        <v/>
      </c>
      <c r="Q151" s="123" t="n">
        <v>4</v>
      </c>
      <c r="R151" s="123" t="n">
        <v>2</v>
      </c>
      <c r="S151" s="123" t="inlineStr">
        <is>
          <t>계</t>
        </is>
      </c>
      <c r="T151" s="5" t="n">
        <v>136</v>
      </c>
      <c r="U151" s="9" t="n"/>
    </row>
    <row r="152" ht="12" customFormat="1" customHeight="1" s="37">
      <c r="A152" s="111" t="inlineStr">
        <is>
          <t>나운동 대우</t>
        </is>
      </c>
      <c r="B152" s="112" t="inlineStr">
        <is>
          <t>97.02.</t>
        </is>
      </c>
      <c r="C152" s="132" t="n">
        <v>260</v>
      </c>
      <c r="D152" s="133" t="n">
        <v>105.3</v>
      </c>
      <c r="E152" s="134" t="n">
        <v>32</v>
      </c>
      <c r="F152" s="133" t="n">
        <v>85</v>
      </c>
      <c r="G152" s="17" t="n">
        <v>26</v>
      </c>
      <c r="H152" s="135" t="n">
        <v>230</v>
      </c>
      <c r="I152" s="136" t="n"/>
      <c r="J152" s="136" t="n"/>
      <c r="K152" s="136" t="n"/>
      <c r="L152" s="136" t="n"/>
      <c r="M152" s="137">
        <f>I152-K152</f>
        <v/>
      </c>
      <c r="N152" s="4">
        <f>IF(ISERROR(K152/I152),"",K152/I152)</f>
        <v/>
      </c>
      <c r="O152" s="138">
        <f>I152/E152</f>
        <v/>
      </c>
      <c r="P152" s="138">
        <f>K152/E152</f>
        <v/>
      </c>
      <c r="Q152" s="123" t="n">
        <v>3</v>
      </c>
      <c r="R152" s="123" t="n">
        <v>2</v>
      </c>
      <c r="S152" s="123" t="inlineStr">
        <is>
          <t>계</t>
        </is>
      </c>
      <c r="T152" s="5" t="n">
        <v>105</v>
      </c>
      <c r="U152" s="9" t="n"/>
    </row>
    <row r="153" ht="12" customFormat="1" customHeight="1" s="37">
      <c r="A153" s="111" t="inlineStr">
        <is>
          <t>나운동 대우</t>
        </is>
      </c>
      <c r="B153" s="112" t="inlineStr">
        <is>
          <t>97.02.</t>
        </is>
      </c>
      <c r="C153" s="132" t="n">
        <v>260</v>
      </c>
      <c r="D153" s="133" t="n">
        <v>225.8</v>
      </c>
      <c r="E153" s="134" t="n">
        <v>68</v>
      </c>
      <c r="F153" s="133" t="n">
        <v>187.1</v>
      </c>
      <c r="G153" s="17" t="n">
        <v>57</v>
      </c>
      <c r="H153" s="135" t="n">
        <v>30</v>
      </c>
      <c r="I153" s="136" t="n"/>
      <c r="J153" s="136" t="n"/>
      <c r="K153" s="136" t="n"/>
      <c r="L153" s="136" t="n"/>
      <c r="M153" s="137">
        <f>I153-K153</f>
        <v/>
      </c>
      <c r="N153" s="4">
        <f>IF(ISERROR(K153/I153),"",K153/I153)</f>
        <v/>
      </c>
      <c r="O153" s="138">
        <f>I153/E153</f>
        <v/>
      </c>
      <c r="P153" s="138">
        <f>K153/E153</f>
        <v/>
      </c>
      <c r="Q153" s="123" t="n">
        <v>5</v>
      </c>
      <c r="R153" s="123" t="n">
        <v>2</v>
      </c>
      <c r="S153" s="123" t="inlineStr">
        <is>
          <t>계</t>
        </is>
      </c>
      <c r="T153" s="5" t="n">
        <v>225</v>
      </c>
      <c r="U153" s="9" t="n"/>
    </row>
    <row r="154" ht="12" customFormat="1" customHeight="1" s="37">
      <c r="A154" s="111" t="inlineStr">
        <is>
          <t>나운동 롯데1차</t>
        </is>
      </c>
      <c r="B154" s="112" t="inlineStr">
        <is>
          <t>91.03.</t>
        </is>
      </c>
      <c r="C154" s="132" t="n">
        <v>420</v>
      </c>
      <c r="D154" s="133" t="n">
        <v>155.4</v>
      </c>
      <c r="E154" s="134" t="n">
        <v>47</v>
      </c>
      <c r="F154" s="133" t="n">
        <v>131.8</v>
      </c>
      <c r="G154" s="17" t="n">
        <v>40</v>
      </c>
      <c r="H154" s="135" t="n">
        <v>78</v>
      </c>
      <c r="I154" s="136" t="n"/>
      <c r="J154" s="136" t="n"/>
      <c r="K154" s="136" t="n"/>
      <c r="L154" s="136" t="n"/>
      <c r="M154" s="137">
        <f>I154-K154</f>
        <v/>
      </c>
      <c r="N154" s="4">
        <f>IF(ISERROR(K154/I154),"",K154/I154)</f>
        <v/>
      </c>
      <c r="O154" s="138">
        <f>I154/E154</f>
        <v/>
      </c>
      <c r="P154" s="138">
        <f>K154/E154</f>
        <v/>
      </c>
      <c r="Q154" s="123" t="n">
        <v>4</v>
      </c>
      <c r="R154" s="123" t="n">
        <v>2</v>
      </c>
      <c r="S154" s="123" t="inlineStr">
        <is>
          <t>계</t>
        </is>
      </c>
      <c r="T154" s="5" t="n">
        <v>155</v>
      </c>
      <c r="U154" s="9" t="n"/>
    </row>
    <row r="155" ht="12" customFormat="1" customHeight="1" s="37">
      <c r="A155" s="111" t="inlineStr">
        <is>
          <t>나운동 롯데1차</t>
        </is>
      </c>
      <c r="B155" s="112" t="inlineStr">
        <is>
          <t>91.03.</t>
        </is>
      </c>
      <c r="C155" s="132" t="n">
        <v>420</v>
      </c>
      <c r="D155" s="133" t="n">
        <v>191.8</v>
      </c>
      <c r="E155" s="134" t="n">
        <v>58</v>
      </c>
      <c r="F155" s="133" t="n">
        <v>162.9</v>
      </c>
      <c r="G155" s="17" t="n">
        <v>49</v>
      </c>
      <c r="H155" s="135" t="n">
        <v>56</v>
      </c>
      <c r="I155" s="136" t="n"/>
      <c r="J155" s="136" t="n"/>
      <c r="K155" s="136" t="n"/>
      <c r="L155" s="136" t="n"/>
      <c r="M155" s="137">
        <f>I155-K155</f>
        <v/>
      </c>
      <c r="N155" s="4">
        <f>IF(ISERROR(K155/I155),"",K155/I155)</f>
        <v/>
      </c>
      <c r="O155" s="138">
        <f>I155/E155</f>
        <v/>
      </c>
      <c r="P155" s="138">
        <f>K155/E155</f>
        <v/>
      </c>
      <c r="Q155" s="123" t="n">
        <v>5</v>
      </c>
      <c r="R155" s="123" t="n">
        <v>2</v>
      </c>
      <c r="S155" s="123" t="inlineStr">
        <is>
          <t>계</t>
        </is>
      </c>
      <c r="T155" s="5" t="n">
        <v>191</v>
      </c>
      <c r="U155" s="9" t="n"/>
    </row>
    <row r="156" ht="12" customFormat="1" customHeight="1" s="37">
      <c r="A156" s="111" t="inlineStr">
        <is>
          <t>나운동 현대3차</t>
        </is>
      </c>
      <c r="B156" s="112" t="inlineStr">
        <is>
          <t>95.06.</t>
        </is>
      </c>
      <c r="C156" s="132" t="n">
        <v>479</v>
      </c>
      <c r="D156" s="133" t="n">
        <v>167.1</v>
      </c>
      <c r="E156" s="134" t="n">
        <v>51</v>
      </c>
      <c r="F156" s="133" t="n">
        <v>134.8</v>
      </c>
      <c r="G156" s="17" t="n">
        <v>41</v>
      </c>
      <c r="H156" s="135" t="n">
        <v>80</v>
      </c>
      <c r="I156" s="136" t="n"/>
      <c r="J156" s="136" t="n"/>
      <c r="K156" s="136" t="n"/>
      <c r="L156" s="136" t="n"/>
      <c r="M156" s="137">
        <f>I156-K156</f>
        <v/>
      </c>
      <c r="N156" s="4">
        <f>IF(ISERROR(K156/I156),"",K156/I156)</f>
        <v/>
      </c>
      <c r="O156" s="138">
        <f>I156/E156</f>
        <v/>
      </c>
      <c r="P156" s="138">
        <f>K156/E156</f>
        <v/>
      </c>
      <c r="Q156" s="123" t="n">
        <v>4</v>
      </c>
      <c r="R156" s="123" t="n">
        <v>2</v>
      </c>
      <c r="S156" s="123" t="inlineStr">
        <is>
          <t>계</t>
        </is>
      </c>
      <c r="T156" s="5" t="n">
        <v>167</v>
      </c>
      <c r="U156" s="9" t="n"/>
    </row>
    <row r="157" ht="12" customFormat="1" customHeight="1" s="37">
      <c r="A157" s="111" t="inlineStr">
        <is>
          <t>나운동 현대백조</t>
        </is>
      </c>
      <c r="B157" s="112" t="inlineStr">
        <is>
          <t>92.11.</t>
        </is>
      </c>
      <c r="C157" s="132" t="n">
        <v>498</v>
      </c>
      <c r="D157" s="133" t="n">
        <v>84.40000000000001</v>
      </c>
      <c r="E157" s="134" t="n">
        <v>26</v>
      </c>
      <c r="F157" s="133" t="n">
        <v>73.2</v>
      </c>
      <c r="G157" s="17" t="n">
        <v>22</v>
      </c>
      <c r="H157" s="135" t="n">
        <v>84</v>
      </c>
      <c r="I157" s="136" t="n"/>
      <c r="J157" s="136" t="n"/>
      <c r="K157" s="136" t="n"/>
      <c r="L157" s="136" t="n"/>
      <c r="M157" s="137">
        <f>I157-K157</f>
        <v/>
      </c>
      <c r="N157" s="4">
        <f>IF(ISERROR(K157/I157),"",K157/I157)</f>
        <v/>
      </c>
      <c r="O157" s="138">
        <f>I157/E157</f>
        <v/>
      </c>
      <c r="P157" s="138">
        <f>K157/E157</f>
        <v/>
      </c>
      <c r="Q157" s="123" t="n">
        <v>3</v>
      </c>
      <c r="R157" s="123" t="n">
        <v>1</v>
      </c>
      <c r="S157" s="123" t="inlineStr">
        <is>
          <t>계</t>
        </is>
      </c>
      <c r="T157" s="5" t="n">
        <v>84</v>
      </c>
      <c r="U157" s="9" t="n"/>
    </row>
    <row r="158" ht="12" customFormat="1" customHeight="1" s="37">
      <c r="A158" s="111" t="inlineStr">
        <is>
          <t>나운동 동신진주</t>
        </is>
      </c>
      <c r="B158" s="112" t="inlineStr">
        <is>
          <t>93.12.</t>
        </is>
      </c>
      <c r="C158" s="132" t="n">
        <v>246</v>
      </c>
      <c r="D158" s="133" t="n">
        <v>74.40000000000001</v>
      </c>
      <c r="E158" s="134" t="n">
        <v>23</v>
      </c>
      <c r="F158" s="133" t="n">
        <v>59.1</v>
      </c>
      <c r="G158" s="17" t="n">
        <v>18</v>
      </c>
      <c r="H158" s="135" t="n">
        <v>168</v>
      </c>
      <c r="I158" s="136" t="n"/>
      <c r="J158" s="136" t="n"/>
      <c r="K158" s="136" t="n"/>
      <c r="L158" s="136" t="n"/>
      <c r="M158" s="137">
        <f>I158-K158</f>
        <v/>
      </c>
      <c r="N158" s="4">
        <f>IF(ISERROR(K158/I158),"",K158/I158)</f>
        <v/>
      </c>
      <c r="O158" s="138">
        <f>I158/E158</f>
        <v/>
      </c>
      <c r="P158" s="138">
        <f>K158/E158</f>
        <v/>
      </c>
      <c r="Q158" s="123" t="n">
        <v>3</v>
      </c>
      <c r="R158" s="123" t="n">
        <v>1</v>
      </c>
      <c r="S158" s="123" t="inlineStr">
        <is>
          <t>계</t>
        </is>
      </c>
      <c r="T158" s="5" t="n">
        <v>74</v>
      </c>
      <c r="U158" s="9" t="n"/>
    </row>
    <row r="159" ht="12" customFormat="1" customHeight="1" s="37">
      <c r="A159" s="111" t="inlineStr">
        <is>
          <t>나운동 동신진주</t>
        </is>
      </c>
      <c r="B159" s="112" t="inlineStr">
        <is>
          <t>93.12.</t>
        </is>
      </c>
      <c r="C159" s="132" t="n">
        <v>246</v>
      </c>
      <c r="D159" s="133" t="n">
        <v>103.7</v>
      </c>
      <c r="E159" s="134" t="n">
        <v>31</v>
      </c>
      <c r="F159" s="133" t="n">
        <v>84.7</v>
      </c>
      <c r="G159" s="17" t="n">
        <v>26</v>
      </c>
      <c r="H159" s="135" t="n">
        <v>48</v>
      </c>
      <c r="I159" s="136" t="n"/>
      <c r="J159" s="136" t="n"/>
      <c r="K159" s="136" t="n"/>
      <c r="L159" s="136" t="n"/>
      <c r="M159" s="137">
        <f>I159-K159</f>
        <v/>
      </c>
      <c r="N159" s="4">
        <f>IF(ISERROR(K159/I159),"",K159/I159)</f>
        <v/>
      </c>
      <c r="O159" s="138">
        <f>I159/E159</f>
        <v/>
      </c>
      <c r="P159" s="138">
        <f>K159/E159</f>
        <v/>
      </c>
      <c r="Q159" s="123" t="n">
        <v>3</v>
      </c>
      <c r="R159" s="123" t="n">
        <v>2</v>
      </c>
      <c r="S159" s="123" t="inlineStr">
        <is>
          <t>계</t>
        </is>
      </c>
      <c r="T159" s="5" t="n">
        <v>103</v>
      </c>
      <c r="U159" s="9" t="n"/>
    </row>
    <row r="160" ht="12" customFormat="1" customHeight="1" s="37">
      <c r="A160" s="111" t="inlineStr">
        <is>
          <t>나운동 수송금호어울림</t>
        </is>
      </c>
      <c r="B160" s="112" t="inlineStr">
        <is>
          <t>08.08.</t>
        </is>
      </c>
      <c r="C160" s="132" t="n">
        <v>773</v>
      </c>
      <c r="D160" s="133" t="n">
        <v>110.6</v>
      </c>
      <c r="E160" s="134" t="n">
        <v>33</v>
      </c>
      <c r="F160" s="133" t="n">
        <v>84.90000000000001</v>
      </c>
      <c r="G160" s="17" t="n">
        <v>26</v>
      </c>
      <c r="H160" s="135" t="n">
        <v>336</v>
      </c>
      <c r="I160" s="136" t="n"/>
      <c r="J160" s="136" t="n"/>
      <c r="K160" s="136" t="n"/>
      <c r="L160" s="136" t="n"/>
      <c r="M160" s="137">
        <f>I160-K160</f>
        <v/>
      </c>
      <c r="N160" s="4">
        <f>IF(ISERROR(K160/I160),"",K160/I160)</f>
        <v/>
      </c>
      <c r="O160" s="138">
        <f>I160/E160</f>
        <v/>
      </c>
      <c r="P160" s="138">
        <f>K160/E160</f>
        <v/>
      </c>
      <c r="Q160" s="123" t="n">
        <v>3</v>
      </c>
      <c r="R160" s="123" t="n">
        <v>2</v>
      </c>
      <c r="S160" s="123" t="inlineStr">
        <is>
          <t>계</t>
        </is>
      </c>
      <c r="T160" s="5" t="inlineStr">
        <is>
          <t>110A</t>
        </is>
      </c>
      <c r="U160" s="9" t="n"/>
    </row>
    <row r="161" ht="12" customFormat="1" customHeight="1" s="37">
      <c r="A161" s="111" t="inlineStr">
        <is>
          <t>나운동 비사벌</t>
        </is>
      </c>
      <c r="B161" s="112" t="inlineStr">
        <is>
          <t>97.02.</t>
        </is>
      </c>
      <c r="C161" s="132" t="n">
        <v>268</v>
      </c>
      <c r="D161" s="133" t="n">
        <v>78.2</v>
      </c>
      <c r="E161" s="134" t="n">
        <v>24</v>
      </c>
      <c r="F161" s="133" t="n">
        <v>59.9</v>
      </c>
      <c r="G161" s="17" t="n">
        <v>18</v>
      </c>
      <c r="H161" s="135" t="n">
        <v>268</v>
      </c>
      <c r="I161" s="136" t="n"/>
      <c r="J161" s="136" t="n"/>
      <c r="K161" s="136" t="n"/>
      <c r="L161" s="136" t="n"/>
      <c r="M161" s="137">
        <f>I161-K161</f>
        <v/>
      </c>
      <c r="N161" s="4">
        <f>IF(ISERROR(K161/I161),"",K161/I161)</f>
        <v/>
      </c>
      <c r="O161" s="138">
        <f>I161/E161</f>
        <v/>
      </c>
      <c r="P161" s="138">
        <f>K161/E161</f>
        <v/>
      </c>
      <c r="Q161" s="123" t="n">
        <v>2</v>
      </c>
      <c r="R161" s="123" t="n">
        <v>1</v>
      </c>
      <c r="S161" s="123" t="inlineStr">
        <is>
          <t>계</t>
        </is>
      </c>
      <c r="T161" s="5" t="n">
        <v>78</v>
      </c>
      <c r="U161" s="9" t="n"/>
    </row>
    <row r="162" ht="12" customFormat="1" customHeight="1" s="37">
      <c r="A162" s="111" t="inlineStr">
        <is>
          <t>나운동 나운유원</t>
        </is>
      </c>
      <c r="B162" s="112" t="inlineStr">
        <is>
          <t>90.11.</t>
        </is>
      </c>
      <c r="C162" s="132" t="n">
        <v>458</v>
      </c>
      <c r="D162" s="133" t="n">
        <v>96.8</v>
      </c>
      <c r="E162" s="134" t="n">
        <v>29</v>
      </c>
      <c r="F162" s="133" t="n">
        <v>78.09999999999999</v>
      </c>
      <c r="G162" s="17" t="n">
        <v>24</v>
      </c>
      <c r="H162" s="135" t="n">
        <v>69</v>
      </c>
      <c r="I162" s="136" t="n"/>
      <c r="J162" s="136" t="n"/>
      <c r="K162" s="136" t="n"/>
      <c r="L162" s="136" t="n"/>
      <c r="M162" s="137">
        <f>I162-K162</f>
        <v/>
      </c>
      <c r="N162" s="4">
        <f>IF(ISERROR(K162/I162),"",K162/I162)</f>
        <v/>
      </c>
      <c r="O162" s="138">
        <f>I162/E162</f>
        <v/>
      </c>
      <c r="P162" s="138">
        <f>K162/E162</f>
        <v/>
      </c>
      <c r="Q162" s="123" t="n">
        <v>3</v>
      </c>
      <c r="R162" s="123" t="n">
        <v>1</v>
      </c>
      <c r="S162" s="123" t="inlineStr">
        <is>
          <t>계</t>
        </is>
      </c>
      <c r="T162" s="5" t="n">
        <v>96</v>
      </c>
      <c r="U162" s="9" t="n"/>
    </row>
    <row r="163" ht="12" customFormat="1" customHeight="1" s="37">
      <c r="A163" s="111" t="inlineStr">
        <is>
          <t>나운동 나운유원</t>
        </is>
      </c>
      <c r="B163" s="112" t="inlineStr">
        <is>
          <t>90.11.</t>
        </is>
      </c>
      <c r="C163" s="132" t="n">
        <v>458</v>
      </c>
      <c r="D163" s="133" t="n">
        <v>104.1</v>
      </c>
      <c r="E163" s="134" t="n">
        <v>31</v>
      </c>
      <c r="F163" s="133" t="n">
        <v>85</v>
      </c>
      <c r="G163" s="17" t="n">
        <v>26</v>
      </c>
      <c r="H163" s="135" t="n">
        <v>245</v>
      </c>
      <c r="I163" s="136" t="n"/>
      <c r="J163" s="136" t="n"/>
      <c r="K163" s="136" t="n"/>
      <c r="L163" s="136" t="n"/>
      <c r="M163" s="137">
        <f>I163-K163</f>
        <v/>
      </c>
      <c r="N163" s="4">
        <f>IF(ISERROR(K163/I163),"",K163/I163)</f>
        <v/>
      </c>
      <c r="O163" s="138">
        <f>I163/E163</f>
        <v/>
      </c>
      <c r="P163" s="138">
        <f>K163/E163</f>
        <v/>
      </c>
      <c r="Q163" s="123" t="n">
        <v>3</v>
      </c>
      <c r="R163" s="123" t="n">
        <v>2</v>
      </c>
      <c r="S163" s="123" t="inlineStr">
        <is>
          <t>계</t>
        </is>
      </c>
      <c r="T163" s="5" t="n">
        <v>104</v>
      </c>
      <c r="U163" s="9" t="n"/>
    </row>
    <row r="164" ht="12" customFormat="1" customHeight="1" s="37">
      <c r="A164" s="111" t="inlineStr">
        <is>
          <t>나운동 주공5단지</t>
        </is>
      </c>
      <c r="B164" s="112" t="inlineStr">
        <is>
          <t>95.07.</t>
        </is>
      </c>
      <c r="C164" s="132" t="n">
        <v>1541</v>
      </c>
      <c r="D164" s="133" t="n">
        <v>54.8</v>
      </c>
      <c r="E164" s="134" t="n">
        <v>17</v>
      </c>
      <c r="F164" s="133" t="n">
        <v>37.7</v>
      </c>
      <c r="G164" s="17" t="n">
        <v>11</v>
      </c>
      <c r="H164" s="135" t="n">
        <v>149</v>
      </c>
      <c r="I164" s="136" t="n"/>
      <c r="J164" s="136" t="n"/>
      <c r="K164" s="136" t="n"/>
      <c r="L164" s="136" t="n"/>
      <c r="M164" s="137">
        <f>I164-K164</f>
        <v/>
      </c>
      <c r="N164" s="4">
        <f>IF(ISERROR(K164/I164),"",K164/I164)</f>
        <v/>
      </c>
      <c r="O164" s="138">
        <f>I164/E164</f>
        <v/>
      </c>
      <c r="P164" s="138">
        <f>K164/E164</f>
        <v/>
      </c>
      <c r="Q164" s="123" t="n">
        <v>2</v>
      </c>
      <c r="R164" s="123" t="n">
        <v>1</v>
      </c>
      <c r="S164" s="123" t="inlineStr">
        <is>
          <t>복</t>
        </is>
      </c>
      <c r="T164" s="5" t="n">
        <v>54</v>
      </c>
      <c r="U164" s="9" t="n"/>
    </row>
    <row r="165" ht="12" customFormat="1" customHeight="1" s="37">
      <c r="A165" s="111" t="inlineStr">
        <is>
          <t>나운동 현대4차</t>
        </is>
      </c>
      <c r="B165" s="112" t="inlineStr">
        <is>
          <t>98.09.</t>
        </is>
      </c>
      <c r="C165" s="132" t="n">
        <v>636</v>
      </c>
      <c r="D165" s="133" t="n">
        <v>93.7</v>
      </c>
      <c r="E165" s="134" t="n">
        <v>28</v>
      </c>
      <c r="F165" s="133" t="n">
        <v>75.2</v>
      </c>
      <c r="G165" s="17" t="n">
        <v>23</v>
      </c>
      <c r="H165" s="135" t="n">
        <v>68</v>
      </c>
      <c r="I165" s="136" t="n"/>
      <c r="J165" s="136" t="n"/>
      <c r="K165" s="136" t="n"/>
      <c r="L165" s="136" t="n"/>
      <c r="M165" s="137">
        <f>I165-K165</f>
        <v/>
      </c>
      <c r="N165" s="4">
        <f>IF(ISERROR(K165/I165),"",K165/I165)</f>
        <v/>
      </c>
      <c r="O165" s="138">
        <f>I165/E165</f>
        <v/>
      </c>
      <c r="P165" s="138">
        <f>K165/E165</f>
        <v/>
      </c>
      <c r="Q165" s="123" t="n">
        <v>3</v>
      </c>
      <c r="R165" s="123" t="n">
        <v>1</v>
      </c>
      <c r="S165" s="123" t="inlineStr">
        <is>
          <t>계</t>
        </is>
      </c>
      <c r="T165" s="5" t="n">
        <v>93</v>
      </c>
      <c r="U165" s="9" t="n"/>
    </row>
    <row r="166" ht="12" customFormat="1" customHeight="1" s="37">
      <c r="A166" s="111" t="inlineStr">
        <is>
          <t>나운동 현대4차</t>
        </is>
      </c>
      <c r="B166" s="112" t="inlineStr">
        <is>
          <t>98.09.</t>
        </is>
      </c>
      <c r="C166" s="132" t="n">
        <v>636</v>
      </c>
      <c r="D166" s="133" t="n">
        <v>147.3</v>
      </c>
      <c r="E166" s="134" t="n">
        <v>45</v>
      </c>
      <c r="F166" s="133" t="n">
        <v>118.2</v>
      </c>
      <c r="G166" s="17" t="n">
        <v>36</v>
      </c>
      <c r="H166" s="135" t="n">
        <v>40</v>
      </c>
      <c r="I166" s="136" t="n"/>
      <c r="J166" s="136" t="n"/>
      <c r="K166" s="136" t="n"/>
      <c r="L166" s="136" t="n"/>
      <c r="M166" s="137">
        <f>I166-K166</f>
        <v/>
      </c>
      <c r="N166" s="4">
        <f>IF(ISERROR(K166/I166),"",K166/I166)</f>
        <v/>
      </c>
      <c r="O166" s="138">
        <f>I166/E166</f>
        <v/>
      </c>
      <c r="P166" s="138">
        <f>K166/E166</f>
        <v/>
      </c>
      <c r="Q166" s="123" t="n">
        <v>4</v>
      </c>
      <c r="R166" s="123" t="n">
        <v>2</v>
      </c>
      <c r="S166" s="123" t="inlineStr">
        <is>
          <t>계</t>
        </is>
      </c>
      <c r="T166" s="5" t="n">
        <v>147</v>
      </c>
      <c r="U166" s="9" t="n"/>
    </row>
    <row r="167" ht="12" customFormat="1" customHeight="1" s="37">
      <c r="A167" s="111" t="inlineStr">
        <is>
          <t>나운동 삼성(401)</t>
        </is>
      </c>
      <c r="B167" s="112" t="inlineStr">
        <is>
          <t>98.05.</t>
        </is>
      </c>
      <c r="C167" s="132" t="n">
        <v>670</v>
      </c>
      <c r="D167" s="133" t="n">
        <v>95.5</v>
      </c>
      <c r="E167" s="134" t="n">
        <v>29</v>
      </c>
      <c r="F167" s="133" t="n">
        <v>73.90000000000001</v>
      </c>
      <c r="G167" s="17" t="n">
        <v>22</v>
      </c>
      <c r="H167" s="135" t="n">
        <v>128</v>
      </c>
      <c r="I167" s="136" t="n"/>
      <c r="J167" s="136" t="n"/>
      <c r="K167" s="136" t="n"/>
      <c r="L167" s="136" t="n"/>
      <c r="M167" s="137">
        <f>I167-K167</f>
        <v/>
      </c>
      <c r="N167" s="4">
        <f>IF(ISERROR(K167/I167),"",K167/I167)</f>
        <v/>
      </c>
      <c r="O167" s="138">
        <f>I167/E167</f>
        <v/>
      </c>
      <c r="P167" s="138">
        <f>K167/E167</f>
        <v/>
      </c>
      <c r="Q167" s="123" t="n">
        <v>3</v>
      </c>
      <c r="R167" s="123" t="n">
        <v>1</v>
      </c>
      <c r="S167" s="123" t="inlineStr">
        <is>
          <t>계</t>
        </is>
      </c>
      <c r="T167" s="5" t="n">
        <v>95</v>
      </c>
      <c r="U167" s="9" t="n"/>
    </row>
    <row r="168" ht="12" customFormat="1" customHeight="1" s="37">
      <c r="A168" s="111" t="inlineStr">
        <is>
          <t>나운동 삼성(401)</t>
        </is>
      </c>
      <c r="B168" s="112" t="inlineStr">
        <is>
          <t>98.05.</t>
        </is>
      </c>
      <c r="C168" s="132" t="n">
        <v>670</v>
      </c>
      <c r="D168" s="133" t="n">
        <v>139.7</v>
      </c>
      <c r="E168" s="134" t="n">
        <v>42</v>
      </c>
      <c r="F168" s="133" t="n">
        <v>115</v>
      </c>
      <c r="G168" s="17" t="n">
        <v>35</v>
      </c>
      <c r="H168" s="135" t="n">
        <v>40</v>
      </c>
      <c r="I168" s="136" t="n"/>
      <c r="J168" s="136" t="n"/>
      <c r="K168" s="136" t="n"/>
      <c r="L168" s="136" t="n"/>
      <c r="M168" s="137">
        <f>I168-K168</f>
        <v/>
      </c>
      <c r="N168" s="4">
        <f>IF(ISERROR(K168/I168),"",K168/I168)</f>
        <v/>
      </c>
      <c r="O168" s="138">
        <f>I168/E168</f>
        <v/>
      </c>
      <c r="P168" s="138">
        <f>K168/E168</f>
        <v/>
      </c>
      <c r="Q168" s="123" t="n">
        <v>4</v>
      </c>
      <c r="R168" s="123" t="n">
        <v>2</v>
      </c>
      <c r="S168" s="123" t="inlineStr">
        <is>
          <t>계</t>
        </is>
      </c>
      <c r="T168" s="5" t="n">
        <v>139</v>
      </c>
      <c r="U168" s="9" t="n"/>
    </row>
    <row r="169" ht="12" customFormat="1" customHeight="1" s="37">
      <c r="A169" s="111" t="inlineStr">
        <is>
          <t>나운동 삼성(401)</t>
        </is>
      </c>
      <c r="B169" s="112" t="inlineStr">
        <is>
          <t>98.05.</t>
        </is>
      </c>
      <c r="C169" s="132" t="n">
        <v>670</v>
      </c>
      <c r="D169" s="133" t="n">
        <v>161.2</v>
      </c>
      <c r="E169" s="134" t="n">
        <v>49</v>
      </c>
      <c r="F169" s="133" t="n">
        <v>135</v>
      </c>
      <c r="G169" s="17" t="n">
        <v>41</v>
      </c>
      <c r="H169" s="135" t="n">
        <v>80</v>
      </c>
      <c r="I169" s="136" t="n"/>
      <c r="J169" s="136" t="n"/>
      <c r="K169" s="136" t="n"/>
      <c r="L169" s="136" t="n"/>
      <c r="M169" s="137">
        <f>I169-K169</f>
        <v/>
      </c>
      <c r="N169" s="4">
        <f>IF(ISERROR(K169/I169),"",K169/I169)</f>
        <v/>
      </c>
      <c r="O169" s="138">
        <f>I169/E169</f>
        <v/>
      </c>
      <c r="P169" s="138">
        <f>K169/E169</f>
        <v/>
      </c>
      <c r="Q169" s="123" t="n">
        <v>4</v>
      </c>
      <c r="R169" s="123" t="n">
        <v>2</v>
      </c>
      <c r="S169" s="123" t="inlineStr">
        <is>
          <t>계</t>
        </is>
      </c>
      <c r="T169" s="5" t="n">
        <v>161</v>
      </c>
      <c r="U169" s="9" t="n"/>
    </row>
    <row r="170" ht="12" customFormat="1" customHeight="1" s="37">
      <c r="A170" s="111" t="inlineStr">
        <is>
          <t>나운동 롯데3차</t>
        </is>
      </c>
      <c r="B170" s="112" t="inlineStr">
        <is>
          <t>94.06.</t>
        </is>
      </c>
      <c r="C170" s="132" t="n">
        <v>572</v>
      </c>
      <c r="D170" s="133" t="n">
        <v>90.59999999999999</v>
      </c>
      <c r="E170" s="134" t="n">
        <v>27</v>
      </c>
      <c r="F170" s="133" t="n">
        <v>74</v>
      </c>
      <c r="G170" s="17" t="n">
        <v>22</v>
      </c>
      <c r="H170" s="135" t="n">
        <v>234</v>
      </c>
      <c r="I170" s="136" t="n"/>
      <c r="J170" s="136" t="n"/>
      <c r="K170" s="136" t="n"/>
      <c r="L170" s="136" t="n"/>
      <c r="M170" s="137">
        <f>I170-K170</f>
        <v/>
      </c>
      <c r="N170" s="4">
        <f>IF(ISERROR(K170/I170),"",K170/I170)</f>
        <v/>
      </c>
      <c r="O170" s="138">
        <f>I170/E170</f>
        <v/>
      </c>
      <c r="P170" s="138">
        <f>K170/E170</f>
        <v/>
      </c>
      <c r="Q170" s="123" t="n">
        <v>3</v>
      </c>
      <c r="R170" s="123" t="n">
        <v>1</v>
      </c>
      <c r="S170" s="123" t="inlineStr">
        <is>
          <t>계</t>
        </is>
      </c>
      <c r="T170" s="5" t="n">
        <v>90</v>
      </c>
      <c r="U170" s="9" t="n"/>
    </row>
    <row r="171" ht="12" customFormat="1" customHeight="1" s="37">
      <c r="A171" s="111" t="inlineStr">
        <is>
          <t>나운동 우진</t>
        </is>
      </c>
      <c r="B171" s="112" t="inlineStr">
        <is>
          <t>79.01.</t>
        </is>
      </c>
      <c r="C171" s="132" t="n">
        <v>390</v>
      </c>
      <c r="D171" s="133" t="n">
        <v>61.2</v>
      </c>
      <c r="E171" s="134" t="n">
        <v>19</v>
      </c>
      <c r="F171" s="133" t="n">
        <v>55.4</v>
      </c>
      <c r="G171" s="17" t="n">
        <v>17</v>
      </c>
      <c r="H171" s="135" t="n">
        <v>170</v>
      </c>
      <c r="I171" s="136" t="n"/>
      <c r="J171" s="136" t="n"/>
      <c r="K171" s="136" t="n"/>
      <c r="L171" s="136" t="n"/>
      <c r="M171" s="137">
        <f>I171-K171</f>
        <v/>
      </c>
      <c r="N171" s="4">
        <f>IF(ISERROR(K171/I171),"",K171/I171)</f>
        <v/>
      </c>
      <c r="O171" s="138">
        <f>I171/E171</f>
        <v/>
      </c>
      <c r="P171" s="138">
        <f>K171/E171</f>
        <v/>
      </c>
      <c r="Q171" s="123" t="n">
        <v>2</v>
      </c>
      <c r="R171" s="123" t="n">
        <v>1</v>
      </c>
      <c r="S171" s="123" t="inlineStr">
        <is>
          <t>복</t>
        </is>
      </c>
      <c r="T171" s="5" t="n">
        <v>61</v>
      </c>
      <c r="U171" s="9" t="n"/>
    </row>
    <row r="172" ht="12" customFormat="1" customHeight="1" s="37">
      <c r="A172" s="111" t="inlineStr">
        <is>
          <t>나운동 우진</t>
        </is>
      </c>
      <c r="B172" s="112" t="inlineStr">
        <is>
          <t>79.01.</t>
        </is>
      </c>
      <c r="C172" s="132" t="n">
        <v>390</v>
      </c>
      <c r="D172" s="133" t="n">
        <v>72.7</v>
      </c>
      <c r="E172" s="134" t="n">
        <v>22</v>
      </c>
      <c r="F172" s="133" t="n">
        <v>65.8</v>
      </c>
      <c r="G172" s="17" t="n">
        <v>20</v>
      </c>
      <c r="H172" s="135" t="n">
        <v>120</v>
      </c>
      <c r="I172" s="136" t="n"/>
      <c r="J172" s="136" t="n"/>
      <c r="K172" s="136" t="n"/>
      <c r="L172" s="136" t="n"/>
      <c r="M172" s="137">
        <f>I172-K172</f>
        <v/>
      </c>
      <c r="N172" s="4">
        <f>IF(ISERROR(K172/I172),"",K172/I172)</f>
        <v/>
      </c>
      <c r="O172" s="138">
        <f>I172/E172</f>
        <v/>
      </c>
      <c r="P172" s="138">
        <f>K172/E172</f>
        <v/>
      </c>
      <c r="Q172" s="123" t="n">
        <v>3</v>
      </c>
      <c r="R172" s="123" t="n">
        <v>1</v>
      </c>
      <c r="S172" s="123" t="inlineStr">
        <is>
          <t>계</t>
        </is>
      </c>
      <c r="T172" s="5" t="n">
        <v>72</v>
      </c>
      <c r="U172" s="9" t="n"/>
    </row>
    <row r="173" ht="12" customFormat="1" customHeight="1" s="37">
      <c r="A173" s="111" t="inlineStr">
        <is>
          <t>대명동 현대메트로타워2차</t>
        </is>
      </c>
      <c r="B173" s="112" t="inlineStr">
        <is>
          <t>16.04.</t>
        </is>
      </c>
      <c r="C173" s="132" t="n">
        <v>942</v>
      </c>
      <c r="D173" s="133" t="n">
        <v>115.3</v>
      </c>
      <c r="E173" s="134" t="n">
        <v>35</v>
      </c>
      <c r="F173" s="133" t="n">
        <v>84.90000000000001</v>
      </c>
      <c r="G173" s="17" t="n">
        <v>26</v>
      </c>
      <c r="H173" s="135" t="n">
        <v>318</v>
      </c>
      <c r="I173" s="136" t="n"/>
      <c r="J173" s="136" t="n"/>
      <c r="K173" s="136" t="n"/>
      <c r="L173" s="136" t="n"/>
      <c r="M173" s="137">
        <f>I173-K173</f>
        <v/>
      </c>
      <c r="N173" s="4">
        <f>IF(ISERROR(K173/I173),"",K173/I173)</f>
        <v/>
      </c>
      <c r="O173" s="138">
        <f>I173/E173</f>
        <v/>
      </c>
      <c r="P173" s="138">
        <f>K173/E173</f>
        <v/>
      </c>
      <c r="Q173" s="123" t="n">
        <v>3</v>
      </c>
      <c r="R173" s="123" t="n">
        <v>2</v>
      </c>
      <c r="S173" s="123" t="inlineStr">
        <is>
          <t>계</t>
        </is>
      </c>
      <c r="T173" s="5" t="inlineStr">
        <is>
          <t>115C</t>
        </is>
      </c>
      <c r="U173" s="9" t="n"/>
    </row>
    <row r="174" ht="12" customFormat="1" customHeight="1" s="37">
      <c r="A174" s="111" t="inlineStr">
        <is>
          <t>대명동 현대메트로타워</t>
        </is>
      </c>
      <c r="B174" s="112" t="inlineStr">
        <is>
          <t>11.10.</t>
        </is>
      </c>
      <c r="C174" s="132" t="n">
        <v>614</v>
      </c>
      <c r="D174" s="133" t="n">
        <v>108.7</v>
      </c>
      <c r="E174" s="134" t="n">
        <v>33</v>
      </c>
      <c r="F174" s="133" t="n">
        <v>76.3</v>
      </c>
      <c r="G174" s="17" t="n">
        <v>23</v>
      </c>
      <c r="H174" s="135" t="n">
        <v>248</v>
      </c>
      <c r="I174" s="136" t="n"/>
      <c r="J174" s="136" t="n"/>
      <c r="K174" s="136" t="n"/>
      <c r="L174" s="136" t="n"/>
      <c r="M174" s="137">
        <f>I174-K174</f>
        <v/>
      </c>
      <c r="N174" s="4">
        <f>IF(ISERROR(K174/I174),"",K174/I174)</f>
        <v/>
      </c>
      <c r="O174" s="138">
        <f>I174/E174</f>
        <v/>
      </c>
      <c r="P174" s="138">
        <f>K174/E174</f>
        <v/>
      </c>
      <c r="Q174" s="123" t="n">
        <v>3</v>
      </c>
      <c r="R174" s="123" t="n">
        <v>2</v>
      </c>
      <c r="S174" s="123" t="inlineStr">
        <is>
          <t>계</t>
        </is>
      </c>
      <c r="T174" s="5" t="n">
        <v>108</v>
      </c>
      <c r="U174" s="9" t="n"/>
    </row>
    <row r="175" ht="12" customFormat="1" customHeight="1" s="37">
      <c r="A175" s="111" t="inlineStr">
        <is>
          <t>대명동 현대메트로타워</t>
        </is>
      </c>
      <c r="B175" s="112" t="inlineStr">
        <is>
          <t>11.10.</t>
        </is>
      </c>
      <c r="C175" s="132" t="n">
        <v>614</v>
      </c>
      <c r="D175" s="133" t="n">
        <v>120.5</v>
      </c>
      <c r="E175" s="134" t="n">
        <v>36</v>
      </c>
      <c r="F175" s="133" t="n">
        <v>84.90000000000001</v>
      </c>
      <c r="G175" s="17" t="n">
        <v>26</v>
      </c>
      <c r="H175" s="135" t="n">
        <v>244</v>
      </c>
      <c r="I175" s="136" t="n"/>
      <c r="J175" s="136" t="n"/>
      <c r="K175" s="136" t="n"/>
      <c r="L175" s="136" t="n"/>
      <c r="M175" s="137">
        <f>I175-K175</f>
        <v/>
      </c>
      <c r="N175" s="4">
        <f>IF(ISERROR(K175/I175),"",K175/I175)</f>
        <v/>
      </c>
      <c r="O175" s="138">
        <f>I175/E175</f>
        <v/>
      </c>
      <c r="P175" s="138">
        <f>K175/E175</f>
        <v/>
      </c>
      <c r="Q175" s="123" t="n">
        <v>3</v>
      </c>
      <c r="R175" s="123" t="n">
        <v>2</v>
      </c>
      <c r="S175" s="123" t="inlineStr">
        <is>
          <t>계</t>
        </is>
      </c>
      <c r="T175" s="5" t="n">
        <v>120</v>
      </c>
      <c r="U175" s="9" t="n"/>
    </row>
    <row r="176" ht="12" customFormat="1" customHeight="1" s="37">
      <c r="A176" s="111" t="inlineStr">
        <is>
          <t>동흥남동 군산동흥남주공</t>
        </is>
      </c>
      <c r="B176" s="112" t="inlineStr">
        <is>
          <t>06.02.</t>
        </is>
      </c>
      <c r="C176" s="132" t="n">
        <v>318</v>
      </c>
      <c r="D176" s="133" t="n">
        <v>94.90000000000001</v>
      </c>
      <c r="E176" s="134" t="n">
        <v>29</v>
      </c>
      <c r="F176" s="133" t="n">
        <v>75.3</v>
      </c>
      <c r="G176" s="17" t="n">
        <v>23</v>
      </c>
      <c r="H176" s="135" t="n">
        <v>90</v>
      </c>
      <c r="I176" s="136" t="n"/>
      <c r="J176" s="136" t="n"/>
      <c r="K176" s="136" t="n"/>
      <c r="L176" s="136" t="n"/>
      <c r="M176" s="137">
        <f>I176-K176</f>
        <v/>
      </c>
      <c r="N176" s="4">
        <f>IF(ISERROR(K176/I176),"",K176/I176)</f>
        <v/>
      </c>
      <c r="O176" s="138">
        <f>I176/E176</f>
        <v/>
      </c>
      <c r="P176" s="138">
        <f>K176/E176</f>
        <v/>
      </c>
      <c r="Q176" s="123" t="n">
        <v>3</v>
      </c>
      <c r="R176" s="123" t="n">
        <v>2</v>
      </c>
      <c r="S176" s="123" t="inlineStr">
        <is>
          <t>계</t>
        </is>
      </c>
      <c r="T176" s="5" t="n">
        <v>94</v>
      </c>
      <c r="U176" s="9" t="n"/>
    </row>
    <row r="177" ht="12" customFormat="1" customHeight="1" s="37">
      <c r="A177" s="111" t="inlineStr">
        <is>
          <t>동흥남동 군산동흥남주공</t>
        </is>
      </c>
      <c r="B177" s="112" t="inlineStr">
        <is>
          <t>06.02.</t>
        </is>
      </c>
      <c r="C177" s="132" t="n">
        <v>318</v>
      </c>
      <c r="D177" s="133" t="n">
        <v>107.1</v>
      </c>
      <c r="E177" s="134" t="n">
        <v>32</v>
      </c>
      <c r="F177" s="133" t="n">
        <v>85</v>
      </c>
      <c r="G177" s="17" t="n">
        <v>26</v>
      </c>
      <c r="H177" s="135" t="n">
        <v>129</v>
      </c>
      <c r="I177" s="136" t="n"/>
      <c r="J177" s="136" t="n"/>
      <c r="K177" s="136" t="n"/>
      <c r="L177" s="136" t="n"/>
      <c r="M177" s="137">
        <f>I177-K177</f>
        <v/>
      </c>
      <c r="N177" s="4">
        <f>IF(ISERROR(K177/I177),"",K177/I177)</f>
        <v/>
      </c>
      <c r="O177" s="138">
        <f>I177/E177</f>
        <v/>
      </c>
      <c r="P177" s="138">
        <f>K177/E177</f>
        <v/>
      </c>
      <c r="Q177" s="123" t="n">
        <v>3</v>
      </c>
      <c r="R177" s="123" t="n">
        <v>2</v>
      </c>
      <c r="S177" s="123" t="inlineStr">
        <is>
          <t>계</t>
        </is>
      </c>
      <c r="T177" s="5" t="inlineStr">
        <is>
          <t>107B</t>
        </is>
      </c>
      <c r="U177" s="9" t="n"/>
    </row>
    <row r="178" ht="12" customFormat="1" customHeight="1" s="37">
      <c r="A178" s="111" t="inlineStr">
        <is>
          <t>문화동 삼성</t>
        </is>
      </c>
      <c r="B178" s="112" t="inlineStr">
        <is>
          <t>92.08.</t>
        </is>
      </c>
      <c r="C178" s="132" t="n">
        <v>716</v>
      </c>
      <c r="D178" s="133" t="n">
        <v>79.7</v>
      </c>
      <c r="E178" s="134" t="n">
        <v>24</v>
      </c>
      <c r="F178" s="133" t="n">
        <v>65.2</v>
      </c>
      <c r="G178" s="17" t="n">
        <v>20</v>
      </c>
      <c r="H178" s="135" t="n">
        <v>56</v>
      </c>
      <c r="I178" s="136" t="n"/>
      <c r="J178" s="136" t="n"/>
      <c r="K178" s="136" t="n"/>
      <c r="L178" s="136" t="n"/>
      <c r="M178" s="137">
        <f>I178-K178</f>
        <v/>
      </c>
      <c r="N178" s="4">
        <f>IF(ISERROR(K178/I178),"",K178/I178)</f>
        <v/>
      </c>
      <c r="O178" s="138">
        <f>I178/E178</f>
        <v/>
      </c>
      <c r="P178" s="138">
        <f>K178/E178</f>
        <v/>
      </c>
      <c r="Q178" s="123" t="n">
        <v>3</v>
      </c>
      <c r="R178" s="123" t="n">
        <v>1</v>
      </c>
      <c r="S178" s="123" t="inlineStr">
        <is>
          <t>계</t>
        </is>
      </c>
      <c r="T178" s="5" t="n">
        <v>79</v>
      </c>
      <c r="U178" s="9" t="n"/>
    </row>
    <row r="179" ht="12" customFormat="1" customHeight="1" s="37">
      <c r="A179" s="111" t="inlineStr">
        <is>
          <t>미룡동 금광베네스타</t>
        </is>
      </c>
      <c r="B179" s="112" t="inlineStr">
        <is>
          <t>08.12.</t>
        </is>
      </c>
      <c r="C179" s="132" t="n">
        <v>950</v>
      </c>
      <c r="D179" s="133" t="n">
        <v>110.3</v>
      </c>
      <c r="E179" s="134" t="n">
        <v>33</v>
      </c>
      <c r="F179" s="133" t="n">
        <v>84.7</v>
      </c>
      <c r="G179" s="17" t="n">
        <v>26</v>
      </c>
      <c r="H179" s="135" t="n">
        <v>120</v>
      </c>
      <c r="I179" s="136" t="n"/>
      <c r="J179" s="136" t="n"/>
      <c r="K179" s="136" t="n"/>
      <c r="L179" s="136" t="n"/>
      <c r="M179" s="137">
        <f>I179-K179</f>
        <v/>
      </c>
      <c r="N179" s="4">
        <f>IF(ISERROR(K179/I179),"",K179/I179)</f>
        <v/>
      </c>
      <c r="O179" s="138">
        <f>I179/E179</f>
        <v/>
      </c>
      <c r="P179" s="138">
        <f>K179/E179</f>
        <v/>
      </c>
      <c r="Q179" s="123" t="n">
        <v>3</v>
      </c>
      <c r="R179" s="123" t="n">
        <v>2</v>
      </c>
      <c r="S179" s="123" t="inlineStr">
        <is>
          <t>복</t>
        </is>
      </c>
      <c r="T179" s="5" t="inlineStr">
        <is>
          <t>110A</t>
        </is>
      </c>
      <c r="U179" s="9" t="n"/>
    </row>
    <row r="180" ht="12" customFormat="1" customHeight="1" s="37">
      <c r="A180" s="111" t="inlineStr">
        <is>
          <t>미룡동 은파롯데캐슬</t>
        </is>
      </c>
      <c r="B180" s="112" t="inlineStr">
        <is>
          <t>07.09.</t>
        </is>
      </c>
      <c r="C180" s="132" t="n">
        <v>307</v>
      </c>
      <c r="D180" s="133" t="n">
        <v>109.8</v>
      </c>
      <c r="E180" s="134" t="n">
        <v>33</v>
      </c>
      <c r="F180" s="133" t="n">
        <v>85</v>
      </c>
      <c r="G180" s="17" t="n">
        <v>26</v>
      </c>
      <c r="H180" s="135" t="n">
        <v>50</v>
      </c>
      <c r="I180" s="136" t="n"/>
      <c r="J180" s="136" t="n"/>
      <c r="K180" s="136" t="n"/>
      <c r="L180" s="136" t="n"/>
      <c r="M180" s="137">
        <f>I180-K180</f>
        <v/>
      </c>
      <c r="N180" s="4">
        <f>IF(ISERROR(K180/I180),"",K180/I180)</f>
        <v/>
      </c>
      <c r="O180" s="138">
        <f>I180/E180</f>
        <v/>
      </c>
      <c r="P180" s="138">
        <f>K180/E180</f>
        <v/>
      </c>
      <c r="Q180" s="123" t="n">
        <v>3</v>
      </c>
      <c r="R180" s="123" t="n">
        <v>2</v>
      </c>
      <c r="S180" s="123" t="inlineStr">
        <is>
          <t>복</t>
        </is>
      </c>
      <c r="T180" s="5" t="n">
        <v>109</v>
      </c>
      <c r="U180" s="9" t="n"/>
    </row>
    <row r="181" ht="12" customFormat="1" customHeight="1" s="37">
      <c r="A181" s="111" t="inlineStr">
        <is>
          <t>미룡동 은파롯데캐슬</t>
        </is>
      </c>
      <c r="B181" s="112" t="inlineStr">
        <is>
          <t>07.09.</t>
        </is>
      </c>
      <c r="C181" s="132" t="n">
        <v>307</v>
      </c>
      <c r="D181" s="133" t="n">
        <v>131.5</v>
      </c>
      <c r="E181" s="134" t="n">
        <v>40</v>
      </c>
      <c r="F181" s="133" t="n">
        <v>104.6</v>
      </c>
      <c r="G181" s="17" t="n">
        <v>32</v>
      </c>
      <c r="H181" s="135" t="n">
        <v>79</v>
      </c>
      <c r="I181" s="136" t="n"/>
      <c r="J181" s="136" t="n"/>
      <c r="K181" s="136" t="n"/>
      <c r="L181" s="136" t="n"/>
      <c r="M181" s="137">
        <f>I181-K181</f>
        <v/>
      </c>
      <c r="N181" s="4">
        <f>IF(ISERROR(K181/I181),"",K181/I181)</f>
        <v/>
      </c>
      <c r="O181" s="138">
        <f>I181/E181</f>
        <v/>
      </c>
      <c r="P181" s="138">
        <f>K181/E181</f>
        <v/>
      </c>
      <c r="Q181" s="123" t="n">
        <v>3</v>
      </c>
      <c r="R181" s="123" t="n">
        <v>2</v>
      </c>
      <c r="S181" s="123" t="inlineStr">
        <is>
          <t>복</t>
        </is>
      </c>
      <c r="T181" s="5" t="inlineStr">
        <is>
          <t>131A</t>
        </is>
      </c>
      <c r="U181" s="9" t="n"/>
    </row>
    <row r="182" ht="12" customFormat="1" customHeight="1" s="37">
      <c r="A182" s="111" t="inlineStr">
        <is>
          <t>미룡동 산북부향하나로3차</t>
        </is>
      </c>
      <c r="B182" s="112" t="inlineStr">
        <is>
          <t>98.04.</t>
        </is>
      </c>
      <c r="C182" s="132" t="n">
        <v>346</v>
      </c>
      <c r="D182" s="133" t="n">
        <v>55.1</v>
      </c>
      <c r="E182" s="134" t="n">
        <v>17</v>
      </c>
      <c r="F182" s="133" t="n">
        <v>40</v>
      </c>
      <c r="G182" s="17" t="n">
        <v>12</v>
      </c>
      <c r="H182" s="135" t="n">
        <v>334</v>
      </c>
      <c r="I182" s="136" t="n"/>
      <c r="J182" s="136" t="n"/>
      <c r="K182" s="136" t="n"/>
      <c r="L182" s="136" t="n"/>
      <c r="M182" s="137">
        <f>I182-K182</f>
        <v/>
      </c>
      <c r="N182" s="4">
        <f>IF(ISERROR(K182/I182),"",K182/I182)</f>
        <v/>
      </c>
      <c r="O182" s="138">
        <f>I182/E182</f>
        <v/>
      </c>
      <c r="P182" s="138">
        <f>K182/E182</f>
        <v/>
      </c>
      <c r="Q182" s="123" t="n">
        <v>2</v>
      </c>
      <c r="R182" s="123" t="n">
        <v>1</v>
      </c>
      <c r="S182" s="123" t="inlineStr">
        <is>
          <t>계</t>
        </is>
      </c>
      <c r="T182" s="5" t="n">
        <v>55</v>
      </c>
      <c r="U182" s="9" t="n"/>
    </row>
    <row r="183" ht="12" customFormat="1" customHeight="1" s="37">
      <c r="A183" s="111" t="inlineStr">
        <is>
          <t>미룡동 은파리젠시빌파크</t>
        </is>
      </c>
      <c r="B183" s="112" t="inlineStr">
        <is>
          <t>07.02.</t>
        </is>
      </c>
      <c r="C183" s="132" t="n">
        <v>317</v>
      </c>
      <c r="D183" s="133" t="n">
        <v>115.9</v>
      </c>
      <c r="E183" s="134" t="n">
        <v>35</v>
      </c>
      <c r="F183" s="133" t="n">
        <v>84.90000000000001</v>
      </c>
      <c r="G183" s="17" t="n">
        <v>26</v>
      </c>
      <c r="H183" s="135" t="n">
        <v>233</v>
      </c>
      <c r="I183" s="136" t="n"/>
      <c r="J183" s="136" t="n"/>
      <c r="K183" s="136" t="n"/>
      <c r="L183" s="136" t="n"/>
      <c r="M183" s="137">
        <f>I183-K183</f>
        <v/>
      </c>
      <c r="N183" s="4">
        <f>IF(ISERROR(K183/I183),"",K183/I183)</f>
        <v/>
      </c>
      <c r="O183" s="138">
        <f>I183/E183</f>
        <v/>
      </c>
      <c r="P183" s="138">
        <f>K183/E183</f>
        <v/>
      </c>
      <c r="Q183" s="123" t="n">
        <v>3</v>
      </c>
      <c r="R183" s="123" t="n">
        <v>2</v>
      </c>
      <c r="S183" s="123" t="inlineStr">
        <is>
          <t>계</t>
        </is>
      </c>
      <c r="T183" s="5" t="n">
        <v>115</v>
      </c>
      <c r="U183" s="9" t="n"/>
    </row>
    <row r="184" ht="12" customFormat="1" customHeight="1" s="37">
      <c r="A184" s="111" t="inlineStr">
        <is>
          <t>미룡동 미룡대명2차</t>
        </is>
      </c>
      <c r="B184" s="112" t="inlineStr">
        <is>
          <t>02.05.</t>
        </is>
      </c>
      <c r="C184" s="132" t="n">
        <v>276</v>
      </c>
      <c r="D184" s="133" t="n">
        <v>69.3</v>
      </c>
      <c r="E184" s="134" t="n">
        <v>21</v>
      </c>
      <c r="F184" s="133" t="n">
        <v>49.1</v>
      </c>
      <c r="G184" s="17" t="n">
        <v>15</v>
      </c>
      <c r="H184" s="135" t="n">
        <v>198</v>
      </c>
      <c r="I184" s="136" t="n"/>
      <c r="J184" s="136" t="n"/>
      <c r="K184" s="136" t="n"/>
      <c r="L184" s="136" t="n"/>
      <c r="M184" s="137">
        <f>I184-K184</f>
        <v/>
      </c>
      <c r="N184" s="4">
        <f>IF(ISERROR(K184/I184),"",K184/I184)</f>
        <v/>
      </c>
      <c r="O184" s="138">
        <f>I184/E184</f>
        <v/>
      </c>
      <c r="P184" s="138">
        <f>K184/E184</f>
        <v/>
      </c>
      <c r="Q184" s="123" t="n">
        <v>2</v>
      </c>
      <c r="R184" s="123" t="n">
        <v>1</v>
      </c>
      <c r="S184" s="123" t="inlineStr">
        <is>
          <t>계</t>
        </is>
      </c>
      <c r="T184" s="5" t="inlineStr">
        <is>
          <t>69A</t>
        </is>
      </c>
      <c r="U184" s="9" t="n"/>
    </row>
    <row r="185" ht="12" customFormat="1" customHeight="1" s="37">
      <c r="A185" s="111" t="inlineStr">
        <is>
          <t>미룡동 미룡주공2단지</t>
        </is>
      </c>
      <c r="B185" s="112" t="inlineStr">
        <is>
          <t>01.03.</t>
        </is>
      </c>
      <c r="C185" s="132" t="n">
        <v>874</v>
      </c>
      <c r="D185" s="133" t="n">
        <v>114.6</v>
      </c>
      <c r="E185" s="134" t="n">
        <v>35</v>
      </c>
      <c r="F185" s="133" t="n">
        <v>84.3</v>
      </c>
      <c r="G185" s="17" t="n">
        <v>26</v>
      </c>
      <c r="H185" s="135" t="n">
        <v>224</v>
      </c>
      <c r="I185" s="136" t="n"/>
      <c r="J185" s="136" t="n"/>
      <c r="K185" s="136" t="n"/>
      <c r="L185" s="136" t="n"/>
      <c r="M185" s="137">
        <f>I185-K185</f>
        <v/>
      </c>
      <c r="N185" s="4">
        <f>IF(ISERROR(K185/I185),"",K185/I185)</f>
        <v/>
      </c>
      <c r="O185" s="138">
        <f>I185/E185</f>
        <v/>
      </c>
      <c r="P185" s="138">
        <f>K185/E185</f>
        <v/>
      </c>
      <c r="Q185" s="123" t="n">
        <v>3</v>
      </c>
      <c r="R185" s="123" t="n">
        <v>1</v>
      </c>
      <c r="S185" s="123" t="inlineStr">
        <is>
          <t>계</t>
        </is>
      </c>
      <c r="T185" s="5" t="n">
        <v>114</v>
      </c>
      <c r="U185" s="9" t="n"/>
    </row>
    <row r="186" ht="12" customFormat="1" customHeight="1" s="37">
      <c r="A186" s="111" t="inlineStr">
        <is>
          <t>미장동 파인빌2차</t>
        </is>
      </c>
      <c r="B186" s="112" t="inlineStr">
        <is>
          <t>06.06.</t>
        </is>
      </c>
      <c r="C186" s="132" t="n">
        <v>351</v>
      </c>
      <c r="D186" s="133" t="n">
        <v>80.59999999999999</v>
      </c>
      <c r="E186" s="134" t="n">
        <v>24</v>
      </c>
      <c r="F186" s="133" t="n">
        <v>59.9</v>
      </c>
      <c r="G186" s="17" t="n">
        <v>18</v>
      </c>
      <c r="H186" s="135" t="n">
        <v>149</v>
      </c>
      <c r="I186" s="136" t="n"/>
      <c r="J186" s="136" t="n"/>
      <c r="K186" s="136" t="n"/>
      <c r="L186" s="136" t="n"/>
      <c r="M186" s="137">
        <f>I186-K186</f>
        <v/>
      </c>
      <c r="N186" s="4">
        <f>IF(ISERROR(K186/I186),"",K186/I186)</f>
        <v/>
      </c>
      <c r="O186" s="138">
        <f>I186/E186</f>
        <v/>
      </c>
      <c r="P186" s="138">
        <f>K186/E186</f>
        <v/>
      </c>
      <c r="Q186" s="123" t="n">
        <v>3</v>
      </c>
      <c r="R186" s="123" t="n">
        <v>2</v>
      </c>
      <c r="S186" s="123" t="inlineStr">
        <is>
          <t>계</t>
        </is>
      </c>
      <c r="T186" s="5" t="n">
        <v>80</v>
      </c>
      <c r="U186" s="9" t="n"/>
    </row>
    <row r="187" ht="12" customFormat="1" customHeight="1" s="37">
      <c r="A187" s="111" t="inlineStr">
        <is>
          <t>미장동 파인빌1차</t>
        </is>
      </c>
      <c r="B187" s="112" t="inlineStr">
        <is>
          <t>04.11.</t>
        </is>
      </c>
      <c r="C187" s="132" t="n">
        <v>499</v>
      </c>
      <c r="D187" s="133" t="n">
        <v>110.9</v>
      </c>
      <c r="E187" s="134" t="n">
        <v>34</v>
      </c>
      <c r="F187" s="133" t="n">
        <v>85</v>
      </c>
      <c r="G187" s="17" t="n">
        <v>26</v>
      </c>
      <c r="H187" s="135" t="n">
        <v>360</v>
      </c>
      <c r="I187" s="136" t="n"/>
      <c r="J187" s="136" t="n"/>
      <c r="K187" s="136" t="n"/>
      <c r="L187" s="136" t="n"/>
      <c r="M187" s="137">
        <f>I187-K187</f>
        <v/>
      </c>
      <c r="N187" s="4">
        <f>IF(ISERROR(K187/I187),"",K187/I187)</f>
        <v/>
      </c>
      <c r="O187" s="138">
        <f>I187/E187</f>
        <v/>
      </c>
      <c r="P187" s="138">
        <f>K187/E187</f>
        <v/>
      </c>
      <c r="Q187" s="123" t="n">
        <v>3</v>
      </c>
      <c r="R187" s="123" t="n">
        <v>2</v>
      </c>
      <c r="S187" s="123" t="inlineStr">
        <is>
          <t>계</t>
        </is>
      </c>
      <c r="T187" s="5" t="n">
        <v>110</v>
      </c>
      <c r="U187" s="9" t="n"/>
    </row>
    <row r="188" ht="12" customFormat="1" customHeight="1" s="37">
      <c r="A188" s="111" t="inlineStr">
        <is>
          <t>미장동 군산미장아이파크</t>
        </is>
      </c>
      <c r="B188" s="112" t="inlineStr">
        <is>
          <t>15.01.</t>
        </is>
      </c>
      <c r="C188" s="132" t="n">
        <v>1078</v>
      </c>
      <c r="D188" s="133" t="n">
        <v>131.7</v>
      </c>
      <c r="E188" s="134" t="n">
        <v>40</v>
      </c>
      <c r="F188" s="133" t="n">
        <v>100.4</v>
      </c>
      <c r="G188" s="17" t="n">
        <v>30</v>
      </c>
      <c r="H188" s="135" t="n">
        <v>74</v>
      </c>
      <c r="I188" s="136" t="n"/>
      <c r="J188" s="136" t="n"/>
      <c r="K188" s="136" t="n">
        <v>35000</v>
      </c>
      <c r="L188" s="136" t="inlineStr">
        <is>
          <t>10</t>
        </is>
      </c>
      <c r="M188" s="137">
        <f>I188-K188</f>
        <v/>
      </c>
      <c r="N188" s="4">
        <f>IF(ISERROR(K188/I188),"",K188/I188)</f>
        <v/>
      </c>
      <c r="O188" s="138">
        <f>I188/E188</f>
        <v/>
      </c>
      <c r="P188" s="138">
        <f>K188/E188</f>
        <v/>
      </c>
      <c r="Q188" s="123" t="n">
        <v>4</v>
      </c>
      <c r="R188" s="123" t="n">
        <v>2</v>
      </c>
      <c r="S188" s="123" t="inlineStr">
        <is>
          <t>계</t>
        </is>
      </c>
      <c r="T188" s="5" t="n">
        <v>131</v>
      </c>
      <c r="U188" s="9" t="n"/>
    </row>
    <row r="189" ht="12" customFormat="1" customHeight="1" s="37">
      <c r="A189" s="111" t="inlineStr">
        <is>
          <t>미장동 미장코아루</t>
        </is>
      </c>
      <c r="B189" s="112" t="inlineStr">
        <is>
          <t>07.06.</t>
        </is>
      </c>
      <c r="C189" s="132" t="n">
        <v>354</v>
      </c>
      <c r="D189" s="133" t="n">
        <v>185.7</v>
      </c>
      <c r="E189" s="134" t="n">
        <v>56</v>
      </c>
      <c r="F189" s="133" t="n">
        <v>152.7</v>
      </c>
      <c r="G189" s="17" t="n">
        <v>46</v>
      </c>
      <c r="H189" s="135" t="n">
        <v>120</v>
      </c>
      <c r="I189" s="136" t="n"/>
      <c r="J189" s="136" t="n"/>
      <c r="K189" s="136" t="n"/>
      <c r="L189" s="136" t="n"/>
      <c r="M189" s="137">
        <f>I189-K189</f>
        <v/>
      </c>
      <c r="N189" s="4">
        <f>IF(ISERROR(K189/I189),"",K189/I189)</f>
        <v/>
      </c>
      <c r="O189" s="138">
        <f>I189/E189</f>
        <v/>
      </c>
      <c r="P189" s="138">
        <f>K189/E189</f>
        <v/>
      </c>
      <c r="Q189" s="123" t="n">
        <v>4</v>
      </c>
      <c r="R189" s="123" t="n">
        <v>2</v>
      </c>
      <c r="S189" s="123" t="inlineStr">
        <is>
          <t>계</t>
        </is>
      </c>
      <c r="T189" s="5" t="n">
        <v>185</v>
      </c>
      <c r="U189" s="9" t="n"/>
    </row>
    <row r="190" ht="12" customFormat="1" customHeight="1" s="37">
      <c r="A190" s="111" t="inlineStr">
        <is>
          <t>사정동 금호타운2단지</t>
        </is>
      </c>
      <c r="B190" s="112" t="inlineStr">
        <is>
          <t>96.11.</t>
        </is>
      </c>
      <c r="C190" s="132" t="n">
        <v>358</v>
      </c>
      <c r="D190" s="133" t="n">
        <v>76.2</v>
      </c>
      <c r="E190" s="134" t="n">
        <v>23</v>
      </c>
      <c r="F190" s="133" t="n">
        <v>59.6</v>
      </c>
      <c r="G190" s="17" t="n">
        <v>18</v>
      </c>
      <c r="H190" s="135" t="n">
        <v>150</v>
      </c>
      <c r="I190" s="136" t="n"/>
      <c r="J190" s="136" t="n"/>
      <c r="K190" s="136" t="n"/>
      <c r="L190" s="136" t="n"/>
      <c r="M190" s="137">
        <f>I190-K190</f>
        <v/>
      </c>
      <c r="N190" s="4">
        <f>IF(ISERROR(K190/I190),"",K190/I190)</f>
        <v/>
      </c>
      <c r="O190" s="138">
        <f>I190/E190</f>
        <v/>
      </c>
      <c r="P190" s="138">
        <f>K190/E190</f>
        <v/>
      </c>
      <c r="Q190" s="123" t="n">
        <v>3</v>
      </c>
      <c r="R190" s="123" t="n">
        <v>1</v>
      </c>
      <c r="S190" s="123" t="inlineStr">
        <is>
          <t>계</t>
        </is>
      </c>
      <c r="T190" s="5" t="n">
        <v>76</v>
      </c>
      <c r="U190" s="9" t="n"/>
    </row>
    <row r="191" ht="12" customFormat="1" customHeight="1" s="37">
      <c r="A191" s="111" t="inlineStr">
        <is>
          <t>사정동 금호타운2단지</t>
        </is>
      </c>
      <c r="B191" s="112" t="inlineStr">
        <is>
          <t>96.11.</t>
        </is>
      </c>
      <c r="C191" s="132" t="n">
        <v>358</v>
      </c>
      <c r="D191" s="133" t="n">
        <v>103</v>
      </c>
      <c r="E191" s="134" t="n">
        <v>31</v>
      </c>
      <c r="F191" s="133" t="n">
        <v>84.59999999999999</v>
      </c>
      <c r="G191" s="17" t="n">
        <v>26</v>
      </c>
      <c r="H191" s="135" t="n">
        <v>208</v>
      </c>
      <c r="I191" s="136" t="n"/>
      <c r="J191" s="136" t="n"/>
      <c r="K191" s="136" t="n"/>
      <c r="L191" s="136" t="n"/>
      <c r="M191" s="137">
        <f>I191-K191</f>
        <v/>
      </c>
      <c r="N191" s="4">
        <f>IF(ISERROR(K191/I191),"",K191/I191)</f>
        <v/>
      </c>
      <c r="O191" s="138">
        <f>I191/E191</f>
        <v/>
      </c>
      <c r="P191" s="138">
        <f>K191/E191</f>
        <v/>
      </c>
      <c r="Q191" s="123" t="n">
        <v>3</v>
      </c>
      <c r="R191" s="123" t="n">
        <v>2</v>
      </c>
      <c r="S191" s="123" t="inlineStr">
        <is>
          <t>계</t>
        </is>
      </c>
      <c r="T191" s="5" t="n">
        <v>102</v>
      </c>
      <c r="U191" s="9" t="n"/>
    </row>
    <row r="192" ht="12" customFormat="1" customHeight="1" s="37">
      <c r="A192" s="111" t="inlineStr">
        <is>
          <t>사정동 금호타운1단지</t>
        </is>
      </c>
      <c r="B192" s="112" t="inlineStr">
        <is>
          <t>93.02.</t>
        </is>
      </c>
      <c r="C192" s="132" t="n">
        <v>342</v>
      </c>
      <c r="D192" s="133" t="n">
        <v>89.40000000000001</v>
      </c>
      <c r="E192" s="134" t="n">
        <v>27</v>
      </c>
      <c r="F192" s="133" t="n">
        <v>73.09999999999999</v>
      </c>
      <c r="G192" s="17" t="n">
        <v>22</v>
      </c>
      <c r="H192" s="135" t="n">
        <v>138</v>
      </c>
      <c r="I192" s="136" t="n"/>
      <c r="J192" s="136" t="n"/>
      <c r="K192" s="136" t="n"/>
      <c r="L192" s="136" t="n"/>
      <c r="M192" s="137">
        <f>I192-K192</f>
        <v/>
      </c>
      <c r="N192" s="4">
        <f>IF(ISERROR(K192/I192),"",K192/I192)</f>
        <v/>
      </c>
      <c r="O192" s="138">
        <f>I192/E192</f>
        <v/>
      </c>
      <c r="P192" s="138">
        <f>K192/E192</f>
        <v/>
      </c>
      <c r="Q192" s="123" t="n">
        <v>3</v>
      </c>
      <c r="R192" s="123" t="n">
        <v>2</v>
      </c>
      <c r="S192" s="123" t="inlineStr">
        <is>
          <t>계</t>
        </is>
      </c>
      <c r="T192" s="5" t="n">
        <v>89</v>
      </c>
      <c r="U192" s="9" t="n"/>
    </row>
    <row r="193" ht="12" customFormat="1" customHeight="1" s="37">
      <c r="A193" s="111" t="inlineStr">
        <is>
          <t>사정동 금호타운1단지</t>
        </is>
      </c>
      <c r="B193" s="112" t="inlineStr">
        <is>
          <t>93.02.</t>
        </is>
      </c>
      <c r="C193" s="132" t="n">
        <v>342</v>
      </c>
      <c r="D193" s="133" t="n">
        <v>102</v>
      </c>
      <c r="E193" s="134" t="n">
        <v>31</v>
      </c>
      <c r="F193" s="133" t="n">
        <v>84.8</v>
      </c>
      <c r="G193" s="17" t="n">
        <v>26</v>
      </c>
      <c r="H193" s="135" t="n">
        <v>204</v>
      </c>
      <c r="I193" s="136" t="n"/>
      <c r="J193" s="136" t="n"/>
      <c r="K193" s="136" t="n"/>
      <c r="L193" s="136" t="n"/>
      <c r="M193" s="137">
        <f>I193-K193</f>
        <v/>
      </c>
      <c r="N193" s="4">
        <f>IF(ISERROR(K193/I193),"",K193/I193)</f>
        <v/>
      </c>
      <c r="O193" s="138">
        <f>I193/E193</f>
        <v/>
      </c>
      <c r="P193" s="138">
        <f>K193/E193</f>
        <v/>
      </c>
      <c r="Q193" s="123" t="n">
        <v>3</v>
      </c>
      <c r="R193" s="123" t="n">
        <v>2</v>
      </c>
      <c r="S193" s="123" t="inlineStr">
        <is>
          <t>계</t>
        </is>
      </c>
      <c r="T193" s="5" t="n">
        <v>102</v>
      </c>
      <c r="U193" s="9" t="n"/>
    </row>
    <row r="194" ht="12" customFormat="1" customHeight="1" s="37">
      <c r="A194" s="111" t="inlineStr">
        <is>
          <t>산북동 시영1단지</t>
        </is>
      </c>
      <c r="B194" s="112" t="inlineStr">
        <is>
          <t>90.12.</t>
        </is>
      </c>
      <c r="C194" s="132" t="n">
        <v>280</v>
      </c>
      <c r="D194" s="133" t="n">
        <v>44.1</v>
      </c>
      <c r="E194" s="134" t="n">
        <v>13</v>
      </c>
      <c r="F194" s="133" t="n">
        <v>34.7</v>
      </c>
      <c r="G194" s="17" t="n">
        <v>10</v>
      </c>
      <c r="H194" s="135" t="n">
        <v>40</v>
      </c>
      <c r="I194" s="136" t="n"/>
      <c r="J194" s="136" t="n"/>
      <c r="K194" s="136" t="n"/>
      <c r="L194" s="136" t="n"/>
      <c r="M194" s="137">
        <f>I194-K194</f>
        <v/>
      </c>
      <c r="N194" s="4">
        <f>IF(ISERROR(K194/I194),"",K194/I194)</f>
        <v/>
      </c>
      <c r="O194" s="138">
        <f>I194/E194</f>
        <v/>
      </c>
      <c r="P194" s="138">
        <f>K194/E194</f>
        <v/>
      </c>
      <c r="Q194" s="123" t="n">
        <v>2</v>
      </c>
      <c r="R194" s="123" t="n">
        <v>1</v>
      </c>
      <c r="S194" s="123" t="inlineStr">
        <is>
          <t>계</t>
        </is>
      </c>
      <c r="T194" s="5" t="inlineStr">
        <is>
          <t>44B</t>
        </is>
      </c>
      <c r="U194" s="9" t="n"/>
    </row>
    <row r="195" ht="12" customFormat="1" customHeight="1" s="37">
      <c r="A195" s="111" t="inlineStr">
        <is>
          <t>산북동 시영1단지</t>
        </is>
      </c>
      <c r="B195" s="112" t="inlineStr">
        <is>
          <t>90.12.</t>
        </is>
      </c>
      <c r="C195" s="132" t="n">
        <v>280</v>
      </c>
      <c r="D195" s="133" t="n">
        <v>53.4</v>
      </c>
      <c r="E195" s="134" t="n">
        <v>16</v>
      </c>
      <c r="F195" s="133" t="n">
        <v>43.5</v>
      </c>
      <c r="G195" s="17" t="n">
        <v>13</v>
      </c>
      <c r="H195" s="135" t="n">
        <v>150</v>
      </c>
      <c r="I195" s="136" t="n"/>
      <c r="J195" s="136" t="n"/>
      <c r="K195" s="136" t="n"/>
      <c r="L195" s="136" t="n"/>
      <c r="M195" s="137">
        <f>I195-K195</f>
        <v/>
      </c>
      <c r="N195" s="4">
        <f>IF(ISERROR(K195/I195),"",K195/I195)</f>
        <v/>
      </c>
      <c r="O195" s="138">
        <f>I195/E195</f>
        <v/>
      </c>
      <c r="P195" s="138">
        <f>K195/E195</f>
        <v/>
      </c>
      <c r="Q195" s="123" t="n">
        <v>3</v>
      </c>
      <c r="R195" s="123" t="n">
        <v>1</v>
      </c>
      <c r="S195" s="123" t="inlineStr">
        <is>
          <t>계</t>
        </is>
      </c>
      <c r="T195" s="5" t="inlineStr">
        <is>
          <t>53A</t>
        </is>
      </c>
      <c r="U195" s="9" t="n"/>
    </row>
    <row r="196" ht="12" customFormat="1" customHeight="1" s="37">
      <c r="A196" s="111" t="inlineStr">
        <is>
          <t>산북동 산북대명1차</t>
        </is>
      </c>
      <c r="B196" s="112" t="inlineStr">
        <is>
          <t>97.09.</t>
        </is>
      </c>
      <c r="C196" s="132" t="n">
        <v>225</v>
      </c>
      <c r="D196" s="133" t="n">
        <v>56.1</v>
      </c>
      <c r="E196" s="134" t="n">
        <v>17</v>
      </c>
      <c r="F196" s="133" t="n">
        <v>40</v>
      </c>
      <c r="G196" s="17" t="n">
        <v>12</v>
      </c>
      <c r="H196" s="135" t="n">
        <v>225</v>
      </c>
      <c r="I196" s="136" t="n"/>
      <c r="J196" s="136" t="n"/>
      <c r="K196" s="136" t="n"/>
      <c r="L196" s="136" t="n"/>
      <c r="M196" s="137">
        <f>I196-K196</f>
        <v/>
      </c>
      <c r="N196" s="4">
        <f>IF(ISERROR(K196/I196),"",K196/I196)</f>
        <v/>
      </c>
      <c r="O196" s="138">
        <f>I196/E196</f>
        <v/>
      </c>
      <c r="P196" s="138">
        <f>K196/E196</f>
        <v/>
      </c>
      <c r="Q196" s="123" t="n">
        <v>2</v>
      </c>
      <c r="R196" s="123" t="n">
        <v>1</v>
      </c>
      <c r="S196" s="123" t="inlineStr">
        <is>
          <t>복</t>
        </is>
      </c>
      <c r="T196" s="5" t="n">
        <v>56</v>
      </c>
      <c r="U196" s="9" t="n"/>
    </row>
    <row r="197" ht="12" customFormat="1" customHeight="1" s="37">
      <c r="A197" s="111" t="inlineStr">
        <is>
          <t>산북동 시영2단지</t>
        </is>
      </c>
      <c r="B197" s="112" t="inlineStr">
        <is>
          <t>91.11.</t>
        </is>
      </c>
      <c r="C197" s="132" t="n">
        <v>200</v>
      </c>
      <c r="D197" s="133" t="n">
        <v>44.5</v>
      </c>
      <c r="E197" s="134" t="n">
        <v>13</v>
      </c>
      <c r="F197" s="133" t="n">
        <v>35.4</v>
      </c>
      <c r="G197" s="17" t="n">
        <v>11</v>
      </c>
      <c r="H197" s="135" t="n">
        <v>100</v>
      </c>
      <c r="I197" s="136" t="n"/>
      <c r="J197" s="136" t="n"/>
      <c r="K197" s="136" t="n"/>
      <c r="L197" s="136" t="n"/>
      <c r="M197" s="137">
        <f>I197-K197</f>
        <v/>
      </c>
      <c r="N197" s="4">
        <f>IF(ISERROR(K197/I197),"",K197/I197)</f>
        <v/>
      </c>
      <c r="O197" s="138">
        <f>I197/E197</f>
        <v/>
      </c>
      <c r="P197" s="138">
        <f>K197/E197</f>
        <v/>
      </c>
      <c r="Q197" s="123" t="n">
        <v>2</v>
      </c>
      <c r="R197" s="123" t="n">
        <v>1</v>
      </c>
      <c r="S197" s="123" t="inlineStr">
        <is>
          <t>계</t>
        </is>
      </c>
      <c r="T197" s="5" t="n">
        <v>44</v>
      </c>
      <c r="U197" s="9" t="n"/>
    </row>
    <row r="198" ht="12" customFormat="1" customHeight="1" s="37">
      <c r="A198" s="111" t="inlineStr">
        <is>
          <t>산북동 시영2단지</t>
        </is>
      </c>
      <c r="B198" s="112" t="inlineStr">
        <is>
          <t>91.11.</t>
        </is>
      </c>
      <c r="C198" s="132" t="n">
        <v>200</v>
      </c>
      <c r="D198" s="133" t="n">
        <v>59.9</v>
      </c>
      <c r="E198" s="134" t="n">
        <v>18</v>
      </c>
      <c r="F198" s="133" t="n">
        <v>48.5</v>
      </c>
      <c r="G198" s="17" t="n">
        <v>15</v>
      </c>
      <c r="H198" s="135" t="n">
        <v>100</v>
      </c>
      <c r="I198" s="136" t="n"/>
      <c r="J198" s="136" t="n"/>
      <c r="K198" s="136" t="n"/>
      <c r="L198" s="136" t="n"/>
      <c r="M198" s="137">
        <f>I198-K198</f>
        <v/>
      </c>
      <c r="N198" s="4">
        <f>IF(ISERROR(K198/I198),"",K198/I198)</f>
        <v/>
      </c>
      <c r="O198" s="138">
        <f>I198/E198</f>
        <v/>
      </c>
      <c r="P198" s="138">
        <f>K198/E198</f>
        <v/>
      </c>
      <c r="Q198" s="123" t="n">
        <v>3</v>
      </c>
      <c r="R198" s="123" t="n">
        <v>1</v>
      </c>
      <c r="S198" s="123" t="inlineStr">
        <is>
          <t>계</t>
        </is>
      </c>
      <c r="T198" s="5" t="n">
        <v>59</v>
      </c>
      <c r="U198" s="9" t="n"/>
    </row>
    <row r="199" ht="12" customFormat="1" customHeight="1" s="37">
      <c r="A199" s="111" t="inlineStr">
        <is>
          <t>산북동 코오롱</t>
        </is>
      </c>
      <c r="B199" s="112" t="inlineStr">
        <is>
          <t>94.11.</t>
        </is>
      </c>
      <c r="C199" s="132" t="n">
        <v>380</v>
      </c>
      <c r="D199" s="133" t="n">
        <v>102.9</v>
      </c>
      <c r="E199" s="134" t="n">
        <v>31</v>
      </c>
      <c r="F199" s="133" t="n">
        <v>84.5</v>
      </c>
      <c r="G199" s="17" t="n">
        <v>26</v>
      </c>
      <c r="H199" s="135" t="n">
        <v>126</v>
      </c>
      <c r="I199" s="136" t="n"/>
      <c r="J199" s="136" t="n"/>
      <c r="K199" s="136" t="n"/>
      <c r="L199" s="136" t="n"/>
      <c r="M199" s="137">
        <f>I199-K199</f>
        <v/>
      </c>
      <c r="N199" s="4">
        <f>IF(ISERROR(K199/I199),"",K199/I199)</f>
        <v/>
      </c>
      <c r="O199" s="138">
        <f>I199/E199</f>
        <v/>
      </c>
      <c r="P199" s="138">
        <f>K199/E199</f>
        <v/>
      </c>
      <c r="Q199" s="123" t="n">
        <v>3</v>
      </c>
      <c r="R199" s="123" t="n">
        <v>2</v>
      </c>
      <c r="S199" s="123" t="inlineStr">
        <is>
          <t>계</t>
        </is>
      </c>
      <c r="T199" s="5" t="n">
        <v>102</v>
      </c>
      <c r="U199" s="9" t="n"/>
    </row>
    <row r="200" ht="12" customFormat="1" customHeight="1" s="37">
      <c r="A200" s="111" t="inlineStr">
        <is>
          <t>산북동 산북주공</t>
        </is>
      </c>
      <c r="B200" s="112" t="inlineStr">
        <is>
          <t>89.04.</t>
        </is>
      </c>
      <c r="C200" s="132" t="n">
        <v>750</v>
      </c>
      <c r="D200" s="133" t="n">
        <v>49.5</v>
      </c>
      <c r="E200" s="134" t="n">
        <v>15</v>
      </c>
      <c r="F200" s="133" t="n">
        <v>39.3</v>
      </c>
      <c r="G200" s="17" t="n">
        <v>12</v>
      </c>
      <c r="H200" s="135" t="n">
        <v>110</v>
      </c>
      <c r="I200" s="136" t="n"/>
      <c r="J200" s="136" t="n"/>
      <c r="K200" s="136" t="n"/>
      <c r="L200" s="136" t="n"/>
      <c r="M200" s="137">
        <f>I200-K200</f>
        <v/>
      </c>
      <c r="N200" s="4">
        <f>IF(ISERROR(K200/I200),"",K200/I200)</f>
        <v/>
      </c>
      <c r="O200" s="138">
        <f>I200/E200</f>
        <v/>
      </c>
      <c r="P200" s="138">
        <f>K200/E200</f>
        <v/>
      </c>
      <c r="Q200" s="123" t="n">
        <v>2</v>
      </c>
      <c r="R200" s="123" t="n">
        <v>1</v>
      </c>
      <c r="S200" s="123" t="inlineStr">
        <is>
          <t>계</t>
        </is>
      </c>
      <c r="T200" s="5" t="inlineStr">
        <is>
          <t>49B</t>
        </is>
      </c>
      <c r="U200" s="9" t="n"/>
    </row>
    <row r="201" ht="12" customFormat="1" customHeight="1" s="37">
      <c r="A201" s="111" t="inlineStr">
        <is>
          <t>산북동 산북하늘가201동</t>
        </is>
      </c>
      <c r="B201" s="112" t="inlineStr">
        <is>
          <t>07.02.</t>
        </is>
      </c>
      <c r="C201" s="132" t="n">
        <v>220</v>
      </c>
      <c r="D201" s="133" t="n">
        <v>49</v>
      </c>
      <c r="E201" s="134" t="n">
        <v>15</v>
      </c>
      <c r="F201" s="133" t="n">
        <v>35.9</v>
      </c>
      <c r="G201" s="17" t="n">
        <v>11</v>
      </c>
      <c r="H201" s="135" t="n">
        <v>220</v>
      </c>
      <c r="I201" s="136" t="n"/>
      <c r="J201" s="136" t="n"/>
      <c r="K201" s="136" t="n"/>
      <c r="L201" s="136" t="n"/>
      <c r="M201" s="137">
        <f>I201-K201</f>
        <v/>
      </c>
      <c r="N201" s="4">
        <f>IF(ISERROR(K201/I201),"",K201/I201)</f>
        <v/>
      </c>
      <c r="O201" s="138">
        <f>I201/E201</f>
        <v/>
      </c>
      <c r="P201" s="138">
        <f>K201/E201</f>
        <v/>
      </c>
      <c r="Q201" s="123" t="n">
        <v>1</v>
      </c>
      <c r="R201" s="123" t="n">
        <v>1</v>
      </c>
      <c r="S201" s="123" t="inlineStr">
        <is>
          <t>계</t>
        </is>
      </c>
      <c r="T201" s="5" t="n">
        <v>48</v>
      </c>
      <c r="U201" s="9" t="n"/>
    </row>
    <row r="202" ht="12" customFormat="1" customHeight="1" s="37">
      <c r="A202" s="111" t="inlineStr">
        <is>
          <t>산북동 하늘가1차</t>
        </is>
      </c>
      <c r="B202" s="112" t="inlineStr">
        <is>
          <t>01.08.</t>
        </is>
      </c>
      <c r="C202" s="132" t="n">
        <v>221</v>
      </c>
      <c r="D202" s="133" t="n">
        <v>52</v>
      </c>
      <c r="E202" s="134" t="n">
        <v>16</v>
      </c>
      <c r="F202" s="133" t="n">
        <v>40</v>
      </c>
      <c r="G202" s="17" t="n">
        <v>12</v>
      </c>
      <c r="H202" s="135" t="n">
        <v>221</v>
      </c>
      <c r="I202" s="136" t="n"/>
      <c r="J202" s="136" t="n"/>
      <c r="K202" s="136" t="n"/>
      <c r="L202" s="136" t="n"/>
      <c r="M202" s="137">
        <f>I202-K202</f>
        <v/>
      </c>
      <c r="N202" s="4">
        <f>IF(ISERROR(K202/I202),"",K202/I202)</f>
        <v/>
      </c>
      <c r="O202" s="138">
        <f>I202/E202</f>
        <v/>
      </c>
      <c r="P202" s="138">
        <f>K202/E202</f>
        <v/>
      </c>
      <c r="Q202" s="123" t="n">
        <v>2</v>
      </c>
      <c r="R202" s="123" t="n">
        <v>1</v>
      </c>
      <c r="S202" s="123" t="inlineStr">
        <is>
          <t>복</t>
        </is>
      </c>
      <c r="T202" s="5" t="n">
        <v>52</v>
      </c>
      <c r="U202" s="9" t="n"/>
    </row>
    <row r="203" ht="12" customFormat="1" customHeight="1" s="37">
      <c r="A203" s="111" t="inlineStr">
        <is>
          <t>산북동 부향하나로1차</t>
        </is>
      </c>
      <c r="B203" s="112" t="inlineStr">
        <is>
          <t>97.03.</t>
        </is>
      </c>
      <c r="C203" s="132" t="n">
        <v>349</v>
      </c>
      <c r="D203" s="133" t="n">
        <v>35.6</v>
      </c>
      <c r="E203" s="134" t="n">
        <v>11</v>
      </c>
      <c r="F203" s="133" t="n">
        <v>27</v>
      </c>
      <c r="G203" s="17" t="n">
        <v>8</v>
      </c>
      <c r="H203" s="135" t="n">
        <v>54</v>
      </c>
      <c r="I203" s="136" t="n"/>
      <c r="J203" s="136" t="n"/>
      <c r="K203" s="136" t="n"/>
      <c r="L203" s="136" t="n"/>
      <c r="M203" s="137">
        <f>I203-K203</f>
        <v/>
      </c>
      <c r="N203" s="4">
        <f>IF(ISERROR(K203/I203),"",K203/I203)</f>
        <v/>
      </c>
      <c r="O203" s="138">
        <f>I203/E203</f>
        <v/>
      </c>
      <c r="P203" s="138">
        <f>K203/E203</f>
        <v/>
      </c>
      <c r="Q203" s="123" t="n">
        <v>1</v>
      </c>
      <c r="R203" s="123" t="n">
        <v>1</v>
      </c>
      <c r="S203" s="123" t="inlineStr">
        <is>
          <t>복</t>
        </is>
      </c>
      <c r="T203" s="5" t="n">
        <v>35</v>
      </c>
      <c r="U203" s="9" t="n"/>
    </row>
    <row r="204" ht="12" customFormat="1" customHeight="1" s="37">
      <c r="A204" s="111" t="inlineStr">
        <is>
          <t>삼학동 군산삼학대우</t>
        </is>
      </c>
      <c r="B204" s="112" t="inlineStr">
        <is>
          <t>96.07.</t>
        </is>
      </c>
      <c r="C204" s="132" t="n">
        <v>381</v>
      </c>
      <c r="D204" s="133" t="n">
        <v>104.4</v>
      </c>
      <c r="E204" s="134" t="n">
        <v>32</v>
      </c>
      <c r="F204" s="133" t="n">
        <v>84.90000000000001</v>
      </c>
      <c r="G204" s="17" t="n">
        <v>26</v>
      </c>
      <c r="H204" s="135" t="n">
        <v>132</v>
      </c>
      <c r="I204" s="136" t="n"/>
      <c r="J204" s="136" t="n"/>
      <c r="K204" s="136" t="n"/>
      <c r="L204" s="136" t="n"/>
      <c r="M204" s="137">
        <f>I204-K204</f>
        <v/>
      </c>
      <c r="N204" s="4">
        <f>IF(ISERROR(K204/I204),"",K204/I204)</f>
        <v/>
      </c>
      <c r="O204" s="138">
        <f>I204/E204</f>
        <v/>
      </c>
      <c r="P204" s="138">
        <f>K204/E204</f>
        <v/>
      </c>
      <c r="Q204" s="123" t="n">
        <v>3</v>
      </c>
      <c r="R204" s="123" t="n">
        <v>2</v>
      </c>
      <c r="S204" s="123" t="inlineStr">
        <is>
          <t>계</t>
        </is>
      </c>
      <c r="T204" s="5" t="n">
        <v>104</v>
      </c>
      <c r="U204" s="9" t="n"/>
    </row>
    <row r="205" ht="12" customFormat="1" customHeight="1" s="37">
      <c r="A205" s="111" t="inlineStr">
        <is>
          <t>삼학동 군산삼학대우</t>
        </is>
      </c>
      <c r="B205" s="112" t="inlineStr">
        <is>
          <t>96.07.</t>
        </is>
      </c>
      <c r="C205" s="132" t="n">
        <v>381</v>
      </c>
      <c r="D205" s="133" t="n">
        <v>155.2</v>
      </c>
      <c r="E205" s="134" t="n">
        <v>47</v>
      </c>
      <c r="F205" s="133" t="n">
        <v>131.4</v>
      </c>
      <c r="G205" s="17" t="n">
        <v>40</v>
      </c>
      <c r="H205" s="135" t="n">
        <v>90</v>
      </c>
      <c r="I205" s="136" t="n"/>
      <c r="J205" s="136" t="n"/>
      <c r="K205" s="136" t="n"/>
      <c r="L205" s="136" t="n"/>
      <c r="M205" s="137">
        <f>I205-K205</f>
        <v/>
      </c>
      <c r="N205" s="4">
        <f>IF(ISERROR(K205/I205),"",K205/I205)</f>
        <v/>
      </c>
      <c r="O205" s="138">
        <f>I205/E205</f>
        <v/>
      </c>
      <c r="P205" s="138">
        <f>K205/E205</f>
        <v/>
      </c>
      <c r="Q205" s="123" t="n">
        <v>4</v>
      </c>
      <c r="R205" s="123" t="n">
        <v>2</v>
      </c>
      <c r="S205" s="123" t="inlineStr">
        <is>
          <t>계</t>
        </is>
      </c>
      <c r="T205" s="5" t="n">
        <v>155</v>
      </c>
      <c r="U205" s="9" t="n"/>
    </row>
    <row r="206" ht="12" customFormat="1" customHeight="1" s="37">
      <c r="A206" s="111" t="inlineStr">
        <is>
          <t>서흥남동 고려타운</t>
        </is>
      </c>
      <c r="B206" s="112" t="inlineStr">
        <is>
          <t>92.05.</t>
        </is>
      </c>
      <c r="C206" s="132" t="n">
        <v>226</v>
      </c>
      <c r="D206" s="133" t="n">
        <v>77.5</v>
      </c>
      <c r="E206" s="134" t="n">
        <v>23</v>
      </c>
      <c r="F206" s="133" t="n">
        <v>59.7</v>
      </c>
      <c r="G206" s="17" t="n">
        <v>18</v>
      </c>
      <c r="H206" s="135" t="n">
        <v>60</v>
      </c>
      <c r="I206" s="136" t="n"/>
      <c r="J206" s="136" t="n"/>
      <c r="K206" s="136" t="n"/>
      <c r="L206" s="136" t="n"/>
      <c r="M206" s="137">
        <f>I206-K206</f>
        <v/>
      </c>
      <c r="N206" s="4">
        <f>IF(ISERROR(K206/I206),"",K206/I206)</f>
        <v/>
      </c>
      <c r="O206" s="138">
        <f>I206/E206</f>
        <v/>
      </c>
      <c r="P206" s="138">
        <f>K206/E206</f>
        <v/>
      </c>
      <c r="Q206" s="123" t="n">
        <v>3</v>
      </c>
      <c r="R206" s="123" t="n">
        <v>2</v>
      </c>
      <c r="S206" s="123" t="inlineStr">
        <is>
          <t>계</t>
        </is>
      </c>
      <c r="T206" s="5" t="inlineStr">
        <is>
          <t>77B</t>
        </is>
      </c>
      <c r="U206" s="9" t="n"/>
    </row>
    <row r="207" ht="12" customFormat="1" customHeight="1" s="37">
      <c r="A207" s="111" t="inlineStr">
        <is>
          <t>소룡동 금강골드빌</t>
        </is>
      </c>
      <c r="B207" s="112" t="inlineStr">
        <is>
          <t>03.02.</t>
        </is>
      </c>
      <c r="C207" s="132" t="n">
        <v>294</v>
      </c>
      <c r="D207" s="133" t="n">
        <v>113.6</v>
      </c>
      <c r="E207" s="134" t="n">
        <v>34</v>
      </c>
      <c r="F207" s="133" t="n">
        <v>84.7</v>
      </c>
      <c r="G207" s="17" t="n">
        <v>26</v>
      </c>
      <c r="H207" s="135" t="n">
        <v>294</v>
      </c>
      <c r="I207" s="136" t="n"/>
      <c r="J207" s="136" t="n"/>
      <c r="K207" s="136" t="n"/>
      <c r="L207" s="136" t="n"/>
      <c r="M207" s="137">
        <f>I207-K207</f>
        <v/>
      </c>
      <c r="N207" s="4">
        <f>IF(ISERROR(K207/I207),"",K207/I207)</f>
        <v/>
      </c>
      <c r="O207" s="138">
        <f>I207/E207</f>
        <v/>
      </c>
      <c r="P207" s="138">
        <f>K207/E207</f>
        <v/>
      </c>
      <c r="Q207" s="123" t="n">
        <v>3</v>
      </c>
      <c r="R207" s="123" t="n">
        <v>2</v>
      </c>
      <c r="S207" s="123" t="inlineStr">
        <is>
          <t>계</t>
        </is>
      </c>
      <c r="T207" s="5" t="n">
        <v>113</v>
      </c>
      <c r="U207" s="9" t="n"/>
    </row>
    <row r="208" ht="12" customFormat="1" customHeight="1" s="37">
      <c r="A208" s="111" t="inlineStr">
        <is>
          <t>소룡동 그린서해맨션</t>
        </is>
      </c>
      <c r="B208" s="112" t="inlineStr">
        <is>
          <t>93.12.</t>
        </is>
      </c>
      <c r="C208" s="132" t="n">
        <v>350</v>
      </c>
      <c r="D208" s="133" t="n">
        <v>77.8</v>
      </c>
      <c r="E208" s="134" t="n">
        <v>24</v>
      </c>
      <c r="F208" s="133" t="n">
        <v>59.4</v>
      </c>
      <c r="G208" s="17" t="n">
        <v>18</v>
      </c>
      <c r="H208" s="135" t="n">
        <v>174</v>
      </c>
      <c r="I208" s="136" t="n"/>
      <c r="J208" s="136" t="n"/>
      <c r="K208" s="136" t="n"/>
      <c r="L208" s="136" t="n"/>
      <c r="M208" s="137">
        <f>I208-K208</f>
        <v/>
      </c>
      <c r="N208" s="4">
        <f>IF(ISERROR(K208/I208),"",K208/I208)</f>
        <v/>
      </c>
      <c r="O208" s="138">
        <f>I208/E208</f>
        <v/>
      </c>
      <c r="P208" s="138">
        <f>K208/E208</f>
        <v/>
      </c>
      <c r="Q208" s="123" t="n">
        <v>3</v>
      </c>
      <c r="R208" s="123" t="n">
        <v>1</v>
      </c>
      <c r="S208" s="123" t="inlineStr">
        <is>
          <t>복</t>
        </is>
      </c>
      <c r="T208" s="5" t="inlineStr">
        <is>
          <t>77A</t>
        </is>
      </c>
      <c r="U208" s="9" t="n"/>
    </row>
    <row r="209" ht="12" customFormat="1" customHeight="1" s="37">
      <c r="A209" s="111" t="inlineStr">
        <is>
          <t>소룡동 그린서해맨션</t>
        </is>
      </c>
      <c r="B209" s="112" t="inlineStr">
        <is>
          <t>93.12.</t>
        </is>
      </c>
      <c r="C209" s="132" t="n">
        <v>350</v>
      </c>
      <c r="D209" s="133" t="n">
        <v>91.40000000000001</v>
      </c>
      <c r="E209" s="134" t="n">
        <v>28</v>
      </c>
      <c r="F209" s="133" t="n">
        <v>75</v>
      </c>
      <c r="G209" s="17" t="n">
        <v>23</v>
      </c>
      <c r="H209" s="135" t="n">
        <v>59</v>
      </c>
      <c r="I209" s="136" t="n"/>
      <c r="J209" s="136" t="n"/>
      <c r="K209" s="136" t="n"/>
      <c r="L209" s="136" t="n"/>
      <c r="M209" s="137">
        <f>I209-K209</f>
        <v/>
      </c>
      <c r="N209" s="4">
        <f>IF(ISERROR(K209/I209),"",K209/I209)</f>
        <v/>
      </c>
      <c r="O209" s="138">
        <f>I209/E209</f>
        <v/>
      </c>
      <c r="P209" s="138">
        <f>K209/E209</f>
        <v/>
      </c>
      <c r="Q209" s="123" t="n">
        <v>3</v>
      </c>
      <c r="R209" s="123" t="n">
        <v>1</v>
      </c>
      <c r="S209" s="123" t="inlineStr">
        <is>
          <t>계</t>
        </is>
      </c>
      <c r="T209" s="5" t="n">
        <v>91</v>
      </c>
      <c r="U209" s="9" t="n"/>
    </row>
    <row r="210" ht="12" customFormat="1" customHeight="1" s="37">
      <c r="A210" s="111" t="inlineStr">
        <is>
          <t>소룡동 동아</t>
        </is>
      </c>
      <c r="B210" s="112" t="inlineStr">
        <is>
          <t>90.10.</t>
        </is>
      </c>
      <c r="C210" s="132" t="n">
        <v>702</v>
      </c>
      <c r="D210" s="133" t="n">
        <v>93.59999999999999</v>
      </c>
      <c r="E210" s="134" t="n">
        <v>28</v>
      </c>
      <c r="F210" s="133" t="n">
        <v>75.59999999999999</v>
      </c>
      <c r="G210" s="17" t="n">
        <v>23</v>
      </c>
      <c r="H210" s="135" t="n">
        <v>240</v>
      </c>
      <c r="I210" s="136" t="n"/>
      <c r="J210" s="136" t="n"/>
      <c r="K210" s="136" t="n"/>
      <c r="L210" s="136" t="n"/>
      <c r="M210" s="137">
        <f>I210-K210</f>
        <v/>
      </c>
      <c r="N210" s="4">
        <f>IF(ISERROR(K210/I210),"",K210/I210)</f>
        <v/>
      </c>
      <c r="O210" s="138">
        <f>I210/E210</f>
        <v/>
      </c>
      <c r="P210" s="138">
        <f>K210/E210</f>
        <v/>
      </c>
      <c r="Q210" s="123" t="n">
        <v>3</v>
      </c>
      <c r="R210" s="123" t="n">
        <v>1</v>
      </c>
      <c r="S210" s="123" t="inlineStr">
        <is>
          <t>계</t>
        </is>
      </c>
      <c r="T210" s="5" t="n">
        <v>93</v>
      </c>
      <c r="U210" s="9" t="n"/>
    </row>
    <row r="211" ht="12" customFormat="1" customHeight="1" s="37">
      <c r="A211" s="111" t="inlineStr">
        <is>
          <t>소룡동 소룡진흥</t>
        </is>
      </c>
      <c r="B211" s="112" t="inlineStr">
        <is>
          <t>91.05.</t>
        </is>
      </c>
      <c r="C211" s="132" t="n">
        <v>499</v>
      </c>
      <c r="D211" s="133" t="n">
        <v>57.5</v>
      </c>
      <c r="E211" s="134" t="n">
        <v>17</v>
      </c>
      <c r="F211" s="133" t="n">
        <v>43.7</v>
      </c>
      <c r="G211" s="17" t="n">
        <v>13</v>
      </c>
      <c r="H211" s="135" t="n">
        <v>123</v>
      </c>
      <c r="I211" s="136" t="n"/>
      <c r="J211" s="136" t="n"/>
      <c r="K211" s="136" t="n"/>
      <c r="L211" s="136" t="n"/>
      <c r="M211" s="137">
        <f>I211-K211</f>
        <v/>
      </c>
      <c r="N211" s="4">
        <f>IF(ISERROR(K211/I211),"",K211/I211)</f>
        <v/>
      </c>
      <c r="O211" s="138">
        <f>I211/E211</f>
        <v/>
      </c>
      <c r="P211" s="138">
        <f>K211/E211</f>
        <v/>
      </c>
      <c r="Q211" s="123" t="n">
        <v>2</v>
      </c>
      <c r="R211" s="123" t="n">
        <v>1</v>
      </c>
      <c r="S211" s="123" t="inlineStr">
        <is>
          <t>계</t>
        </is>
      </c>
      <c r="T211" s="5" t="n">
        <v>57</v>
      </c>
      <c r="U211" s="9" t="n"/>
    </row>
    <row r="212" ht="12" customFormat="1" customHeight="1" s="37">
      <c r="A212" s="111" t="inlineStr">
        <is>
          <t>소룡동 소룡진흥</t>
        </is>
      </c>
      <c r="B212" s="112" t="inlineStr">
        <is>
          <t>91.05.</t>
        </is>
      </c>
      <c r="C212" s="132" t="n">
        <v>499</v>
      </c>
      <c r="D212" s="133" t="n">
        <v>102.8</v>
      </c>
      <c r="E212" s="134" t="n">
        <v>31</v>
      </c>
      <c r="F212" s="133" t="n">
        <v>85</v>
      </c>
      <c r="G212" s="17" t="n">
        <v>26</v>
      </c>
      <c r="H212" s="135" t="n">
        <v>100</v>
      </c>
      <c r="I212" s="136" t="n"/>
      <c r="J212" s="136" t="n"/>
      <c r="K212" s="136" t="n"/>
      <c r="L212" s="136" t="n"/>
      <c r="M212" s="137">
        <f>I212-K212</f>
        <v/>
      </c>
      <c r="N212" s="4">
        <f>IF(ISERROR(K212/I212),"",K212/I212)</f>
        <v/>
      </c>
      <c r="O212" s="138">
        <f>I212/E212</f>
        <v/>
      </c>
      <c r="P212" s="138">
        <f>K212/E212</f>
        <v/>
      </c>
      <c r="Q212" s="123" t="n">
        <v>3</v>
      </c>
      <c r="R212" s="123" t="n">
        <v>2</v>
      </c>
      <c r="S212" s="123" t="inlineStr">
        <is>
          <t>계</t>
        </is>
      </c>
      <c r="T212" s="5" t="n">
        <v>102</v>
      </c>
      <c r="U212" s="9" t="n"/>
    </row>
    <row r="213" ht="12" customFormat="1" customHeight="1" s="37">
      <c r="A213" s="111" t="inlineStr">
        <is>
          <t>소룡동 스카이타운</t>
        </is>
      </c>
      <c r="B213" s="112" t="inlineStr">
        <is>
          <t>08.08.</t>
        </is>
      </c>
      <c r="C213" s="132" t="n">
        <v>398</v>
      </c>
      <c r="D213" s="133" t="n">
        <v>41.3</v>
      </c>
      <c r="E213" s="134" t="n">
        <v>12</v>
      </c>
      <c r="F213" s="133" t="n">
        <v>31.8</v>
      </c>
      <c r="G213" s="17" t="n">
        <v>10</v>
      </c>
      <c r="H213" s="135" t="n">
        <v>390</v>
      </c>
      <c r="I213" s="136" t="n"/>
      <c r="J213" s="136" t="n"/>
      <c r="K213" s="136" t="n"/>
      <c r="L213" s="136" t="n"/>
      <c r="M213" s="137">
        <f>I213-K213</f>
        <v/>
      </c>
      <c r="N213" s="4">
        <f>IF(ISERROR(K213/I213),"",K213/I213)</f>
        <v/>
      </c>
      <c r="O213" s="138">
        <f>I213/E213</f>
        <v/>
      </c>
      <c r="P213" s="138">
        <f>K213/E213</f>
        <v/>
      </c>
      <c r="Q213" s="123" t="n">
        <v>1</v>
      </c>
      <c r="R213" s="123" t="n">
        <v>1</v>
      </c>
      <c r="S213" s="123" t="inlineStr">
        <is>
          <t>복</t>
        </is>
      </c>
      <c r="T213" s="5" t="n">
        <v>41</v>
      </c>
      <c r="U213" s="9" t="n"/>
    </row>
    <row r="214" ht="12" customFormat="1" customHeight="1" s="37">
      <c r="A214" s="111" t="inlineStr">
        <is>
          <t>소룡동 소룡제이파크</t>
        </is>
      </c>
      <c r="B214" s="112" t="inlineStr">
        <is>
          <t>06.06.</t>
        </is>
      </c>
      <c r="C214" s="132" t="n">
        <v>972</v>
      </c>
      <c r="D214" s="133" t="n">
        <v>106.3</v>
      </c>
      <c r="E214" s="134" t="n">
        <v>32</v>
      </c>
      <c r="F214" s="133" t="n">
        <v>84.5</v>
      </c>
      <c r="G214" s="17" t="n">
        <v>26</v>
      </c>
      <c r="H214" s="135" t="n">
        <v>576</v>
      </c>
      <c r="I214" s="136" t="n"/>
      <c r="J214" s="136" t="n"/>
      <c r="K214" s="136" t="n"/>
      <c r="L214" s="136" t="n"/>
      <c r="M214" s="137">
        <f>I214-K214</f>
        <v/>
      </c>
      <c r="N214" s="4">
        <f>IF(ISERROR(K214/I214),"",K214/I214)</f>
        <v/>
      </c>
      <c r="O214" s="138">
        <f>I214/E214</f>
        <v/>
      </c>
      <c r="P214" s="138">
        <f>K214/E214</f>
        <v/>
      </c>
      <c r="Q214" s="123" t="n">
        <v>3</v>
      </c>
      <c r="R214" s="123" t="n">
        <v>2</v>
      </c>
      <c r="S214" s="123" t="inlineStr">
        <is>
          <t>계</t>
        </is>
      </c>
      <c r="T214" s="5" t="n">
        <v>106</v>
      </c>
      <c r="U214" s="9" t="n"/>
    </row>
    <row r="215" ht="12" customFormat="1" customHeight="1" s="37">
      <c r="A215" s="111" t="inlineStr">
        <is>
          <t>소룡동 이화</t>
        </is>
      </c>
      <c r="B215" s="112" t="inlineStr">
        <is>
          <t>92.02.</t>
        </is>
      </c>
      <c r="C215" s="132" t="n">
        <v>204</v>
      </c>
      <c r="D215" s="133" t="n">
        <v>58.6</v>
      </c>
      <c r="E215" s="134" t="n">
        <v>18</v>
      </c>
      <c r="F215" s="133" t="n">
        <v>44.8</v>
      </c>
      <c r="G215" s="17" t="n">
        <v>14</v>
      </c>
      <c r="H215" s="135" t="n">
        <v>60</v>
      </c>
      <c r="I215" s="136" t="n"/>
      <c r="J215" s="136" t="n"/>
      <c r="K215" s="136" t="n"/>
      <c r="L215" s="136" t="n"/>
      <c r="M215" s="137">
        <f>I215-K215</f>
        <v/>
      </c>
      <c r="N215" s="4">
        <f>IF(ISERROR(K215/I215),"",K215/I215)</f>
        <v/>
      </c>
      <c r="O215" s="138">
        <f>I215/E215</f>
        <v/>
      </c>
      <c r="P215" s="138">
        <f>K215/E215</f>
        <v/>
      </c>
      <c r="Q215" s="123" t="n">
        <v>2</v>
      </c>
      <c r="R215" s="123" t="n">
        <v>1</v>
      </c>
      <c r="S215" s="123" t="inlineStr">
        <is>
          <t>계</t>
        </is>
      </c>
      <c r="T215" s="5" t="n">
        <v>58</v>
      </c>
      <c r="U215" s="9" t="n"/>
    </row>
    <row r="216" ht="12" customFormat="1" customHeight="1" s="37">
      <c r="A216" s="111" t="inlineStr">
        <is>
          <t>소룡동 이화</t>
        </is>
      </c>
      <c r="B216" s="112" t="inlineStr">
        <is>
          <t>92.02.</t>
        </is>
      </c>
      <c r="C216" s="132" t="n">
        <v>204</v>
      </c>
      <c r="D216" s="133" t="n">
        <v>69.3</v>
      </c>
      <c r="E216" s="134" t="n">
        <v>21</v>
      </c>
      <c r="F216" s="133" t="n">
        <v>53.9</v>
      </c>
      <c r="G216" s="17" t="n">
        <v>16</v>
      </c>
      <c r="H216" s="135" t="n">
        <v>132</v>
      </c>
      <c r="I216" s="136" t="n"/>
      <c r="J216" s="136" t="n"/>
      <c r="K216" s="136" t="n"/>
      <c r="L216" s="136" t="n"/>
      <c r="M216" s="137">
        <f>I216-K216</f>
        <v/>
      </c>
      <c r="N216" s="4">
        <f>IF(ISERROR(K216/I216),"",K216/I216)</f>
        <v/>
      </c>
      <c r="O216" s="138">
        <f>I216/E216</f>
        <v/>
      </c>
      <c r="P216" s="138">
        <f>K216/E216</f>
        <v/>
      </c>
      <c r="Q216" s="123" t="n">
        <v>3</v>
      </c>
      <c r="R216" s="123" t="n">
        <v>1</v>
      </c>
      <c r="S216" s="123" t="inlineStr">
        <is>
          <t>계</t>
        </is>
      </c>
      <c r="T216" s="5" t="n">
        <v>69</v>
      </c>
      <c r="U216" s="9" t="n"/>
    </row>
    <row r="217" ht="12" customFormat="1" customHeight="1" s="37">
      <c r="A217" s="111" t="inlineStr">
        <is>
          <t>수송동 한라비발디1단지</t>
        </is>
      </c>
      <c r="B217" s="112" t="inlineStr">
        <is>
          <t>08.11.</t>
        </is>
      </c>
      <c r="C217" s="132" t="n">
        <v>332</v>
      </c>
      <c r="D217" s="133" t="n">
        <v>133</v>
      </c>
      <c r="E217" s="134" t="n">
        <v>40</v>
      </c>
      <c r="F217" s="133" t="n">
        <v>100.4</v>
      </c>
      <c r="G217" s="17" t="n">
        <v>30</v>
      </c>
      <c r="H217" s="135" t="n">
        <v>59</v>
      </c>
      <c r="I217" s="136" t="n"/>
      <c r="J217" s="136" t="n"/>
      <c r="K217" s="136" t="n"/>
      <c r="L217" s="136" t="n"/>
      <c r="M217" s="137">
        <f>I217-K217</f>
        <v/>
      </c>
      <c r="N217" s="4">
        <f>IF(ISERROR(K217/I217),"",K217/I217)</f>
        <v/>
      </c>
      <c r="O217" s="138">
        <f>I217/E217</f>
        <v/>
      </c>
      <c r="P217" s="138">
        <f>K217/E217</f>
        <v/>
      </c>
      <c r="Q217" s="123" t="n">
        <v>3</v>
      </c>
      <c r="R217" s="123" t="n">
        <v>2</v>
      </c>
      <c r="S217" s="123" t="inlineStr">
        <is>
          <t>계</t>
        </is>
      </c>
      <c r="T217" s="5" t="inlineStr">
        <is>
          <t>132A</t>
        </is>
      </c>
      <c r="U217" s="9" t="n"/>
    </row>
    <row r="218" ht="12" customFormat="1" customHeight="1" s="37">
      <c r="A218" s="111" t="inlineStr">
        <is>
          <t>수송동 한라비발디1단지</t>
        </is>
      </c>
      <c r="B218" s="112" t="inlineStr">
        <is>
          <t>08.11.</t>
        </is>
      </c>
      <c r="C218" s="132" t="n">
        <v>332</v>
      </c>
      <c r="D218" s="133" t="n">
        <v>159.2</v>
      </c>
      <c r="E218" s="134" t="n">
        <v>48</v>
      </c>
      <c r="F218" s="133" t="n">
        <v>123.1</v>
      </c>
      <c r="G218" s="17" t="n">
        <v>37</v>
      </c>
      <c r="H218" s="135" t="n">
        <v>80</v>
      </c>
      <c r="I218" s="136" t="n"/>
      <c r="J218" s="136" t="n"/>
      <c r="K218" s="136" t="n"/>
      <c r="L218" s="136" t="n"/>
      <c r="M218" s="137">
        <f>I218-K218</f>
        <v/>
      </c>
      <c r="N218" s="4">
        <f>IF(ISERROR(K218/I218),"",K218/I218)</f>
        <v/>
      </c>
      <c r="O218" s="138">
        <f>I218/E218</f>
        <v/>
      </c>
      <c r="P218" s="138">
        <f>K218/E218</f>
        <v/>
      </c>
      <c r="Q218" s="123" t="n">
        <v>4</v>
      </c>
      <c r="R218" s="123" t="n">
        <v>2</v>
      </c>
      <c r="S218" s="123" t="inlineStr">
        <is>
          <t>계</t>
        </is>
      </c>
      <c r="T218" s="5" t="inlineStr">
        <is>
          <t>159A</t>
        </is>
      </c>
      <c r="U218" s="9" t="n"/>
    </row>
    <row r="219" ht="12" customFormat="1" customHeight="1" s="37">
      <c r="A219" s="111" t="inlineStr">
        <is>
          <t>수송동 한라비발디1단지</t>
        </is>
      </c>
      <c r="B219" s="112" t="inlineStr">
        <is>
          <t>08.11.</t>
        </is>
      </c>
      <c r="C219" s="132" t="n">
        <v>332</v>
      </c>
      <c r="D219" s="133" t="n">
        <v>161.5</v>
      </c>
      <c r="E219" s="134" t="n">
        <v>49</v>
      </c>
      <c r="F219" s="133" t="n">
        <v>132.3</v>
      </c>
      <c r="G219" s="17" t="n">
        <v>40</v>
      </c>
      <c r="H219" s="135" t="n">
        <v>79</v>
      </c>
      <c r="I219" s="136" t="n"/>
      <c r="J219" s="136" t="n"/>
      <c r="K219" s="136" t="n"/>
      <c r="L219" s="136" t="n"/>
      <c r="M219" s="137">
        <f>I219-K219</f>
        <v/>
      </c>
      <c r="N219" s="4">
        <f>IF(ISERROR(K219/I219),"",K219/I219)</f>
        <v/>
      </c>
      <c r="O219" s="138">
        <f>I219/E219</f>
        <v/>
      </c>
      <c r="P219" s="138">
        <f>K219/E219</f>
        <v/>
      </c>
      <c r="Q219" s="123" t="n">
        <v>4</v>
      </c>
      <c r="R219" s="123" t="n">
        <v>2</v>
      </c>
      <c r="S219" s="123" t="inlineStr">
        <is>
          <t>계</t>
        </is>
      </c>
      <c r="T219" s="5" t="inlineStr">
        <is>
          <t>161B</t>
        </is>
      </c>
      <c r="U219" s="9" t="n"/>
    </row>
    <row r="220" ht="12" customFormat="1" customHeight="1" s="37">
      <c r="A220" s="111" t="inlineStr">
        <is>
          <t>수송동 동신</t>
        </is>
      </c>
      <c r="B220" s="112" t="inlineStr">
        <is>
          <t>91.09.</t>
        </is>
      </c>
      <c r="C220" s="132" t="n">
        <v>660</v>
      </c>
      <c r="D220" s="133" t="n">
        <v>73.59999999999999</v>
      </c>
      <c r="E220" s="134" t="n">
        <v>22</v>
      </c>
      <c r="F220" s="133" t="n">
        <v>59.5</v>
      </c>
      <c r="G220" s="17" t="n">
        <v>18</v>
      </c>
      <c r="H220" s="135" t="n">
        <v>120</v>
      </c>
      <c r="I220" s="136" t="n"/>
      <c r="J220" s="136" t="n"/>
      <c r="K220" s="136" t="n"/>
      <c r="L220" s="136" t="n"/>
      <c r="M220" s="137">
        <f>I220-K220</f>
        <v/>
      </c>
      <c r="N220" s="4">
        <f>IF(ISERROR(K220/I220),"",K220/I220)</f>
        <v/>
      </c>
      <c r="O220" s="138">
        <f>I220/E220</f>
        <v/>
      </c>
      <c r="P220" s="138">
        <f>K220/E220</f>
        <v/>
      </c>
      <c r="Q220" s="123" t="n">
        <v>2</v>
      </c>
      <c r="R220" s="123" t="n">
        <v>1</v>
      </c>
      <c r="S220" s="123" t="inlineStr">
        <is>
          <t>계</t>
        </is>
      </c>
      <c r="T220" s="5" t="n">
        <v>73</v>
      </c>
      <c r="U220" s="9" t="n"/>
    </row>
    <row r="221" ht="12" customFormat="1" customHeight="1" s="37">
      <c r="A221" s="111" t="inlineStr">
        <is>
          <t>수송동 동신</t>
        </is>
      </c>
      <c r="B221" s="112" t="inlineStr">
        <is>
          <t>91.09.</t>
        </is>
      </c>
      <c r="C221" s="132" t="n">
        <v>660</v>
      </c>
      <c r="D221" s="133" t="n">
        <v>97.2</v>
      </c>
      <c r="E221" s="134" t="n">
        <v>29</v>
      </c>
      <c r="F221" s="133" t="n">
        <v>78.5</v>
      </c>
      <c r="G221" s="17" t="n">
        <v>24</v>
      </c>
      <c r="H221" s="135" t="n">
        <v>120</v>
      </c>
      <c r="I221" s="136" t="n"/>
      <c r="J221" s="136" t="n"/>
      <c r="K221" s="136" t="n"/>
      <c r="L221" s="136" t="n"/>
      <c r="M221" s="137">
        <f>I221-K221</f>
        <v/>
      </c>
      <c r="N221" s="4">
        <f>IF(ISERROR(K221/I221),"",K221/I221)</f>
        <v/>
      </c>
      <c r="O221" s="138">
        <f>I221/E221</f>
        <v/>
      </c>
      <c r="P221" s="138">
        <f>K221/E221</f>
        <v/>
      </c>
      <c r="Q221" s="123" t="n">
        <v>3</v>
      </c>
      <c r="R221" s="123" t="n">
        <v>2</v>
      </c>
      <c r="S221" s="123" t="inlineStr">
        <is>
          <t>계</t>
        </is>
      </c>
      <c r="T221" s="5" t="n">
        <v>97</v>
      </c>
      <c r="U221" s="9" t="n"/>
    </row>
    <row r="222" ht="12" customFormat="1" customHeight="1" s="37">
      <c r="A222" s="111" t="inlineStr">
        <is>
          <t>수송동 현대</t>
        </is>
      </c>
      <c r="B222" s="112" t="inlineStr">
        <is>
          <t>97.06.</t>
        </is>
      </c>
      <c r="C222" s="132" t="n">
        <v>657</v>
      </c>
      <c r="D222" s="133" t="n">
        <v>78.3</v>
      </c>
      <c r="E222" s="134" t="n">
        <v>24</v>
      </c>
      <c r="F222" s="133" t="n">
        <v>60</v>
      </c>
      <c r="G222" s="17" t="n">
        <v>18</v>
      </c>
      <c r="H222" s="135" t="n">
        <v>272</v>
      </c>
      <c r="I222" s="136" t="n"/>
      <c r="J222" s="136" t="n"/>
      <c r="K222" s="136" t="n"/>
      <c r="L222" s="136" t="n"/>
      <c r="M222" s="137">
        <f>I222-K222</f>
        <v/>
      </c>
      <c r="N222" s="4">
        <f>IF(ISERROR(K222/I222),"",K222/I222)</f>
        <v/>
      </c>
      <c r="O222" s="138">
        <f>I222/E222</f>
        <v/>
      </c>
      <c r="P222" s="138">
        <f>K222/E222</f>
        <v/>
      </c>
      <c r="Q222" s="123" t="n">
        <v>3</v>
      </c>
      <c r="R222" s="123" t="n">
        <v>1</v>
      </c>
      <c r="S222" s="123" t="inlineStr">
        <is>
          <t>계</t>
        </is>
      </c>
      <c r="T222" s="5" t="n">
        <v>78</v>
      </c>
      <c r="U222" s="9" t="n"/>
    </row>
    <row r="223" ht="12" customFormat="1" customHeight="1" s="37">
      <c r="A223" s="111" t="inlineStr">
        <is>
          <t>수송동 동영</t>
        </is>
      </c>
      <c r="B223" s="112" t="inlineStr">
        <is>
          <t>98.09.</t>
        </is>
      </c>
      <c r="C223" s="132" t="n">
        <v>360</v>
      </c>
      <c r="D223" s="133" t="n">
        <v>46.9</v>
      </c>
      <c r="E223" s="134" t="n">
        <v>14</v>
      </c>
      <c r="F223" s="133" t="n">
        <v>39.5</v>
      </c>
      <c r="G223" s="17" t="n">
        <v>12</v>
      </c>
      <c r="H223" s="135" t="n">
        <v>205</v>
      </c>
      <c r="I223" s="136" t="n"/>
      <c r="J223" s="136" t="n"/>
      <c r="K223" s="136" t="n"/>
      <c r="L223" s="136" t="n"/>
      <c r="M223" s="137">
        <f>I223-K223</f>
        <v/>
      </c>
      <c r="N223" s="4">
        <f>IF(ISERROR(K223/I223),"",K223/I223)</f>
        <v/>
      </c>
      <c r="O223" s="138">
        <f>I223/E223</f>
        <v/>
      </c>
      <c r="P223" s="138">
        <f>K223/E223</f>
        <v/>
      </c>
      <c r="Q223" s="123" t="n">
        <v>2</v>
      </c>
      <c r="R223" s="123" t="n">
        <v>1</v>
      </c>
      <c r="S223" s="123" t="inlineStr">
        <is>
          <t>계</t>
        </is>
      </c>
      <c r="T223" s="5" t="n">
        <v>46</v>
      </c>
      <c r="U223" s="9" t="n"/>
    </row>
    <row r="224" ht="12" customFormat="1" customHeight="1" s="37">
      <c r="A224" s="111" t="inlineStr">
        <is>
          <t>수송동 동영</t>
        </is>
      </c>
      <c r="B224" s="112" t="inlineStr">
        <is>
          <t>98.09.</t>
        </is>
      </c>
      <c r="C224" s="132" t="n">
        <v>360</v>
      </c>
      <c r="D224" s="133" t="n">
        <v>76</v>
      </c>
      <c r="E224" s="134" t="n">
        <v>23</v>
      </c>
      <c r="F224" s="133" t="n">
        <v>59.9</v>
      </c>
      <c r="G224" s="17" t="n">
        <v>18</v>
      </c>
      <c r="H224" s="135" t="n">
        <v>135</v>
      </c>
      <c r="I224" s="136" t="n"/>
      <c r="J224" s="136" t="n"/>
      <c r="K224" s="136" t="n"/>
      <c r="L224" s="136" t="n"/>
      <c r="M224" s="137">
        <f>I224-K224</f>
        <v/>
      </c>
      <c r="N224" s="4">
        <f>IF(ISERROR(K224/I224),"",K224/I224)</f>
        <v/>
      </c>
      <c r="O224" s="138">
        <f>I224/E224</f>
        <v/>
      </c>
      <c r="P224" s="138">
        <f>K224/E224</f>
        <v/>
      </c>
      <c r="Q224" s="123" t="n">
        <v>3</v>
      </c>
      <c r="R224" s="123" t="n">
        <v>1</v>
      </c>
      <c r="S224" s="123" t="inlineStr">
        <is>
          <t>계</t>
        </is>
      </c>
      <c r="T224" s="5" t="inlineStr">
        <is>
          <t>76B</t>
        </is>
      </c>
      <c r="U224" s="9" t="n"/>
    </row>
    <row r="225" ht="12" customFormat="1" customHeight="1" s="37">
      <c r="A225" s="111" t="inlineStr">
        <is>
          <t>신풍동 월명</t>
        </is>
      </c>
      <c r="B225" s="112" t="inlineStr">
        <is>
          <t>79.05.</t>
        </is>
      </c>
      <c r="C225" s="132" t="n">
        <v>240</v>
      </c>
      <c r="D225" s="133" t="n">
        <v>62</v>
      </c>
      <c r="E225" s="134" t="n">
        <v>19</v>
      </c>
      <c r="F225" s="133" t="n">
        <v>62</v>
      </c>
      <c r="G225" s="17" t="n">
        <v>19</v>
      </c>
      <c r="H225" s="135" t="n">
        <v>30</v>
      </c>
      <c r="I225" s="136" t="n"/>
      <c r="J225" s="136" t="n"/>
      <c r="K225" s="136" t="n"/>
      <c r="L225" s="136" t="n"/>
      <c r="M225" s="137">
        <f>I225-K225</f>
        <v/>
      </c>
      <c r="N225" s="4">
        <f>IF(ISERROR(K225/I225),"",K225/I225)</f>
        <v/>
      </c>
      <c r="O225" s="138">
        <f>I225/E225</f>
        <v/>
      </c>
      <c r="P225" s="138">
        <f>K225/E225</f>
        <v/>
      </c>
      <c r="Q225" s="123" t="n">
        <v>2</v>
      </c>
      <c r="R225" s="123" t="n">
        <v>1</v>
      </c>
      <c r="S225" s="123" t="inlineStr">
        <is>
          <t>계</t>
        </is>
      </c>
      <c r="T225" s="5" t="n">
        <v>61</v>
      </c>
      <c r="U225" s="9" t="n"/>
    </row>
    <row r="226" ht="12" customFormat="1" customHeight="1" s="37">
      <c r="A226" s="111" t="inlineStr">
        <is>
          <t>신풍동 월명</t>
        </is>
      </c>
      <c r="B226" s="112" t="inlineStr">
        <is>
          <t>79.05.</t>
        </is>
      </c>
      <c r="C226" s="132" t="n">
        <v>240</v>
      </c>
      <c r="D226" s="133" t="n">
        <v>70.7</v>
      </c>
      <c r="E226" s="134" t="n">
        <v>21</v>
      </c>
      <c r="F226" s="133" t="n">
        <v>70.7</v>
      </c>
      <c r="G226" s="17" t="n">
        <v>21</v>
      </c>
      <c r="H226" s="135" t="n">
        <v>30</v>
      </c>
      <c r="I226" s="136" t="n"/>
      <c r="J226" s="136" t="n"/>
      <c r="K226" s="136" t="n"/>
      <c r="L226" s="136" t="n"/>
      <c r="M226" s="137">
        <f>I226-K226</f>
        <v/>
      </c>
      <c r="N226" s="4">
        <f>IF(ISERROR(K226/I226),"",K226/I226)</f>
        <v/>
      </c>
      <c r="O226" s="138">
        <f>I226/E226</f>
        <v/>
      </c>
      <c r="P226" s="138">
        <f>K226/E226</f>
        <v/>
      </c>
      <c r="Q226" s="123" t="n">
        <v>2</v>
      </c>
      <c r="R226" s="123" t="n">
        <v>1</v>
      </c>
      <c r="S226" s="123" t="inlineStr">
        <is>
          <t>계</t>
        </is>
      </c>
      <c r="T226" s="5" t="n">
        <v>70</v>
      </c>
      <c r="U226" s="9" t="n"/>
    </row>
    <row r="227" ht="12" customFormat="1" customHeight="1" s="37">
      <c r="A227" s="111" t="inlineStr">
        <is>
          <t>신풍동 월명</t>
        </is>
      </c>
      <c r="B227" s="112" t="inlineStr">
        <is>
          <t>79.05.</t>
        </is>
      </c>
      <c r="C227" s="132" t="n">
        <v>240</v>
      </c>
      <c r="D227" s="133" t="n">
        <v>78.5</v>
      </c>
      <c r="E227" s="134" t="n">
        <v>24</v>
      </c>
      <c r="F227" s="133" t="n">
        <v>78.5</v>
      </c>
      <c r="G227" s="17" t="n">
        <v>24</v>
      </c>
      <c r="H227" s="135" t="n">
        <v>60</v>
      </c>
      <c r="I227" s="136" t="n"/>
      <c r="J227" s="136" t="n"/>
      <c r="K227" s="136" t="n"/>
      <c r="L227" s="136" t="n"/>
      <c r="M227" s="137">
        <f>I227-K227</f>
        <v/>
      </c>
      <c r="N227" s="4">
        <f>IF(ISERROR(K227/I227),"",K227/I227)</f>
        <v/>
      </c>
      <c r="O227" s="138">
        <f>I227/E227</f>
        <v/>
      </c>
      <c r="P227" s="138">
        <f>K227/E227</f>
        <v/>
      </c>
      <c r="Q227" s="123" t="n">
        <v>2</v>
      </c>
      <c r="R227" s="123" t="n">
        <v>1</v>
      </c>
      <c r="S227" s="123" t="inlineStr">
        <is>
          <t>계</t>
        </is>
      </c>
      <c r="T227" s="5" t="n">
        <v>78</v>
      </c>
      <c r="U227" s="9" t="n"/>
    </row>
    <row r="228" ht="12" customFormat="1" customHeight="1" s="37">
      <c r="A228" s="111" t="inlineStr">
        <is>
          <t>월명동 클래시움</t>
        </is>
      </c>
      <c r="B228" s="112" t="inlineStr">
        <is>
          <t>04.05.</t>
        </is>
      </c>
      <c r="C228" s="132" t="n">
        <v>210</v>
      </c>
      <c r="D228" s="133" t="n">
        <v>126.8</v>
      </c>
      <c r="E228" s="134" t="n">
        <v>38</v>
      </c>
      <c r="F228" s="133" t="n">
        <v>101.7</v>
      </c>
      <c r="G228" s="17" t="n">
        <v>31</v>
      </c>
      <c r="H228" s="135" t="n">
        <v>120</v>
      </c>
      <c r="I228" s="136" t="n"/>
      <c r="J228" s="136" t="n"/>
      <c r="K228" s="136" t="n"/>
      <c r="L228" s="136" t="n"/>
      <c r="M228" s="137">
        <f>I228-K228</f>
        <v/>
      </c>
      <c r="N228" s="4">
        <f>IF(ISERROR(K228/I228),"",K228/I228)</f>
        <v/>
      </c>
      <c r="O228" s="138">
        <f>I228/E228</f>
        <v/>
      </c>
      <c r="P228" s="138">
        <f>K228/E228</f>
        <v/>
      </c>
      <c r="Q228" s="123" t="n">
        <v>3</v>
      </c>
      <c r="R228" s="123" t="n">
        <v>2</v>
      </c>
      <c r="S228" s="123" t="inlineStr">
        <is>
          <t>계</t>
        </is>
      </c>
      <c r="T228" s="5" t="n">
        <v>126</v>
      </c>
      <c r="U228" s="9" t="n"/>
    </row>
    <row r="229" ht="12" customFormat="1" customHeight="1" s="37">
      <c r="A229" s="111" t="inlineStr">
        <is>
          <t>월명동 클래시움</t>
        </is>
      </c>
      <c r="B229" s="112" t="inlineStr">
        <is>
          <t>04.05.</t>
        </is>
      </c>
      <c r="C229" s="132" t="n">
        <v>210</v>
      </c>
      <c r="D229" s="133" t="n">
        <v>165</v>
      </c>
      <c r="E229" s="134" t="n">
        <v>50</v>
      </c>
      <c r="F229" s="133" t="n">
        <v>142.1</v>
      </c>
      <c r="G229" s="17" t="n">
        <v>43</v>
      </c>
      <c r="H229" s="135" t="n">
        <v>30</v>
      </c>
      <c r="I229" s="136" t="n"/>
      <c r="J229" s="136" t="n"/>
      <c r="K229" s="136" t="n"/>
      <c r="L229" s="136" t="n"/>
      <c r="M229" s="137">
        <f>I229-K229</f>
        <v/>
      </c>
      <c r="N229" s="4">
        <f>IF(ISERROR(K229/I229),"",K229/I229)</f>
        <v/>
      </c>
      <c r="O229" s="138">
        <f>I229/E229</f>
        <v/>
      </c>
      <c r="P229" s="138">
        <f>K229/E229</f>
        <v/>
      </c>
      <c r="Q229" s="123" t="n">
        <v>4</v>
      </c>
      <c r="R229" s="123" t="n">
        <v>2</v>
      </c>
      <c r="S229" s="123" t="inlineStr">
        <is>
          <t>계</t>
        </is>
      </c>
      <c r="T229" s="5" t="n">
        <v>164</v>
      </c>
      <c r="U229" s="9" t="n"/>
    </row>
    <row r="230" ht="12" customFormat="1" customHeight="1" s="37">
      <c r="A230" s="111" t="inlineStr">
        <is>
          <t>월명동 클래시움</t>
        </is>
      </c>
      <c r="B230" s="112" t="inlineStr">
        <is>
          <t>04.05.</t>
        </is>
      </c>
      <c r="C230" s="132" t="n">
        <v>210</v>
      </c>
      <c r="D230" s="133" t="n">
        <v>189.9</v>
      </c>
      <c r="E230" s="134" t="n">
        <v>57</v>
      </c>
      <c r="F230" s="133" t="n">
        <v>166.5</v>
      </c>
      <c r="G230" s="17" t="n">
        <v>50</v>
      </c>
      <c r="H230" s="135" t="n">
        <v>45</v>
      </c>
      <c r="I230" s="136" t="n"/>
      <c r="J230" s="136" t="n"/>
      <c r="K230" s="136" t="n"/>
      <c r="L230" s="136" t="n"/>
      <c r="M230" s="137">
        <f>I230-K230</f>
        <v/>
      </c>
      <c r="N230" s="4">
        <f>IF(ISERROR(K230/I230),"",K230/I230)</f>
        <v/>
      </c>
      <c r="O230" s="138">
        <f>I230/E230</f>
        <v/>
      </c>
      <c r="P230" s="138">
        <f>K230/E230</f>
        <v/>
      </c>
      <c r="Q230" s="123" t="n">
        <v>4</v>
      </c>
      <c r="R230" s="123" t="n">
        <v>2</v>
      </c>
      <c r="S230" s="123" t="inlineStr">
        <is>
          <t>계</t>
        </is>
      </c>
      <c r="T230" s="5" t="n">
        <v>189</v>
      </c>
      <c r="U230" s="9" t="n"/>
    </row>
    <row r="231" ht="12" customFormat="1" customHeight="1" s="37">
      <c r="A231" s="111" t="inlineStr">
        <is>
          <t>장재동 현대세솔</t>
        </is>
      </c>
      <c r="B231" s="112" t="inlineStr">
        <is>
          <t>02.03.</t>
        </is>
      </c>
      <c r="C231" s="132" t="n">
        <v>547</v>
      </c>
      <c r="D231" s="133" t="n">
        <v>82.5</v>
      </c>
      <c r="E231" s="134" t="n">
        <v>25</v>
      </c>
      <c r="F231" s="133" t="n">
        <v>60</v>
      </c>
      <c r="G231" s="17" t="n">
        <v>18</v>
      </c>
      <c r="H231" s="135" t="n">
        <v>259</v>
      </c>
      <c r="I231" s="136" t="n"/>
      <c r="J231" s="136" t="n"/>
      <c r="K231" s="136" t="n"/>
      <c r="L231" s="136" t="n"/>
      <c r="M231" s="137">
        <f>I231-K231</f>
        <v/>
      </c>
      <c r="N231" s="4">
        <f>IF(ISERROR(K231/I231),"",K231/I231)</f>
        <v/>
      </c>
      <c r="O231" s="138">
        <f>I231/E231</f>
        <v/>
      </c>
      <c r="P231" s="138">
        <f>K231/E231</f>
        <v/>
      </c>
      <c r="Q231" s="123" t="n">
        <v>2</v>
      </c>
      <c r="R231" s="123" t="n">
        <v>1</v>
      </c>
      <c r="S231" s="123" t="inlineStr">
        <is>
          <t>계</t>
        </is>
      </c>
      <c r="T231" s="5" t="n">
        <v>82</v>
      </c>
      <c r="U231" s="9" t="n"/>
    </row>
    <row r="232" ht="12" customFormat="1" customHeight="1" s="37">
      <c r="A232" s="111" t="inlineStr">
        <is>
          <t>장재동 현대세솔</t>
        </is>
      </c>
      <c r="B232" s="112" t="inlineStr">
        <is>
          <t>02.03.</t>
        </is>
      </c>
      <c r="C232" s="132" t="n">
        <v>547</v>
      </c>
      <c r="D232" s="133" t="n">
        <v>103.1</v>
      </c>
      <c r="E232" s="134" t="n">
        <v>31</v>
      </c>
      <c r="F232" s="133" t="n">
        <v>85</v>
      </c>
      <c r="G232" s="17" t="n">
        <v>26</v>
      </c>
      <c r="H232" s="135" t="n">
        <v>210</v>
      </c>
      <c r="I232" s="136" t="n"/>
      <c r="J232" s="136" t="n"/>
      <c r="K232" s="136" t="n"/>
      <c r="L232" s="136" t="n"/>
      <c r="M232" s="137">
        <f>I232-K232</f>
        <v/>
      </c>
      <c r="N232" s="4">
        <f>IF(ISERROR(K232/I232),"",K232/I232)</f>
        <v/>
      </c>
      <c r="O232" s="138">
        <f>I232/E232</f>
        <v/>
      </c>
      <c r="P232" s="138">
        <f>K232/E232</f>
        <v/>
      </c>
      <c r="Q232" s="123" t="n">
        <v>3</v>
      </c>
      <c r="R232" s="123" t="n">
        <v>2</v>
      </c>
      <c r="S232" s="123" t="inlineStr">
        <is>
          <t>복</t>
        </is>
      </c>
      <c r="T232" s="5" t="inlineStr">
        <is>
          <t>103A</t>
        </is>
      </c>
      <c r="U232" s="9" t="n"/>
    </row>
    <row r="233" ht="12" customFormat="1" customHeight="1" s="37">
      <c r="A233" s="111" t="inlineStr">
        <is>
          <t>조촌동 삼성</t>
        </is>
      </c>
      <c r="B233" s="112" t="inlineStr">
        <is>
          <t>92.10.</t>
        </is>
      </c>
      <c r="C233" s="132" t="n">
        <v>306</v>
      </c>
      <c r="D233" s="133" t="n">
        <v>92.2</v>
      </c>
      <c r="E233" s="134" t="n">
        <v>28</v>
      </c>
      <c r="F233" s="133" t="n">
        <v>73.5</v>
      </c>
      <c r="G233" s="17" t="n">
        <v>22</v>
      </c>
      <c r="H233" s="135" t="n">
        <v>72</v>
      </c>
      <c r="I233" s="136" t="n"/>
      <c r="J233" s="136" t="n"/>
      <c r="K233" s="136" t="n"/>
      <c r="L233" s="136" t="n"/>
      <c r="M233" s="137">
        <f>I233-K233</f>
        <v/>
      </c>
      <c r="N233" s="4">
        <f>IF(ISERROR(K233/I233),"",K233/I233)</f>
        <v/>
      </c>
      <c r="O233" s="138">
        <f>I233/E233</f>
        <v/>
      </c>
      <c r="P233" s="138">
        <f>K233/E233</f>
        <v/>
      </c>
      <c r="Q233" s="123" t="n">
        <v>3</v>
      </c>
      <c r="R233" s="123" t="n">
        <v>1</v>
      </c>
      <c r="S233" s="123" t="inlineStr">
        <is>
          <t>계</t>
        </is>
      </c>
      <c r="T233" s="5" t="inlineStr">
        <is>
          <t>92S</t>
        </is>
      </c>
      <c r="U233" s="9" t="n"/>
    </row>
    <row r="234" ht="12" customFormat="1" customHeight="1" s="37">
      <c r="A234" s="111" t="inlineStr">
        <is>
          <t>조촌동 부향하나로</t>
        </is>
      </c>
      <c r="B234" s="112" t="inlineStr">
        <is>
          <t>96.09.</t>
        </is>
      </c>
      <c r="C234" s="132" t="n">
        <v>402</v>
      </c>
      <c r="D234" s="133" t="n">
        <v>53.7</v>
      </c>
      <c r="E234" s="134" t="n">
        <v>16</v>
      </c>
      <c r="F234" s="133" t="n">
        <v>40</v>
      </c>
      <c r="G234" s="17" t="n">
        <v>12</v>
      </c>
      <c r="H234" s="135" t="n">
        <v>402</v>
      </c>
      <c r="I234" s="136" t="n"/>
      <c r="J234" s="136" t="n"/>
      <c r="K234" s="136" t="n"/>
      <c r="L234" s="136" t="n"/>
      <c r="M234" s="137">
        <f>I234-K234</f>
        <v/>
      </c>
      <c r="N234" s="4">
        <f>IF(ISERROR(K234/I234),"",K234/I234)</f>
        <v/>
      </c>
      <c r="O234" s="138">
        <f>I234/E234</f>
        <v/>
      </c>
      <c r="P234" s="138">
        <f>K234/E234</f>
        <v/>
      </c>
      <c r="Q234" s="123" t="n">
        <v>2</v>
      </c>
      <c r="R234" s="123" t="n">
        <v>1</v>
      </c>
      <c r="S234" s="123" t="inlineStr">
        <is>
          <t>계</t>
        </is>
      </c>
      <c r="T234" s="5" t="n">
        <v>53</v>
      </c>
      <c r="U234" s="9" t="n"/>
    </row>
    <row r="235" ht="12" customFormat="1" customHeight="1" s="37">
      <c r="A235" s="111" t="inlineStr">
        <is>
          <t>조촌동 e편한세상군산디오션시티</t>
        </is>
      </c>
      <c r="B235" s="112" t="inlineStr">
        <is>
          <t>18.11.</t>
        </is>
      </c>
      <c r="C235" s="132" t="n">
        <v>854</v>
      </c>
      <c r="D235" s="133" t="n">
        <v>140.3</v>
      </c>
      <c r="E235" s="134" t="n">
        <v>42</v>
      </c>
      <c r="F235" s="133" t="n">
        <v>106.4</v>
      </c>
      <c r="G235" s="17" t="n">
        <v>32</v>
      </c>
      <c r="H235" s="135" t="n">
        <v>87</v>
      </c>
      <c r="I235" s="136" t="n"/>
      <c r="J235" s="136" t="n"/>
      <c r="K235" s="136" t="n"/>
      <c r="L235" s="136" t="n"/>
      <c r="M235" s="137">
        <f>I235-K235</f>
        <v/>
      </c>
      <c r="N235" s="4">
        <f>IF(ISERROR(K235/I235),"",K235/I235)</f>
        <v/>
      </c>
      <c r="O235" s="138">
        <f>I235/E235</f>
        <v/>
      </c>
      <c r="P235" s="138">
        <f>K235/E235</f>
        <v/>
      </c>
      <c r="Q235" s="123" t="n">
        <v>4</v>
      </c>
      <c r="R235" s="123" t="n">
        <v>2</v>
      </c>
      <c r="S235" s="123" t="inlineStr">
        <is>
          <t>계</t>
        </is>
      </c>
      <c r="T235" s="5" t="n">
        <v>140</v>
      </c>
      <c r="U235" s="9" t="n"/>
    </row>
    <row r="236" ht="12" customFormat="1" customHeight="1" s="37">
      <c r="A236" s="111" t="inlineStr">
        <is>
          <t>조촌동 시영</t>
        </is>
      </c>
      <c r="B236" s="112" t="inlineStr">
        <is>
          <t>93.12.</t>
        </is>
      </c>
      <c r="C236" s="132" t="n">
        <v>270</v>
      </c>
      <c r="D236" s="133" t="n">
        <v>66.59999999999999</v>
      </c>
      <c r="E236" s="134" t="n">
        <v>20</v>
      </c>
      <c r="F236" s="133" t="n">
        <v>49.1</v>
      </c>
      <c r="G236" s="17" t="n">
        <v>15</v>
      </c>
      <c r="H236" s="135" t="n">
        <v>150</v>
      </c>
      <c r="I236" s="136" t="n"/>
      <c r="J236" s="136" t="n"/>
      <c r="K236" s="136" t="n"/>
      <c r="L236" s="136" t="n"/>
      <c r="M236" s="137">
        <f>I236-K236</f>
        <v/>
      </c>
      <c r="N236" s="4">
        <f>IF(ISERROR(K236/I236),"",K236/I236)</f>
        <v/>
      </c>
      <c r="O236" s="138">
        <f>I236/E236</f>
        <v/>
      </c>
      <c r="P236" s="138">
        <f>K236/E236</f>
        <v/>
      </c>
      <c r="Q236" s="123" t="n">
        <v>2</v>
      </c>
      <c r="R236" s="123" t="n">
        <v>1</v>
      </c>
      <c r="S236" s="123" t="inlineStr">
        <is>
          <t>복</t>
        </is>
      </c>
      <c r="T236" s="5" t="n">
        <v>66</v>
      </c>
      <c r="U236" s="9" t="n"/>
    </row>
    <row r="237" ht="12" customFormat="1" customHeight="1" s="37">
      <c r="A237" s="111" t="inlineStr">
        <is>
          <t>조촌동 시영</t>
        </is>
      </c>
      <c r="B237" s="112" t="inlineStr">
        <is>
          <t>93.12.</t>
        </is>
      </c>
      <c r="C237" s="132" t="n">
        <v>270</v>
      </c>
      <c r="D237" s="133" t="n">
        <v>79.40000000000001</v>
      </c>
      <c r="E237" s="134" t="n">
        <v>24</v>
      </c>
      <c r="F237" s="133" t="n">
        <v>59.4</v>
      </c>
      <c r="G237" s="17" t="n">
        <v>18</v>
      </c>
      <c r="H237" s="135" t="n">
        <v>120</v>
      </c>
      <c r="I237" s="136" t="n"/>
      <c r="J237" s="136" t="n"/>
      <c r="K237" s="136" t="n"/>
      <c r="L237" s="136" t="n"/>
      <c r="M237" s="137">
        <f>I237-K237</f>
        <v/>
      </c>
      <c r="N237" s="4">
        <f>IF(ISERROR(K237/I237),"",K237/I237)</f>
        <v/>
      </c>
      <c r="O237" s="138">
        <f>I237/E237</f>
        <v/>
      </c>
      <c r="P237" s="138">
        <f>K237/E237</f>
        <v/>
      </c>
      <c r="Q237" s="123" t="n">
        <v>3</v>
      </c>
      <c r="R237" s="123" t="n">
        <v>1</v>
      </c>
      <c r="S237" s="123" t="inlineStr">
        <is>
          <t>복</t>
        </is>
      </c>
      <c r="T237" s="5" t="n">
        <v>79</v>
      </c>
      <c r="U237" s="9" t="n"/>
    </row>
    <row r="238" ht="12" customFormat="1" customHeight="1" s="37">
      <c r="A238" s="111" t="inlineStr">
        <is>
          <t>조촌동 더샵디오션시티2차</t>
        </is>
      </c>
      <c r="B238" s="112" t="inlineStr">
        <is>
          <t>23.07.</t>
        </is>
      </c>
      <c r="C238" s="132" t="n">
        <v>771</v>
      </c>
      <c r="D238" s="133" t="n">
        <v>109.6</v>
      </c>
      <c r="E238" s="134" t="n">
        <v>33</v>
      </c>
      <c r="F238" s="133" t="n">
        <v>85</v>
      </c>
      <c r="G238" s="17" t="n">
        <v>26</v>
      </c>
      <c r="H238" s="135" t="n">
        <v>442</v>
      </c>
      <c r="I238" s="136" t="n"/>
      <c r="J238" s="136" t="n"/>
      <c r="K238" s="136" t="n"/>
      <c r="L238" s="136" t="n"/>
      <c r="M238" s="137">
        <f>I238-K238</f>
        <v/>
      </c>
      <c r="N238" s="4">
        <f>IF(ISERROR(K238/I238),"",K238/I238)</f>
        <v/>
      </c>
      <c r="O238" s="138">
        <f>I238/E238</f>
        <v/>
      </c>
      <c r="P238" s="138">
        <f>K238/E238</f>
        <v/>
      </c>
      <c r="Q238" s="123" t="n">
        <v>3</v>
      </c>
      <c r="R238" s="123" t="n">
        <v>2</v>
      </c>
      <c r="S238" s="123" t="inlineStr">
        <is>
          <t>계</t>
        </is>
      </c>
      <c r="T238" s="5" t="inlineStr">
        <is>
          <t>109A</t>
        </is>
      </c>
      <c r="U238" s="9" t="n"/>
    </row>
    <row r="239" ht="12" customFormat="1" customHeight="1" s="37">
      <c r="A239" s="111" t="inlineStr">
        <is>
          <t>조촌동 더샵디오션시티2차</t>
        </is>
      </c>
      <c r="B239" s="112" t="inlineStr">
        <is>
          <t>23.07.</t>
        </is>
      </c>
      <c r="C239" s="132" t="n">
        <v>771</v>
      </c>
      <c r="D239" s="133" t="n">
        <v>135.4</v>
      </c>
      <c r="E239" s="134" t="n">
        <v>41</v>
      </c>
      <c r="F239" s="133" t="n">
        <v>107</v>
      </c>
      <c r="G239" s="17" t="n">
        <v>32</v>
      </c>
      <c r="H239" s="135" t="n">
        <v>125</v>
      </c>
      <c r="I239" s="136" t="n"/>
      <c r="J239" s="136" t="n"/>
      <c r="K239" s="136" t="n"/>
      <c r="L239" s="136" t="n"/>
      <c r="M239" s="137">
        <f>I239-K239</f>
        <v/>
      </c>
      <c r="N239" s="4">
        <f>IF(ISERROR(K239/I239),"",K239/I239)</f>
        <v/>
      </c>
      <c r="O239" s="138">
        <f>I239/E239</f>
        <v/>
      </c>
      <c r="P239" s="138">
        <f>K239/E239</f>
        <v/>
      </c>
      <c r="Q239" s="123" t="n">
        <v>4</v>
      </c>
      <c r="R239" s="123" t="n">
        <v>2</v>
      </c>
      <c r="S239" s="123" t="inlineStr">
        <is>
          <t>계</t>
        </is>
      </c>
      <c r="T239" s="5" t="n">
        <v>135</v>
      </c>
      <c r="U239" s="9" t="n"/>
    </row>
    <row r="240" ht="12" customFormat="1" customHeight="1" s="37">
      <c r="A240" s="111" t="inlineStr">
        <is>
          <t>조촌동 더샵디오션시티2차</t>
        </is>
      </c>
      <c r="B240" s="112" t="inlineStr">
        <is>
          <t>23.07.</t>
        </is>
      </c>
      <c r="C240" s="132" t="n">
        <v>771</v>
      </c>
      <c r="D240" s="133" t="n">
        <v>158</v>
      </c>
      <c r="E240" s="134" t="n">
        <v>48</v>
      </c>
      <c r="F240" s="133" t="n">
        <v>124.9</v>
      </c>
      <c r="G240" s="17" t="n">
        <v>38</v>
      </c>
      <c r="H240" s="135" t="n">
        <v>54</v>
      </c>
      <c r="I240" s="136" t="n"/>
      <c r="J240" s="136" t="n"/>
      <c r="K240" s="136" t="n"/>
      <c r="L240" s="136" t="n"/>
      <c r="M240" s="137">
        <f>I240-K240</f>
        <v/>
      </c>
      <c r="N240" s="4">
        <f>IF(ISERROR(K240/I240),"",K240/I240)</f>
        <v/>
      </c>
      <c r="O240" s="138">
        <f>I240/E240</f>
        <v/>
      </c>
      <c r="P240" s="138">
        <f>K240/E240</f>
        <v/>
      </c>
      <c r="Q240" s="123" t="n">
        <v>4</v>
      </c>
      <c r="R240" s="123" t="n">
        <v>2</v>
      </c>
      <c r="S240" s="123" t="inlineStr">
        <is>
          <t>계</t>
        </is>
      </c>
      <c r="T240" s="5" t="n">
        <v>158</v>
      </c>
      <c r="U240" s="9" t="n"/>
    </row>
    <row r="241" ht="12" customFormat="1" customHeight="1" s="37">
      <c r="A241" s="111" t="inlineStr">
        <is>
          <t>조촌동 더샵디오션시티</t>
        </is>
      </c>
      <c r="B241" s="112" t="inlineStr">
        <is>
          <t>21.10.</t>
        </is>
      </c>
      <c r="C241" s="132" t="n">
        <v>973</v>
      </c>
      <c r="D241" s="133" t="n">
        <v>79.5</v>
      </c>
      <c r="E241" s="134" t="n">
        <v>24</v>
      </c>
      <c r="F241" s="133" t="n">
        <v>60</v>
      </c>
      <c r="G241" s="17" t="n">
        <v>18</v>
      </c>
      <c r="H241" s="135" t="n">
        <v>171</v>
      </c>
      <c r="I241" s="136" t="n"/>
      <c r="J241" s="136" t="n"/>
      <c r="K241" s="136" t="n">
        <v>25000</v>
      </c>
      <c r="L241" s="136" t="inlineStr">
        <is>
          <t>17</t>
        </is>
      </c>
      <c r="M241" s="137">
        <f>I241-K241</f>
        <v/>
      </c>
      <c r="N241" s="4">
        <f>IF(ISERROR(K241/I241),"",K241/I241)</f>
        <v/>
      </c>
      <c r="O241" s="138">
        <f>I241/E241</f>
        <v/>
      </c>
      <c r="P241" s="138">
        <f>K241/E241</f>
        <v/>
      </c>
      <c r="Q241" s="123" t="n">
        <v>3</v>
      </c>
      <c r="R241" s="123" t="n">
        <v>2</v>
      </c>
      <c r="S241" s="123" t="inlineStr">
        <is>
          <t>계</t>
        </is>
      </c>
      <c r="T241" s="5" t="inlineStr">
        <is>
          <t>79A</t>
        </is>
      </c>
      <c r="U241" s="9" t="n"/>
    </row>
    <row r="242" ht="12" customFormat="1" customHeight="1" s="37">
      <c r="A242" s="111" t="inlineStr">
        <is>
          <t>조촌동 더샵디오션시티</t>
        </is>
      </c>
      <c r="B242" s="112" t="inlineStr">
        <is>
          <t>21.10.</t>
        </is>
      </c>
      <c r="C242" s="132" t="n">
        <v>973</v>
      </c>
      <c r="D242" s="133" t="n">
        <v>110.7</v>
      </c>
      <c r="E242" s="134" t="n">
        <v>33</v>
      </c>
      <c r="F242" s="133" t="n">
        <v>85</v>
      </c>
      <c r="G242" s="17" t="n">
        <v>26</v>
      </c>
      <c r="H242" s="135" t="n">
        <v>492</v>
      </c>
      <c r="I242" s="136" t="n"/>
      <c r="J242" s="136" t="n"/>
      <c r="K242" s="136" t="n">
        <v>30000</v>
      </c>
      <c r="L242" s="136" t="inlineStr">
        <is>
          <t>8</t>
        </is>
      </c>
      <c r="M242" s="137">
        <f>I242-K242</f>
        <v/>
      </c>
      <c r="N242" s="4">
        <f>IF(ISERROR(K242/I242),"",K242/I242)</f>
        <v/>
      </c>
      <c r="O242" s="138">
        <f>I242/E242</f>
        <v/>
      </c>
      <c r="P242" s="138">
        <f>K242/E242</f>
        <v/>
      </c>
      <c r="Q242" s="123" t="n">
        <v>3</v>
      </c>
      <c r="R242" s="123" t="n">
        <v>2</v>
      </c>
      <c r="S242" s="123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111" t="inlineStr">
        <is>
          <t>조촌동 더샵디오션시티</t>
        </is>
      </c>
      <c r="B243" s="112" t="inlineStr">
        <is>
          <t>21.10.</t>
        </is>
      </c>
      <c r="C243" s="132" t="n">
        <v>973</v>
      </c>
      <c r="D243" s="133" t="n">
        <v>134.2</v>
      </c>
      <c r="E243" s="134" t="n">
        <v>41</v>
      </c>
      <c r="F243" s="133" t="n">
        <v>104</v>
      </c>
      <c r="G243" s="17" t="n">
        <v>31</v>
      </c>
      <c r="H243" s="135" t="n">
        <v>112</v>
      </c>
      <c r="I243" s="136" t="n"/>
      <c r="J243" s="136" t="n"/>
      <c r="K243" s="136" t="n">
        <v>41000</v>
      </c>
      <c r="L243" s="136" t="inlineStr">
        <is>
          <t>21</t>
        </is>
      </c>
      <c r="M243" s="137">
        <f>I243-K243</f>
        <v/>
      </c>
      <c r="N243" s="4">
        <f>IF(ISERROR(K243/I243),"",K243/I243)</f>
        <v/>
      </c>
      <c r="O243" s="138">
        <f>I243/E243</f>
        <v/>
      </c>
      <c r="P243" s="138">
        <f>K243/E243</f>
        <v/>
      </c>
      <c r="Q243" s="123" t="n">
        <v>4</v>
      </c>
      <c r="R243" s="123" t="n">
        <v>2</v>
      </c>
      <c r="S243" s="123" t="inlineStr">
        <is>
          <t>계</t>
        </is>
      </c>
      <c r="T243" s="5" t="n">
        <v>134</v>
      </c>
      <c r="U243" s="9" t="n"/>
    </row>
    <row r="244" ht="12" customFormat="1" customHeight="1" s="37">
      <c r="A244" s="111" t="inlineStr">
        <is>
          <t>조촌동 더샵디오션시티</t>
        </is>
      </c>
      <c r="B244" s="112" t="inlineStr">
        <is>
          <t>21.10.</t>
        </is>
      </c>
      <c r="C244" s="132" t="n">
        <v>973</v>
      </c>
      <c r="D244" s="133" t="n">
        <v>153.2</v>
      </c>
      <c r="E244" s="134" t="n">
        <v>46</v>
      </c>
      <c r="F244" s="133" t="n">
        <v>119</v>
      </c>
      <c r="G244" s="17" t="n">
        <v>36</v>
      </c>
      <c r="H244" s="135" t="n">
        <v>56</v>
      </c>
      <c r="I244" s="136" t="n"/>
      <c r="J244" s="136" t="n"/>
      <c r="K244" s="136" t="n">
        <v>48000</v>
      </c>
      <c r="L244" s="136" t="inlineStr">
        <is>
          <t>25</t>
        </is>
      </c>
      <c r="M244" s="137">
        <f>I244-K244</f>
        <v/>
      </c>
      <c r="N244" s="4">
        <f>IF(ISERROR(K244/I244),"",K244/I244)</f>
        <v/>
      </c>
      <c r="O244" s="138">
        <f>I244/E244</f>
        <v/>
      </c>
      <c r="P244" s="138">
        <f>K244/E244</f>
        <v/>
      </c>
      <c r="Q244" s="123" t="n">
        <v>4</v>
      </c>
      <c r="R244" s="123" t="n">
        <v>2</v>
      </c>
      <c r="S244" s="123" t="inlineStr">
        <is>
          <t>계</t>
        </is>
      </c>
      <c r="T244" s="5" t="n">
        <v>153</v>
      </c>
      <c r="U244" s="9" t="n"/>
    </row>
    <row r="245" ht="12" customFormat="1" customHeight="1" s="37">
      <c r="A245" s="111" t="inlineStr">
        <is>
          <t>조촌동 세경</t>
        </is>
      </c>
      <c r="B245" s="112" t="inlineStr">
        <is>
          <t>18.03.</t>
        </is>
      </c>
      <c r="C245" s="132" t="n">
        <v>1400</v>
      </c>
      <c r="D245" s="133" t="n">
        <v>82</v>
      </c>
      <c r="E245" s="134" t="n">
        <v>25</v>
      </c>
      <c r="F245" s="133" t="n">
        <v>60</v>
      </c>
      <c r="G245" s="17" t="n">
        <v>18</v>
      </c>
      <c r="H245" s="135" t="n">
        <v>189</v>
      </c>
      <c r="I245" s="136" t="n"/>
      <c r="J245" s="136" t="n"/>
      <c r="K245" s="136" t="n"/>
      <c r="L245" s="136" t="n"/>
      <c r="M245" s="137">
        <f>I245-K245</f>
        <v/>
      </c>
      <c r="N245" s="4">
        <f>IF(ISERROR(K245/I245),"",K245/I245)</f>
        <v/>
      </c>
      <c r="O245" s="138">
        <f>I245/E245</f>
        <v/>
      </c>
      <c r="P245" s="138">
        <f>K245/E245</f>
        <v/>
      </c>
      <c r="Q245" s="123" t="n">
        <v>3</v>
      </c>
      <c r="R245" s="123" t="n">
        <v>2</v>
      </c>
      <c r="S245" s="123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050" operator="greaterThan" dxfId="13">
      <formula>0.9</formula>
    </cfRule>
    <cfRule type="cellIs" priority="39051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84058" dxfId="3">
      <formula>AND(IF(OR($Q4=1,$Q4=2),1,0),IF(#REF!&lt;=20,1,0))</formula>
    </cfRule>
    <cfRule type="expression" priority="84059" dxfId="2">
      <formula>AND(IF($Q4=2,1,0),IF(#REF!&lt;30,1,0))</formula>
    </cfRule>
    <cfRule type="expression" priority="84060" dxfId="1">
      <formula>AND(IF($Q4=3,1,0),IF(#REF!&lt;30,1,0))</formula>
    </cfRule>
    <cfRule type="expression" priority="8406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16" zoomScaleNormal="100" workbookViewId="0">
      <selection activeCell="G17" sqref="G17"/>
    </sheetView>
  </sheetViews>
  <sheetFormatPr baseColWidth="8" defaultColWidth="17.5" defaultRowHeight="13.5"/>
  <cols>
    <col width="4.625" bestFit="1" customWidth="1" style="122" min="1" max="1"/>
    <col width="3.375" customWidth="1" style="122" min="2" max="2"/>
    <col width="4.625" bestFit="1" customWidth="1" style="122" min="3" max="3"/>
    <col width="29.125" customWidth="1" style="50" min="4" max="9"/>
    <col width="25" customWidth="1" style="50" min="10" max="23"/>
    <col width="17.5" customWidth="1" style="50" min="24" max="48"/>
    <col width="17.5" customWidth="1" style="122" min="49" max="50"/>
    <col width="17.5" customWidth="1" style="122" min="51" max="16384"/>
  </cols>
  <sheetData>
    <row r="1">
      <c r="D1" s="122" t="n"/>
      <c r="E1" s="122" t="n"/>
      <c r="F1" s="122" t="n"/>
      <c r="G1" s="122" t="n"/>
      <c r="H1" s="122" t="n"/>
      <c r="I1" s="122" t="n"/>
      <c r="J1" s="122" t="n"/>
      <c r="K1" s="122" t="n"/>
      <c r="L1" s="122" t="n"/>
      <c r="M1" s="122" t="n"/>
      <c r="N1" s="122" t="n"/>
      <c r="O1" s="122" t="n"/>
      <c r="P1" s="122" t="n"/>
      <c r="Q1" s="122" t="n"/>
      <c r="R1" s="122" t="n"/>
      <c r="S1" s="122" t="n"/>
      <c r="T1" s="122" t="n"/>
      <c r="U1" s="122" t="n"/>
      <c r="V1" s="122" t="n"/>
      <c r="W1" s="122" t="n"/>
      <c r="X1" s="122" t="n"/>
      <c r="Y1" s="122" t="n"/>
      <c r="Z1" s="122" t="n"/>
      <c r="AA1" s="122" t="n"/>
      <c r="AB1" s="122" t="n"/>
      <c r="AC1" s="122" t="n"/>
      <c r="AD1" s="122" t="n"/>
      <c r="AE1" s="122" t="n"/>
      <c r="AF1" s="122" t="n"/>
      <c r="AG1" s="122" t="n"/>
      <c r="AH1" s="122" t="n"/>
      <c r="AI1" s="122" t="n"/>
      <c r="AJ1" s="122" t="n"/>
      <c r="AK1" s="122" t="n"/>
      <c r="AL1" s="122" t="n"/>
      <c r="AM1" s="122" t="n"/>
      <c r="AN1" s="122" t="n"/>
      <c r="AO1" s="122" t="n"/>
      <c r="AP1" s="122" t="n"/>
      <c r="AQ1" s="122" t="n"/>
      <c r="AR1" s="122" t="n"/>
      <c r="AS1" s="122" t="n"/>
      <c r="AT1" s="122" t="n"/>
      <c r="AU1" s="122" t="n"/>
      <c r="AV1" s="122" t="n"/>
    </row>
    <row r="2">
      <c r="D2" s="122" t="n"/>
      <c r="E2" s="122" t="n"/>
      <c r="F2" s="122" t="n"/>
      <c r="G2" s="122" t="n"/>
      <c r="H2" s="122" t="n"/>
      <c r="I2" s="122" t="n"/>
      <c r="J2" s="122" t="n"/>
      <c r="K2" s="122" t="n"/>
      <c r="L2" s="122" t="n"/>
      <c r="M2" s="122" t="n"/>
      <c r="N2" s="122" t="n"/>
      <c r="O2" s="122" t="n"/>
      <c r="P2" s="122" t="n"/>
      <c r="Q2" s="122" t="n"/>
      <c r="R2" s="122" t="n"/>
      <c r="S2" s="122" t="n"/>
      <c r="T2" s="122" t="n"/>
      <c r="U2" s="122" t="n"/>
      <c r="V2" s="122" t="n"/>
      <c r="W2" s="122" t="n"/>
      <c r="X2" s="122" t="n"/>
      <c r="Y2" s="122" t="n"/>
      <c r="Z2" s="122" t="n"/>
      <c r="AA2" s="122" t="n"/>
      <c r="AB2" s="122" t="n"/>
      <c r="AC2" s="122" t="n"/>
      <c r="AD2" s="122" t="n"/>
      <c r="AE2" s="122" t="n"/>
      <c r="AF2" s="122" t="n"/>
      <c r="AG2" s="122" t="n"/>
      <c r="AH2" s="122" t="n"/>
      <c r="AI2" s="122" t="n"/>
      <c r="AJ2" s="122" t="n"/>
      <c r="AK2" s="122" t="n"/>
      <c r="AL2" s="122" t="n"/>
      <c r="AM2" s="122" t="n"/>
      <c r="AN2" s="122" t="n"/>
      <c r="AO2" s="122" t="n"/>
      <c r="AP2" s="122" t="n"/>
      <c r="AQ2" s="122" t="n"/>
      <c r="AR2" s="122" t="n"/>
      <c r="AS2" s="122" t="n"/>
      <c r="AT2" s="122" t="n"/>
      <c r="AU2" s="122" t="n"/>
      <c r="AV2" s="122" t="n"/>
    </row>
    <row r="3">
      <c r="D3" s="122" t="n"/>
      <c r="E3" s="122" t="n"/>
      <c r="F3" s="122" t="n"/>
      <c r="G3" s="122" t="n"/>
      <c r="H3" s="122" t="n"/>
      <c r="I3" s="122" t="n"/>
      <c r="J3" s="122" t="n"/>
      <c r="K3" s="122" t="n"/>
      <c r="L3" s="122" t="n"/>
      <c r="M3" s="122" t="n"/>
      <c r="N3" s="122" t="n"/>
      <c r="O3" s="122" t="n"/>
      <c r="P3" s="122" t="n"/>
      <c r="Q3" s="122" t="n"/>
      <c r="R3" s="122" t="n"/>
      <c r="S3" s="122" t="n"/>
      <c r="T3" s="122" t="n"/>
      <c r="U3" s="122" t="n"/>
      <c r="V3" s="122" t="n"/>
      <c r="W3" s="122" t="n"/>
      <c r="X3" s="122" t="n"/>
      <c r="Y3" s="122" t="n"/>
      <c r="Z3" s="122" t="n"/>
      <c r="AA3" s="122" t="n"/>
      <c r="AB3" s="122" t="n"/>
      <c r="AC3" s="122" t="n"/>
      <c r="AD3" s="122" t="n"/>
      <c r="AE3" s="122" t="n"/>
      <c r="AF3" s="122" t="n"/>
      <c r="AG3" s="122" t="n"/>
      <c r="AH3" s="122" t="n"/>
      <c r="AI3" s="122" t="n"/>
      <c r="AJ3" s="122" t="n"/>
      <c r="AK3" s="122" t="n"/>
      <c r="AL3" s="122" t="n"/>
      <c r="AM3" s="122" t="n"/>
      <c r="AN3" s="122" t="n"/>
      <c r="AO3" s="122" t="n"/>
      <c r="AP3" s="122" t="n"/>
      <c r="AQ3" s="122" t="n"/>
      <c r="AR3" s="122" t="n"/>
      <c r="AS3" s="122" t="n"/>
      <c r="AT3" s="122" t="n"/>
      <c r="AU3" s="122" t="n"/>
      <c r="AV3" s="122" t="n"/>
    </row>
    <row r="4">
      <c r="A4" s="121" t="inlineStr">
        <is>
          <t>동1</t>
        </is>
      </c>
      <c r="D4" s="122" t="inlineStr">
        <is>
          <t>미장동</t>
        </is>
      </c>
      <c r="E4" s="122" t="inlineStr">
        <is>
          <t>수송동</t>
        </is>
      </c>
      <c r="F4" s="122" t="inlineStr">
        <is>
          <t>나운동</t>
        </is>
      </c>
      <c r="G4" s="122" t="inlineStr">
        <is>
          <t>조촌동</t>
        </is>
      </c>
      <c r="H4" s="122" t="n"/>
      <c r="I4" s="122" t="n"/>
      <c r="J4" s="122" t="n"/>
      <c r="K4" s="122" t="n"/>
      <c r="L4" s="122" t="n"/>
      <c r="M4" s="122" t="n"/>
      <c r="N4" s="122" t="n"/>
      <c r="O4" s="122" t="n"/>
      <c r="P4" s="122" t="n"/>
      <c r="Q4" s="122" t="n"/>
      <c r="R4" s="122" t="n"/>
      <c r="S4" s="122" t="n"/>
      <c r="T4" s="122" t="n"/>
      <c r="U4" s="122" t="n"/>
      <c r="V4" s="122" t="n"/>
      <c r="W4" s="122" t="n"/>
      <c r="X4" s="122" t="n"/>
      <c r="Y4" s="122" t="n"/>
      <c r="Z4" s="122" t="n"/>
      <c r="AA4" s="122" t="n"/>
      <c r="AB4" s="122" t="n"/>
      <c r="AC4" s="122" t="n"/>
      <c r="AD4" s="122" t="n"/>
      <c r="AE4" s="122" t="n"/>
      <c r="AF4" s="122" t="n"/>
      <c r="AG4" s="122" t="n"/>
      <c r="AH4" s="122" t="n"/>
      <c r="AI4" s="122" t="n"/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121" t="inlineStr">
        <is>
          <t>동2</t>
        </is>
      </c>
    </row>
    <row r="6">
      <c r="A6" s="121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5" t="n">
        <v>8</v>
      </c>
      <c r="B8" s="57" t="inlineStr">
        <is>
          <t>~</t>
        </is>
      </c>
      <c r="C8" s="146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7" t="n">
        <v>7</v>
      </c>
      <c r="B9" s="59" t="inlineStr">
        <is>
          <t>~</t>
        </is>
      </c>
      <c r="C9" s="148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9" t="n">
        <v>6</v>
      </c>
      <c r="B10" s="55" t="inlineStr">
        <is>
          <t>~</t>
        </is>
      </c>
      <c r="C10" s="150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9" t="n">
        <v>5</v>
      </c>
      <c r="B11" s="55" t="inlineStr">
        <is>
          <t>~</t>
        </is>
      </c>
      <c r="C11" s="150" t="n">
        <v>6</v>
      </c>
      <c r="D11" s="56" t="n"/>
      <c r="E11" s="56" t="n"/>
      <c r="F11" s="56" t="n"/>
      <c r="G11" s="56" t="inlineStr">
        <is>
          <t>e편한세상군산디오션시티(34평/5.0)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6">
      <c r="A12" s="149" t="n">
        <v>4</v>
      </c>
      <c r="B12" s="55" t="inlineStr">
        <is>
          <t>~</t>
        </is>
      </c>
      <c r="C12" s="150" t="n">
        <v>5</v>
      </c>
      <c r="D12" s="56" t="inlineStr">
        <is>
          <t>군산미장2차아이파크(30평/4.0)</t>
        </is>
      </c>
      <c r="E12" s="56" t="n"/>
      <c r="F12" s="56" t="n"/>
      <c r="G12" s="56" t="inlineStr">
        <is>
          <t>군산디오션시티푸르지오(35평/5.0)_x000D_
군산디오션시티푸르지오(31평/4.4)_x000D_
e편한세상군산디오션시티(30평/4.0)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6">
      <c r="A13" s="151" t="n">
        <v>3</v>
      </c>
      <c r="B13" s="60" t="inlineStr">
        <is>
          <t>~</t>
        </is>
      </c>
      <c r="C13" s="152" t="n">
        <v>4</v>
      </c>
      <c r="D13" s="61" t="inlineStr">
        <is>
          <t>미장대원칸타빌(34평/3.7)_x000D_
군산미장아이파크(34평/3.6)_x000D_
미장대원칸타빌(30평/3.5)_x000D_
수송공원삼성쉐르빌(34평/3.1)</t>
        </is>
      </c>
      <c r="E13" s="61" t="inlineStr">
        <is>
          <t>한라비발디2단지(34평/3.2)_x000D_
군산수송세영리첼(35평/3.2)_x000D_
군산수송제일오투그란데1단지(35평/3.0)</t>
        </is>
      </c>
      <c r="F13" s="61" t="n"/>
      <c r="G13" s="61" t="inlineStr">
        <is>
          <t>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6">
      <c r="A14" s="151" t="n">
        <v>2.5</v>
      </c>
      <c r="B14" s="60" t="inlineStr">
        <is>
          <t>~</t>
        </is>
      </c>
      <c r="C14" s="152" t="n">
        <v>3</v>
      </c>
      <c r="D14" s="61" t="inlineStr">
        <is>
          <t>미장대원칸타빌(27평/2.9)_x000D_
미장대원칸타빌(24평/2.9)</t>
        </is>
      </c>
      <c r="E14" s="61" t="inlineStr">
        <is>
          <t>군산수송제일오투그란데1단지(30평/2.7)</t>
        </is>
      </c>
      <c r="F14" s="61" t="n"/>
      <c r="G14" s="61" t="inlineStr">
        <is>
          <t>타워써미트(34평/2.8)_x000D_
센트럴파크(33평/2.7)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6">
      <c r="A15" s="151" t="n">
        <v>2</v>
      </c>
      <c r="B15" s="60" t="inlineStr">
        <is>
          <t>~</t>
        </is>
      </c>
      <c r="C15" s="152" t="n">
        <v>2.5</v>
      </c>
      <c r="D15" s="61" t="inlineStr">
        <is>
          <t>군산미장아이파크(24평/2.4)_x000D_
파인빌2차(36평/2.1)</t>
        </is>
      </c>
      <c r="E15" s="61" t="inlineStr">
        <is>
          <t>수송오투그란데2차(25평/2.2)_x000D_
현대(32평/2.0)</t>
        </is>
      </c>
      <c r="F15" s="61" t="inlineStr">
        <is>
          <t>주공3단지(20평/2.2)</t>
        </is>
      </c>
      <c r="G15" s="61" t="inlineStr">
        <is>
          <t>타워써미트(24평/2.1)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6">
      <c r="A16" s="153" t="n">
        <v>1.5</v>
      </c>
      <c r="B16" s="62" t="inlineStr">
        <is>
          <t>~</t>
        </is>
      </c>
      <c r="C16" s="154" t="n">
        <v>2</v>
      </c>
      <c r="D16" s="63" t="inlineStr">
        <is>
          <t>파인빌1차(24평/1.6)</t>
        </is>
      </c>
      <c r="E16" s="63" t="inlineStr">
        <is>
          <t>수송제일(34평/1.9)_x000D_
수송오투그란데2차(22평/1.8)_x000D_
현대(29평/1.8)</t>
        </is>
      </c>
      <c r="F16" s="63" t="inlineStr">
        <is>
          <t>수송코아루(26평/2.0)_x000D_
현대4차(32평/1.9)_x000D_
주공3단지(16평/1.8)_x000D_
주공3단지(16평/1.8)_x000D_
금호타운2차(31평/1.7)_x000D_
삼성(401)(32평/1.7)_x000D_
서호(31평/1.6)_x000D_
롯데3차(32평/1.6)</t>
        </is>
      </c>
      <c r="G16" s="63" t="inlineStr">
        <is>
          <t>삼성(32평/1.7)_x000D_
현대(31평/1.7)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6">
      <c r="A17" s="153" t="n">
        <v>1</v>
      </c>
      <c r="B17" s="62" t="inlineStr">
        <is>
          <t>~</t>
        </is>
      </c>
      <c r="C17" s="154" t="n">
        <v>1.5</v>
      </c>
      <c r="D17" s="63" t="n"/>
      <c r="E17" s="63" t="inlineStr">
        <is>
          <t>동신(32평/1.4)</t>
        </is>
      </c>
      <c r="F17" s="63" t="inlineStr">
        <is>
          <t>현대3차(32평/1.5)_x000D_
나운보람더하임(24평/1.4)_x000D_
현대4차(23평/1.4)_x000D_
나운현대2차(32평/1.4)_x000D_
금호타운1차(31평/1.4)_x000D_
롯데2차(32평/1.4)_x000D_
롯데1차(32평/1.4)_x000D_
금호타운1차(27평/1.3)_x000D_
롯데1차(28평/1.2)_x000D_
신일(23평/1.2)_x000D_
서호(25평/1.2)_x000D_
영창(23평/1.2)_x000D_
롯데2차(28평/1.1)_x000D_
한울(23평/1.0)_x000D_
현대백조(29평/1.0)</t>
        </is>
      </c>
      <c r="G17" s="63" t="inlineStr">
        <is>
          <t>현대(28평/1.3)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5">
        <f>IF(A8="","",A8)</f>
        <v/>
      </c>
      <c r="B21" s="57">
        <f>IF(B8="","",B8)</f>
        <v/>
      </c>
      <c r="C21" s="146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7">
        <f>IF(A9="","",A9)</f>
        <v/>
      </c>
      <c r="B22" s="59">
        <f>IF(B9="","",B9)</f>
        <v/>
      </c>
      <c r="C22" s="148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9">
        <f>IF(A10="","",A10)</f>
        <v/>
      </c>
      <c r="B23" s="55">
        <f>IF(B10="","",B10)</f>
        <v/>
      </c>
      <c r="C23" s="150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9">
        <f>IF(A11="","",A11)</f>
        <v/>
      </c>
      <c r="B24" s="55">
        <f>IF(B11="","",B11)</f>
        <v/>
      </c>
      <c r="C24" s="150">
        <f>IF(C11="","",C11)</f>
        <v/>
      </c>
      <c r="D24" s="56" t="n"/>
      <c r="E24" s="56" t="n"/>
      <c r="F24" s="56" t="n"/>
      <c r="G24" s="56" t="inlineStr">
        <is>
          <t>e편한세상군산디오션시티('18/5.0)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6">
      <c r="A25" s="149">
        <f>IF(A12="","",A12)</f>
        <v/>
      </c>
      <c r="B25" s="55">
        <f>IF(B12="","",B12)</f>
        <v/>
      </c>
      <c r="C25" s="150">
        <f>IF(C12="","",C12)</f>
        <v/>
      </c>
      <c r="D25" s="56" t="inlineStr">
        <is>
          <t>군산미장2차아이파크('17/4.0)</t>
        </is>
      </c>
      <c r="E25" s="56" t="n"/>
      <c r="F25" s="56" t="n"/>
      <c r="G25" s="56" t="inlineStr">
        <is>
          <t>군산디오션시티푸르지오('18/5.0)_x000D_
군산디오션시티푸르지오('18/4.4)_x000D_
e편한세상군산디오션시티('18/4.0)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6">
      <c r="A26" s="151">
        <f>IF(A13="","",A13)</f>
        <v/>
      </c>
      <c r="B26" s="60">
        <f>IF(B13="","",B13)</f>
        <v/>
      </c>
      <c r="C26" s="152">
        <f>IF(C13="","",C13)</f>
        <v/>
      </c>
      <c r="D26" s="61" t="inlineStr">
        <is>
          <t>미장대원칸타빌('18/3.7)_x000D_
군산미장아이파크('15/3.6)_x000D_
미장대원칸타빌('18/3.5)_x000D_
수송공원삼성쉐르빌('09/3.1)</t>
        </is>
      </c>
      <c r="E26" s="61" t="inlineStr">
        <is>
          <t>한라비발디2단지('08/3.2)_x000D_
군산수송세영리첼('10/3.2)_x000D_
군산수송제일오투그란데1단지('08/3.0)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6">
      <c r="A27" s="151">
        <f>IF(A14="","",A14)</f>
        <v/>
      </c>
      <c r="B27" s="60">
        <f>IF(B14="","",B14)</f>
        <v/>
      </c>
      <c r="C27" s="152">
        <f>IF(C14="","",C14)</f>
        <v/>
      </c>
      <c r="D27" s="61" t="n"/>
      <c r="E27" s="61" t="inlineStr">
        <is>
          <t>군산수송제일오투그란데1단지('08/2.7)</t>
        </is>
      </c>
      <c r="F27" s="61" t="n"/>
      <c r="G27" s="61" t="inlineStr">
        <is>
          <t>타워써미트('12/2.8)_x000D_
센트럴파크('17/2.7)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51">
        <f>IF(A15="","",A15)</f>
        <v/>
      </c>
      <c r="B28" s="60">
        <f>IF(B15="","",B15)</f>
        <v/>
      </c>
      <c r="C28" s="152">
        <f>IF(C15="","",C15)</f>
        <v/>
      </c>
      <c r="D28" s="61" t="inlineStr">
        <is>
          <t>파인빌2차('06/2.1)</t>
        </is>
      </c>
      <c r="E28" s="61" t="inlineStr">
        <is>
          <t>현대('97/2.0)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6">
      <c r="A29" s="153">
        <f>IF(A16="","",A16)</f>
        <v/>
      </c>
      <c r="B29" s="62">
        <f>IF(B16="","",B16)</f>
        <v/>
      </c>
      <c r="C29" s="154">
        <f>IF(C16="","",C16)</f>
        <v/>
      </c>
      <c r="D29" s="63" t="n"/>
      <c r="E29" s="63" t="inlineStr">
        <is>
          <t>수송제일('02/1.9)</t>
        </is>
      </c>
      <c r="F29" s="63" t="inlineStr">
        <is>
          <t>현대4차('98/1.9)_x000D_
금호타운2차('94/1.7)_x000D_
삼성(401)('98/1.7)_x000D_
서호('95/1.6)_x000D_
롯데3차('94/1.6)</t>
        </is>
      </c>
      <c r="G29" s="63" t="inlineStr">
        <is>
          <t>삼성('92/1.7)_x000D_
현대('95/1.7)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6">
      <c r="A30" s="153">
        <f>IF(A17="","",A17)</f>
        <v/>
      </c>
      <c r="B30" s="62">
        <f>IF(B17="","",B17)</f>
        <v/>
      </c>
      <c r="C30" s="154">
        <f>IF(C17="","",C17)</f>
        <v/>
      </c>
      <c r="D30" s="63" t="n"/>
      <c r="E30" s="63" t="inlineStr">
        <is>
          <t>동신('91/1.4)</t>
        </is>
      </c>
      <c r="F30" s="63" t="inlineStr">
        <is>
          <t>현대3차('95/1.5)_x000D_
나운현대2차('93/1.4)_x000D_
금호타운1차('91/1.4)_x000D_
롯데2차('92/1.4)_x000D_
롯데1차('91/1.4)</t>
        </is>
      </c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5">
        <f>IF(A21="","",A21)</f>
        <v/>
      </c>
      <c r="B34" s="57">
        <f>IF(B21="","",B21)</f>
        <v/>
      </c>
      <c r="C34" s="146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7">
        <f>IF(A22="","",A22)</f>
        <v/>
      </c>
      <c r="B35" s="59">
        <f>IF(B22="","",B22)</f>
        <v/>
      </c>
      <c r="C35" s="148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9">
        <f>IF(A23="","",A23)</f>
        <v/>
      </c>
      <c r="B36" s="55">
        <f>IF(B23="","",B23)</f>
        <v/>
      </c>
      <c r="C36" s="150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9">
        <f>IF(A24="","",A24)</f>
        <v/>
      </c>
      <c r="B37" s="55">
        <f>IF(B24="","",B24)</f>
        <v/>
      </c>
      <c r="C37" s="150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9">
        <f>IF(A25="","",A25)</f>
        <v/>
      </c>
      <c r="B38" s="55">
        <f>IF(B25="","",B25)</f>
        <v/>
      </c>
      <c r="C38" s="150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6">
      <c r="A39" s="151">
        <f>IF(A26="","",A26)</f>
        <v/>
      </c>
      <c r="B39" s="60">
        <f>IF(B26="","",B26)</f>
        <v/>
      </c>
      <c r="C39" s="152">
        <f>IF(C26="","",C26)</f>
        <v/>
      </c>
      <c r="D39" s="61" t="n"/>
      <c r="E39" s="61" t="n"/>
      <c r="F39" s="61" t="n"/>
      <c r="G39" s="61" t="inlineStr">
        <is>
          <t>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6">
      <c r="A40" s="151">
        <f>IF(A27="","",A27)</f>
        <v/>
      </c>
      <c r="B40" s="60">
        <f>IF(B27="","",B27)</f>
        <v/>
      </c>
      <c r="C40" s="152">
        <f>IF(C27="","",C27)</f>
        <v/>
      </c>
      <c r="D40" s="61" t="inlineStr">
        <is>
          <t>미장대원칸타빌('18/2.9)_x000D_
미장대원칸타빌('18/2.9)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51">
        <f>IF(A28="","",A28)</f>
        <v/>
      </c>
      <c r="B41" s="60">
        <f>IF(B28="","",B28)</f>
        <v/>
      </c>
      <c r="C41" s="152">
        <f>IF(C28="","",C28)</f>
        <v/>
      </c>
      <c r="D41" s="61" t="inlineStr">
        <is>
          <t>군산미장아이파크('15/2.4)</t>
        </is>
      </c>
      <c r="E41" s="61" t="inlineStr">
        <is>
          <t>수송오투그란데2차('11/2.2)</t>
        </is>
      </c>
      <c r="F41" s="61" t="inlineStr">
        <is>
          <t>주공3단지('83/2.2)</t>
        </is>
      </c>
      <c r="G41" s="61" t="inlineStr">
        <is>
          <t>타워써미트('12/2.1)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3">
        <f>IF(A29="","",A29)</f>
        <v/>
      </c>
      <c r="B42" s="62">
        <f>IF(B29="","",B29)</f>
        <v/>
      </c>
      <c r="C42" s="154">
        <f>IF(C29="","",C29)</f>
        <v/>
      </c>
      <c r="D42" s="63" t="inlineStr">
        <is>
          <t>파인빌1차('04/1.6)</t>
        </is>
      </c>
      <c r="E42" s="63" t="inlineStr">
        <is>
          <t>현대('97/1.8)</t>
        </is>
      </c>
      <c r="F42" s="63" t="inlineStr">
        <is>
          <t>수송코아루('09/2.0)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6">
      <c r="A43" s="153">
        <f>IF(A30="","",A30)</f>
        <v/>
      </c>
      <c r="B43" s="62">
        <f>IF(B30="","",B30)</f>
        <v/>
      </c>
      <c r="C43" s="154">
        <f>IF(C30="","",C30)</f>
        <v/>
      </c>
      <c r="D43" s="63" t="n"/>
      <c r="E43" s="63" t="n"/>
      <c r="F43" s="63" t="inlineStr">
        <is>
          <t>나운보람더하임('10/1.4)_x000D_
현대4차('98/1.4)_x000D_
금호타운1차('91/1.3)_x000D_
롯데1차('91/1.2)_x000D_
신일('95/1.2)_x000D_
서호('95/1.2)_x000D_
영창('95/1.2)_x000D_
롯데2차('92/1.1)_x000D_
한울('96/1.0)_x000D_
현대백조('92/1.0)</t>
        </is>
      </c>
      <c r="G43" s="63" t="inlineStr">
        <is>
          <t>현대('95/1.3)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5">
        <f>IF(A34="","",A34)</f>
        <v/>
      </c>
      <c r="B47" s="57">
        <f>IF(B34="","",B34)</f>
        <v/>
      </c>
      <c r="C47" s="146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7">
        <f>IF(A35="","",A35)</f>
        <v/>
      </c>
      <c r="B48" s="59">
        <f>IF(B35="","",B35)</f>
        <v/>
      </c>
      <c r="C48" s="148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9">
        <f>IF(A36="","",A36)</f>
        <v/>
      </c>
      <c r="B49" s="55">
        <f>IF(B36="","",B36)</f>
        <v/>
      </c>
      <c r="C49" s="150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9">
        <f>IF(A37="","",A37)</f>
        <v/>
      </c>
      <c r="B50" s="55">
        <f>IF(B37="","",B37)</f>
        <v/>
      </c>
      <c r="C50" s="150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9">
        <f>IF(A38="","",A38)</f>
        <v/>
      </c>
      <c r="B51" s="55">
        <f>IF(B38="","",B38)</f>
        <v/>
      </c>
      <c r="C51" s="150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51">
        <f>IF(A39="","",A39)</f>
        <v/>
      </c>
      <c r="B52" s="60">
        <f>IF(B39="","",B39)</f>
        <v/>
      </c>
      <c r="C52" s="152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51">
        <f>IF(A40="","",A40)</f>
        <v/>
      </c>
      <c r="B53" s="60">
        <f>IF(B40="","",B40)</f>
        <v/>
      </c>
      <c r="C53" s="152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51">
        <f>IF(A41="","",A41)</f>
        <v/>
      </c>
      <c r="B54" s="60">
        <f>IF(B41="","",B41)</f>
        <v/>
      </c>
      <c r="C54" s="152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3">
        <f>IF(A42="","",A42)</f>
        <v/>
      </c>
      <c r="B55" s="62">
        <f>IF(B42="","",B42)</f>
        <v/>
      </c>
      <c r="C55" s="154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3">
        <f>IF(A43="","",A43)</f>
        <v/>
      </c>
      <c r="B56" s="62">
        <f>IF(B43="","",B43)</f>
        <v/>
      </c>
      <c r="C56" s="154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5">
        <f>IF(A47="","",A47)</f>
        <v/>
      </c>
      <c r="B60" s="57">
        <f>IF(B47="","",B47)</f>
        <v/>
      </c>
      <c r="C60" s="146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7">
        <f>IF(A48="","",A48)</f>
        <v/>
      </c>
      <c r="B61" s="59">
        <f>IF(B48="","",B48)</f>
        <v/>
      </c>
      <c r="C61" s="148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9">
        <f>IF(A49="","",A49)</f>
        <v/>
      </c>
      <c r="B62" s="55">
        <f>IF(B49="","",B49)</f>
        <v/>
      </c>
      <c r="C62" s="150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9">
        <f>IF(A50="","",A50)</f>
        <v/>
      </c>
      <c r="B63" s="55">
        <f>IF(B50="","",B50)</f>
        <v/>
      </c>
      <c r="C63" s="150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9">
        <f>IF(A51="","",A51)</f>
        <v/>
      </c>
      <c r="B64" s="55">
        <f>IF(B51="","",B51)</f>
        <v/>
      </c>
      <c r="C64" s="150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51">
        <f>IF(A52="","",A52)</f>
        <v/>
      </c>
      <c r="B65" s="60">
        <f>IF(B52="","",B52)</f>
        <v/>
      </c>
      <c r="C65" s="152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51">
        <f>IF(A53="","",A53)</f>
        <v/>
      </c>
      <c r="B66" s="60">
        <f>IF(B53="","",B53)</f>
        <v/>
      </c>
      <c r="C66" s="152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51">
        <f>IF(A54="","",A54)</f>
        <v/>
      </c>
      <c r="B67" s="60">
        <f>IF(B54="","",B54)</f>
        <v/>
      </c>
      <c r="C67" s="152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6">
      <c r="A68" s="153">
        <f>IF(A55="","",A55)</f>
        <v/>
      </c>
      <c r="B68" s="62">
        <f>IF(B55="","",B55)</f>
        <v/>
      </c>
      <c r="C68" s="154">
        <f>IF(C55="","",C55)</f>
        <v/>
      </c>
      <c r="D68" s="63" t="n"/>
      <c r="E68" s="63" t="n"/>
      <c r="F68" s="63" t="inlineStr">
        <is>
          <t>주공3단지('83/1.8)_x000D_
주공3단지('83/1.8)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3">
        <f>IF(A56="","",A56)</f>
        <v/>
      </c>
      <c r="B69" s="62">
        <f>IF(B56="","",B56)</f>
        <v/>
      </c>
      <c r="C69" s="154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6">
      <c r="A1" s="70" t="inlineStr">
        <is>
          <t>동 이름 :</t>
        </is>
      </c>
      <c r="B1" s="71" t="n"/>
    </row>
    <row r="2">
      <c r="A2" s="78" t="inlineStr">
        <is>
          <t>KB 평면도입력</t>
        </is>
      </c>
    </row>
    <row r="3" ht="23.25" customHeight="1" s="126"/>
    <row r="7" ht="22.5" customHeight="1" s="126"/>
    <row r="9" ht="17.25" customHeight="1" s="126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8" min="1" max="38"/>
  </cols>
  <sheetData>
    <row r="1">
      <c r="A1" s="78" t="inlineStr">
        <is>
          <t>[경암동]</t>
        </is>
      </c>
      <c r="B1" s="78" t="n">
        <v>4952</v>
      </c>
      <c r="C1" s="78" t="n">
        <v>1</v>
      </c>
      <c r="D1" s="78" t="inlineStr">
        <is>
          <t>새한</t>
        </is>
      </c>
      <c r="E1" s="78" t="inlineStr">
        <is>
          <t>1995.06.</t>
        </is>
      </c>
      <c r="F1" s="78" t="n">
        <v>304</v>
      </c>
      <c r="G1" s="78" t="n">
        <v>23.24</v>
      </c>
      <c r="H1" s="78" t="n">
        <v>76.83</v>
      </c>
      <c r="I1" s="78" t="n">
        <v>17.92</v>
      </c>
      <c r="J1" s="78" t="n">
        <v>59.25</v>
      </c>
      <c r="K1" s="78" t="n">
        <v>138</v>
      </c>
      <c r="T1" s="78" t="n">
        <v>3</v>
      </c>
      <c r="U1" s="78" t="n">
        <v>1</v>
      </c>
      <c r="V1" s="78" t="inlineStr">
        <is>
          <t>복도식</t>
        </is>
      </c>
      <c r="W1" s="78" t="n">
        <v>76</v>
      </c>
      <c r="X1" s="78" t="n">
        <v>15</v>
      </c>
      <c r="Y1" s="78" t="n">
        <v>7</v>
      </c>
      <c r="Z1" s="78" t="inlineStr">
        <is>
          <t>https://new.land.naver.com/complexes/4952?tab=detail&amp;rf=Y</t>
        </is>
      </c>
      <c r="AA1" s="78" t="inlineStr">
        <is>
          <t>전라북도 군산시 경암동 539-9</t>
        </is>
      </c>
      <c r="AB1" s="78" t="inlineStr">
        <is>
          <t>전라북도</t>
        </is>
      </c>
      <c r="AC1" s="78" t="inlineStr">
        <is>
          <t>군산시</t>
        </is>
      </c>
      <c r="AD1" s="78" t="inlineStr">
        <is>
          <t>경암동</t>
        </is>
      </c>
      <c r="AG1" s="78" t="inlineStr">
        <is>
          <t>전라북도 군산시 경촌3길 23</t>
        </is>
      </c>
      <c r="AH1" s="78" t="n">
        <v>0</v>
      </c>
      <c r="AI1" s="78" t="n">
        <v>0</v>
      </c>
      <c r="AJ1" s="78" t="n">
        <v>0</v>
      </c>
      <c r="AK1" s="78" t="n">
        <v>0</v>
      </c>
      <c r="AL1" s="78" t="n">
        <v>0</v>
      </c>
    </row>
    <row r="2">
      <c r="A2" s="78" t="inlineStr">
        <is>
          <t>[경암동]</t>
        </is>
      </c>
      <c r="B2" s="78" t="n">
        <v>4952</v>
      </c>
      <c r="C2" s="78" t="n">
        <v>2</v>
      </c>
      <c r="D2" s="78" t="inlineStr">
        <is>
          <t>새한</t>
        </is>
      </c>
      <c r="E2" s="78" t="inlineStr">
        <is>
          <t>1995.06.</t>
        </is>
      </c>
      <c r="F2" s="78" t="n">
        <v>304</v>
      </c>
      <c r="G2" s="78" t="n">
        <v>27.55</v>
      </c>
      <c r="H2" s="78" t="n">
        <v>91.09999999999999</v>
      </c>
      <c r="I2" s="78" t="n">
        <v>22.42</v>
      </c>
      <c r="J2" s="78" t="n">
        <v>74.14</v>
      </c>
      <c r="K2" s="78" t="n">
        <v>87</v>
      </c>
      <c r="T2" s="78" t="n">
        <v>3</v>
      </c>
      <c r="U2" s="78" t="n">
        <v>2</v>
      </c>
      <c r="V2" s="78" t="inlineStr">
        <is>
          <t>계단식</t>
        </is>
      </c>
      <c r="W2" s="78" t="n">
        <v>91</v>
      </c>
      <c r="X2" s="78" t="n">
        <v>15</v>
      </c>
      <c r="Y2" s="78" t="n">
        <v>7</v>
      </c>
      <c r="Z2" s="78" t="inlineStr">
        <is>
          <t>https://new.land.naver.com/complexes/4952?tab=detail&amp;rf=Y</t>
        </is>
      </c>
      <c r="AA2" s="78" t="inlineStr">
        <is>
          <t>전라북도 군산시 경암동 539-9</t>
        </is>
      </c>
      <c r="AB2" s="78" t="inlineStr">
        <is>
          <t>전라북도</t>
        </is>
      </c>
      <c r="AC2" s="78" t="inlineStr">
        <is>
          <t>군산시</t>
        </is>
      </c>
      <c r="AD2" s="78" t="inlineStr">
        <is>
          <t>경암동</t>
        </is>
      </c>
      <c r="AG2" s="78" t="inlineStr">
        <is>
          <t>전라북도 군산시 경촌3길 23</t>
        </is>
      </c>
      <c r="AH2" s="78" t="n">
        <v>0</v>
      </c>
      <c r="AI2" s="78" t="n">
        <v>0</v>
      </c>
      <c r="AJ2" s="78" t="n">
        <v>0</v>
      </c>
      <c r="AK2" s="78" t="n">
        <v>0</v>
      </c>
      <c r="AL2" s="78" t="n">
        <v>0</v>
      </c>
    </row>
    <row r="3">
      <c r="A3" s="78" t="inlineStr">
        <is>
          <t>[경암동]</t>
        </is>
      </c>
      <c r="B3" s="78" t="n">
        <v>4952</v>
      </c>
      <c r="C3" s="78" t="n">
        <v>3</v>
      </c>
      <c r="D3" s="78" t="inlineStr">
        <is>
          <t>새한</t>
        </is>
      </c>
      <c r="E3" s="78" t="inlineStr">
        <is>
          <t>1995.06.</t>
        </is>
      </c>
      <c r="F3" s="78" t="n">
        <v>304</v>
      </c>
      <c r="G3" s="78" t="n">
        <v>31.9</v>
      </c>
      <c r="H3" s="78" t="n">
        <v>105.47</v>
      </c>
      <c r="I3" s="78" t="n">
        <v>25.71</v>
      </c>
      <c r="J3" s="78" t="n">
        <v>85</v>
      </c>
      <c r="K3" s="78" t="n">
        <v>79</v>
      </c>
      <c r="T3" s="78" t="n">
        <v>3</v>
      </c>
      <c r="U3" s="78" t="n">
        <v>2</v>
      </c>
      <c r="V3" s="78" t="inlineStr">
        <is>
          <t>계단식</t>
        </is>
      </c>
      <c r="W3" s="78" t="n">
        <v>105</v>
      </c>
      <c r="X3" s="78" t="n">
        <v>15</v>
      </c>
      <c r="Y3" s="78" t="n">
        <v>7</v>
      </c>
      <c r="Z3" s="78" t="inlineStr">
        <is>
          <t>https://new.land.naver.com/complexes/4952?tab=detail&amp;rf=Y</t>
        </is>
      </c>
      <c r="AA3" s="78" t="inlineStr">
        <is>
          <t>전라북도 군산시 경암동 539-9</t>
        </is>
      </c>
      <c r="AB3" s="78" t="inlineStr">
        <is>
          <t>전라북도</t>
        </is>
      </c>
      <c r="AC3" s="78" t="inlineStr">
        <is>
          <t>군산시</t>
        </is>
      </c>
      <c r="AD3" s="78" t="inlineStr">
        <is>
          <t>경암동</t>
        </is>
      </c>
      <c r="AG3" s="78" t="inlineStr">
        <is>
          <t>전라북도 군산시 경촌3길 23</t>
        </is>
      </c>
      <c r="AH3" s="78" t="n">
        <v>0</v>
      </c>
      <c r="AI3" s="78" t="n">
        <v>0</v>
      </c>
      <c r="AJ3" s="78" t="n">
        <v>0</v>
      </c>
      <c r="AK3" s="78" t="n">
        <v>0</v>
      </c>
      <c r="AL3" s="78" t="n">
        <v>0</v>
      </c>
    </row>
    <row r="4">
      <c r="A4" s="78" t="inlineStr">
        <is>
          <t>[경암동]</t>
        </is>
      </c>
      <c r="B4" s="78" t="n">
        <v>16980</v>
      </c>
      <c r="C4" s="78" t="n">
        <v>1</v>
      </c>
      <c r="D4" s="78" t="inlineStr">
        <is>
          <t>명성타운</t>
        </is>
      </c>
      <c r="E4" s="78" t="inlineStr">
        <is>
          <t>1992.07.</t>
        </is>
      </c>
      <c r="F4" s="78" t="n">
        <v>72</v>
      </c>
      <c r="G4" s="78" t="n">
        <v>22.84</v>
      </c>
      <c r="H4" s="78" t="n">
        <v>75.52</v>
      </c>
      <c r="I4" s="78" t="n">
        <v>18.14</v>
      </c>
      <c r="J4" s="78" t="n">
        <v>59.97</v>
      </c>
      <c r="K4" s="78" t="n">
        <v>36</v>
      </c>
      <c r="T4" s="78" t="n">
        <v>3</v>
      </c>
      <c r="U4" s="78" t="n">
        <v>1</v>
      </c>
      <c r="V4" s="78" t="inlineStr">
        <is>
          <t>계단식</t>
        </is>
      </c>
      <c r="W4" s="78" t="n">
        <v>75</v>
      </c>
      <c r="X4" s="78" t="n">
        <v>6</v>
      </c>
      <c r="Y4" s="78" t="n">
        <v>6</v>
      </c>
      <c r="Z4" s="78" t="inlineStr">
        <is>
          <t>https://new.land.naver.com/complexes/16980?tab=detail&amp;rf=Y</t>
        </is>
      </c>
      <c r="AA4" s="78" t="inlineStr">
        <is>
          <t>전라북도 군산시 경암동 540-13</t>
        </is>
      </c>
      <c r="AB4" s="78" t="inlineStr">
        <is>
          <t>전라북도</t>
        </is>
      </c>
      <c r="AC4" s="78" t="inlineStr">
        <is>
          <t>군산시</t>
        </is>
      </c>
      <c r="AD4" s="78" t="inlineStr">
        <is>
          <t>경암동</t>
        </is>
      </c>
      <c r="AG4" s="78" t="inlineStr">
        <is>
          <t>전라북도 군산시 경촌1길 52</t>
        </is>
      </c>
      <c r="AH4" s="78" t="n">
        <v>0</v>
      </c>
      <c r="AI4" s="78" t="n">
        <v>0</v>
      </c>
      <c r="AJ4" s="78" t="n">
        <v>0</v>
      </c>
      <c r="AK4" s="78" t="n">
        <v>0</v>
      </c>
      <c r="AL4" s="78" t="n">
        <v>0</v>
      </c>
    </row>
    <row r="5">
      <c r="A5" s="78" t="inlineStr">
        <is>
          <t>[경암동]</t>
        </is>
      </c>
      <c r="B5" s="78" t="n">
        <v>16980</v>
      </c>
      <c r="C5" s="78" t="n">
        <v>2</v>
      </c>
      <c r="D5" s="78" t="inlineStr">
        <is>
          <t>명성타운</t>
        </is>
      </c>
      <c r="E5" s="78" t="inlineStr">
        <is>
          <t>1992.07.</t>
        </is>
      </c>
      <c r="F5" s="78" t="n">
        <v>72</v>
      </c>
      <c r="G5" s="78" t="n">
        <v>31.1</v>
      </c>
      <c r="H5" s="78" t="n">
        <v>102.82</v>
      </c>
      <c r="I5" s="78" t="n">
        <v>25.31</v>
      </c>
      <c r="J5" s="78" t="n">
        <v>83.7</v>
      </c>
      <c r="K5" s="78" t="n">
        <v>36</v>
      </c>
      <c r="T5" s="78" t="n">
        <v>3</v>
      </c>
      <c r="U5" s="78" t="n">
        <v>2</v>
      </c>
      <c r="V5" s="78" t="inlineStr">
        <is>
          <t>계단식</t>
        </is>
      </c>
      <c r="W5" s="78" t="n">
        <v>102</v>
      </c>
      <c r="X5" s="78" t="n">
        <v>6</v>
      </c>
      <c r="Y5" s="78" t="n">
        <v>6</v>
      </c>
      <c r="Z5" s="78" t="inlineStr">
        <is>
          <t>https://new.land.naver.com/complexes/16980?tab=detail&amp;rf=Y</t>
        </is>
      </c>
      <c r="AA5" s="78" t="inlineStr">
        <is>
          <t>전라북도 군산시 경암동 540-13</t>
        </is>
      </c>
      <c r="AB5" s="78" t="inlineStr">
        <is>
          <t>전라북도</t>
        </is>
      </c>
      <c r="AC5" s="78" t="inlineStr">
        <is>
          <t>군산시</t>
        </is>
      </c>
      <c r="AD5" s="78" t="inlineStr">
        <is>
          <t>경암동</t>
        </is>
      </c>
      <c r="AG5" s="78" t="inlineStr">
        <is>
          <t>전라북도 군산시 경촌1길 52</t>
        </is>
      </c>
      <c r="AH5" s="78" t="n">
        <v>0</v>
      </c>
      <c r="AI5" s="78" t="n">
        <v>0</v>
      </c>
      <c r="AJ5" s="78" t="n">
        <v>0</v>
      </c>
      <c r="AK5" s="78" t="n">
        <v>0</v>
      </c>
      <c r="AL5" s="78" t="n">
        <v>0</v>
      </c>
    </row>
    <row r="6">
      <c r="A6" s="78" t="inlineStr">
        <is>
          <t>[경암동]</t>
        </is>
      </c>
      <c r="B6" s="78" t="n">
        <v>107110</v>
      </c>
      <c r="C6" s="78" t="n">
        <v>1</v>
      </c>
      <c r="D6" s="78" t="inlineStr">
        <is>
          <t>경암제일오투그란데</t>
        </is>
      </c>
      <c r="E6" s="78" t="inlineStr">
        <is>
          <t>2015.11.</t>
        </is>
      </c>
      <c r="F6" s="78" t="n">
        <v>352</v>
      </c>
      <c r="G6" s="78" t="n">
        <v>32.96</v>
      </c>
      <c r="H6" s="78" t="n">
        <v>108.97</v>
      </c>
      <c r="I6" s="78" t="n">
        <v>25.36</v>
      </c>
      <c r="J6" s="78" t="n">
        <v>83.86</v>
      </c>
      <c r="K6" s="78" t="n">
        <v>20</v>
      </c>
      <c r="T6" s="78" t="n">
        <v>3</v>
      </c>
      <c r="U6" s="78" t="n">
        <v>2</v>
      </c>
      <c r="V6" s="78" t="inlineStr">
        <is>
          <t>계단식</t>
        </is>
      </c>
      <c r="W6" s="78" t="inlineStr">
        <is>
          <t>108C</t>
        </is>
      </c>
      <c r="X6" s="78" t="n">
        <v>29</v>
      </c>
      <c r="Y6" s="78" t="n">
        <v>10</v>
      </c>
      <c r="Z6" s="78" t="inlineStr">
        <is>
          <t>https://new.land.naver.com/complexes/107110?tab=detail&amp;rf=Y</t>
        </is>
      </c>
      <c r="AA6" s="78" t="inlineStr">
        <is>
          <t>전라북도 군산시 경암동 709</t>
        </is>
      </c>
      <c r="AB6" s="78" t="inlineStr">
        <is>
          <t>전라북도</t>
        </is>
      </c>
      <c r="AC6" s="78" t="inlineStr">
        <is>
          <t>군산시</t>
        </is>
      </c>
      <c r="AD6" s="78" t="inlineStr">
        <is>
          <t>경암동</t>
        </is>
      </c>
      <c r="AG6" s="78" t="inlineStr">
        <is>
          <t>전라북도 군산시 조촌로 214</t>
        </is>
      </c>
      <c r="AH6" s="78" t="n">
        <v>0</v>
      </c>
      <c r="AI6" s="78" t="n">
        <v>219</v>
      </c>
      <c r="AJ6" s="78" t="n">
        <v>58</v>
      </c>
      <c r="AK6" s="78" t="n">
        <v>423</v>
      </c>
      <c r="AL6" s="78" t="n">
        <v>1.2</v>
      </c>
    </row>
    <row r="7">
      <c r="A7" s="78" t="inlineStr">
        <is>
          <t>[경암동]</t>
        </is>
      </c>
      <c r="B7" s="78" t="n">
        <v>107110</v>
      </c>
      <c r="C7" s="78" t="n">
        <v>2</v>
      </c>
      <c r="D7" s="78" t="inlineStr">
        <is>
          <t>경암제일오투그란데</t>
        </is>
      </c>
      <c r="E7" s="78" t="inlineStr">
        <is>
          <t>2015.11.</t>
        </is>
      </c>
      <c r="F7" s="78" t="n">
        <v>352</v>
      </c>
      <c r="G7" s="78" t="n">
        <v>33.12</v>
      </c>
      <c r="H7" s="78" t="n">
        <v>109.49</v>
      </c>
      <c r="I7" s="78" t="n">
        <v>25.7</v>
      </c>
      <c r="J7" s="78" t="n">
        <v>84.97</v>
      </c>
      <c r="K7" s="78" t="n">
        <v>104</v>
      </c>
      <c r="T7" s="78" t="n">
        <v>3</v>
      </c>
      <c r="U7" s="78" t="n">
        <v>2</v>
      </c>
      <c r="V7" s="78" t="inlineStr">
        <is>
          <t>계단식</t>
        </is>
      </c>
      <c r="W7" s="78" t="inlineStr">
        <is>
          <t>109D</t>
        </is>
      </c>
      <c r="X7" s="78" t="n">
        <v>29</v>
      </c>
      <c r="Y7" s="78" t="n">
        <v>10</v>
      </c>
      <c r="Z7" s="78" t="inlineStr">
        <is>
          <t>https://new.land.naver.com/complexes/107110?tab=detail&amp;rf=Y</t>
        </is>
      </c>
      <c r="AA7" s="78" t="inlineStr">
        <is>
          <t>전라북도 군산시 경암동 709</t>
        </is>
      </c>
      <c r="AB7" s="78" t="inlineStr">
        <is>
          <t>전라북도</t>
        </is>
      </c>
      <c r="AC7" s="78" t="inlineStr">
        <is>
          <t>군산시</t>
        </is>
      </c>
      <c r="AD7" s="78" t="inlineStr">
        <is>
          <t>경암동</t>
        </is>
      </c>
      <c r="AG7" s="78" t="inlineStr">
        <is>
          <t>전라북도 군산시 조촌로 214</t>
        </is>
      </c>
      <c r="AH7" s="78" t="n">
        <v>0</v>
      </c>
      <c r="AI7" s="78" t="n">
        <v>219</v>
      </c>
      <c r="AJ7" s="78" t="n">
        <v>58</v>
      </c>
      <c r="AK7" s="78" t="n">
        <v>423</v>
      </c>
      <c r="AL7" s="78" t="n">
        <v>1.2</v>
      </c>
    </row>
    <row r="8">
      <c r="A8" s="78" t="inlineStr">
        <is>
          <t>[경암동]</t>
        </is>
      </c>
      <c r="B8" s="78" t="n">
        <v>107110</v>
      </c>
      <c r="C8" s="78" t="n">
        <v>3</v>
      </c>
      <c r="D8" s="78" t="inlineStr">
        <is>
          <t>경암제일오투그란데</t>
        </is>
      </c>
      <c r="E8" s="78" t="inlineStr">
        <is>
          <t>2015.11.</t>
        </is>
      </c>
      <c r="F8" s="78" t="n">
        <v>352</v>
      </c>
      <c r="G8" s="78" t="n">
        <v>33.46</v>
      </c>
      <c r="H8" s="78" t="n">
        <v>110.64</v>
      </c>
      <c r="I8" s="78" t="n">
        <v>25.55</v>
      </c>
      <c r="J8" s="78" t="n">
        <v>84.48999999999999</v>
      </c>
      <c r="K8" s="78" t="n">
        <v>131</v>
      </c>
      <c r="T8" s="78" t="n">
        <v>3</v>
      </c>
      <c r="U8" s="78" t="n">
        <v>2</v>
      </c>
      <c r="V8" s="78" t="inlineStr">
        <is>
          <t>계단식</t>
        </is>
      </c>
      <c r="W8" s="78" t="inlineStr">
        <is>
          <t>110B</t>
        </is>
      </c>
      <c r="X8" s="78" t="n">
        <v>29</v>
      </c>
      <c r="Y8" s="78" t="n">
        <v>10</v>
      </c>
      <c r="Z8" s="78" t="inlineStr">
        <is>
          <t>https://new.land.naver.com/complexes/107110?tab=detail&amp;rf=Y</t>
        </is>
      </c>
      <c r="AA8" s="78" t="inlineStr">
        <is>
          <t>전라북도 군산시 경암동 709</t>
        </is>
      </c>
      <c r="AB8" s="78" t="inlineStr">
        <is>
          <t>전라북도</t>
        </is>
      </c>
      <c r="AC8" s="78" t="inlineStr">
        <is>
          <t>군산시</t>
        </is>
      </c>
      <c r="AD8" s="78" t="inlineStr">
        <is>
          <t>경암동</t>
        </is>
      </c>
      <c r="AG8" s="78" t="inlineStr">
        <is>
          <t>전라북도 군산시 조촌로 214</t>
        </is>
      </c>
      <c r="AH8" s="78" t="n">
        <v>0</v>
      </c>
      <c r="AI8" s="78" t="n">
        <v>219</v>
      </c>
      <c r="AJ8" s="78" t="n">
        <v>58</v>
      </c>
      <c r="AK8" s="78" t="n">
        <v>423</v>
      </c>
      <c r="AL8" s="78" t="n">
        <v>1.2</v>
      </c>
    </row>
    <row r="9">
      <c r="A9" s="78" t="inlineStr">
        <is>
          <t>[경암동]</t>
        </is>
      </c>
      <c r="B9" s="78" t="n">
        <v>107110</v>
      </c>
      <c r="C9" s="78" t="n">
        <v>4</v>
      </c>
      <c r="D9" s="78" t="inlineStr">
        <is>
          <t>경암제일오투그란데</t>
        </is>
      </c>
      <c r="E9" s="78" t="inlineStr">
        <is>
          <t>2015.11.</t>
        </is>
      </c>
      <c r="F9" s="78" t="n">
        <v>352</v>
      </c>
      <c r="G9" s="78" t="n">
        <v>33.31</v>
      </c>
      <c r="H9" s="78" t="n">
        <v>110.14</v>
      </c>
      <c r="I9" s="78" t="n">
        <v>25.69</v>
      </c>
      <c r="J9" s="78" t="n">
        <v>84.94</v>
      </c>
      <c r="K9" s="78" t="n">
        <v>97</v>
      </c>
      <c r="T9" s="78" t="n">
        <v>3</v>
      </c>
      <c r="U9" s="78" t="n">
        <v>2</v>
      </c>
      <c r="V9" s="78" t="inlineStr">
        <is>
          <t>계단식</t>
        </is>
      </c>
      <c r="W9" s="78" t="inlineStr">
        <is>
          <t>110A</t>
        </is>
      </c>
      <c r="X9" s="78" t="n">
        <v>29</v>
      </c>
      <c r="Y9" s="78" t="n">
        <v>10</v>
      </c>
      <c r="Z9" s="78" t="inlineStr">
        <is>
          <t>https://new.land.naver.com/complexes/107110?tab=detail&amp;rf=Y</t>
        </is>
      </c>
      <c r="AA9" s="78" t="inlineStr">
        <is>
          <t>전라북도 군산시 경암동 709</t>
        </is>
      </c>
      <c r="AB9" s="78" t="inlineStr">
        <is>
          <t>전라북도</t>
        </is>
      </c>
      <c r="AC9" s="78" t="inlineStr">
        <is>
          <t>군산시</t>
        </is>
      </c>
      <c r="AD9" s="78" t="inlineStr">
        <is>
          <t>경암동</t>
        </is>
      </c>
      <c r="AG9" s="78" t="inlineStr">
        <is>
          <t>전라북도 군산시 조촌로 214</t>
        </is>
      </c>
      <c r="AH9" s="78" t="n">
        <v>0</v>
      </c>
      <c r="AI9" s="78" t="n">
        <v>219</v>
      </c>
      <c r="AJ9" s="78" t="n">
        <v>58</v>
      </c>
      <c r="AK9" s="78" t="n">
        <v>423</v>
      </c>
      <c r="AL9" s="78" t="n">
        <v>1.2</v>
      </c>
    </row>
    <row r="10">
      <c r="A10" s="78" t="inlineStr">
        <is>
          <t>[경암동]</t>
        </is>
      </c>
      <c r="B10" s="78" t="n">
        <v>14952</v>
      </c>
      <c r="C10" s="78" t="n">
        <v>1</v>
      </c>
      <c r="D10" s="78" t="inlineStr">
        <is>
          <t>신흥</t>
        </is>
      </c>
      <c r="E10" s="78" t="inlineStr">
        <is>
          <t>1994.01.</t>
        </is>
      </c>
      <c r="F10" s="78" t="n">
        <v>84</v>
      </c>
      <c r="G10" s="78" t="n">
        <v>24.51</v>
      </c>
      <c r="H10" s="78" t="n">
        <v>81.05</v>
      </c>
      <c r="I10" s="78" t="n">
        <v>18.06</v>
      </c>
      <c r="J10" s="78" t="n">
        <v>59.73</v>
      </c>
      <c r="K10" s="78" t="n">
        <v>67</v>
      </c>
      <c r="T10" s="78" t="n">
        <v>3</v>
      </c>
      <c r="U10" s="78" t="n">
        <v>1</v>
      </c>
      <c r="V10" s="78" t="inlineStr">
        <is>
          <t>계단식</t>
        </is>
      </c>
      <c r="W10" s="78" t="n">
        <v>81</v>
      </c>
      <c r="X10" s="78" t="n">
        <v>10</v>
      </c>
      <c r="Y10" s="78" t="n">
        <v>7</v>
      </c>
      <c r="Z10" s="78" t="inlineStr">
        <is>
          <t>https://new.land.naver.com/complexes/14952?tab=detail&amp;rf=Y</t>
        </is>
      </c>
      <c r="AA10" s="78" t="inlineStr">
        <is>
          <t>전라북도 군산시 경암동 544-8</t>
        </is>
      </c>
      <c r="AB10" s="78" t="inlineStr">
        <is>
          <t>전라북도</t>
        </is>
      </c>
      <c r="AC10" s="78" t="inlineStr">
        <is>
          <t>군산시</t>
        </is>
      </c>
      <c r="AD10" s="78" t="inlineStr">
        <is>
          <t>경암동</t>
        </is>
      </c>
      <c r="AG10" s="78" t="inlineStr">
        <is>
          <t>전라북도 군산시 경촌안1길 38</t>
        </is>
      </c>
      <c r="AH10" s="78" t="n">
        <v>0</v>
      </c>
      <c r="AI10" s="78" t="n">
        <v>256</v>
      </c>
      <c r="AJ10" s="78" t="n">
        <v>33</v>
      </c>
      <c r="AK10" s="78" t="n">
        <v>37</v>
      </c>
      <c r="AL10" s="78" t="n">
        <v>0.44</v>
      </c>
    </row>
    <row r="11">
      <c r="A11" s="78" t="inlineStr">
        <is>
          <t>[경암동]</t>
        </is>
      </c>
      <c r="B11" s="78" t="n">
        <v>14952</v>
      </c>
      <c r="C11" s="78" t="n">
        <v>2</v>
      </c>
      <c r="D11" s="78" t="inlineStr">
        <is>
          <t>신흥</t>
        </is>
      </c>
      <c r="E11" s="78" t="inlineStr">
        <is>
          <t>1994.01.</t>
        </is>
      </c>
      <c r="F11" s="78" t="n">
        <v>84</v>
      </c>
      <c r="G11" s="78" t="n">
        <v>34.17</v>
      </c>
      <c r="H11" s="78" t="n">
        <v>112.97</v>
      </c>
      <c r="I11" s="78" t="n">
        <v>25.18</v>
      </c>
      <c r="J11" s="78" t="n">
        <v>83.25</v>
      </c>
      <c r="K11" s="78" t="n">
        <v>10</v>
      </c>
      <c r="T11" s="78" t="n">
        <v>3</v>
      </c>
      <c r="U11" s="78" t="n">
        <v>2</v>
      </c>
      <c r="V11" s="78" t="inlineStr">
        <is>
          <t>계단식</t>
        </is>
      </c>
      <c r="W11" s="78" t="n">
        <v>112</v>
      </c>
      <c r="X11" s="78" t="n">
        <v>10</v>
      </c>
      <c r="Y11" s="78" t="n">
        <v>7</v>
      </c>
      <c r="Z11" s="78" t="inlineStr">
        <is>
          <t>https://new.land.naver.com/complexes/14952?tab=detail&amp;rf=Y</t>
        </is>
      </c>
      <c r="AA11" s="78" t="inlineStr">
        <is>
          <t>전라북도 군산시 경암동 544-8</t>
        </is>
      </c>
      <c r="AB11" s="78" t="inlineStr">
        <is>
          <t>전라북도</t>
        </is>
      </c>
      <c r="AC11" s="78" t="inlineStr">
        <is>
          <t>군산시</t>
        </is>
      </c>
      <c r="AD11" s="78" t="inlineStr">
        <is>
          <t>경암동</t>
        </is>
      </c>
      <c r="AG11" s="78" t="inlineStr">
        <is>
          <t>전라북도 군산시 경촌안1길 38</t>
        </is>
      </c>
      <c r="AH11" s="78" t="n">
        <v>0</v>
      </c>
      <c r="AI11" s="78" t="n">
        <v>256</v>
      </c>
      <c r="AJ11" s="78" t="n">
        <v>33</v>
      </c>
      <c r="AK11" s="78" t="n">
        <v>37</v>
      </c>
      <c r="AL11" s="78" t="n">
        <v>0.44</v>
      </c>
    </row>
    <row r="12">
      <c r="A12" s="78" t="inlineStr">
        <is>
          <t>[경암동]</t>
        </is>
      </c>
      <c r="B12" s="78" t="n">
        <v>14952</v>
      </c>
      <c r="C12" s="78" t="n">
        <v>3</v>
      </c>
      <c r="D12" s="78" t="inlineStr">
        <is>
          <t>신흥</t>
        </is>
      </c>
      <c r="E12" s="78" t="inlineStr">
        <is>
          <t>1994.01.</t>
        </is>
      </c>
      <c r="F12" s="78" t="n">
        <v>84</v>
      </c>
      <c r="G12" s="78" t="n">
        <v>34.87</v>
      </c>
      <c r="H12" s="78" t="n">
        <v>115.29</v>
      </c>
      <c r="I12" s="78" t="n">
        <v>25.7</v>
      </c>
      <c r="J12" s="78" t="n">
        <v>84.95999999999999</v>
      </c>
      <c r="K12" s="78" t="n">
        <v>7</v>
      </c>
      <c r="T12" s="78" t="n">
        <v>3</v>
      </c>
      <c r="U12" s="78" t="n">
        <v>2</v>
      </c>
      <c r="V12" s="78" t="inlineStr">
        <is>
          <t>계단식</t>
        </is>
      </c>
      <c r="W12" s="78" t="n">
        <v>115</v>
      </c>
      <c r="X12" s="78" t="n">
        <v>10</v>
      </c>
      <c r="Y12" s="78" t="n">
        <v>7</v>
      </c>
      <c r="Z12" s="78" t="inlineStr">
        <is>
          <t>https://new.land.naver.com/complexes/14952?tab=detail&amp;rf=Y</t>
        </is>
      </c>
      <c r="AA12" s="78" t="inlineStr">
        <is>
          <t>전라북도 군산시 경암동 544-8</t>
        </is>
      </c>
      <c r="AB12" s="78" t="inlineStr">
        <is>
          <t>전라북도</t>
        </is>
      </c>
      <c r="AC12" s="78" t="inlineStr">
        <is>
          <t>군산시</t>
        </is>
      </c>
      <c r="AD12" s="78" t="inlineStr">
        <is>
          <t>경암동</t>
        </is>
      </c>
      <c r="AG12" s="78" t="inlineStr">
        <is>
          <t>전라북도 군산시 경촌안1길 38</t>
        </is>
      </c>
      <c r="AH12" s="78" t="n">
        <v>0</v>
      </c>
      <c r="AI12" s="78" t="n">
        <v>256</v>
      </c>
      <c r="AJ12" s="78" t="n">
        <v>33</v>
      </c>
      <c r="AK12" s="78" t="n">
        <v>37</v>
      </c>
      <c r="AL12" s="78" t="n">
        <v>0.44</v>
      </c>
    </row>
    <row r="13">
      <c r="A13" s="78" t="inlineStr">
        <is>
          <t>[경암동]</t>
        </is>
      </c>
      <c r="B13" s="78" t="n">
        <v>117452</v>
      </c>
      <c r="C13" s="78" t="n">
        <v>1</v>
      </c>
      <c r="D13" s="78" t="inlineStr">
        <is>
          <t>경암부향하나로</t>
        </is>
      </c>
      <c r="E13" s="78" t="inlineStr">
        <is>
          <t>1998.09.</t>
        </is>
      </c>
      <c r="F13" s="78" t="n">
        <v>880</v>
      </c>
      <c r="G13" s="78" t="n">
        <v>16.62</v>
      </c>
      <c r="H13" s="78" t="n">
        <v>54.95</v>
      </c>
      <c r="I13" s="78" t="n">
        <v>12.08</v>
      </c>
      <c r="J13" s="78" t="n">
        <v>39.95</v>
      </c>
      <c r="K13" s="78" t="n">
        <v>163</v>
      </c>
      <c r="T13" s="78" t="n">
        <v>3</v>
      </c>
      <c r="U13" s="78" t="n">
        <v>1</v>
      </c>
      <c r="V13" s="78" t="inlineStr">
        <is>
          <t>계단식</t>
        </is>
      </c>
      <c r="W13" s="78" t="n">
        <v>54</v>
      </c>
      <c r="X13" s="78" t="n">
        <v>17</v>
      </c>
      <c r="Y13" s="78" t="n">
        <v>13</v>
      </c>
      <c r="Z13" s="78" t="inlineStr">
        <is>
          <t>https://new.land.naver.com/complexes/117452?tab=detail&amp;rf=Y</t>
        </is>
      </c>
      <c r="AA13" s="78" t="inlineStr">
        <is>
          <t>전라북도 군산시 경암동 540-8</t>
        </is>
      </c>
      <c r="AB13" s="78" t="inlineStr">
        <is>
          <t>전라북도</t>
        </is>
      </c>
      <c r="AC13" s="78" t="inlineStr">
        <is>
          <t>군산시</t>
        </is>
      </c>
      <c r="AD13" s="78" t="inlineStr">
        <is>
          <t>경암동</t>
        </is>
      </c>
      <c r="AG13" s="78" t="inlineStr">
        <is>
          <t>전라북도 군산시 경촌1길 56</t>
        </is>
      </c>
      <c r="AH13" s="78" t="n">
        <v>717</v>
      </c>
      <c r="AI13" s="78" t="n">
        <v>317</v>
      </c>
      <c r="AJ13" s="78" t="n">
        <v>29</v>
      </c>
      <c r="AK13" s="78" t="n">
        <v>539</v>
      </c>
      <c r="AL13" s="78" t="n">
        <v>0.61</v>
      </c>
    </row>
    <row r="14">
      <c r="A14" s="78" t="inlineStr">
        <is>
          <t>[경장동]</t>
        </is>
      </c>
      <c r="B14" s="78" t="n">
        <v>100924</v>
      </c>
      <c r="C14" s="78" t="n">
        <v>1</v>
      </c>
      <c r="D14" s="78" t="inlineStr">
        <is>
          <t>오르빌</t>
        </is>
      </c>
      <c r="E14" s="78" t="inlineStr">
        <is>
          <t>2004.05.</t>
        </is>
      </c>
      <c r="F14" s="78" t="n">
        <v>173</v>
      </c>
      <c r="G14" s="78" t="n">
        <v>27.32</v>
      </c>
      <c r="H14" s="78" t="n">
        <v>90.34</v>
      </c>
      <c r="I14" s="78" t="n">
        <v>18.14</v>
      </c>
      <c r="J14" s="78" t="n">
        <v>59.98</v>
      </c>
      <c r="K14" s="78" t="n">
        <v>89</v>
      </c>
      <c r="T14" s="78" t="n">
        <v>3</v>
      </c>
      <c r="U14" s="78" t="n">
        <v>1</v>
      </c>
      <c r="V14" s="78" t="inlineStr">
        <is>
          <t>복도식</t>
        </is>
      </c>
      <c r="W14" s="78" t="n">
        <v>90</v>
      </c>
      <c r="X14" s="78" t="n">
        <v>15</v>
      </c>
      <c r="Y14" s="78" t="n">
        <v>15</v>
      </c>
      <c r="Z14" s="78" t="inlineStr">
        <is>
          <t>https://new.land.naver.com/complexes/100924?tab=detail&amp;rf=Y</t>
        </is>
      </c>
      <c r="AA14" s="78" t="inlineStr">
        <is>
          <t>전라북도 군산시 경장동 511-6</t>
        </is>
      </c>
      <c r="AB14" s="78" t="inlineStr">
        <is>
          <t>전라북도</t>
        </is>
      </c>
      <c r="AC14" s="78" t="inlineStr">
        <is>
          <t>군산시</t>
        </is>
      </c>
      <c r="AD14" s="78" t="inlineStr">
        <is>
          <t>경장동</t>
        </is>
      </c>
      <c r="AG14" s="78" t="inlineStr">
        <is>
          <t>전라북도 군산시 번영로 86</t>
        </is>
      </c>
      <c r="AH14" s="78" t="n">
        <v>0</v>
      </c>
      <c r="AI14" s="78" t="n">
        <v>433</v>
      </c>
      <c r="AJ14" s="78" t="n">
        <v>31</v>
      </c>
      <c r="AK14" s="78" t="n">
        <v>148</v>
      </c>
      <c r="AL14" s="78" t="n">
        <v>0.86</v>
      </c>
    </row>
    <row r="15">
      <c r="A15" s="78" t="inlineStr">
        <is>
          <t>[경장동]</t>
        </is>
      </c>
      <c r="B15" s="78" t="n">
        <v>100924</v>
      </c>
      <c r="C15" s="78" t="n">
        <v>2</v>
      </c>
      <c r="D15" s="78" t="inlineStr">
        <is>
          <t>오르빌</t>
        </is>
      </c>
      <c r="E15" s="78" t="inlineStr">
        <is>
          <t>2004.05.</t>
        </is>
      </c>
      <c r="F15" s="78" t="n">
        <v>173</v>
      </c>
      <c r="G15" s="78" t="n">
        <v>28.21</v>
      </c>
      <c r="H15" s="78" t="n">
        <v>93.27</v>
      </c>
      <c r="I15" s="78" t="n">
        <v>18.14</v>
      </c>
      <c r="J15" s="78" t="n">
        <v>59.98</v>
      </c>
      <c r="K15" s="78" t="n">
        <v>84</v>
      </c>
      <c r="T15" s="78" t="n">
        <v>3</v>
      </c>
      <c r="U15" s="78" t="n">
        <v>1</v>
      </c>
      <c r="V15" s="78" t="inlineStr">
        <is>
          <t>복도식</t>
        </is>
      </c>
      <c r="W15" s="78" t="n">
        <v>93</v>
      </c>
      <c r="X15" s="78" t="n">
        <v>15</v>
      </c>
      <c r="Y15" s="78" t="n">
        <v>15</v>
      </c>
      <c r="Z15" s="78" t="inlineStr">
        <is>
          <t>https://new.land.naver.com/complexes/100924?tab=detail&amp;rf=Y</t>
        </is>
      </c>
      <c r="AA15" s="78" t="inlineStr">
        <is>
          <t>전라북도 군산시 경장동 511-6</t>
        </is>
      </c>
      <c r="AB15" s="78" t="inlineStr">
        <is>
          <t>전라북도</t>
        </is>
      </c>
      <c r="AC15" s="78" t="inlineStr">
        <is>
          <t>군산시</t>
        </is>
      </c>
      <c r="AD15" s="78" t="inlineStr">
        <is>
          <t>경장동</t>
        </is>
      </c>
      <c r="AG15" s="78" t="inlineStr">
        <is>
          <t>전라북도 군산시 번영로 86</t>
        </is>
      </c>
      <c r="AH15" s="78" t="n">
        <v>0</v>
      </c>
      <c r="AI15" s="78" t="n">
        <v>433</v>
      </c>
      <c r="AJ15" s="78" t="n">
        <v>31</v>
      </c>
      <c r="AK15" s="78" t="n">
        <v>148</v>
      </c>
      <c r="AL15" s="78" t="n">
        <v>0.86</v>
      </c>
    </row>
    <row r="16">
      <c r="A16" s="78" t="inlineStr">
        <is>
          <t>[구암동]</t>
        </is>
      </c>
      <c r="B16" s="78" t="n">
        <v>4953</v>
      </c>
      <c r="C16" s="78" t="n">
        <v>1</v>
      </c>
      <c r="D16" s="78" t="inlineStr">
        <is>
          <t>현대</t>
        </is>
      </c>
      <c r="E16" s="78" t="inlineStr">
        <is>
          <t>1994.03.</t>
        </is>
      </c>
      <c r="F16" s="78" t="n">
        <v>1084</v>
      </c>
      <c r="G16" s="78" t="n">
        <v>24.22</v>
      </c>
      <c r="H16" s="78" t="n">
        <v>80.06999999999999</v>
      </c>
      <c r="I16" s="78" t="n">
        <v>18.11</v>
      </c>
      <c r="J16" s="78" t="n">
        <v>59.9</v>
      </c>
      <c r="K16" s="78" t="n">
        <v>427</v>
      </c>
      <c r="T16" s="78" t="n">
        <v>3</v>
      </c>
      <c r="U16" s="78" t="n">
        <v>1</v>
      </c>
      <c r="V16" s="78" t="inlineStr">
        <is>
          <t>계단식</t>
        </is>
      </c>
      <c r="W16" s="78" t="n">
        <v>80</v>
      </c>
      <c r="X16" s="78" t="n">
        <v>15</v>
      </c>
      <c r="Y16" s="78" t="n">
        <v>15</v>
      </c>
      <c r="Z16" s="78" t="inlineStr">
        <is>
          <t>https://new.land.naver.com/complexes/4953?tab=detail&amp;rf=Y</t>
        </is>
      </c>
      <c r="AA16" s="78" t="inlineStr">
        <is>
          <t>전라북도 군산시 구암동 65</t>
        </is>
      </c>
      <c r="AB16" s="78" t="inlineStr">
        <is>
          <t>전라북도</t>
        </is>
      </c>
      <c r="AC16" s="78" t="inlineStr">
        <is>
          <t>군산시</t>
        </is>
      </c>
      <c r="AD16" s="78" t="inlineStr">
        <is>
          <t>구암동</t>
        </is>
      </c>
      <c r="AG16" s="78" t="inlineStr">
        <is>
          <t>전라북도 군산시 서당길 11</t>
        </is>
      </c>
      <c r="AH16" s="78" t="n">
        <v>0</v>
      </c>
      <c r="AI16" s="78" t="n">
        <v>0</v>
      </c>
      <c r="AJ16" s="78" t="n">
        <v>0</v>
      </c>
      <c r="AK16" s="78" t="n">
        <v>654</v>
      </c>
      <c r="AL16" s="78" t="n">
        <v>0.6</v>
      </c>
    </row>
    <row r="17">
      <c r="A17" s="78" t="inlineStr">
        <is>
          <t>[구암동]</t>
        </is>
      </c>
      <c r="B17" s="78" t="n">
        <v>4953</v>
      </c>
      <c r="C17" s="78" t="n">
        <v>2</v>
      </c>
      <c r="D17" s="78" t="inlineStr">
        <is>
          <t>현대</t>
        </is>
      </c>
      <c r="E17" s="78" t="inlineStr">
        <is>
          <t>1994.03.</t>
        </is>
      </c>
      <c r="F17" s="78" t="n">
        <v>1084</v>
      </c>
      <c r="G17" s="78" t="n">
        <v>31</v>
      </c>
      <c r="H17" s="78" t="n">
        <v>102.5</v>
      </c>
      <c r="I17" s="78" t="n">
        <v>25.68</v>
      </c>
      <c r="J17" s="78" t="n">
        <v>84.90000000000001</v>
      </c>
      <c r="K17" s="78" t="n">
        <v>537</v>
      </c>
      <c r="T17" s="78" t="n">
        <v>3</v>
      </c>
      <c r="U17" s="78" t="n">
        <v>2</v>
      </c>
      <c r="V17" s="78" t="inlineStr">
        <is>
          <t>계단식</t>
        </is>
      </c>
      <c r="W17" s="78" t="n">
        <v>102</v>
      </c>
      <c r="X17" s="78" t="n">
        <v>15</v>
      </c>
      <c r="Y17" s="78" t="n">
        <v>15</v>
      </c>
      <c r="Z17" s="78" t="inlineStr">
        <is>
          <t>https://new.land.naver.com/complexes/4953?tab=detail&amp;rf=Y</t>
        </is>
      </c>
      <c r="AA17" s="78" t="inlineStr">
        <is>
          <t>전라북도 군산시 구암동 65</t>
        </is>
      </c>
      <c r="AB17" s="78" t="inlineStr">
        <is>
          <t>전라북도</t>
        </is>
      </c>
      <c r="AC17" s="78" t="inlineStr">
        <is>
          <t>군산시</t>
        </is>
      </c>
      <c r="AD17" s="78" t="inlineStr">
        <is>
          <t>구암동</t>
        </is>
      </c>
      <c r="AG17" s="78" t="inlineStr">
        <is>
          <t>전라북도 군산시 서당길 11</t>
        </is>
      </c>
      <c r="AH17" s="78" t="n">
        <v>0</v>
      </c>
      <c r="AI17" s="78" t="n">
        <v>0</v>
      </c>
      <c r="AJ17" s="78" t="n">
        <v>0</v>
      </c>
      <c r="AK17" s="78" t="n">
        <v>654</v>
      </c>
      <c r="AL17" s="78" t="n">
        <v>0.6</v>
      </c>
    </row>
    <row r="18">
      <c r="A18" s="78" t="inlineStr">
        <is>
          <t>[구암동]</t>
        </is>
      </c>
      <c r="B18" s="78" t="n">
        <v>4953</v>
      </c>
      <c r="C18" s="78" t="n">
        <v>3</v>
      </c>
      <c r="D18" s="78" t="inlineStr">
        <is>
          <t>현대</t>
        </is>
      </c>
      <c r="E18" s="78" t="inlineStr">
        <is>
          <t>1994.03.</t>
        </is>
      </c>
      <c r="F18" s="78" t="n">
        <v>1084</v>
      </c>
      <c r="G18" s="78" t="n">
        <v>44.25</v>
      </c>
      <c r="H18" s="78" t="n">
        <v>146.29</v>
      </c>
      <c r="I18" s="78" t="n">
        <v>38.08</v>
      </c>
      <c r="J18" s="78" t="n">
        <v>125.89</v>
      </c>
      <c r="K18" s="78" t="n">
        <v>120</v>
      </c>
      <c r="T18" s="78" t="n">
        <v>4</v>
      </c>
      <c r="U18" s="78" t="n">
        <v>2</v>
      </c>
      <c r="V18" s="78" t="inlineStr">
        <is>
          <t>계단식</t>
        </is>
      </c>
      <c r="W18" s="78" t="n">
        <v>146</v>
      </c>
      <c r="X18" s="78" t="n">
        <v>15</v>
      </c>
      <c r="Y18" s="78" t="n">
        <v>15</v>
      </c>
      <c r="Z18" s="78" t="inlineStr">
        <is>
          <t>https://new.land.naver.com/complexes/4953?tab=detail&amp;rf=Y</t>
        </is>
      </c>
      <c r="AA18" s="78" t="inlineStr">
        <is>
          <t>전라북도 군산시 구암동 65</t>
        </is>
      </c>
      <c r="AB18" s="78" t="inlineStr">
        <is>
          <t>전라북도</t>
        </is>
      </c>
      <c r="AC18" s="78" t="inlineStr">
        <is>
          <t>군산시</t>
        </is>
      </c>
      <c r="AD18" s="78" t="inlineStr">
        <is>
          <t>구암동</t>
        </is>
      </c>
      <c r="AG18" s="78" t="inlineStr">
        <is>
          <t>전라북도 군산시 서당길 11</t>
        </is>
      </c>
      <c r="AH18" s="78" t="n">
        <v>0</v>
      </c>
      <c r="AI18" s="78" t="n">
        <v>0</v>
      </c>
      <c r="AJ18" s="78" t="n">
        <v>0</v>
      </c>
      <c r="AK18" s="78" t="n">
        <v>654</v>
      </c>
      <c r="AL18" s="78" t="n">
        <v>0.6</v>
      </c>
    </row>
    <row r="19">
      <c r="A19" s="78" t="inlineStr">
        <is>
          <t>[구암동]</t>
        </is>
      </c>
      <c r="B19" s="78" t="n">
        <v>14954</v>
      </c>
      <c r="C19" s="78" t="n">
        <v>1</v>
      </c>
      <c r="D19" s="78" t="inlineStr">
        <is>
          <t>세풍</t>
        </is>
      </c>
      <c r="E19" s="78" t="inlineStr">
        <is>
          <t>1997.01.</t>
        </is>
      </c>
      <c r="F19" s="78" t="n">
        <v>437</v>
      </c>
      <c r="G19" s="78" t="n">
        <v>22.6</v>
      </c>
      <c r="H19" s="78" t="n">
        <v>74.72</v>
      </c>
      <c r="I19" s="78" t="n">
        <v>18.11</v>
      </c>
      <c r="J19" s="78" t="n">
        <v>59.88</v>
      </c>
      <c r="K19" s="78" t="n">
        <v>164</v>
      </c>
      <c r="T19" s="78" t="n">
        <v>3</v>
      </c>
      <c r="U19" s="78" t="n">
        <v>1</v>
      </c>
      <c r="V19" s="78" t="inlineStr">
        <is>
          <t>계단식</t>
        </is>
      </c>
      <c r="W19" s="78" t="inlineStr">
        <is>
          <t>74B</t>
        </is>
      </c>
      <c r="X19" s="78" t="n">
        <v>15</v>
      </c>
      <c r="Y19" s="78" t="n">
        <v>7</v>
      </c>
      <c r="Z19" s="78" t="inlineStr">
        <is>
          <t>https://new.land.naver.com/complexes/14954?tab=detail&amp;rf=Y</t>
        </is>
      </c>
      <c r="AA19" s="78" t="inlineStr">
        <is>
          <t>전라북도 군산시 구암동 333-1</t>
        </is>
      </c>
      <c r="AB19" s="78" t="inlineStr">
        <is>
          <t>전라북도</t>
        </is>
      </c>
      <c r="AC19" s="78" t="inlineStr">
        <is>
          <t>군산시</t>
        </is>
      </c>
      <c r="AD19" s="78" t="inlineStr">
        <is>
          <t>구암동</t>
        </is>
      </c>
      <c r="AG19" s="78" t="inlineStr">
        <is>
          <t>전라북도 군산시 영명길 6</t>
        </is>
      </c>
      <c r="AH19" s="78" t="n">
        <v>0</v>
      </c>
      <c r="AI19" s="78" t="n">
        <v>0</v>
      </c>
      <c r="AJ19" s="78" t="n">
        <v>0</v>
      </c>
      <c r="AK19" s="78" t="n">
        <v>0</v>
      </c>
      <c r="AL19" s="78" t="n">
        <v>0</v>
      </c>
    </row>
    <row r="20">
      <c r="A20" s="78" t="inlineStr">
        <is>
          <t>[구암동]</t>
        </is>
      </c>
      <c r="B20" s="78" t="n">
        <v>14954</v>
      </c>
      <c r="C20" s="78" t="n">
        <v>2</v>
      </c>
      <c r="D20" s="78" t="inlineStr">
        <is>
          <t>세풍</t>
        </is>
      </c>
      <c r="E20" s="78" t="inlineStr">
        <is>
          <t>1997.01.</t>
        </is>
      </c>
      <c r="F20" s="78" t="n">
        <v>437</v>
      </c>
      <c r="G20" s="78" t="n">
        <v>22.45</v>
      </c>
      <c r="H20" s="78" t="n">
        <v>74.22</v>
      </c>
      <c r="I20" s="78" t="n">
        <v>17.99</v>
      </c>
      <c r="J20" s="78" t="n">
        <v>59.48</v>
      </c>
      <c r="K20" s="78" t="n">
        <v>11</v>
      </c>
      <c r="T20" s="78" t="n">
        <v>3</v>
      </c>
      <c r="U20" s="78" t="n">
        <v>1</v>
      </c>
      <c r="V20" s="78" t="inlineStr">
        <is>
          <t>계단식</t>
        </is>
      </c>
      <c r="W20" s="78" t="inlineStr">
        <is>
          <t>74A</t>
        </is>
      </c>
      <c r="X20" s="78" t="n">
        <v>15</v>
      </c>
      <c r="Y20" s="78" t="n">
        <v>7</v>
      </c>
      <c r="Z20" s="78" t="inlineStr">
        <is>
          <t>https://new.land.naver.com/complexes/14954?tab=detail&amp;rf=Y</t>
        </is>
      </c>
      <c r="AA20" s="78" t="inlineStr">
        <is>
          <t>전라북도 군산시 구암동 333-1</t>
        </is>
      </c>
      <c r="AB20" s="78" t="inlineStr">
        <is>
          <t>전라북도</t>
        </is>
      </c>
      <c r="AC20" s="78" t="inlineStr">
        <is>
          <t>군산시</t>
        </is>
      </c>
      <c r="AD20" s="78" t="inlineStr">
        <is>
          <t>구암동</t>
        </is>
      </c>
      <c r="AG20" s="78" t="inlineStr">
        <is>
          <t>전라북도 군산시 영명길 6</t>
        </is>
      </c>
      <c r="AH20" s="78" t="n">
        <v>0</v>
      </c>
      <c r="AI20" s="78" t="n">
        <v>0</v>
      </c>
      <c r="AJ20" s="78" t="n">
        <v>0</v>
      </c>
      <c r="AK20" s="78" t="n">
        <v>0</v>
      </c>
      <c r="AL20" s="78" t="n">
        <v>0</v>
      </c>
    </row>
    <row r="21">
      <c r="A21" s="78" t="inlineStr">
        <is>
          <t>[구암동]</t>
        </is>
      </c>
      <c r="B21" s="78" t="n">
        <v>14954</v>
      </c>
      <c r="C21" s="78" t="n">
        <v>3</v>
      </c>
      <c r="D21" s="78" t="inlineStr">
        <is>
          <t>세풍</t>
        </is>
      </c>
      <c r="E21" s="78" t="inlineStr">
        <is>
          <t>1997.01.</t>
        </is>
      </c>
      <c r="F21" s="78" t="n">
        <v>437</v>
      </c>
      <c r="G21" s="78" t="n">
        <v>32.07</v>
      </c>
      <c r="H21" s="78" t="n">
        <v>106.03</v>
      </c>
      <c r="I21" s="78" t="n">
        <v>25.7</v>
      </c>
      <c r="J21" s="78" t="n">
        <v>84.98</v>
      </c>
      <c r="K21" s="78" t="n">
        <v>208</v>
      </c>
      <c r="T21" s="78" t="n">
        <v>3</v>
      </c>
      <c r="U21" s="78" t="n">
        <v>2</v>
      </c>
      <c r="V21" s="78" t="inlineStr">
        <is>
          <t>계단식</t>
        </is>
      </c>
      <c r="W21" s="78" t="inlineStr">
        <is>
          <t>106B</t>
        </is>
      </c>
      <c r="X21" s="78" t="n">
        <v>15</v>
      </c>
      <c r="Y21" s="78" t="n">
        <v>7</v>
      </c>
      <c r="Z21" s="78" t="inlineStr">
        <is>
          <t>https://new.land.naver.com/complexes/14954?tab=detail&amp;rf=Y</t>
        </is>
      </c>
      <c r="AA21" s="78" t="inlineStr">
        <is>
          <t>전라북도 군산시 구암동 333-1</t>
        </is>
      </c>
      <c r="AB21" s="78" t="inlineStr">
        <is>
          <t>전라북도</t>
        </is>
      </c>
      <c r="AC21" s="78" t="inlineStr">
        <is>
          <t>군산시</t>
        </is>
      </c>
      <c r="AD21" s="78" t="inlineStr">
        <is>
          <t>구암동</t>
        </is>
      </c>
      <c r="AG21" s="78" t="inlineStr">
        <is>
          <t>전라북도 군산시 영명길 6</t>
        </is>
      </c>
      <c r="AH21" s="78" t="n">
        <v>0</v>
      </c>
      <c r="AI21" s="78" t="n">
        <v>0</v>
      </c>
      <c r="AJ21" s="78" t="n">
        <v>0</v>
      </c>
      <c r="AK21" s="78" t="n">
        <v>0</v>
      </c>
      <c r="AL21" s="78" t="n">
        <v>0</v>
      </c>
    </row>
    <row r="22">
      <c r="A22" s="78" t="inlineStr">
        <is>
          <t>[구암동]</t>
        </is>
      </c>
      <c r="B22" s="78" t="n">
        <v>14954</v>
      </c>
      <c r="C22" s="78" t="n">
        <v>4</v>
      </c>
      <c r="D22" s="78" t="inlineStr">
        <is>
          <t>세풍</t>
        </is>
      </c>
      <c r="E22" s="78" t="inlineStr">
        <is>
          <t>1997.01.</t>
        </is>
      </c>
      <c r="F22" s="78" t="n">
        <v>437</v>
      </c>
      <c r="G22" s="78" t="n">
        <v>32.07</v>
      </c>
      <c r="H22" s="78" t="n">
        <v>106.02</v>
      </c>
      <c r="I22" s="78" t="n">
        <v>25.7</v>
      </c>
      <c r="J22" s="78" t="n">
        <v>84.95999999999999</v>
      </c>
      <c r="K22" s="78" t="n">
        <v>32</v>
      </c>
      <c r="T22" s="78" t="n">
        <v>3</v>
      </c>
      <c r="U22" s="78" t="n">
        <v>2</v>
      </c>
      <c r="V22" s="78" t="inlineStr">
        <is>
          <t>계단식</t>
        </is>
      </c>
      <c r="W22" s="78" t="inlineStr">
        <is>
          <t>106A</t>
        </is>
      </c>
      <c r="X22" s="78" t="n">
        <v>15</v>
      </c>
      <c r="Y22" s="78" t="n">
        <v>7</v>
      </c>
      <c r="Z22" s="78" t="inlineStr">
        <is>
          <t>https://new.land.naver.com/complexes/14954?tab=detail&amp;rf=Y</t>
        </is>
      </c>
      <c r="AA22" s="78" t="inlineStr">
        <is>
          <t>전라북도 군산시 구암동 333-1</t>
        </is>
      </c>
      <c r="AB22" s="78" t="inlineStr">
        <is>
          <t>전라북도</t>
        </is>
      </c>
      <c r="AC22" s="78" t="inlineStr">
        <is>
          <t>군산시</t>
        </is>
      </c>
      <c r="AD22" s="78" t="inlineStr">
        <is>
          <t>구암동</t>
        </is>
      </c>
      <c r="AG22" s="78" t="inlineStr">
        <is>
          <t>전라북도 군산시 영명길 6</t>
        </is>
      </c>
      <c r="AH22" s="78" t="n">
        <v>0</v>
      </c>
      <c r="AI22" s="78" t="n">
        <v>0</v>
      </c>
      <c r="AJ22" s="78" t="n">
        <v>0</v>
      </c>
      <c r="AK22" s="78" t="n">
        <v>0</v>
      </c>
      <c r="AL22" s="78" t="n">
        <v>0</v>
      </c>
    </row>
    <row r="23">
      <c r="A23" s="78" t="inlineStr">
        <is>
          <t>[구암동]</t>
        </is>
      </c>
      <c r="B23" s="78" t="n">
        <v>14954</v>
      </c>
      <c r="C23" s="78" t="n">
        <v>5</v>
      </c>
      <c r="D23" s="78" t="inlineStr">
        <is>
          <t>세풍</t>
        </is>
      </c>
      <c r="E23" s="78" t="inlineStr">
        <is>
          <t>1997.01.</t>
        </is>
      </c>
      <c r="F23" s="78" t="n">
        <v>437</v>
      </c>
      <c r="G23" s="78" t="n">
        <v>37.76</v>
      </c>
      <c r="H23" s="78" t="n">
        <v>124.84</v>
      </c>
      <c r="I23" s="78" t="n">
        <v>30.26</v>
      </c>
      <c r="J23" s="78" t="n">
        <v>100.05</v>
      </c>
      <c r="K23" s="78" t="n">
        <v>22</v>
      </c>
      <c r="T23" s="78" t="n">
        <v>3</v>
      </c>
      <c r="U23" s="78" t="n">
        <v>2</v>
      </c>
      <c r="V23" s="78" t="inlineStr">
        <is>
          <t>계단식</t>
        </is>
      </c>
      <c r="W23" s="78" t="n">
        <v>124</v>
      </c>
      <c r="X23" s="78" t="n">
        <v>15</v>
      </c>
      <c r="Y23" s="78" t="n">
        <v>7</v>
      </c>
      <c r="Z23" s="78" t="inlineStr">
        <is>
          <t>https://new.land.naver.com/complexes/14954?tab=detail&amp;rf=Y</t>
        </is>
      </c>
      <c r="AA23" s="78" t="inlineStr">
        <is>
          <t>전라북도 군산시 구암동 333-1</t>
        </is>
      </c>
      <c r="AB23" s="78" t="inlineStr">
        <is>
          <t>전라북도</t>
        </is>
      </c>
      <c r="AC23" s="78" t="inlineStr">
        <is>
          <t>군산시</t>
        </is>
      </c>
      <c r="AD23" s="78" t="inlineStr">
        <is>
          <t>구암동</t>
        </is>
      </c>
      <c r="AG23" s="78" t="inlineStr">
        <is>
          <t>전라북도 군산시 영명길 6</t>
        </is>
      </c>
      <c r="AH23" s="78" t="n">
        <v>0</v>
      </c>
      <c r="AI23" s="78" t="n">
        <v>0</v>
      </c>
      <c r="AJ23" s="78" t="n">
        <v>0</v>
      </c>
      <c r="AK23" s="78" t="n">
        <v>0</v>
      </c>
      <c r="AL23" s="78" t="n">
        <v>0</v>
      </c>
    </row>
    <row r="24">
      <c r="A24" s="78" t="inlineStr">
        <is>
          <t>[구암동]</t>
        </is>
      </c>
      <c r="B24" s="78" t="n">
        <v>140320</v>
      </c>
      <c r="C24" s="78" t="n">
        <v>1</v>
      </c>
      <c r="D24" s="78" t="inlineStr">
        <is>
          <t>리버힐스</t>
        </is>
      </c>
      <c r="E24" s="78" t="inlineStr">
        <is>
          <t>2019.05.</t>
        </is>
      </c>
      <c r="F24" s="78" t="n">
        <v>29</v>
      </c>
      <c r="G24" s="78" t="n">
        <v>20</v>
      </c>
      <c r="H24" s="78" t="n">
        <v>66.12</v>
      </c>
      <c r="I24" s="78" t="n">
        <v>16.89</v>
      </c>
      <c r="J24" s="78" t="n">
        <v>55.84</v>
      </c>
      <c r="K24" s="78" t="n">
        <v>3</v>
      </c>
      <c r="T24" s="78" t="n">
        <v>3</v>
      </c>
      <c r="U24" s="78" t="n">
        <v>1</v>
      </c>
      <c r="V24" s="78" t="inlineStr">
        <is>
          <t>계단식</t>
        </is>
      </c>
      <c r="W24" s="78" t="inlineStr">
        <is>
          <t>66A</t>
        </is>
      </c>
      <c r="X24" s="78" t="n">
        <v>5</v>
      </c>
      <c r="Y24" s="78" t="n">
        <v>3</v>
      </c>
      <c r="Z24" s="78" t="inlineStr">
        <is>
          <t>https://new.land.naver.com/complexes/140320?tab=detail&amp;rf=Y</t>
        </is>
      </c>
      <c r="AA24" s="78" t="inlineStr">
        <is>
          <t>전라북도 군산시 구암동 358-9</t>
        </is>
      </c>
      <c r="AB24" s="78" t="inlineStr">
        <is>
          <t>전라북도</t>
        </is>
      </c>
      <c r="AC24" s="78" t="inlineStr">
        <is>
          <t>군산시</t>
        </is>
      </c>
      <c r="AD24" s="78" t="inlineStr">
        <is>
          <t>구암동</t>
        </is>
      </c>
      <c r="AG24" s="78" t="inlineStr">
        <is>
          <t>전라북도 군산시 외산3길 11</t>
        </is>
      </c>
      <c r="AH24" s="78" t="n">
        <v>0</v>
      </c>
      <c r="AI24" s="78" t="n">
        <v>98</v>
      </c>
      <c r="AJ24" s="78" t="n">
        <v>34</v>
      </c>
      <c r="AK24" s="78" t="n">
        <v>33</v>
      </c>
      <c r="AL24" s="78" t="n">
        <v>1.14</v>
      </c>
    </row>
    <row r="25">
      <c r="A25" s="78" t="inlineStr">
        <is>
          <t>[구암동]</t>
        </is>
      </c>
      <c r="B25" s="78" t="n">
        <v>140320</v>
      </c>
      <c r="C25" s="78" t="n">
        <v>2</v>
      </c>
      <c r="D25" s="78" t="inlineStr">
        <is>
          <t>리버힐스</t>
        </is>
      </c>
      <c r="E25" s="78" t="inlineStr">
        <is>
          <t>2019.05.</t>
        </is>
      </c>
      <c r="F25" s="78" t="n">
        <v>29</v>
      </c>
      <c r="G25" s="78" t="n">
        <v>20.4</v>
      </c>
      <c r="H25" s="78" t="n">
        <v>67.45</v>
      </c>
      <c r="I25" s="78" t="n">
        <v>17.23</v>
      </c>
      <c r="J25" s="78" t="n">
        <v>56.96</v>
      </c>
      <c r="K25" s="78" t="n">
        <v>2</v>
      </c>
      <c r="T25" s="78" t="n">
        <v>3</v>
      </c>
      <c r="U25" s="78" t="n">
        <v>1</v>
      </c>
      <c r="V25" s="78" t="inlineStr">
        <is>
          <t>계단식</t>
        </is>
      </c>
      <c r="W25" s="78" t="inlineStr">
        <is>
          <t>67B</t>
        </is>
      </c>
      <c r="X25" s="78" t="n">
        <v>5</v>
      </c>
      <c r="Y25" s="78" t="n">
        <v>3</v>
      </c>
      <c r="Z25" s="78" t="inlineStr">
        <is>
          <t>https://new.land.naver.com/complexes/140320?tab=detail&amp;rf=Y</t>
        </is>
      </c>
      <c r="AA25" s="78" t="inlineStr">
        <is>
          <t>전라북도 군산시 구암동 358-9</t>
        </is>
      </c>
      <c r="AB25" s="78" t="inlineStr">
        <is>
          <t>전라북도</t>
        </is>
      </c>
      <c r="AC25" s="78" t="inlineStr">
        <is>
          <t>군산시</t>
        </is>
      </c>
      <c r="AD25" s="78" t="inlineStr">
        <is>
          <t>구암동</t>
        </is>
      </c>
      <c r="AG25" s="78" t="inlineStr">
        <is>
          <t>전라북도 군산시 외산3길 11</t>
        </is>
      </c>
      <c r="AH25" s="78" t="n">
        <v>0</v>
      </c>
      <c r="AI25" s="78" t="n">
        <v>98</v>
      </c>
      <c r="AJ25" s="78" t="n">
        <v>34</v>
      </c>
      <c r="AK25" s="78" t="n">
        <v>33</v>
      </c>
      <c r="AL25" s="78" t="n">
        <v>1.14</v>
      </c>
    </row>
    <row r="26">
      <c r="A26" s="78" t="inlineStr">
        <is>
          <t>[구암동]</t>
        </is>
      </c>
      <c r="B26" s="78" t="n">
        <v>140320</v>
      </c>
      <c r="C26" s="78" t="n">
        <v>3</v>
      </c>
      <c r="D26" s="78" t="inlineStr">
        <is>
          <t>리버힐스</t>
        </is>
      </c>
      <c r="E26" s="78" t="inlineStr">
        <is>
          <t>2019.05.</t>
        </is>
      </c>
      <c r="F26" s="78" t="n">
        <v>29</v>
      </c>
      <c r="G26" s="78" t="n">
        <v>24.03</v>
      </c>
      <c r="H26" s="78" t="n">
        <v>79.45</v>
      </c>
      <c r="I26" s="78" t="n">
        <v>20.53</v>
      </c>
      <c r="J26" s="78" t="n">
        <v>67.87</v>
      </c>
      <c r="K26" s="78" t="n">
        <v>2</v>
      </c>
      <c r="T26" s="78" t="n">
        <v>2</v>
      </c>
      <c r="U26" s="78" t="n">
        <v>2</v>
      </c>
      <c r="V26" s="78" t="inlineStr">
        <is>
          <t>계단식</t>
        </is>
      </c>
      <c r="W26" s="78" t="n">
        <v>79</v>
      </c>
      <c r="X26" s="78" t="n">
        <v>5</v>
      </c>
      <c r="Y26" s="78" t="n">
        <v>3</v>
      </c>
      <c r="Z26" s="78" t="inlineStr">
        <is>
          <t>https://new.land.naver.com/complexes/140320?tab=detail&amp;rf=Y</t>
        </is>
      </c>
      <c r="AA26" s="78" t="inlineStr">
        <is>
          <t>전라북도 군산시 구암동 358-9</t>
        </is>
      </c>
      <c r="AB26" s="78" t="inlineStr">
        <is>
          <t>전라북도</t>
        </is>
      </c>
      <c r="AC26" s="78" t="inlineStr">
        <is>
          <t>군산시</t>
        </is>
      </c>
      <c r="AD26" s="78" t="inlineStr">
        <is>
          <t>구암동</t>
        </is>
      </c>
      <c r="AG26" s="78" t="inlineStr">
        <is>
          <t>전라북도 군산시 외산3길 11</t>
        </is>
      </c>
      <c r="AH26" s="78" t="n">
        <v>0</v>
      </c>
      <c r="AI26" s="78" t="n">
        <v>98</v>
      </c>
      <c r="AJ26" s="78" t="n">
        <v>34</v>
      </c>
      <c r="AK26" s="78" t="n">
        <v>33</v>
      </c>
      <c r="AL26" s="78" t="n">
        <v>1.14</v>
      </c>
    </row>
    <row r="27">
      <c r="A27" s="78" t="inlineStr">
        <is>
          <t>[구암동]</t>
        </is>
      </c>
      <c r="B27" s="78" t="n">
        <v>140320</v>
      </c>
      <c r="C27" s="78" t="n">
        <v>4</v>
      </c>
      <c r="D27" s="78" t="inlineStr">
        <is>
          <t>리버힐스</t>
        </is>
      </c>
      <c r="E27" s="78" t="inlineStr">
        <is>
          <t>2019.05.</t>
        </is>
      </c>
      <c r="F27" s="78" t="n">
        <v>29</v>
      </c>
      <c r="G27" s="78" t="n">
        <v>29.6</v>
      </c>
      <c r="H27" s="78" t="n">
        <v>97.86</v>
      </c>
      <c r="I27" s="78" t="n">
        <v>25.19</v>
      </c>
      <c r="J27" s="78" t="n">
        <v>83.28</v>
      </c>
      <c r="K27" s="78" t="n">
        <v>4</v>
      </c>
      <c r="T27" s="78" t="n">
        <v>3</v>
      </c>
      <c r="U27" s="78" t="n">
        <v>2</v>
      </c>
      <c r="V27" s="78" t="inlineStr">
        <is>
          <t>계단식</t>
        </is>
      </c>
      <c r="W27" s="78" t="inlineStr">
        <is>
          <t>97A</t>
        </is>
      </c>
      <c r="X27" s="78" t="n">
        <v>5</v>
      </c>
      <c r="Y27" s="78" t="n">
        <v>3</v>
      </c>
      <c r="Z27" s="78" t="inlineStr">
        <is>
          <t>https://new.land.naver.com/complexes/140320?tab=detail&amp;rf=Y</t>
        </is>
      </c>
      <c r="AA27" s="78" t="inlineStr">
        <is>
          <t>전라북도 군산시 구암동 358-9</t>
        </is>
      </c>
      <c r="AB27" s="78" t="inlineStr">
        <is>
          <t>전라북도</t>
        </is>
      </c>
      <c r="AC27" s="78" t="inlineStr">
        <is>
          <t>군산시</t>
        </is>
      </c>
      <c r="AD27" s="78" t="inlineStr">
        <is>
          <t>구암동</t>
        </is>
      </c>
      <c r="AG27" s="78" t="inlineStr">
        <is>
          <t>전라북도 군산시 외산3길 11</t>
        </is>
      </c>
      <c r="AH27" s="78" t="n">
        <v>0</v>
      </c>
      <c r="AI27" s="78" t="n">
        <v>98</v>
      </c>
      <c r="AJ27" s="78" t="n">
        <v>34</v>
      </c>
      <c r="AK27" s="78" t="n">
        <v>33</v>
      </c>
      <c r="AL27" s="78" t="n">
        <v>1.14</v>
      </c>
    </row>
    <row r="28">
      <c r="A28" s="78" t="inlineStr">
        <is>
          <t>[구암동]</t>
        </is>
      </c>
      <c r="B28" s="78" t="n">
        <v>140320</v>
      </c>
      <c r="C28" s="78" t="n">
        <v>5</v>
      </c>
      <c r="D28" s="78" t="inlineStr">
        <is>
          <t>리버힐스</t>
        </is>
      </c>
      <c r="E28" s="78" t="inlineStr">
        <is>
          <t>2019.05.</t>
        </is>
      </c>
      <c r="F28" s="78" t="n">
        <v>29</v>
      </c>
      <c r="G28" s="78" t="n">
        <v>29.65</v>
      </c>
      <c r="H28" s="78" t="n">
        <v>98.04000000000001</v>
      </c>
      <c r="I28" s="78" t="n">
        <v>25.23</v>
      </c>
      <c r="J28" s="78" t="n">
        <v>83.43000000000001</v>
      </c>
      <c r="K28" s="78" t="n">
        <v>8</v>
      </c>
      <c r="T28" s="78" t="n">
        <v>3</v>
      </c>
      <c r="U28" s="78" t="n">
        <v>2</v>
      </c>
      <c r="V28" s="78" t="inlineStr">
        <is>
          <t>계단식</t>
        </is>
      </c>
      <c r="W28" s="78" t="inlineStr">
        <is>
          <t>98B</t>
        </is>
      </c>
      <c r="X28" s="78" t="n">
        <v>5</v>
      </c>
      <c r="Y28" s="78" t="n">
        <v>3</v>
      </c>
      <c r="Z28" s="78" t="inlineStr">
        <is>
          <t>https://new.land.naver.com/complexes/140320?tab=detail&amp;rf=Y</t>
        </is>
      </c>
      <c r="AA28" s="78" t="inlineStr">
        <is>
          <t>전라북도 군산시 구암동 358-9</t>
        </is>
      </c>
      <c r="AB28" s="78" t="inlineStr">
        <is>
          <t>전라북도</t>
        </is>
      </c>
      <c r="AC28" s="78" t="inlineStr">
        <is>
          <t>군산시</t>
        </is>
      </c>
      <c r="AD28" s="78" t="inlineStr">
        <is>
          <t>구암동</t>
        </is>
      </c>
      <c r="AG28" s="78" t="inlineStr">
        <is>
          <t>전라북도 군산시 외산3길 11</t>
        </is>
      </c>
      <c r="AH28" s="78" t="n">
        <v>0</v>
      </c>
      <c r="AI28" s="78" t="n">
        <v>98</v>
      </c>
      <c r="AJ28" s="78" t="n">
        <v>34</v>
      </c>
      <c r="AK28" s="78" t="n">
        <v>33</v>
      </c>
      <c r="AL28" s="78" t="n">
        <v>1.14</v>
      </c>
    </row>
    <row r="29">
      <c r="A29" s="78" t="inlineStr">
        <is>
          <t>[구암동]</t>
        </is>
      </c>
      <c r="B29" s="78" t="n">
        <v>140320</v>
      </c>
      <c r="C29" s="78" t="n">
        <v>6</v>
      </c>
      <c r="D29" s="78" t="inlineStr">
        <is>
          <t>리버힐스</t>
        </is>
      </c>
      <c r="E29" s="78" t="inlineStr">
        <is>
          <t>2019.05.</t>
        </is>
      </c>
      <c r="F29" s="78" t="n">
        <v>29</v>
      </c>
      <c r="G29" s="78" t="n">
        <v>37.71</v>
      </c>
      <c r="H29" s="78" t="n">
        <v>124.68</v>
      </c>
      <c r="I29" s="78" t="n">
        <v>32.09</v>
      </c>
      <c r="J29" s="78" t="n">
        <v>106.11</v>
      </c>
      <c r="K29" s="78" t="n">
        <v>4</v>
      </c>
      <c r="T29" s="78" t="n">
        <v>3</v>
      </c>
      <c r="U29" s="78" t="n">
        <v>2</v>
      </c>
      <c r="V29" s="78" t="inlineStr">
        <is>
          <t>계단식</t>
        </is>
      </c>
      <c r="W29" s="78" t="n">
        <v>124</v>
      </c>
      <c r="X29" s="78" t="n">
        <v>5</v>
      </c>
      <c r="Y29" s="78" t="n">
        <v>3</v>
      </c>
      <c r="Z29" s="78" t="inlineStr">
        <is>
          <t>https://new.land.naver.com/complexes/140320?tab=detail&amp;rf=Y</t>
        </is>
      </c>
      <c r="AA29" s="78" t="inlineStr">
        <is>
          <t>전라북도 군산시 구암동 358-9</t>
        </is>
      </c>
      <c r="AB29" s="78" t="inlineStr">
        <is>
          <t>전라북도</t>
        </is>
      </c>
      <c r="AC29" s="78" t="inlineStr">
        <is>
          <t>군산시</t>
        </is>
      </c>
      <c r="AD29" s="78" t="inlineStr">
        <is>
          <t>구암동</t>
        </is>
      </c>
      <c r="AG29" s="78" t="inlineStr">
        <is>
          <t>전라북도 군산시 외산3길 11</t>
        </is>
      </c>
      <c r="AH29" s="78" t="n">
        <v>0</v>
      </c>
      <c r="AI29" s="78" t="n">
        <v>98</v>
      </c>
      <c r="AJ29" s="78" t="n">
        <v>34</v>
      </c>
      <c r="AK29" s="78" t="n">
        <v>33</v>
      </c>
      <c r="AL29" s="78" t="n">
        <v>1.14</v>
      </c>
    </row>
    <row r="30">
      <c r="A30" s="78" t="inlineStr">
        <is>
          <t>[구암동]</t>
        </is>
      </c>
      <c r="B30" s="78" t="n">
        <v>140320</v>
      </c>
      <c r="C30" s="78" t="n">
        <v>7</v>
      </c>
      <c r="D30" s="78" t="inlineStr">
        <is>
          <t>리버힐스</t>
        </is>
      </c>
      <c r="E30" s="78" t="inlineStr">
        <is>
          <t>2019.05.</t>
        </is>
      </c>
      <c r="F30" s="78" t="n">
        <v>29</v>
      </c>
      <c r="G30" s="78" t="n">
        <v>42.92</v>
      </c>
      <c r="H30" s="78" t="n">
        <v>141.91</v>
      </c>
      <c r="I30" s="78" t="n">
        <v>36.25</v>
      </c>
      <c r="J30" s="78" t="n">
        <v>119.84</v>
      </c>
      <c r="K30" s="78" t="n">
        <v>1</v>
      </c>
      <c r="T30" s="78" t="n">
        <v>4</v>
      </c>
      <c r="U30" s="78" t="n">
        <v>2</v>
      </c>
      <c r="V30" s="78" t="inlineStr">
        <is>
          <t>계단식</t>
        </is>
      </c>
      <c r="W30" s="78" t="inlineStr">
        <is>
          <t>141A</t>
        </is>
      </c>
      <c r="X30" s="78" t="n">
        <v>5</v>
      </c>
      <c r="Y30" s="78" t="n">
        <v>3</v>
      </c>
      <c r="Z30" s="78" t="inlineStr">
        <is>
          <t>https://new.land.naver.com/complexes/140320?tab=detail&amp;rf=Y</t>
        </is>
      </c>
      <c r="AA30" s="78" t="inlineStr">
        <is>
          <t>전라북도 군산시 구암동 358-9</t>
        </is>
      </c>
      <c r="AB30" s="78" t="inlineStr">
        <is>
          <t>전라북도</t>
        </is>
      </c>
      <c r="AC30" s="78" t="inlineStr">
        <is>
          <t>군산시</t>
        </is>
      </c>
      <c r="AD30" s="78" t="inlineStr">
        <is>
          <t>구암동</t>
        </is>
      </c>
      <c r="AG30" s="78" t="inlineStr">
        <is>
          <t>전라북도 군산시 외산3길 11</t>
        </is>
      </c>
      <c r="AH30" s="78" t="n">
        <v>0</v>
      </c>
      <c r="AI30" s="78" t="n">
        <v>98</v>
      </c>
      <c r="AJ30" s="78" t="n">
        <v>34</v>
      </c>
      <c r="AK30" s="78" t="n">
        <v>33</v>
      </c>
      <c r="AL30" s="78" t="n">
        <v>1.14</v>
      </c>
    </row>
    <row r="31">
      <c r="A31" s="78" t="inlineStr">
        <is>
          <t>[구암동]</t>
        </is>
      </c>
      <c r="B31" s="78" t="n">
        <v>140320</v>
      </c>
      <c r="C31" s="78" t="n">
        <v>8</v>
      </c>
      <c r="D31" s="78" t="inlineStr">
        <is>
          <t>리버힐스</t>
        </is>
      </c>
      <c r="E31" s="78" t="inlineStr">
        <is>
          <t>2019.05.</t>
        </is>
      </c>
      <c r="F31" s="78" t="n">
        <v>29</v>
      </c>
      <c r="G31" s="78" t="n">
        <v>43.22</v>
      </c>
      <c r="H31" s="78" t="n">
        <v>142.89</v>
      </c>
      <c r="I31" s="78" t="n">
        <v>36.5</v>
      </c>
      <c r="J31" s="78" t="n">
        <v>120.67</v>
      </c>
      <c r="K31" s="78" t="n">
        <v>3</v>
      </c>
      <c r="T31" s="78" t="n">
        <v>4</v>
      </c>
      <c r="U31" s="78" t="n">
        <v>2</v>
      </c>
      <c r="V31" s="78" t="inlineStr">
        <is>
          <t>계단식</t>
        </is>
      </c>
      <c r="W31" s="78" t="inlineStr">
        <is>
          <t>142B</t>
        </is>
      </c>
      <c r="X31" s="78" t="n">
        <v>5</v>
      </c>
      <c r="Y31" s="78" t="n">
        <v>3</v>
      </c>
      <c r="Z31" s="78" t="inlineStr">
        <is>
          <t>https://new.land.naver.com/complexes/140320?tab=detail&amp;rf=Y</t>
        </is>
      </c>
      <c r="AA31" s="78" t="inlineStr">
        <is>
          <t>전라북도 군산시 구암동 358-9</t>
        </is>
      </c>
      <c r="AB31" s="78" t="inlineStr">
        <is>
          <t>전라북도</t>
        </is>
      </c>
      <c r="AC31" s="78" t="inlineStr">
        <is>
          <t>군산시</t>
        </is>
      </c>
      <c r="AD31" s="78" t="inlineStr">
        <is>
          <t>구암동</t>
        </is>
      </c>
      <c r="AG31" s="78" t="inlineStr">
        <is>
          <t>전라북도 군산시 외산3길 11</t>
        </is>
      </c>
      <c r="AH31" s="78" t="n">
        <v>0</v>
      </c>
      <c r="AI31" s="78" t="n">
        <v>98</v>
      </c>
      <c r="AJ31" s="78" t="n">
        <v>34</v>
      </c>
      <c r="AK31" s="78" t="n">
        <v>33</v>
      </c>
      <c r="AL31" s="78" t="n">
        <v>1.14</v>
      </c>
    </row>
    <row r="32">
      <c r="A32" s="78" t="inlineStr">
        <is>
          <t>[구암동]</t>
        </is>
      </c>
      <c r="B32" s="78" t="n">
        <v>140320</v>
      </c>
      <c r="C32" s="78" t="n">
        <v>9</v>
      </c>
      <c r="D32" s="78" t="inlineStr">
        <is>
          <t>리버힐스</t>
        </is>
      </c>
      <c r="E32" s="78" t="inlineStr">
        <is>
          <t>2019.05.</t>
        </is>
      </c>
      <c r="F32" s="78" t="n">
        <v>29</v>
      </c>
      <c r="G32" s="78" t="n">
        <v>58.78</v>
      </c>
      <c r="H32" s="78" t="n">
        <v>194.33</v>
      </c>
      <c r="I32" s="78" t="n">
        <v>49.64</v>
      </c>
      <c r="J32" s="78" t="n">
        <v>164.11</v>
      </c>
      <c r="K32" s="78" t="n">
        <v>2</v>
      </c>
      <c r="T32" s="78" t="n">
        <v>5</v>
      </c>
      <c r="U32" s="78" t="n">
        <v>3</v>
      </c>
      <c r="V32" s="78" t="inlineStr">
        <is>
          <t>계단식</t>
        </is>
      </c>
      <c r="W32" s="78" t="n">
        <v>194</v>
      </c>
      <c r="X32" s="78" t="n">
        <v>5</v>
      </c>
      <c r="Y32" s="78" t="n">
        <v>3</v>
      </c>
      <c r="Z32" s="78" t="inlineStr">
        <is>
          <t>https://new.land.naver.com/complexes/140320?tab=detail&amp;rf=Y</t>
        </is>
      </c>
      <c r="AA32" s="78" t="inlineStr">
        <is>
          <t>전라북도 군산시 구암동 358-9</t>
        </is>
      </c>
      <c r="AB32" s="78" t="inlineStr">
        <is>
          <t>전라북도</t>
        </is>
      </c>
      <c r="AC32" s="78" t="inlineStr">
        <is>
          <t>군산시</t>
        </is>
      </c>
      <c r="AD32" s="78" t="inlineStr">
        <is>
          <t>구암동</t>
        </is>
      </c>
      <c r="AG32" s="78" t="inlineStr">
        <is>
          <t>전라북도 군산시 외산3길 11</t>
        </is>
      </c>
      <c r="AH32" s="78" t="n">
        <v>0</v>
      </c>
      <c r="AI32" s="78" t="n">
        <v>98</v>
      </c>
      <c r="AJ32" s="78" t="n">
        <v>34</v>
      </c>
      <c r="AK32" s="78" t="n">
        <v>33</v>
      </c>
      <c r="AL32" s="78" t="n">
        <v>1.14</v>
      </c>
    </row>
    <row r="33">
      <c r="A33" s="78" t="inlineStr">
        <is>
          <t>[금광동]</t>
        </is>
      </c>
      <c r="B33" s="78" t="n">
        <v>4960</v>
      </c>
      <c r="C33" s="78" t="n">
        <v>1</v>
      </c>
      <c r="D33" s="78" t="inlineStr">
        <is>
          <t>삼성</t>
        </is>
      </c>
      <c r="E33" s="78" t="inlineStr">
        <is>
          <t>1990.11.</t>
        </is>
      </c>
      <c r="F33" s="78" t="n">
        <v>424</v>
      </c>
      <c r="G33" s="78" t="n">
        <v>32.27</v>
      </c>
      <c r="H33" s="78" t="n">
        <v>106.7</v>
      </c>
      <c r="I33" s="78" t="n">
        <v>25.68</v>
      </c>
      <c r="J33" s="78" t="n">
        <v>84.90000000000001</v>
      </c>
      <c r="K33" s="78" t="n">
        <v>192</v>
      </c>
      <c r="T33" s="78" t="n">
        <v>3</v>
      </c>
      <c r="U33" s="78" t="n">
        <v>2</v>
      </c>
      <c r="V33" s="78" t="inlineStr">
        <is>
          <t>계단식</t>
        </is>
      </c>
      <c r="W33" s="78" t="inlineStr">
        <is>
          <t>106B</t>
        </is>
      </c>
      <c r="X33" s="78" t="n">
        <v>15</v>
      </c>
      <c r="Y33" s="78" t="n">
        <v>8</v>
      </c>
      <c r="Z33" s="78" t="inlineStr">
        <is>
          <t>https://new.land.naver.com/complexes/4960?tab=detail&amp;rf=Y</t>
        </is>
      </c>
      <c r="AA33" s="78" t="inlineStr">
        <is>
          <t>전라북도 군산시 금광동 172</t>
        </is>
      </c>
      <c r="AB33" s="78" t="inlineStr">
        <is>
          <t>전라북도</t>
        </is>
      </c>
      <c r="AC33" s="78" t="inlineStr">
        <is>
          <t>군산시</t>
        </is>
      </c>
      <c r="AD33" s="78" t="inlineStr">
        <is>
          <t>금광동</t>
        </is>
      </c>
      <c r="AG33" s="78" t="inlineStr">
        <is>
          <t>전라북도 군산시 대학로 114-1</t>
        </is>
      </c>
      <c r="AH33" s="78" t="n">
        <v>0</v>
      </c>
      <c r="AI33" s="78" t="n">
        <v>244</v>
      </c>
      <c r="AJ33" s="78" t="n">
        <v>22</v>
      </c>
      <c r="AK33" s="78" t="n">
        <v>0</v>
      </c>
      <c r="AL33" s="78" t="n">
        <v>0</v>
      </c>
    </row>
    <row r="34">
      <c r="A34" s="78" t="inlineStr">
        <is>
          <t>[금광동]</t>
        </is>
      </c>
      <c r="B34" s="78" t="n">
        <v>4960</v>
      </c>
      <c r="C34" s="78" t="n">
        <v>2</v>
      </c>
      <c r="D34" s="78" t="inlineStr">
        <is>
          <t>삼성</t>
        </is>
      </c>
      <c r="E34" s="78" t="inlineStr">
        <is>
          <t>1990.11.</t>
        </is>
      </c>
      <c r="F34" s="78" t="n">
        <v>424</v>
      </c>
      <c r="G34" s="78" t="n">
        <v>32.34</v>
      </c>
      <c r="H34" s="78" t="n">
        <v>106.94</v>
      </c>
      <c r="I34" s="78" t="n">
        <v>25.67</v>
      </c>
      <c r="J34" s="78" t="n">
        <v>84.87</v>
      </c>
      <c r="K34" s="78" t="n">
        <v>66</v>
      </c>
      <c r="T34" s="78" t="n">
        <v>3</v>
      </c>
      <c r="U34" s="78" t="n">
        <v>2</v>
      </c>
      <c r="V34" s="78" t="inlineStr">
        <is>
          <t>계단식</t>
        </is>
      </c>
      <c r="W34" s="78" t="inlineStr">
        <is>
          <t>106A</t>
        </is>
      </c>
      <c r="X34" s="78" t="n">
        <v>15</v>
      </c>
      <c r="Y34" s="78" t="n">
        <v>8</v>
      </c>
      <c r="Z34" s="78" t="inlineStr">
        <is>
          <t>https://new.land.naver.com/complexes/4960?tab=detail&amp;rf=Y</t>
        </is>
      </c>
      <c r="AA34" s="78" t="inlineStr">
        <is>
          <t>전라북도 군산시 금광동 172</t>
        </is>
      </c>
      <c r="AB34" s="78" t="inlineStr">
        <is>
          <t>전라북도</t>
        </is>
      </c>
      <c r="AC34" s="78" t="inlineStr">
        <is>
          <t>군산시</t>
        </is>
      </c>
      <c r="AD34" s="78" t="inlineStr">
        <is>
          <t>금광동</t>
        </is>
      </c>
      <c r="AG34" s="78" t="inlineStr">
        <is>
          <t>전라북도 군산시 대학로 114-1</t>
        </is>
      </c>
      <c r="AH34" s="78" t="n">
        <v>0</v>
      </c>
      <c r="AI34" s="78" t="n">
        <v>244</v>
      </c>
      <c r="AJ34" s="78" t="n">
        <v>22</v>
      </c>
      <c r="AK34" s="78" t="n">
        <v>0</v>
      </c>
      <c r="AL34" s="78" t="n">
        <v>0</v>
      </c>
    </row>
    <row r="35">
      <c r="A35" s="78" t="inlineStr">
        <is>
          <t>[금광동]</t>
        </is>
      </c>
      <c r="B35" s="78" t="n">
        <v>4960</v>
      </c>
      <c r="C35" s="78" t="n">
        <v>3</v>
      </c>
      <c r="D35" s="78" t="inlineStr">
        <is>
          <t>삼성</t>
        </is>
      </c>
      <c r="E35" s="78" t="inlineStr">
        <is>
          <t>1990.11.</t>
        </is>
      </c>
      <c r="F35" s="78" t="n">
        <v>424</v>
      </c>
      <c r="G35" s="78" t="n">
        <v>46.86</v>
      </c>
      <c r="H35" s="78" t="n">
        <v>154.91</v>
      </c>
      <c r="I35" s="78" t="n">
        <v>38.62</v>
      </c>
      <c r="J35" s="78" t="n">
        <v>127.67</v>
      </c>
      <c r="K35" s="78" t="n">
        <v>78</v>
      </c>
      <c r="T35" s="78" t="n">
        <v>4</v>
      </c>
      <c r="U35" s="78" t="n">
        <v>2</v>
      </c>
      <c r="V35" s="78" t="inlineStr">
        <is>
          <t>계단식</t>
        </is>
      </c>
      <c r="W35" s="78" t="n">
        <v>154</v>
      </c>
      <c r="X35" s="78" t="n">
        <v>15</v>
      </c>
      <c r="Y35" s="78" t="n">
        <v>8</v>
      </c>
      <c r="Z35" s="78" t="inlineStr">
        <is>
          <t>https://new.land.naver.com/complexes/4960?tab=detail&amp;rf=Y</t>
        </is>
      </c>
      <c r="AA35" s="78" t="inlineStr">
        <is>
          <t>전라북도 군산시 금광동 172</t>
        </is>
      </c>
      <c r="AB35" s="78" t="inlineStr">
        <is>
          <t>전라북도</t>
        </is>
      </c>
      <c r="AC35" s="78" t="inlineStr">
        <is>
          <t>군산시</t>
        </is>
      </c>
      <c r="AD35" s="78" t="inlineStr">
        <is>
          <t>금광동</t>
        </is>
      </c>
      <c r="AG35" s="78" t="inlineStr">
        <is>
          <t>전라북도 군산시 대학로 114-1</t>
        </is>
      </c>
      <c r="AH35" s="78" t="n">
        <v>0</v>
      </c>
      <c r="AI35" s="78" t="n">
        <v>244</v>
      </c>
      <c r="AJ35" s="78" t="n">
        <v>22</v>
      </c>
      <c r="AK35" s="78" t="n">
        <v>0</v>
      </c>
      <c r="AL35" s="78" t="n">
        <v>0</v>
      </c>
    </row>
    <row r="36">
      <c r="A36" s="78" t="inlineStr">
        <is>
          <t>[금광동]</t>
        </is>
      </c>
      <c r="B36" s="78" t="n">
        <v>4960</v>
      </c>
      <c r="C36" s="78" t="n">
        <v>4</v>
      </c>
      <c r="D36" s="78" t="inlineStr">
        <is>
          <t>삼성</t>
        </is>
      </c>
      <c r="E36" s="78" t="inlineStr">
        <is>
          <t>1990.11.</t>
        </is>
      </c>
      <c r="F36" s="78" t="n">
        <v>424</v>
      </c>
      <c r="G36" s="78" t="n">
        <v>46.99</v>
      </c>
      <c r="H36" s="78" t="n">
        <v>155.35</v>
      </c>
      <c r="I36" s="78" t="n">
        <v>38.87</v>
      </c>
      <c r="J36" s="78" t="n">
        <v>128.51</v>
      </c>
      <c r="K36" s="78" t="n">
        <v>88</v>
      </c>
      <c r="T36" s="78" t="n">
        <v>4</v>
      </c>
      <c r="U36" s="78" t="n">
        <v>2</v>
      </c>
      <c r="V36" s="78" t="inlineStr">
        <is>
          <t>복도식</t>
        </is>
      </c>
      <c r="W36" s="78" t="n">
        <v>155</v>
      </c>
      <c r="X36" s="78" t="n">
        <v>15</v>
      </c>
      <c r="Y36" s="78" t="n">
        <v>8</v>
      </c>
      <c r="Z36" s="78" t="inlineStr">
        <is>
          <t>https://new.land.naver.com/complexes/4960?tab=detail&amp;rf=Y</t>
        </is>
      </c>
      <c r="AA36" s="78" t="inlineStr">
        <is>
          <t>전라북도 군산시 금광동 172</t>
        </is>
      </c>
      <c r="AB36" s="78" t="inlineStr">
        <is>
          <t>전라북도</t>
        </is>
      </c>
      <c r="AC36" s="78" t="inlineStr">
        <is>
          <t>군산시</t>
        </is>
      </c>
      <c r="AD36" s="78" t="inlineStr">
        <is>
          <t>금광동</t>
        </is>
      </c>
      <c r="AG36" s="78" t="inlineStr">
        <is>
          <t>전라북도 군산시 대학로 114-1</t>
        </is>
      </c>
      <c r="AH36" s="78" t="n">
        <v>0</v>
      </c>
      <c r="AI36" s="78" t="n">
        <v>244</v>
      </c>
      <c r="AJ36" s="78" t="n">
        <v>22</v>
      </c>
      <c r="AK36" s="78" t="n">
        <v>0</v>
      </c>
      <c r="AL36" s="78" t="n">
        <v>0</v>
      </c>
    </row>
    <row r="37">
      <c r="A37" s="78" t="inlineStr">
        <is>
          <t>[금동]</t>
        </is>
      </c>
      <c r="B37" s="78" t="n">
        <v>14955</v>
      </c>
      <c r="C37" s="78" t="n">
        <v>1</v>
      </c>
      <c r="D37" s="78" t="inlineStr">
        <is>
          <t>동신</t>
        </is>
      </c>
      <c r="E37" s="78" t="inlineStr">
        <is>
          <t>1992.08.</t>
        </is>
      </c>
      <c r="F37" s="78" t="n">
        <v>169</v>
      </c>
      <c r="G37" s="78" t="n">
        <v>22.14</v>
      </c>
      <c r="H37" s="78" t="n">
        <v>73.2</v>
      </c>
      <c r="I37" s="78" t="n">
        <v>18.13</v>
      </c>
      <c r="J37" s="78" t="n">
        <v>59.94</v>
      </c>
      <c r="K37" s="78" t="n">
        <v>44</v>
      </c>
      <c r="T37" s="78" t="n">
        <v>3</v>
      </c>
      <c r="U37" s="78" t="n">
        <v>1</v>
      </c>
      <c r="V37" s="78" t="inlineStr">
        <is>
          <t>계단식</t>
        </is>
      </c>
      <c r="W37" s="78" t="n">
        <v>73</v>
      </c>
      <c r="X37" s="78" t="n">
        <v>11</v>
      </c>
      <c r="Y37" s="78" t="n">
        <v>6</v>
      </c>
      <c r="Z37" s="78" t="inlineStr">
        <is>
          <t>https://new.land.naver.com/complexes/14955?tab=detail&amp;rf=Y</t>
        </is>
      </c>
      <c r="AA37" s="78" t="inlineStr">
        <is>
          <t>전라북도 군산시 금동 10</t>
        </is>
      </c>
      <c r="AB37" s="78" t="inlineStr">
        <is>
          <t>전라북도</t>
        </is>
      </c>
      <c r="AC37" s="78" t="inlineStr">
        <is>
          <t>군산시</t>
        </is>
      </c>
      <c r="AD37" s="78" t="inlineStr">
        <is>
          <t>금동</t>
        </is>
      </c>
      <c r="AG37" s="78" t="inlineStr">
        <is>
          <t>전라북도 군산시 구영신창길 77</t>
        </is>
      </c>
      <c r="AH37" s="78" t="n">
        <v>0</v>
      </c>
      <c r="AI37" s="78" t="n">
        <v>224</v>
      </c>
      <c r="AJ37" s="78" t="n">
        <v>23</v>
      </c>
      <c r="AK37" s="78" t="n">
        <v>0</v>
      </c>
      <c r="AL37" s="78" t="n">
        <v>0</v>
      </c>
    </row>
    <row r="38">
      <c r="A38" s="78" t="inlineStr">
        <is>
          <t>[금동]</t>
        </is>
      </c>
      <c r="B38" s="78" t="n">
        <v>14955</v>
      </c>
      <c r="C38" s="78" t="n">
        <v>2</v>
      </c>
      <c r="D38" s="78" t="inlineStr">
        <is>
          <t>동신</t>
        </is>
      </c>
      <c r="E38" s="78" t="inlineStr">
        <is>
          <t>1992.08.</t>
        </is>
      </c>
      <c r="F38" s="78" t="n">
        <v>169</v>
      </c>
      <c r="G38" s="78" t="n">
        <v>22.14</v>
      </c>
      <c r="H38" s="78" t="n">
        <v>73.2</v>
      </c>
      <c r="I38" s="78" t="n">
        <v>18.13</v>
      </c>
      <c r="J38" s="78" t="n">
        <v>59.94</v>
      </c>
      <c r="K38" s="78" t="n">
        <v>24</v>
      </c>
      <c r="T38" s="78" t="n">
        <v>3</v>
      </c>
      <c r="U38" s="78" t="n">
        <v>1</v>
      </c>
      <c r="V38" s="78" t="inlineStr">
        <is>
          <t>계단식</t>
        </is>
      </c>
      <c r="W38" s="78" t="n">
        <v>73</v>
      </c>
      <c r="X38" s="78" t="n">
        <v>11</v>
      </c>
      <c r="Y38" s="78" t="n">
        <v>6</v>
      </c>
      <c r="Z38" s="78" t="inlineStr">
        <is>
          <t>https://new.land.naver.com/complexes/14955?tab=detail&amp;rf=Y</t>
        </is>
      </c>
      <c r="AA38" s="78" t="inlineStr">
        <is>
          <t>전라북도 군산시 금동 10</t>
        </is>
      </c>
      <c r="AB38" s="78" t="inlineStr">
        <is>
          <t>전라북도</t>
        </is>
      </c>
      <c r="AC38" s="78" t="inlineStr">
        <is>
          <t>군산시</t>
        </is>
      </c>
      <c r="AD38" s="78" t="inlineStr">
        <is>
          <t>금동</t>
        </is>
      </c>
      <c r="AG38" s="78" t="inlineStr">
        <is>
          <t>전라북도 군산시 구영신창길 77</t>
        </is>
      </c>
      <c r="AH38" s="78" t="n">
        <v>0</v>
      </c>
      <c r="AI38" s="78" t="n">
        <v>224</v>
      </c>
      <c r="AJ38" s="78" t="n">
        <v>23</v>
      </c>
      <c r="AK38" s="78" t="n">
        <v>0</v>
      </c>
      <c r="AL38" s="78" t="n">
        <v>0</v>
      </c>
    </row>
    <row r="39">
      <c r="A39" s="78" t="inlineStr">
        <is>
          <t>[금동]</t>
        </is>
      </c>
      <c r="B39" s="78" t="n">
        <v>14955</v>
      </c>
      <c r="C39" s="78" t="n">
        <v>3</v>
      </c>
      <c r="D39" s="78" t="inlineStr">
        <is>
          <t>동신</t>
        </is>
      </c>
      <c r="E39" s="78" t="inlineStr">
        <is>
          <t>1992.08.</t>
        </is>
      </c>
      <c r="F39" s="78" t="n">
        <v>169</v>
      </c>
      <c r="G39" s="78" t="n">
        <v>24.76</v>
      </c>
      <c r="H39" s="78" t="n">
        <v>81.88</v>
      </c>
      <c r="I39" s="78" t="n">
        <v>20.23</v>
      </c>
      <c r="J39" s="78" t="n">
        <v>66.90000000000001</v>
      </c>
      <c r="K39" s="78" t="n">
        <v>23</v>
      </c>
      <c r="T39" s="78" t="n">
        <v>3</v>
      </c>
      <c r="U39" s="78" t="n">
        <v>2</v>
      </c>
      <c r="V39" s="78" t="inlineStr">
        <is>
          <t>계단식</t>
        </is>
      </c>
      <c r="W39" s="78" t="inlineStr">
        <is>
          <t>81B</t>
        </is>
      </c>
      <c r="X39" s="78" t="n">
        <v>11</v>
      </c>
      <c r="Y39" s="78" t="n">
        <v>6</v>
      </c>
      <c r="Z39" s="78" t="inlineStr">
        <is>
          <t>https://new.land.naver.com/complexes/14955?tab=detail&amp;rf=Y</t>
        </is>
      </c>
      <c r="AA39" s="78" t="inlineStr">
        <is>
          <t>전라북도 군산시 금동 10</t>
        </is>
      </c>
      <c r="AB39" s="78" t="inlineStr">
        <is>
          <t>전라북도</t>
        </is>
      </c>
      <c r="AC39" s="78" t="inlineStr">
        <is>
          <t>군산시</t>
        </is>
      </c>
      <c r="AD39" s="78" t="inlineStr">
        <is>
          <t>금동</t>
        </is>
      </c>
      <c r="AG39" s="78" t="inlineStr">
        <is>
          <t>전라북도 군산시 구영신창길 77</t>
        </is>
      </c>
      <c r="AH39" s="78" t="n">
        <v>0</v>
      </c>
      <c r="AI39" s="78" t="n">
        <v>224</v>
      </c>
      <c r="AJ39" s="78" t="n">
        <v>23</v>
      </c>
      <c r="AK39" s="78" t="n">
        <v>0</v>
      </c>
      <c r="AL39" s="78" t="n">
        <v>0</v>
      </c>
    </row>
    <row r="40">
      <c r="A40" s="78" t="inlineStr">
        <is>
          <t>[금동]</t>
        </is>
      </c>
      <c r="B40" s="78" t="n">
        <v>14955</v>
      </c>
      <c r="C40" s="78" t="n">
        <v>4</v>
      </c>
      <c r="D40" s="78" t="inlineStr">
        <is>
          <t>동신</t>
        </is>
      </c>
      <c r="E40" s="78" t="inlineStr">
        <is>
          <t>1992.08.</t>
        </is>
      </c>
      <c r="F40" s="78" t="n">
        <v>169</v>
      </c>
      <c r="G40" s="78" t="n">
        <v>24.67</v>
      </c>
      <c r="H40" s="78" t="n">
        <v>81.58</v>
      </c>
      <c r="I40" s="78" t="n">
        <v>20.14</v>
      </c>
      <c r="J40" s="78" t="n">
        <v>66.59999999999999</v>
      </c>
      <c r="K40" s="78" t="n">
        <v>1</v>
      </c>
      <c r="T40" s="78" t="n">
        <v>3</v>
      </c>
      <c r="U40" s="78" t="n">
        <v>1</v>
      </c>
      <c r="V40" s="78" t="inlineStr">
        <is>
          <t>계단식</t>
        </is>
      </c>
      <c r="W40" s="78" t="inlineStr">
        <is>
          <t>81A</t>
        </is>
      </c>
      <c r="X40" s="78" t="n">
        <v>11</v>
      </c>
      <c r="Y40" s="78" t="n">
        <v>6</v>
      </c>
      <c r="Z40" s="78" t="inlineStr">
        <is>
          <t>https://new.land.naver.com/complexes/14955?tab=detail&amp;rf=Y</t>
        </is>
      </c>
      <c r="AA40" s="78" t="inlineStr">
        <is>
          <t>전라북도 군산시 금동 10</t>
        </is>
      </c>
      <c r="AB40" s="78" t="inlineStr">
        <is>
          <t>전라북도</t>
        </is>
      </c>
      <c r="AC40" s="78" t="inlineStr">
        <is>
          <t>군산시</t>
        </is>
      </c>
      <c r="AD40" s="78" t="inlineStr">
        <is>
          <t>금동</t>
        </is>
      </c>
      <c r="AG40" s="78" t="inlineStr">
        <is>
          <t>전라북도 군산시 구영신창길 77</t>
        </is>
      </c>
      <c r="AH40" s="78" t="n">
        <v>0</v>
      </c>
      <c r="AI40" s="78" t="n">
        <v>224</v>
      </c>
      <c r="AJ40" s="78" t="n">
        <v>23</v>
      </c>
      <c r="AK40" s="78" t="n">
        <v>0</v>
      </c>
      <c r="AL40" s="78" t="n">
        <v>0</v>
      </c>
    </row>
    <row r="41">
      <c r="A41" s="78" t="inlineStr">
        <is>
          <t>[금동]</t>
        </is>
      </c>
      <c r="B41" s="78" t="n">
        <v>14955</v>
      </c>
      <c r="C41" s="78" t="n">
        <v>5</v>
      </c>
      <c r="D41" s="78" t="inlineStr">
        <is>
          <t>동신</t>
        </is>
      </c>
      <c r="E41" s="78" t="inlineStr">
        <is>
          <t>1992.08.</t>
        </is>
      </c>
      <c r="F41" s="78" t="n">
        <v>169</v>
      </c>
      <c r="G41" s="78" t="n">
        <v>27.97</v>
      </c>
      <c r="H41" s="78" t="n">
        <v>92.48</v>
      </c>
      <c r="I41" s="78" t="n">
        <v>22.64</v>
      </c>
      <c r="J41" s="78" t="n">
        <v>74.86</v>
      </c>
      <c r="K41" s="78" t="n">
        <v>44</v>
      </c>
      <c r="T41" s="78" t="n">
        <v>3</v>
      </c>
      <c r="U41" s="78" t="n">
        <v>1</v>
      </c>
      <c r="V41" s="78" t="inlineStr">
        <is>
          <t>계단식</t>
        </is>
      </c>
      <c r="W41" s="78" t="n">
        <v>92</v>
      </c>
      <c r="X41" s="78" t="n">
        <v>11</v>
      </c>
      <c r="Y41" s="78" t="n">
        <v>6</v>
      </c>
      <c r="Z41" s="78" t="inlineStr">
        <is>
          <t>https://new.land.naver.com/complexes/14955?tab=detail&amp;rf=Y</t>
        </is>
      </c>
      <c r="AA41" s="78" t="inlineStr">
        <is>
          <t>전라북도 군산시 금동 10</t>
        </is>
      </c>
      <c r="AB41" s="78" t="inlineStr">
        <is>
          <t>전라북도</t>
        </is>
      </c>
      <c r="AC41" s="78" t="inlineStr">
        <is>
          <t>군산시</t>
        </is>
      </c>
      <c r="AD41" s="78" t="inlineStr">
        <is>
          <t>금동</t>
        </is>
      </c>
      <c r="AG41" s="78" t="inlineStr">
        <is>
          <t>전라북도 군산시 구영신창길 77</t>
        </is>
      </c>
      <c r="AH41" s="78" t="n">
        <v>0</v>
      </c>
      <c r="AI41" s="78" t="n">
        <v>224</v>
      </c>
      <c r="AJ41" s="78" t="n">
        <v>23</v>
      </c>
      <c r="AK41" s="78" t="n">
        <v>0</v>
      </c>
      <c r="AL41" s="78" t="n">
        <v>0</v>
      </c>
    </row>
    <row r="42">
      <c r="A42" s="78" t="inlineStr">
        <is>
          <t>[금동]</t>
        </is>
      </c>
      <c r="B42" s="78" t="n">
        <v>14955</v>
      </c>
      <c r="C42" s="78" t="n">
        <v>6</v>
      </c>
      <c r="D42" s="78" t="inlineStr">
        <is>
          <t>동신</t>
        </is>
      </c>
      <c r="E42" s="78" t="inlineStr">
        <is>
          <t>1992.08.</t>
        </is>
      </c>
      <c r="F42" s="78" t="n">
        <v>169</v>
      </c>
      <c r="G42" s="78" t="n">
        <v>30.88</v>
      </c>
      <c r="H42" s="78" t="n">
        <v>102.11</v>
      </c>
      <c r="I42" s="78" t="n">
        <v>25.28</v>
      </c>
      <c r="J42" s="78" t="n">
        <v>83.59</v>
      </c>
      <c r="K42" s="78" t="n">
        <v>33</v>
      </c>
      <c r="T42" s="78" t="n">
        <v>3</v>
      </c>
      <c r="U42" s="78" t="n">
        <v>2</v>
      </c>
      <c r="V42" s="78" t="inlineStr">
        <is>
          <t>계단식</t>
        </is>
      </c>
      <c r="W42" s="78" t="n">
        <v>102</v>
      </c>
      <c r="X42" s="78" t="n">
        <v>11</v>
      </c>
      <c r="Y42" s="78" t="n">
        <v>6</v>
      </c>
      <c r="Z42" s="78" t="inlineStr">
        <is>
          <t>https://new.land.naver.com/complexes/14955?tab=detail&amp;rf=Y</t>
        </is>
      </c>
      <c r="AA42" s="78" t="inlineStr">
        <is>
          <t>전라북도 군산시 금동 10</t>
        </is>
      </c>
      <c r="AB42" s="78" t="inlineStr">
        <is>
          <t>전라북도</t>
        </is>
      </c>
      <c r="AC42" s="78" t="inlineStr">
        <is>
          <t>군산시</t>
        </is>
      </c>
      <c r="AD42" s="78" t="inlineStr">
        <is>
          <t>금동</t>
        </is>
      </c>
      <c r="AG42" s="78" t="inlineStr">
        <is>
          <t>전라북도 군산시 구영신창길 77</t>
        </is>
      </c>
      <c r="AH42" s="78" t="n">
        <v>0</v>
      </c>
      <c r="AI42" s="78" t="n">
        <v>224</v>
      </c>
      <c r="AJ42" s="78" t="n">
        <v>23</v>
      </c>
      <c r="AK42" s="78" t="n">
        <v>0</v>
      </c>
      <c r="AL42" s="78" t="n">
        <v>0</v>
      </c>
    </row>
    <row r="43">
      <c r="A43" s="78" t="inlineStr">
        <is>
          <t>[금동]</t>
        </is>
      </c>
      <c r="B43" s="78" t="n">
        <v>14958</v>
      </c>
      <c r="C43" s="78" t="n">
        <v>1</v>
      </c>
      <c r="D43" s="78" t="inlineStr">
        <is>
          <t>한신88맨션</t>
        </is>
      </c>
      <c r="E43" s="78" t="inlineStr">
        <is>
          <t>1989.04.</t>
        </is>
      </c>
      <c r="F43" s="78" t="n">
        <v>99</v>
      </c>
      <c r="G43" s="78" t="n">
        <v>24.5</v>
      </c>
      <c r="H43" s="78" t="n">
        <v>81</v>
      </c>
      <c r="I43" s="78" t="n">
        <v>19.92</v>
      </c>
      <c r="J43" s="78" t="n">
        <v>65.88</v>
      </c>
      <c r="K43" s="78" t="n">
        <v>9</v>
      </c>
      <c r="T43" s="78" t="n">
        <v>3</v>
      </c>
      <c r="U43" s="78" t="n">
        <v>1</v>
      </c>
      <c r="V43" s="78" t="inlineStr">
        <is>
          <t>복도식</t>
        </is>
      </c>
      <c r="W43" s="78" t="n">
        <v>81</v>
      </c>
      <c r="X43" s="78" t="n">
        <v>9</v>
      </c>
      <c r="Y43" s="78" t="n">
        <v>9</v>
      </c>
      <c r="Z43" s="78" t="inlineStr">
        <is>
          <t>https://new.land.naver.com/complexes/14958?tab=detail&amp;rf=Y</t>
        </is>
      </c>
      <c r="AA43" s="78" t="inlineStr">
        <is>
          <t>전라북도 군산시 금동 26-2</t>
        </is>
      </c>
      <c r="AB43" s="78" t="inlineStr">
        <is>
          <t>전라북도</t>
        </is>
      </c>
      <c r="AC43" s="78" t="inlineStr">
        <is>
          <t>군산시</t>
        </is>
      </c>
      <c r="AD43" s="78" t="inlineStr">
        <is>
          <t>금동</t>
        </is>
      </c>
      <c r="AG43" s="78" t="inlineStr">
        <is>
          <t>전라북도 군산시 구영1길 113</t>
        </is>
      </c>
      <c r="AH43" s="78" t="n">
        <v>0</v>
      </c>
      <c r="AI43" s="78" t="n">
        <v>267</v>
      </c>
      <c r="AJ43" s="78" t="n">
        <v>31</v>
      </c>
      <c r="AK43" s="78" t="n">
        <v>0</v>
      </c>
      <c r="AL43" s="78" t="n">
        <v>0</v>
      </c>
    </row>
    <row r="44">
      <c r="A44" s="78" t="inlineStr">
        <is>
          <t>[금동]</t>
        </is>
      </c>
      <c r="B44" s="78" t="n">
        <v>14958</v>
      </c>
      <c r="C44" s="78" t="n">
        <v>2</v>
      </c>
      <c r="D44" s="78" t="inlineStr">
        <is>
          <t>한신88맨션</t>
        </is>
      </c>
      <c r="E44" s="78" t="inlineStr">
        <is>
          <t>1989.04.</t>
        </is>
      </c>
      <c r="F44" s="78" t="n">
        <v>99</v>
      </c>
      <c r="G44" s="78" t="n">
        <v>30.95</v>
      </c>
      <c r="H44" s="78" t="n">
        <v>102.32</v>
      </c>
      <c r="I44" s="78" t="n">
        <v>25.15</v>
      </c>
      <c r="J44" s="78" t="n">
        <v>83.16</v>
      </c>
      <c r="K44" s="78" t="n">
        <v>90</v>
      </c>
      <c r="T44" s="78" t="n">
        <v>3</v>
      </c>
      <c r="U44" s="78" t="n">
        <v>2</v>
      </c>
      <c r="V44" s="78" t="inlineStr">
        <is>
          <t>복도식</t>
        </is>
      </c>
      <c r="W44" s="78" t="n">
        <v>102</v>
      </c>
      <c r="X44" s="78" t="n">
        <v>9</v>
      </c>
      <c r="Y44" s="78" t="n">
        <v>9</v>
      </c>
      <c r="Z44" s="78" t="inlineStr">
        <is>
          <t>https://new.land.naver.com/complexes/14958?tab=detail&amp;rf=Y</t>
        </is>
      </c>
      <c r="AA44" s="78" t="inlineStr">
        <is>
          <t>전라북도 군산시 금동 26-2</t>
        </is>
      </c>
      <c r="AB44" s="78" t="inlineStr">
        <is>
          <t>전라북도</t>
        </is>
      </c>
      <c r="AC44" s="78" t="inlineStr">
        <is>
          <t>군산시</t>
        </is>
      </c>
      <c r="AD44" s="78" t="inlineStr">
        <is>
          <t>금동</t>
        </is>
      </c>
      <c r="AG44" s="78" t="inlineStr">
        <is>
          <t>전라북도 군산시 구영1길 113</t>
        </is>
      </c>
      <c r="AH44" s="78" t="n">
        <v>0</v>
      </c>
      <c r="AI44" s="78" t="n">
        <v>267</v>
      </c>
      <c r="AJ44" s="78" t="n">
        <v>31</v>
      </c>
      <c r="AK44" s="78" t="n">
        <v>0</v>
      </c>
      <c r="AL44" s="78" t="n">
        <v>0</v>
      </c>
    </row>
    <row r="45">
      <c r="A45" s="78" t="inlineStr">
        <is>
          <t>[나운동]</t>
        </is>
      </c>
      <c r="B45" s="78" t="n">
        <v>132110</v>
      </c>
      <c r="C45" s="78" t="n">
        <v>1</v>
      </c>
      <c r="D45" s="78" t="inlineStr">
        <is>
          <t>나운금호어울림센트럴</t>
        </is>
      </c>
      <c r="E45" s="78" t="inlineStr">
        <is>
          <t>2022.09.</t>
        </is>
      </c>
      <c r="F45" s="78" t="n">
        <v>993</v>
      </c>
      <c r="G45" s="78" t="n">
        <v>24.35</v>
      </c>
      <c r="H45" s="78" t="n">
        <v>80.51000000000001</v>
      </c>
      <c r="I45" s="78" t="n">
        <v>18.08</v>
      </c>
      <c r="J45" s="78" t="n">
        <v>59.78</v>
      </c>
      <c r="K45" s="78" t="n">
        <v>178</v>
      </c>
      <c r="T45" s="78" t="n">
        <v>3</v>
      </c>
      <c r="U45" s="78" t="n">
        <v>2</v>
      </c>
      <c r="V45" s="78" t="inlineStr">
        <is>
          <t>계단식</t>
        </is>
      </c>
      <c r="W45" s="78" t="inlineStr">
        <is>
          <t>80A</t>
        </is>
      </c>
      <c r="X45" s="78" t="n">
        <v>26</v>
      </c>
      <c r="Y45" s="78" t="n">
        <v>16</v>
      </c>
      <c r="Z45" s="78" t="inlineStr">
        <is>
          <t>https://new.land.naver.com/complexes/132110?tab=detail&amp;rf=Y</t>
        </is>
      </c>
      <c r="AA45" s="78" t="inlineStr">
        <is>
          <t>전라북도 군산시 나운동 831번지 일원</t>
        </is>
      </c>
      <c r="AB45" s="78" t="inlineStr">
        <is>
          <t>전라북도</t>
        </is>
      </c>
      <c r="AC45" s="78" t="inlineStr">
        <is>
          <t>군산시</t>
        </is>
      </c>
      <c r="AD45" s="78" t="inlineStr">
        <is>
          <t>나운동</t>
        </is>
      </c>
      <c r="AG45" s="78" t="inlineStr">
        <is>
          <t>전라북도 군산시</t>
        </is>
      </c>
      <c r="AH45" s="78" t="n">
        <v>0</v>
      </c>
      <c r="AI45" s="78" t="n">
        <v>269</v>
      </c>
      <c r="AJ45" s="78" t="n">
        <v>21</v>
      </c>
      <c r="AK45" s="78" t="n">
        <v>1275</v>
      </c>
      <c r="AL45" s="78" t="n">
        <v>1.28</v>
      </c>
    </row>
    <row r="46">
      <c r="A46" s="78" t="inlineStr">
        <is>
          <t>[나운동]</t>
        </is>
      </c>
      <c r="B46" s="78" t="n">
        <v>132110</v>
      </c>
      <c r="C46" s="78" t="n">
        <v>2</v>
      </c>
      <c r="D46" s="78" t="inlineStr">
        <is>
          <t>나운금호어울림센트럴</t>
        </is>
      </c>
      <c r="E46" s="78" t="inlineStr">
        <is>
          <t>2022.09.</t>
        </is>
      </c>
      <c r="F46" s="78" t="n">
        <v>993</v>
      </c>
      <c r="G46" s="78" t="n">
        <v>24.38</v>
      </c>
      <c r="H46" s="78" t="n">
        <v>80.59999999999999</v>
      </c>
      <c r="I46" s="78" t="n">
        <v>18.13</v>
      </c>
      <c r="J46" s="78" t="n">
        <v>59.96</v>
      </c>
      <c r="K46" s="78" t="n">
        <v>82</v>
      </c>
      <c r="T46" s="78" t="n">
        <v>3</v>
      </c>
      <c r="U46" s="78" t="n">
        <v>2</v>
      </c>
      <c r="V46" s="78" t="inlineStr">
        <is>
          <t>계단식</t>
        </is>
      </c>
      <c r="W46" s="78" t="inlineStr">
        <is>
          <t>80B</t>
        </is>
      </c>
      <c r="X46" s="78" t="n">
        <v>26</v>
      </c>
      <c r="Y46" s="78" t="n">
        <v>16</v>
      </c>
      <c r="Z46" s="78" t="inlineStr">
        <is>
          <t>https://new.land.naver.com/complexes/132110?tab=detail&amp;rf=Y</t>
        </is>
      </c>
      <c r="AA46" s="78" t="inlineStr">
        <is>
          <t>전라북도 군산시 나운동 831번지 일원</t>
        </is>
      </c>
      <c r="AB46" s="78" t="inlineStr">
        <is>
          <t>전라북도</t>
        </is>
      </c>
      <c r="AC46" s="78" t="inlineStr">
        <is>
          <t>군산시</t>
        </is>
      </c>
      <c r="AD46" s="78" t="inlineStr">
        <is>
          <t>나운동</t>
        </is>
      </c>
      <c r="AG46" s="78" t="inlineStr">
        <is>
          <t>전라북도 군산시</t>
        </is>
      </c>
      <c r="AH46" s="78" t="n">
        <v>0</v>
      </c>
      <c r="AI46" s="78" t="n">
        <v>269</v>
      </c>
      <c r="AJ46" s="78" t="n">
        <v>21</v>
      </c>
      <c r="AK46" s="78" t="n">
        <v>1275</v>
      </c>
      <c r="AL46" s="78" t="n">
        <v>1.28</v>
      </c>
    </row>
    <row r="47">
      <c r="A47" s="78" t="inlineStr">
        <is>
          <t>[나운동]</t>
        </is>
      </c>
      <c r="B47" s="78" t="n">
        <v>132110</v>
      </c>
      <c r="C47" s="78" t="n">
        <v>3</v>
      </c>
      <c r="D47" s="78" t="inlineStr">
        <is>
          <t>나운금호어울림센트럴</t>
        </is>
      </c>
      <c r="E47" s="78" t="inlineStr">
        <is>
          <t>2022.09.</t>
        </is>
      </c>
      <c r="F47" s="78" t="n">
        <v>993</v>
      </c>
      <c r="G47" s="78" t="n">
        <v>29.74</v>
      </c>
      <c r="H47" s="78" t="n">
        <v>98.34</v>
      </c>
      <c r="I47" s="78" t="n">
        <v>22.2</v>
      </c>
      <c r="J47" s="78" t="n">
        <v>73.42</v>
      </c>
      <c r="K47" s="78" t="n">
        <v>86</v>
      </c>
      <c r="T47" s="78" t="n">
        <v>3</v>
      </c>
      <c r="U47" s="78" t="n">
        <v>2</v>
      </c>
      <c r="V47" s="78" t="inlineStr">
        <is>
          <t>계단식</t>
        </is>
      </c>
      <c r="W47" s="78" t="n">
        <v>98</v>
      </c>
      <c r="X47" s="78" t="n">
        <v>26</v>
      </c>
      <c r="Y47" s="78" t="n">
        <v>16</v>
      </c>
      <c r="Z47" s="78" t="inlineStr">
        <is>
          <t>https://new.land.naver.com/complexes/132110?tab=detail&amp;rf=Y</t>
        </is>
      </c>
      <c r="AA47" s="78" t="inlineStr">
        <is>
          <t>전라북도 군산시 나운동 831번지 일원</t>
        </is>
      </c>
      <c r="AB47" s="78" t="inlineStr">
        <is>
          <t>전라북도</t>
        </is>
      </c>
      <c r="AC47" s="78" t="inlineStr">
        <is>
          <t>군산시</t>
        </is>
      </c>
      <c r="AD47" s="78" t="inlineStr">
        <is>
          <t>나운동</t>
        </is>
      </c>
      <c r="AG47" s="78" t="inlineStr">
        <is>
          <t>전라북도 군산시</t>
        </is>
      </c>
      <c r="AH47" s="78" t="n">
        <v>0</v>
      </c>
      <c r="AI47" s="78" t="n">
        <v>269</v>
      </c>
      <c r="AJ47" s="78" t="n">
        <v>21</v>
      </c>
      <c r="AK47" s="78" t="n">
        <v>1275</v>
      </c>
      <c r="AL47" s="78" t="n">
        <v>1.28</v>
      </c>
    </row>
    <row r="48">
      <c r="A48" s="78" t="inlineStr">
        <is>
          <t>[나운동]</t>
        </is>
      </c>
      <c r="B48" s="78" t="n">
        <v>132110</v>
      </c>
      <c r="C48" s="78" t="n">
        <v>4</v>
      </c>
      <c r="D48" s="78" t="inlineStr">
        <is>
          <t>나운금호어울림센트럴</t>
        </is>
      </c>
      <c r="E48" s="78" t="inlineStr">
        <is>
          <t>2022.09.</t>
        </is>
      </c>
      <c r="F48" s="78" t="n">
        <v>993</v>
      </c>
      <c r="G48" s="78" t="n">
        <v>33.99</v>
      </c>
      <c r="H48" s="78" t="n">
        <v>112.39</v>
      </c>
      <c r="I48" s="78" t="n">
        <v>25.7</v>
      </c>
      <c r="J48" s="78" t="n">
        <v>84.98999999999999</v>
      </c>
      <c r="K48" s="78" t="n">
        <v>36</v>
      </c>
      <c r="T48" s="78" t="n">
        <v>3</v>
      </c>
      <c r="U48" s="78" t="n">
        <v>2</v>
      </c>
      <c r="V48" s="78" t="inlineStr">
        <is>
          <t>계단식</t>
        </is>
      </c>
      <c r="W48" s="78" t="inlineStr">
        <is>
          <t>112A</t>
        </is>
      </c>
      <c r="X48" s="78" t="n">
        <v>26</v>
      </c>
      <c r="Y48" s="78" t="n">
        <v>16</v>
      </c>
      <c r="Z48" s="78" t="inlineStr">
        <is>
          <t>https://new.land.naver.com/complexes/132110?tab=detail&amp;rf=Y</t>
        </is>
      </c>
      <c r="AA48" s="78" t="inlineStr">
        <is>
          <t>전라북도 군산시 나운동 831번지 일원</t>
        </is>
      </c>
      <c r="AB48" s="78" t="inlineStr">
        <is>
          <t>전라북도</t>
        </is>
      </c>
      <c r="AC48" s="78" t="inlineStr">
        <is>
          <t>군산시</t>
        </is>
      </c>
      <c r="AD48" s="78" t="inlineStr">
        <is>
          <t>나운동</t>
        </is>
      </c>
      <c r="AG48" s="78" t="inlineStr">
        <is>
          <t>전라북도 군산시</t>
        </is>
      </c>
      <c r="AH48" s="78" t="n">
        <v>0</v>
      </c>
      <c r="AI48" s="78" t="n">
        <v>269</v>
      </c>
      <c r="AJ48" s="78" t="n">
        <v>21</v>
      </c>
      <c r="AK48" s="78" t="n">
        <v>1275</v>
      </c>
      <c r="AL48" s="78" t="n">
        <v>1.28</v>
      </c>
    </row>
    <row r="49">
      <c r="A49" s="78" t="inlineStr">
        <is>
          <t>[나운동]</t>
        </is>
      </c>
      <c r="B49" s="78" t="n">
        <v>132110</v>
      </c>
      <c r="C49" s="78" t="n">
        <v>5</v>
      </c>
      <c r="D49" s="78" t="inlineStr">
        <is>
          <t>나운금호어울림센트럴</t>
        </is>
      </c>
      <c r="E49" s="78" t="inlineStr">
        <is>
          <t>2022.09.</t>
        </is>
      </c>
      <c r="F49" s="78" t="n">
        <v>993</v>
      </c>
      <c r="G49" s="78" t="n">
        <v>34.3</v>
      </c>
      <c r="H49" s="78" t="n">
        <v>113.41</v>
      </c>
      <c r="I49" s="78" t="n">
        <v>25.68</v>
      </c>
      <c r="J49" s="78" t="n">
        <v>84.92</v>
      </c>
      <c r="K49" s="78" t="n">
        <v>4</v>
      </c>
      <c r="T49" s="78" t="n">
        <v>3</v>
      </c>
      <c r="U49" s="78" t="n">
        <v>2</v>
      </c>
      <c r="V49" s="78" t="inlineStr">
        <is>
          <t>계단식</t>
        </is>
      </c>
      <c r="W49" s="78" t="inlineStr">
        <is>
          <t>113B</t>
        </is>
      </c>
      <c r="X49" s="78" t="n">
        <v>26</v>
      </c>
      <c r="Y49" s="78" t="n">
        <v>16</v>
      </c>
      <c r="Z49" s="78" t="inlineStr">
        <is>
          <t>https://new.land.naver.com/complexes/132110?tab=detail&amp;rf=Y</t>
        </is>
      </c>
      <c r="AA49" s="78" t="inlineStr">
        <is>
          <t>전라북도 군산시 나운동 831번지 일원</t>
        </is>
      </c>
      <c r="AB49" s="78" t="inlineStr">
        <is>
          <t>전라북도</t>
        </is>
      </c>
      <c r="AC49" s="78" t="inlineStr">
        <is>
          <t>군산시</t>
        </is>
      </c>
      <c r="AD49" s="78" t="inlineStr">
        <is>
          <t>나운동</t>
        </is>
      </c>
      <c r="AG49" s="78" t="inlineStr">
        <is>
          <t>전라북도 군산시</t>
        </is>
      </c>
      <c r="AH49" s="78" t="n">
        <v>0</v>
      </c>
      <c r="AI49" s="78" t="n">
        <v>269</v>
      </c>
      <c r="AJ49" s="78" t="n">
        <v>21</v>
      </c>
      <c r="AK49" s="78" t="n">
        <v>1275</v>
      </c>
      <c r="AL49" s="78" t="n">
        <v>1.28</v>
      </c>
    </row>
    <row r="50">
      <c r="A50" s="78" t="inlineStr">
        <is>
          <t>[나운동]</t>
        </is>
      </c>
      <c r="B50" s="78" t="n">
        <v>132110</v>
      </c>
      <c r="C50" s="78" t="n">
        <v>6</v>
      </c>
      <c r="D50" s="78" t="inlineStr">
        <is>
          <t>나운금호어울림센트럴</t>
        </is>
      </c>
      <c r="E50" s="78" t="inlineStr">
        <is>
          <t>2022.09.</t>
        </is>
      </c>
      <c r="F50" s="78" t="n">
        <v>993</v>
      </c>
      <c r="G50" s="78" t="n">
        <v>34.87</v>
      </c>
      <c r="H50" s="78" t="n">
        <v>115.3</v>
      </c>
      <c r="I50" s="78" t="n">
        <v>25.68</v>
      </c>
      <c r="J50" s="78" t="n">
        <v>84.92</v>
      </c>
      <c r="K50" s="78" t="n">
        <v>6</v>
      </c>
      <c r="T50" s="78" t="n">
        <v>3</v>
      </c>
      <c r="U50" s="78" t="n">
        <v>2</v>
      </c>
      <c r="V50" s="78" t="inlineStr">
        <is>
          <t>계단식</t>
        </is>
      </c>
      <c r="W50" s="78" t="inlineStr">
        <is>
          <t>115C</t>
        </is>
      </c>
      <c r="X50" s="78" t="n">
        <v>26</v>
      </c>
      <c r="Y50" s="78" t="n">
        <v>16</v>
      </c>
      <c r="Z50" s="78" t="inlineStr">
        <is>
          <t>https://new.land.naver.com/complexes/132110?tab=detail&amp;rf=Y</t>
        </is>
      </c>
      <c r="AA50" s="78" t="inlineStr">
        <is>
          <t>전라북도 군산시 나운동 831번지 일원</t>
        </is>
      </c>
      <c r="AB50" s="78" t="inlineStr">
        <is>
          <t>전라북도</t>
        </is>
      </c>
      <c r="AC50" s="78" t="inlineStr">
        <is>
          <t>군산시</t>
        </is>
      </c>
      <c r="AD50" s="78" t="inlineStr">
        <is>
          <t>나운동</t>
        </is>
      </c>
      <c r="AG50" s="78" t="inlineStr">
        <is>
          <t>전라북도 군산시</t>
        </is>
      </c>
      <c r="AH50" s="78" t="n">
        <v>0</v>
      </c>
      <c r="AI50" s="78" t="n">
        <v>269</v>
      </c>
      <c r="AJ50" s="78" t="n">
        <v>21</v>
      </c>
      <c r="AK50" s="78" t="n">
        <v>1275</v>
      </c>
      <c r="AL50" s="78" t="n">
        <v>1.28</v>
      </c>
    </row>
    <row r="51">
      <c r="A51" s="78" t="inlineStr">
        <is>
          <t>[나운동]</t>
        </is>
      </c>
      <c r="B51" s="78" t="n">
        <v>14959</v>
      </c>
      <c r="C51" s="78" t="n">
        <v>1</v>
      </c>
      <c r="D51" s="78" t="inlineStr">
        <is>
          <t>금호2차</t>
        </is>
      </c>
      <c r="E51" s="78" t="inlineStr">
        <is>
          <t>1987.09.</t>
        </is>
      </c>
      <c r="F51" s="78" t="n">
        <v>100</v>
      </c>
      <c r="G51" s="78" t="n">
        <v>21.56</v>
      </c>
      <c r="H51" s="78" t="n">
        <v>71.3</v>
      </c>
      <c r="I51" s="78" t="n">
        <v>18.13</v>
      </c>
      <c r="J51" s="78" t="n">
        <v>59.94</v>
      </c>
      <c r="K51" s="78" t="n">
        <v>70</v>
      </c>
      <c r="T51" s="78" t="n">
        <v>3</v>
      </c>
      <c r="U51" s="78" t="n">
        <v>1</v>
      </c>
      <c r="V51" s="78" t="inlineStr">
        <is>
          <t>계단식</t>
        </is>
      </c>
      <c r="W51" s="78" t="inlineStr">
        <is>
          <t>71B</t>
        </is>
      </c>
      <c r="X51" s="78" t="n">
        <v>5</v>
      </c>
      <c r="Y51" s="78" t="n">
        <v>5</v>
      </c>
      <c r="Z51" s="78" t="inlineStr">
        <is>
          <t>https://new.land.naver.com/complexes/14959?tab=detail&amp;rf=Y</t>
        </is>
      </c>
      <c r="AA51" s="78" t="inlineStr">
        <is>
          <t>전라북도 군산시 나운동 1187-2</t>
        </is>
      </c>
      <c r="AB51" s="78" t="inlineStr">
        <is>
          <t>전라북도</t>
        </is>
      </c>
      <c r="AC51" s="78" t="inlineStr">
        <is>
          <t>군산시</t>
        </is>
      </c>
      <c r="AD51" s="78" t="inlineStr">
        <is>
          <t>나운동</t>
        </is>
      </c>
      <c r="AG51" s="78" t="inlineStr">
        <is>
          <t>전라북도 군산시 한밭2길 10</t>
        </is>
      </c>
      <c r="AH51" s="78" t="n">
        <v>0</v>
      </c>
      <c r="AI51" s="78" t="n">
        <v>0</v>
      </c>
      <c r="AJ51" s="78" t="n">
        <v>0</v>
      </c>
      <c r="AK51" s="78" t="n">
        <v>0</v>
      </c>
      <c r="AL51" s="78" t="n">
        <v>0</v>
      </c>
    </row>
    <row r="52">
      <c r="A52" s="78" t="inlineStr">
        <is>
          <t>[나운동]</t>
        </is>
      </c>
      <c r="B52" s="78" t="n">
        <v>14959</v>
      </c>
      <c r="C52" s="78" t="n">
        <v>2</v>
      </c>
      <c r="D52" s="78" t="inlineStr">
        <is>
          <t>금호2차</t>
        </is>
      </c>
      <c r="E52" s="78" t="inlineStr">
        <is>
          <t>1987.09.</t>
        </is>
      </c>
      <c r="F52" s="78" t="n">
        <v>100</v>
      </c>
      <c r="G52" s="78" t="n">
        <v>21.5</v>
      </c>
      <c r="H52" s="78" t="n">
        <v>71.08</v>
      </c>
      <c r="I52" s="78" t="n">
        <v>18.06</v>
      </c>
      <c r="J52" s="78" t="n">
        <v>59.72</v>
      </c>
      <c r="K52" s="78" t="n">
        <v>30</v>
      </c>
      <c r="T52" s="78" t="n">
        <v>3</v>
      </c>
      <c r="U52" s="78" t="n">
        <v>1</v>
      </c>
      <c r="V52" s="78" t="inlineStr">
        <is>
          <t>계단식</t>
        </is>
      </c>
      <c r="W52" s="78" t="inlineStr">
        <is>
          <t>71A</t>
        </is>
      </c>
      <c r="X52" s="78" t="n">
        <v>5</v>
      </c>
      <c r="Y52" s="78" t="n">
        <v>5</v>
      </c>
      <c r="Z52" s="78" t="inlineStr">
        <is>
          <t>https://new.land.naver.com/complexes/14959?tab=detail&amp;rf=Y</t>
        </is>
      </c>
      <c r="AA52" s="78" t="inlineStr">
        <is>
          <t>전라북도 군산시 나운동 1187-2</t>
        </is>
      </c>
      <c r="AB52" s="78" t="inlineStr">
        <is>
          <t>전라북도</t>
        </is>
      </c>
      <c r="AC52" s="78" t="inlineStr">
        <is>
          <t>군산시</t>
        </is>
      </c>
      <c r="AD52" s="78" t="inlineStr">
        <is>
          <t>나운동</t>
        </is>
      </c>
      <c r="AG52" s="78" t="inlineStr">
        <is>
          <t>전라북도 군산시 한밭2길 10</t>
        </is>
      </c>
      <c r="AH52" s="78" t="n">
        <v>0</v>
      </c>
      <c r="AI52" s="78" t="n">
        <v>0</v>
      </c>
      <c r="AJ52" s="78" t="n">
        <v>0</v>
      </c>
      <c r="AK52" s="78" t="n">
        <v>0</v>
      </c>
      <c r="AL52" s="78" t="n">
        <v>0</v>
      </c>
    </row>
    <row r="53">
      <c r="A53" s="78" t="inlineStr">
        <is>
          <t>[나운동]</t>
        </is>
      </c>
      <c r="B53" s="78" t="n">
        <v>117992</v>
      </c>
      <c r="C53" s="78" t="n">
        <v>1</v>
      </c>
      <c r="D53" s="78" t="inlineStr">
        <is>
          <t>동북</t>
        </is>
      </c>
      <c r="E53" s="78" t="inlineStr">
        <is>
          <t>1988.07.</t>
        </is>
      </c>
      <c r="F53" s="78" t="n">
        <v>65</v>
      </c>
      <c r="G53" s="78" t="n">
        <v>16.66</v>
      </c>
      <c r="H53" s="78" t="n">
        <v>55.08</v>
      </c>
      <c r="I53" s="78" t="n">
        <v>15.02</v>
      </c>
      <c r="J53" s="78" t="n">
        <v>49.68</v>
      </c>
      <c r="K53" s="78" t="n">
        <v>40</v>
      </c>
      <c r="T53" s="78" t="n">
        <v>2</v>
      </c>
      <c r="U53" s="78" t="n">
        <v>1</v>
      </c>
      <c r="V53" s="78" t="inlineStr">
        <is>
          <t>복도식</t>
        </is>
      </c>
      <c r="W53" s="78" t="n">
        <v>55</v>
      </c>
      <c r="X53" s="78" t="n">
        <v>5</v>
      </c>
      <c r="Y53" s="78" t="n">
        <v>5</v>
      </c>
      <c r="Z53" s="78" t="inlineStr">
        <is>
          <t>https://new.land.naver.com/complexes/117992?tab=detail&amp;rf=Y</t>
        </is>
      </c>
      <c r="AA53" s="78" t="inlineStr">
        <is>
          <t>전라북도 군산시 나운동 785-1</t>
        </is>
      </c>
      <c r="AB53" s="78" t="inlineStr">
        <is>
          <t>전라북도</t>
        </is>
      </c>
      <c r="AC53" s="78" t="inlineStr">
        <is>
          <t>군산시</t>
        </is>
      </c>
      <c r="AD53" s="78" t="inlineStr">
        <is>
          <t>나운동</t>
        </is>
      </c>
      <c r="AG53" s="78" t="inlineStr">
        <is>
          <t>전라북도 군산시 신설1길 27</t>
        </is>
      </c>
      <c r="AH53" s="78" t="n">
        <v>0</v>
      </c>
      <c r="AI53" s="78" t="n">
        <v>0</v>
      </c>
      <c r="AJ53" s="78" t="n">
        <v>0</v>
      </c>
      <c r="AK53" s="78" t="n">
        <v>0</v>
      </c>
      <c r="AL53" s="78" t="n">
        <v>0</v>
      </c>
    </row>
    <row r="54">
      <c r="A54" s="78" t="inlineStr">
        <is>
          <t>[나운동]</t>
        </is>
      </c>
      <c r="B54" s="78" t="n">
        <v>117992</v>
      </c>
      <c r="C54" s="78" t="n">
        <v>2</v>
      </c>
      <c r="D54" s="78" t="inlineStr">
        <is>
          <t>동북</t>
        </is>
      </c>
      <c r="E54" s="78" t="inlineStr">
        <is>
          <t>1988.07.</t>
        </is>
      </c>
      <c r="F54" s="78" t="n">
        <v>65</v>
      </c>
      <c r="G54" s="78" t="n">
        <v>19.74</v>
      </c>
      <c r="H54" s="78" t="n">
        <v>65.28</v>
      </c>
      <c r="I54" s="78" t="n">
        <v>18.11</v>
      </c>
      <c r="J54" s="78" t="n">
        <v>59.88</v>
      </c>
      <c r="K54" s="78" t="n">
        <v>20</v>
      </c>
      <c r="T54" s="78" t="n">
        <v>3</v>
      </c>
      <c r="U54" s="78" t="n">
        <v>2</v>
      </c>
      <c r="V54" s="78" t="inlineStr">
        <is>
          <t>복도식</t>
        </is>
      </c>
      <c r="W54" s="78" t="n">
        <v>65</v>
      </c>
      <c r="X54" s="78" t="n">
        <v>5</v>
      </c>
      <c r="Y54" s="78" t="n">
        <v>5</v>
      </c>
      <c r="Z54" s="78" t="inlineStr">
        <is>
          <t>https://new.land.naver.com/complexes/117992?tab=detail&amp;rf=Y</t>
        </is>
      </c>
      <c r="AA54" s="78" t="inlineStr">
        <is>
          <t>전라북도 군산시 나운동 785-1</t>
        </is>
      </c>
      <c r="AB54" s="78" t="inlineStr">
        <is>
          <t>전라북도</t>
        </is>
      </c>
      <c r="AC54" s="78" t="inlineStr">
        <is>
          <t>군산시</t>
        </is>
      </c>
      <c r="AD54" s="78" t="inlineStr">
        <is>
          <t>나운동</t>
        </is>
      </c>
      <c r="AG54" s="78" t="inlineStr">
        <is>
          <t>전라북도 군산시 신설1길 27</t>
        </is>
      </c>
      <c r="AH54" s="78" t="n">
        <v>0</v>
      </c>
      <c r="AI54" s="78" t="n">
        <v>0</v>
      </c>
      <c r="AJ54" s="78" t="n">
        <v>0</v>
      </c>
      <c r="AK54" s="78" t="n">
        <v>0</v>
      </c>
      <c r="AL54" s="78" t="n">
        <v>0</v>
      </c>
    </row>
    <row r="55">
      <c r="A55" s="78" t="inlineStr">
        <is>
          <t>[나운동]</t>
        </is>
      </c>
      <c r="B55" s="78" t="n">
        <v>117992</v>
      </c>
      <c r="C55" s="78" t="n">
        <v>3</v>
      </c>
      <c r="D55" s="78" t="inlineStr">
        <is>
          <t>동북</t>
        </is>
      </c>
      <c r="E55" s="78" t="inlineStr">
        <is>
          <t>1988.07.</t>
        </is>
      </c>
      <c r="F55" s="78" t="n">
        <v>65</v>
      </c>
      <c r="G55" s="78" t="n">
        <v>21.38</v>
      </c>
      <c r="H55" s="78" t="n">
        <v>70.68000000000001</v>
      </c>
      <c r="I55" s="78" t="n">
        <v>18.11</v>
      </c>
      <c r="J55" s="78" t="n">
        <v>59.88</v>
      </c>
      <c r="K55" s="78" t="n">
        <v>5</v>
      </c>
      <c r="T55" s="78" t="n">
        <v>3</v>
      </c>
      <c r="U55" s="78" t="n">
        <v>2</v>
      </c>
      <c r="V55" s="78" t="inlineStr">
        <is>
          <t>복도식</t>
        </is>
      </c>
      <c r="W55" s="78" t="n">
        <v>70</v>
      </c>
      <c r="X55" s="78" t="n">
        <v>5</v>
      </c>
      <c r="Y55" s="78" t="n">
        <v>5</v>
      </c>
      <c r="Z55" s="78" t="inlineStr">
        <is>
          <t>https://new.land.naver.com/complexes/117992?tab=detail&amp;rf=Y</t>
        </is>
      </c>
      <c r="AA55" s="78" t="inlineStr">
        <is>
          <t>전라북도 군산시 나운동 785-1</t>
        </is>
      </c>
      <c r="AB55" s="78" t="inlineStr">
        <is>
          <t>전라북도</t>
        </is>
      </c>
      <c r="AC55" s="78" t="inlineStr">
        <is>
          <t>군산시</t>
        </is>
      </c>
      <c r="AD55" s="78" t="inlineStr">
        <is>
          <t>나운동</t>
        </is>
      </c>
      <c r="AG55" s="78" t="inlineStr">
        <is>
          <t>전라북도 군산시 신설1길 27</t>
        </is>
      </c>
      <c r="AH55" s="78" t="n">
        <v>0</v>
      </c>
      <c r="AI55" s="78" t="n">
        <v>0</v>
      </c>
      <c r="AJ55" s="78" t="n">
        <v>0</v>
      </c>
      <c r="AK55" s="78" t="n">
        <v>0</v>
      </c>
      <c r="AL55" s="78" t="n">
        <v>0</v>
      </c>
    </row>
    <row r="56">
      <c r="A56" s="78" t="inlineStr">
        <is>
          <t>[나운동]</t>
        </is>
      </c>
      <c r="B56" s="78" t="n">
        <v>140899</v>
      </c>
      <c r="C56" s="78" t="n">
        <v>1</v>
      </c>
      <c r="D56" s="78" t="inlineStr">
        <is>
          <t>하이스타운3차</t>
        </is>
      </c>
      <c r="E56" s="78" t="inlineStr">
        <is>
          <t>2011.04.</t>
        </is>
      </c>
      <c r="F56" s="78" t="n">
        <v>38</v>
      </c>
      <c r="G56" s="78" t="n">
        <v>19.23</v>
      </c>
      <c r="H56" s="78" t="n">
        <v>63.58</v>
      </c>
      <c r="I56" s="78" t="n">
        <v>13.81</v>
      </c>
      <c r="J56" s="78" t="n">
        <v>45.68</v>
      </c>
      <c r="K56" s="78" t="n">
        <v>4</v>
      </c>
      <c r="T56" s="78" t="n">
        <v>2</v>
      </c>
      <c r="U56" s="78" t="n">
        <v>1</v>
      </c>
      <c r="V56" s="78" t="inlineStr">
        <is>
          <t>계단식</t>
        </is>
      </c>
      <c r="W56" s="78" t="n">
        <v>63</v>
      </c>
      <c r="X56" s="78" t="n">
        <v>6</v>
      </c>
      <c r="Y56" s="78" t="n">
        <v>5</v>
      </c>
      <c r="Z56" s="78" t="inlineStr">
        <is>
          <t>https://new.land.naver.com/complexes/140899?tab=detail&amp;rf=Y</t>
        </is>
      </c>
      <c r="AA56" s="78" t="inlineStr">
        <is>
          <t>전라북도 군산시 나운동 763-1</t>
        </is>
      </c>
      <c r="AB56" s="78" t="inlineStr">
        <is>
          <t>전라북도</t>
        </is>
      </c>
      <c r="AC56" s="78" t="inlineStr">
        <is>
          <t>군산시</t>
        </is>
      </c>
      <c r="AD56" s="78" t="inlineStr">
        <is>
          <t>나운동</t>
        </is>
      </c>
      <c r="AG56" s="78" t="inlineStr">
        <is>
          <t>전라북도 군산시 상신3길 19-3</t>
        </is>
      </c>
      <c r="AH56" s="78" t="n">
        <v>0</v>
      </c>
      <c r="AI56" s="78" t="n">
        <v>231</v>
      </c>
      <c r="AJ56" s="78" t="n">
        <v>56</v>
      </c>
      <c r="AK56" s="78" t="n">
        <v>28</v>
      </c>
      <c r="AL56" s="78" t="n">
        <v>0.74</v>
      </c>
    </row>
    <row r="57">
      <c r="A57" s="78" t="inlineStr">
        <is>
          <t>[나운동]</t>
        </is>
      </c>
      <c r="B57" s="78" t="n">
        <v>140899</v>
      </c>
      <c r="C57" s="78" t="n">
        <v>2</v>
      </c>
      <c r="D57" s="78" t="inlineStr">
        <is>
          <t>하이스타운3차</t>
        </is>
      </c>
      <c r="E57" s="78" t="inlineStr">
        <is>
          <t>2011.04.</t>
        </is>
      </c>
      <c r="F57" s="78" t="n">
        <v>38</v>
      </c>
      <c r="G57" s="78" t="n">
        <v>21.09</v>
      </c>
      <c r="H57" s="78" t="n">
        <v>69.72</v>
      </c>
      <c r="I57" s="78" t="n">
        <v>15.18</v>
      </c>
      <c r="J57" s="78" t="n">
        <v>50.21</v>
      </c>
      <c r="K57" s="78" t="n">
        <v>32</v>
      </c>
      <c r="T57" s="78" t="n">
        <v>3</v>
      </c>
      <c r="U57" s="78" t="n">
        <v>1</v>
      </c>
      <c r="V57" s="78" t="inlineStr">
        <is>
          <t>계단식</t>
        </is>
      </c>
      <c r="W57" s="78" t="n">
        <v>69</v>
      </c>
      <c r="X57" s="78" t="n">
        <v>6</v>
      </c>
      <c r="Y57" s="78" t="n">
        <v>5</v>
      </c>
      <c r="Z57" s="78" t="inlineStr">
        <is>
          <t>https://new.land.naver.com/complexes/140899?tab=detail&amp;rf=Y</t>
        </is>
      </c>
      <c r="AA57" s="78" t="inlineStr">
        <is>
          <t>전라북도 군산시 나운동 763-1</t>
        </is>
      </c>
      <c r="AB57" s="78" t="inlineStr">
        <is>
          <t>전라북도</t>
        </is>
      </c>
      <c r="AC57" s="78" t="inlineStr">
        <is>
          <t>군산시</t>
        </is>
      </c>
      <c r="AD57" s="78" t="inlineStr">
        <is>
          <t>나운동</t>
        </is>
      </c>
      <c r="AG57" s="78" t="inlineStr">
        <is>
          <t>전라북도 군산시 상신3길 19-3</t>
        </is>
      </c>
      <c r="AH57" s="78" t="n">
        <v>0</v>
      </c>
      <c r="AI57" s="78" t="n">
        <v>231</v>
      </c>
      <c r="AJ57" s="78" t="n">
        <v>56</v>
      </c>
      <c r="AK57" s="78" t="n">
        <v>28</v>
      </c>
      <c r="AL57" s="78" t="n">
        <v>0.74</v>
      </c>
    </row>
    <row r="58">
      <c r="A58" s="78" t="inlineStr">
        <is>
          <t>[나운동]</t>
        </is>
      </c>
      <c r="B58" s="78" t="n">
        <v>140899</v>
      </c>
      <c r="C58" s="78" t="n">
        <v>3</v>
      </c>
      <c r="D58" s="78" t="inlineStr">
        <is>
          <t>하이스타운3차</t>
        </is>
      </c>
      <c r="E58" s="78" t="inlineStr">
        <is>
          <t>2011.04.</t>
        </is>
      </c>
      <c r="F58" s="78" t="n">
        <v>38</v>
      </c>
      <c r="G58" s="78" t="n">
        <v>35.18</v>
      </c>
      <c r="H58" s="78" t="n">
        <v>116.33</v>
      </c>
      <c r="I58" s="78" t="n">
        <v>25.57</v>
      </c>
      <c r="J58" s="78" t="n">
        <v>84.54000000000001</v>
      </c>
      <c r="K58" s="78" t="n">
        <v>1</v>
      </c>
      <c r="T58" s="78" t="n">
        <v>3</v>
      </c>
      <c r="U58" s="78" t="n">
        <v>2</v>
      </c>
      <c r="V58" s="78" t="inlineStr">
        <is>
          <t>계단식</t>
        </is>
      </c>
      <c r="W58" s="78" t="inlineStr">
        <is>
          <t>116A</t>
        </is>
      </c>
      <c r="X58" s="78" t="n">
        <v>6</v>
      </c>
      <c r="Y58" s="78" t="n">
        <v>5</v>
      </c>
      <c r="Z58" s="78" t="inlineStr">
        <is>
          <t>https://new.land.naver.com/complexes/140899?tab=detail&amp;rf=Y</t>
        </is>
      </c>
      <c r="AA58" s="78" t="inlineStr">
        <is>
          <t>전라북도 군산시 나운동 763-1</t>
        </is>
      </c>
      <c r="AB58" s="78" t="inlineStr">
        <is>
          <t>전라북도</t>
        </is>
      </c>
      <c r="AC58" s="78" t="inlineStr">
        <is>
          <t>군산시</t>
        </is>
      </c>
      <c r="AD58" s="78" t="inlineStr">
        <is>
          <t>나운동</t>
        </is>
      </c>
      <c r="AG58" s="78" t="inlineStr">
        <is>
          <t>전라북도 군산시 상신3길 19-3</t>
        </is>
      </c>
      <c r="AH58" s="78" t="n">
        <v>0</v>
      </c>
      <c r="AI58" s="78" t="n">
        <v>231</v>
      </c>
      <c r="AJ58" s="78" t="n">
        <v>56</v>
      </c>
      <c r="AK58" s="78" t="n">
        <v>28</v>
      </c>
      <c r="AL58" s="78" t="n">
        <v>0.74</v>
      </c>
    </row>
    <row r="59">
      <c r="A59" s="78" t="inlineStr">
        <is>
          <t>[나운동]</t>
        </is>
      </c>
      <c r="B59" s="78" t="n">
        <v>140899</v>
      </c>
      <c r="C59" s="78" t="n">
        <v>4</v>
      </c>
      <c r="D59" s="78" t="inlineStr">
        <is>
          <t>하이스타운3차</t>
        </is>
      </c>
      <c r="E59" s="78" t="inlineStr">
        <is>
          <t>2011.04.</t>
        </is>
      </c>
      <c r="F59" s="78" t="n">
        <v>38</v>
      </c>
      <c r="G59" s="78" t="n">
        <v>35.37</v>
      </c>
      <c r="H59" s="78" t="n">
        <v>116.93</v>
      </c>
      <c r="I59" s="78" t="n">
        <v>25.7</v>
      </c>
      <c r="J59" s="78" t="n">
        <v>84.95999999999999</v>
      </c>
      <c r="K59" s="78" t="n">
        <v>1</v>
      </c>
      <c r="T59" s="78" t="n">
        <v>3</v>
      </c>
      <c r="U59" s="78" t="n">
        <v>2</v>
      </c>
      <c r="V59" s="78" t="inlineStr">
        <is>
          <t>계단식</t>
        </is>
      </c>
      <c r="W59" s="78" t="inlineStr">
        <is>
          <t>116B</t>
        </is>
      </c>
      <c r="X59" s="78" t="n">
        <v>6</v>
      </c>
      <c r="Y59" s="78" t="n">
        <v>5</v>
      </c>
      <c r="Z59" s="78" t="inlineStr">
        <is>
          <t>https://new.land.naver.com/complexes/140899?tab=detail&amp;rf=Y</t>
        </is>
      </c>
      <c r="AA59" s="78" t="inlineStr">
        <is>
          <t>전라북도 군산시 나운동 763-1</t>
        </is>
      </c>
      <c r="AB59" s="78" t="inlineStr">
        <is>
          <t>전라북도</t>
        </is>
      </c>
      <c r="AC59" s="78" t="inlineStr">
        <is>
          <t>군산시</t>
        </is>
      </c>
      <c r="AD59" s="78" t="inlineStr">
        <is>
          <t>나운동</t>
        </is>
      </c>
      <c r="AG59" s="78" t="inlineStr">
        <is>
          <t>전라북도 군산시 상신3길 19-3</t>
        </is>
      </c>
      <c r="AH59" s="78" t="n">
        <v>0</v>
      </c>
      <c r="AI59" s="78" t="n">
        <v>231</v>
      </c>
      <c r="AJ59" s="78" t="n">
        <v>56</v>
      </c>
      <c r="AK59" s="78" t="n">
        <v>28</v>
      </c>
      <c r="AL59" s="78" t="n">
        <v>0.74</v>
      </c>
    </row>
    <row r="60">
      <c r="A60" s="78" t="inlineStr">
        <is>
          <t>[나운동]</t>
        </is>
      </c>
      <c r="B60" s="78" t="n">
        <v>112786</v>
      </c>
      <c r="C60" s="78" t="n">
        <v>1</v>
      </c>
      <c r="D60" s="78" t="inlineStr">
        <is>
          <t>현대</t>
        </is>
      </c>
      <c r="E60" s="78" t="inlineStr">
        <is>
          <t>1987.03.</t>
        </is>
      </c>
      <c r="F60" s="78" t="n">
        <v>70</v>
      </c>
      <c r="G60" s="78" t="n">
        <v>19.32</v>
      </c>
      <c r="H60" s="78" t="n">
        <v>63.9</v>
      </c>
      <c r="I60" s="78" t="n">
        <v>17.58</v>
      </c>
      <c r="J60" s="78" t="n">
        <v>58.14</v>
      </c>
      <c r="K60" s="78" t="n">
        <v>30</v>
      </c>
      <c r="T60" s="78" t="n">
        <v>2</v>
      </c>
      <c r="U60" s="78" t="n">
        <v>1</v>
      </c>
      <c r="V60" s="78" t="inlineStr">
        <is>
          <t>계단식</t>
        </is>
      </c>
      <c r="W60" s="78" t="n">
        <v>63</v>
      </c>
      <c r="X60" s="78" t="n">
        <v>5</v>
      </c>
      <c r="Y60" s="78" t="n">
        <v>5</v>
      </c>
      <c r="Z60" s="78" t="inlineStr">
        <is>
          <t>https://new.land.naver.com/complexes/112786?tab=detail&amp;rf=Y</t>
        </is>
      </c>
      <c r="AA60" s="78" t="inlineStr">
        <is>
          <t>전라북도 군산시 나운동 783-4</t>
        </is>
      </c>
      <c r="AB60" s="78" t="inlineStr">
        <is>
          <t>전라북도</t>
        </is>
      </c>
      <c r="AC60" s="78" t="inlineStr">
        <is>
          <t>군산시</t>
        </is>
      </c>
      <c r="AD60" s="78" t="inlineStr">
        <is>
          <t>나운동</t>
        </is>
      </c>
      <c r="AG60" s="78" t="inlineStr">
        <is>
          <t>전라북도 군산시 신설2길 18</t>
        </is>
      </c>
      <c r="AH60" s="78" t="n">
        <v>0</v>
      </c>
      <c r="AI60" s="78" t="n">
        <v>0</v>
      </c>
      <c r="AJ60" s="78" t="n">
        <v>0</v>
      </c>
      <c r="AK60" s="78" t="n">
        <v>0</v>
      </c>
      <c r="AL60" s="78" t="n">
        <v>0</v>
      </c>
    </row>
    <row r="61">
      <c r="A61" s="78" t="inlineStr">
        <is>
          <t>[나운동]</t>
        </is>
      </c>
      <c r="B61" s="78" t="n">
        <v>112786</v>
      </c>
      <c r="C61" s="78" t="n">
        <v>2</v>
      </c>
      <c r="D61" s="78" t="inlineStr">
        <is>
          <t>현대</t>
        </is>
      </c>
      <c r="E61" s="78" t="inlineStr">
        <is>
          <t>1987.03.</t>
        </is>
      </c>
      <c r="F61" s="78" t="n">
        <v>70</v>
      </c>
      <c r="G61" s="78" t="n">
        <v>19.6</v>
      </c>
      <c r="H61" s="78" t="n">
        <v>64.8</v>
      </c>
      <c r="I61" s="78" t="n">
        <v>17.85</v>
      </c>
      <c r="J61" s="78" t="n">
        <v>59.04</v>
      </c>
      <c r="K61" s="78" t="n">
        <v>40</v>
      </c>
      <c r="T61" s="78" t="n">
        <v>2</v>
      </c>
      <c r="U61" s="78" t="n">
        <v>1</v>
      </c>
      <c r="V61" s="78" t="inlineStr">
        <is>
          <t>계단식</t>
        </is>
      </c>
      <c r="W61" s="78" t="n">
        <v>64</v>
      </c>
      <c r="X61" s="78" t="n">
        <v>5</v>
      </c>
      <c r="Y61" s="78" t="n">
        <v>5</v>
      </c>
      <c r="Z61" s="78" t="inlineStr">
        <is>
          <t>https://new.land.naver.com/complexes/112786?tab=detail&amp;rf=Y</t>
        </is>
      </c>
      <c r="AA61" s="78" t="inlineStr">
        <is>
          <t>전라북도 군산시 나운동 783-4</t>
        </is>
      </c>
      <c r="AB61" s="78" t="inlineStr">
        <is>
          <t>전라북도</t>
        </is>
      </c>
      <c r="AC61" s="78" t="inlineStr">
        <is>
          <t>군산시</t>
        </is>
      </c>
      <c r="AD61" s="78" t="inlineStr">
        <is>
          <t>나운동</t>
        </is>
      </c>
      <c r="AG61" s="78" t="inlineStr">
        <is>
          <t>전라북도 군산시 신설2길 18</t>
        </is>
      </c>
      <c r="AH61" s="78" t="n">
        <v>0</v>
      </c>
      <c r="AI61" s="78" t="n">
        <v>0</v>
      </c>
      <c r="AJ61" s="78" t="n">
        <v>0</v>
      </c>
      <c r="AK61" s="78" t="n">
        <v>0</v>
      </c>
      <c r="AL61" s="78" t="n">
        <v>0</v>
      </c>
    </row>
    <row r="62">
      <c r="A62" s="78" t="inlineStr">
        <is>
          <t>[나운동]</t>
        </is>
      </c>
      <c r="B62" s="78" t="n">
        <v>132778</v>
      </c>
      <c r="C62" s="78" t="n">
        <v>1</v>
      </c>
      <c r="D62" s="78" t="inlineStr">
        <is>
          <t>힐하우스</t>
        </is>
      </c>
      <c r="E62" s="78" t="inlineStr">
        <is>
          <t>2001.02.</t>
        </is>
      </c>
      <c r="F62" s="78" t="n">
        <v>19</v>
      </c>
      <c r="G62" s="78" t="n">
        <v>38.26</v>
      </c>
      <c r="H62" s="78" t="n">
        <v>126.48</v>
      </c>
      <c r="I62" s="78" t="n">
        <v>32.94</v>
      </c>
      <c r="J62" s="78" t="n">
        <v>108.9</v>
      </c>
      <c r="K62" s="78" t="n">
        <v>8</v>
      </c>
      <c r="T62" s="78" t="n">
        <v>4</v>
      </c>
      <c r="U62" s="78" t="n">
        <v>2</v>
      </c>
      <c r="V62" s="78" t="inlineStr">
        <is>
          <t>계단식</t>
        </is>
      </c>
      <c r="W62" s="78" t="n">
        <v>126</v>
      </c>
      <c r="X62" s="78" t="n">
        <v>5</v>
      </c>
      <c r="Y62" s="78" t="n">
        <v>5</v>
      </c>
      <c r="Z62" s="78" t="inlineStr">
        <is>
          <t>https://new.land.naver.com/complexes/132778?tab=detail&amp;rf=Y</t>
        </is>
      </c>
      <c r="AA62" s="78" t="inlineStr">
        <is>
          <t>전라북도 군산시 나운동 754-2</t>
        </is>
      </c>
      <c r="AB62" s="78" t="inlineStr">
        <is>
          <t>전라북도</t>
        </is>
      </c>
      <c r="AC62" s="78" t="inlineStr">
        <is>
          <t>군산시</t>
        </is>
      </c>
      <c r="AD62" s="78" t="inlineStr">
        <is>
          <t>나운동</t>
        </is>
      </c>
      <c r="AG62" s="78" t="inlineStr">
        <is>
          <t>전라북도 군산시 상신6길 21-6</t>
        </is>
      </c>
      <c r="AH62" s="78" t="n">
        <v>0</v>
      </c>
      <c r="AI62" s="78" t="n">
        <v>210</v>
      </c>
      <c r="AJ62" s="78" t="n">
        <v>45</v>
      </c>
      <c r="AK62" s="78" t="n">
        <v>31</v>
      </c>
      <c r="AL62" s="78" t="n">
        <v>1.63</v>
      </c>
    </row>
    <row r="63">
      <c r="A63" s="78" t="inlineStr">
        <is>
          <t>[나운동]</t>
        </is>
      </c>
      <c r="B63" s="78" t="n">
        <v>132778</v>
      </c>
      <c r="C63" s="78" t="n">
        <v>2</v>
      </c>
      <c r="D63" s="78" t="inlineStr">
        <is>
          <t>힐하우스</t>
        </is>
      </c>
      <c r="E63" s="78" t="inlineStr">
        <is>
          <t>2001.02.</t>
        </is>
      </c>
      <c r="F63" s="78" t="n">
        <v>19</v>
      </c>
      <c r="G63" s="78" t="n">
        <v>39.07</v>
      </c>
      <c r="H63" s="78" t="n">
        <v>129.17</v>
      </c>
      <c r="I63" s="78" t="n">
        <v>33.64</v>
      </c>
      <c r="J63" s="78" t="n">
        <v>111.21</v>
      </c>
      <c r="K63" s="78" t="n">
        <v>4</v>
      </c>
      <c r="T63" s="78" t="n">
        <v>4</v>
      </c>
      <c r="U63" s="78" t="n">
        <v>2</v>
      </c>
      <c r="V63" s="78" t="inlineStr">
        <is>
          <t>계단식</t>
        </is>
      </c>
      <c r="W63" s="78" t="inlineStr">
        <is>
          <t>129A</t>
        </is>
      </c>
      <c r="X63" s="78" t="n">
        <v>5</v>
      </c>
      <c r="Y63" s="78" t="n">
        <v>5</v>
      </c>
      <c r="Z63" s="78" t="inlineStr">
        <is>
          <t>https://new.land.naver.com/complexes/132778?tab=detail&amp;rf=Y</t>
        </is>
      </c>
      <c r="AA63" s="78" t="inlineStr">
        <is>
          <t>전라북도 군산시 나운동 754-2</t>
        </is>
      </c>
      <c r="AB63" s="78" t="inlineStr">
        <is>
          <t>전라북도</t>
        </is>
      </c>
      <c r="AC63" s="78" t="inlineStr">
        <is>
          <t>군산시</t>
        </is>
      </c>
      <c r="AD63" s="78" t="inlineStr">
        <is>
          <t>나운동</t>
        </is>
      </c>
      <c r="AG63" s="78" t="inlineStr">
        <is>
          <t>전라북도 군산시 상신6길 21-6</t>
        </is>
      </c>
      <c r="AH63" s="78" t="n">
        <v>0</v>
      </c>
      <c r="AI63" s="78" t="n">
        <v>210</v>
      </c>
      <c r="AJ63" s="78" t="n">
        <v>45</v>
      </c>
      <c r="AK63" s="78" t="n">
        <v>31</v>
      </c>
      <c r="AL63" s="78" t="n">
        <v>1.63</v>
      </c>
    </row>
    <row r="64">
      <c r="A64" s="78" t="inlineStr">
        <is>
          <t>[나운동]</t>
        </is>
      </c>
      <c r="B64" s="78" t="n">
        <v>132778</v>
      </c>
      <c r="C64" s="78" t="n">
        <v>3</v>
      </c>
      <c r="D64" s="78" t="inlineStr">
        <is>
          <t>힐하우스</t>
        </is>
      </c>
      <c r="E64" s="78" t="inlineStr">
        <is>
          <t>2001.02.</t>
        </is>
      </c>
      <c r="F64" s="78" t="n">
        <v>19</v>
      </c>
      <c r="G64" s="78" t="n">
        <v>39.16</v>
      </c>
      <c r="H64" s="78" t="n">
        <v>129.47</v>
      </c>
      <c r="I64" s="78" t="n">
        <v>33.71</v>
      </c>
      <c r="J64" s="78" t="n">
        <v>111.47</v>
      </c>
      <c r="K64" s="78" t="n">
        <v>4</v>
      </c>
      <c r="T64" s="78" t="n">
        <v>4</v>
      </c>
      <c r="U64" s="78" t="n">
        <v>2</v>
      </c>
      <c r="V64" s="78" t="inlineStr">
        <is>
          <t>계단식</t>
        </is>
      </c>
      <c r="W64" s="78" t="inlineStr">
        <is>
          <t>129B</t>
        </is>
      </c>
      <c r="X64" s="78" t="n">
        <v>5</v>
      </c>
      <c r="Y64" s="78" t="n">
        <v>5</v>
      </c>
      <c r="Z64" s="78" t="inlineStr">
        <is>
          <t>https://new.land.naver.com/complexes/132778?tab=detail&amp;rf=Y</t>
        </is>
      </c>
      <c r="AA64" s="78" t="inlineStr">
        <is>
          <t>전라북도 군산시 나운동 754-2</t>
        </is>
      </c>
      <c r="AB64" s="78" t="inlineStr">
        <is>
          <t>전라북도</t>
        </is>
      </c>
      <c r="AC64" s="78" t="inlineStr">
        <is>
          <t>군산시</t>
        </is>
      </c>
      <c r="AD64" s="78" t="inlineStr">
        <is>
          <t>나운동</t>
        </is>
      </c>
      <c r="AG64" s="78" t="inlineStr">
        <is>
          <t>전라북도 군산시 상신6길 21-6</t>
        </is>
      </c>
      <c r="AH64" s="78" t="n">
        <v>0</v>
      </c>
      <c r="AI64" s="78" t="n">
        <v>210</v>
      </c>
      <c r="AJ64" s="78" t="n">
        <v>45</v>
      </c>
      <c r="AK64" s="78" t="n">
        <v>31</v>
      </c>
      <c r="AL64" s="78" t="n">
        <v>1.63</v>
      </c>
    </row>
    <row r="65">
      <c r="A65" s="78" t="inlineStr">
        <is>
          <t>[나운동]</t>
        </is>
      </c>
      <c r="B65" s="78" t="n">
        <v>132778</v>
      </c>
      <c r="C65" s="78" t="n">
        <v>4</v>
      </c>
      <c r="D65" s="78" t="inlineStr">
        <is>
          <t>힐하우스</t>
        </is>
      </c>
      <c r="E65" s="78" t="inlineStr">
        <is>
          <t>2001.02.</t>
        </is>
      </c>
      <c r="F65" s="78" t="n">
        <v>19</v>
      </c>
      <c r="G65" s="78" t="n">
        <v>40.04</v>
      </c>
      <c r="H65" s="78" t="n">
        <v>132.38</v>
      </c>
      <c r="I65" s="78" t="n">
        <v>32.94</v>
      </c>
      <c r="J65" s="78" t="n">
        <v>108.9</v>
      </c>
      <c r="K65" s="78" t="n">
        <v>2</v>
      </c>
      <c r="T65" s="78" t="n">
        <v>5</v>
      </c>
      <c r="U65" s="78" t="n">
        <v>3</v>
      </c>
      <c r="V65" s="78" t="inlineStr">
        <is>
          <t>계단식</t>
        </is>
      </c>
      <c r="W65" s="78" t="n">
        <v>132</v>
      </c>
      <c r="X65" s="78" t="n">
        <v>5</v>
      </c>
      <c r="Y65" s="78" t="n">
        <v>5</v>
      </c>
      <c r="Z65" s="78" t="inlineStr">
        <is>
          <t>https://new.land.naver.com/complexes/132778?tab=detail&amp;rf=Y</t>
        </is>
      </c>
      <c r="AA65" s="78" t="inlineStr">
        <is>
          <t>전라북도 군산시 나운동 754-2</t>
        </is>
      </c>
      <c r="AB65" s="78" t="inlineStr">
        <is>
          <t>전라북도</t>
        </is>
      </c>
      <c r="AC65" s="78" t="inlineStr">
        <is>
          <t>군산시</t>
        </is>
      </c>
      <c r="AD65" s="78" t="inlineStr">
        <is>
          <t>나운동</t>
        </is>
      </c>
      <c r="AG65" s="78" t="inlineStr">
        <is>
          <t>전라북도 군산시 상신6길 21-6</t>
        </is>
      </c>
      <c r="AH65" s="78" t="n">
        <v>0</v>
      </c>
      <c r="AI65" s="78" t="n">
        <v>210</v>
      </c>
      <c r="AJ65" s="78" t="n">
        <v>45</v>
      </c>
      <c r="AK65" s="78" t="n">
        <v>31</v>
      </c>
      <c r="AL65" s="78" t="n">
        <v>1.63</v>
      </c>
    </row>
    <row r="66">
      <c r="A66" s="78" t="inlineStr">
        <is>
          <t>[나운동]</t>
        </is>
      </c>
      <c r="B66" s="78" t="n">
        <v>132778</v>
      </c>
      <c r="C66" s="78" t="n">
        <v>5</v>
      </c>
      <c r="D66" s="78" t="inlineStr">
        <is>
          <t>힐하우스</t>
        </is>
      </c>
      <c r="E66" s="78" t="inlineStr">
        <is>
          <t>2001.02.</t>
        </is>
      </c>
      <c r="F66" s="78" t="n">
        <v>19</v>
      </c>
      <c r="G66" s="78" t="n">
        <v>40.98</v>
      </c>
      <c r="H66" s="78" t="n">
        <v>135.5</v>
      </c>
      <c r="I66" s="78" t="n">
        <v>33.71</v>
      </c>
      <c r="J66" s="78" t="n">
        <v>111.47</v>
      </c>
      <c r="K66" s="78" t="n">
        <v>1</v>
      </c>
      <c r="T66" s="78" t="n">
        <v>5</v>
      </c>
      <c r="U66" s="78" t="n">
        <v>3</v>
      </c>
      <c r="V66" s="78" t="inlineStr">
        <is>
          <t>계단식</t>
        </is>
      </c>
      <c r="W66" s="78" t="n">
        <v>135</v>
      </c>
      <c r="X66" s="78" t="n">
        <v>5</v>
      </c>
      <c r="Y66" s="78" t="n">
        <v>5</v>
      </c>
      <c r="Z66" s="78" t="inlineStr">
        <is>
          <t>https://new.land.naver.com/complexes/132778?tab=detail&amp;rf=Y</t>
        </is>
      </c>
      <c r="AA66" s="78" t="inlineStr">
        <is>
          <t>전라북도 군산시 나운동 754-2</t>
        </is>
      </c>
      <c r="AB66" s="78" t="inlineStr">
        <is>
          <t>전라북도</t>
        </is>
      </c>
      <c r="AC66" s="78" t="inlineStr">
        <is>
          <t>군산시</t>
        </is>
      </c>
      <c r="AD66" s="78" t="inlineStr">
        <is>
          <t>나운동</t>
        </is>
      </c>
      <c r="AG66" s="78" t="inlineStr">
        <is>
          <t>전라북도 군산시 상신6길 21-6</t>
        </is>
      </c>
      <c r="AH66" s="78" t="n">
        <v>0</v>
      </c>
      <c r="AI66" s="78" t="n">
        <v>210</v>
      </c>
      <c r="AJ66" s="78" t="n">
        <v>45</v>
      </c>
      <c r="AK66" s="78" t="n">
        <v>31</v>
      </c>
      <c r="AL66" s="78" t="n">
        <v>1.63</v>
      </c>
    </row>
    <row r="67">
      <c r="A67" s="78" t="inlineStr">
        <is>
          <t>[나운동]</t>
        </is>
      </c>
      <c r="B67" s="78" t="n">
        <v>110310</v>
      </c>
      <c r="C67" s="78" t="n">
        <v>1</v>
      </c>
      <c r="D67" s="78" t="inlineStr">
        <is>
          <t>세경</t>
        </is>
      </c>
      <c r="E67" s="78" t="inlineStr">
        <is>
          <t>2002.12.</t>
        </is>
      </c>
      <c r="F67" s="78" t="n">
        <v>1186</v>
      </c>
      <c r="G67" s="78" t="n">
        <v>15.63</v>
      </c>
      <c r="H67" s="78" t="n">
        <v>51.68</v>
      </c>
      <c r="I67" s="78" t="n">
        <v>12.19</v>
      </c>
      <c r="J67" s="78" t="n">
        <v>40.32</v>
      </c>
      <c r="K67" s="78" t="n">
        <v>230</v>
      </c>
      <c r="T67" s="78" t="n">
        <v>1</v>
      </c>
      <c r="U67" s="78" t="n">
        <v>1</v>
      </c>
      <c r="V67" s="78" t="inlineStr">
        <is>
          <t>복도식</t>
        </is>
      </c>
      <c r="W67" s="78" t="n">
        <v>51</v>
      </c>
      <c r="X67" s="78" t="n">
        <v>15</v>
      </c>
      <c r="Y67" s="78" t="n">
        <v>10</v>
      </c>
      <c r="Z67" s="78" t="inlineStr">
        <is>
          <t>https://new.land.naver.com/complexes/110310?tab=detail&amp;rf=Y</t>
        </is>
      </c>
      <c r="AA67" s="78" t="inlineStr">
        <is>
          <t>전라북도 군산시 나운동 155</t>
        </is>
      </c>
      <c r="AB67" s="78" t="inlineStr">
        <is>
          <t>전라북도</t>
        </is>
      </c>
      <c r="AC67" s="78" t="inlineStr">
        <is>
          <t>군산시</t>
        </is>
      </c>
      <c r="AD67" s="78" t="inlineStr">
        <is>
          <t>나운동</t>
        </is>
      </c>
      <c r="AG67" s="78" t="inlineStr">
        <is>
          <t>전라북도 군산시 하나운로 28</t>
        </is>
      </c>
      <c r="AH67" s="78" t="n">
        <v>15</v>
      </c>
      <c r="AI67" s="78" t="n">
        <v>208</v>
      </c>
      <c r="AJ67" s="78" t="n">
        <v>24</v>
      </c>
      <c r="AK67" s="78" t="n">
        <v>1062</v>
      </c>
      <c r="AL67" s="78" t="n">
        <v>0.9</v>
      </c>
    </row>
    <row r="68">
      <c r="A68" s="78" t="inlineStr">
        <is>
          <t>[나운동]</t>
        </is>
      </c>
      <c r="B68" s="78" t="n">
        <v>110310</v>
      </c>
      <c r="C68" s="78" t="n">
        <v>2</v>
      </c>
      <c r="D68" s="78" t="inlineStr">
        <is>
          <t>세경</t>
        </is>
      </c>
      <c r="E68" s="78" t="inlineStr">
        <is>
          <t>2002.12.</t>
        </is>
      </c>
      <c r="F68" s="78" t="n">
        <v>1186</v>
      </c>
      <c r="G68" s="78" t="n">
        <v>20.86</v>
      </c>
      <c r="H68" s="78" t="n">
        <v>68.98</v>
      </c>
      <c r="I68" s="78" t="n">
        <v>16.28</v>
      </c>
      <c r="J68" s="78" t="n">
        <v>53.82</v>
      </c>
      <c r="K68" s="78" t="n">
        <v>941</v>
      </c>
      <c r="T68" s="78" t="n">
        <v>2</v>
      </c>
      <c r="U68" s="78" t="n">
        <v>1</v>
      </c>
      <c r="V68" s="78" t="inlineStr">
        <is>
          <t>복도식</t>
        </is>
      </c>
      <c r="W68" s="78" t="n">
        <v>68</v>
      </c>
      <c r="X68" s="78" t="n">
        <v>15</v>
      </c>
      <c r="Y68" s="78" t="n">
        <v>10</v>
      </c>
      <c r="Z68" s="78" t="inlineStr">
        <is>
          <t>https://new.land.naver.com/complexes/110310?tab=detail&amp;rf=Y</t>
        </is>
      </c>
      <c r="AA68" s="78" t="inlineStr">
        <is>
          <t>전라북도 군산시 나운동 155</t>
        </is>
      </c>
      <c r="AB68" s="78" t="inlineStr">
        <is>
          <t>전라북도</t>
        </is>
      </c>
      <c r="AC68" s="78" t="inlineStr">
        <is>
          <t>군산시</t>
        </is>
      </c>
      <c r="AD68" s="78" t="inlineStr">
        <is>
          <t>나운동</t>
        </is>
      </c>
      <c r="AG68" s="78" t="inlineStr">
        <is>
          <t>전라북도 군산시 하나운로 28</t>
        </is>
      </c>
      <c r="AH68" s="78" t="n">
        <v>15</v>
      </c>
      <c r="AI68" s="78" t="n">
        <v>208</v>
      </c>
      <c r="AJ68" s="78" t="n">
        <v>24</v>
      </c>
      <c r="AK68" s="78" t="n">
        <v>1062</v>
      </c>
      <c r="AL68" s="78" t="n">
        <v>0.9</v>
      </c>
    </row>
    <row r="69">
      <c r="A69" s="78" t="inlineStr">
        <is>
          <t>[나운동]</t>
        </is>
      </c>
      <c r="B69" s="78" t="n">
        <v>105136</v>
      </c>
      <c r="C69" s="78" t="n">
        <v>1</v>
      </c>
      <c r="D69" s="78" t="inlineStr">
        <is>
          <t>명성타운</t>
        </is>
      </c>
      <c r="E69" s="78" t="inlineStr">
        <is>
          <t>1991.10.</t>
        </is>
      </c>
      <c r="F69" s="78" t="n">
        <v>144</v>
      </c>
      <c r="G69" s="78" t="n">
        <v>19.42</v>
      </c>
      <c r="H69" s="78" t="n">
        <v>64.22</v>
      </c>
      <c r="I69" s="78" t="n">
        <v>15.76</v>
      </c>
      <c r="J69" s="78" t="n">
        <v>52.11</v>
      </c>
      <c r="K69" s="78" t="n">
        <v>72</v>
      </c>
      <c r="T69" s="78" t="n">
        <v>2</v>
      </c>
      <c r="U69" s="78" t="n">
        <v>1</v>
      </c>
      <c r="V69" s="78" t="inlineStr">
        <is>
          <t>계단식</t>
        </is>
      </c>
      <c r="W69" s="78" t="n">
        <v>64</v>
      </c>
      <c r="X69" s="78" t="n">
        <v>6</v>
      </c>
      <c r="Y69" s="78" t="n">
        <v>6</v>
      </c>
      <c r="Z69" s="78" t="inlineStr">
        <is>
          <t>https://new.land.naver.com/complexes/105136?tab=detail&amp;rf=Y</t>
        </is>
      </c>
      <c r="AA69" s="78" t="inlineStr">
        <is>
          <t>전라북도 군산시 나운동 786-1</t>
        </is>
      </c>
      <c r="AB69" s="78" t="inlineStr">
        <is>
          <t>전라북도</t>
        </is>
      </c>
      <c r="AC69" s="78" t="inlineStr">
        <is>
          <t>군산시</t>
        </is>
      </c>
      <c r="AD69" s="78" t="inlineStr">
        <is>
          <t>나운동</t>
        </is>
      </c>
      <c r="AG69" s="78" t="inlineStr">
        <is>
          <t>전라북도 군산시 상나운로 59</t>
        </is>
      </c>
      <c r="AH69" s="78" t="n">
        <v>0</v>
      </c>
      <c r="AI69" s="78" t="n">
        <v>0</v>
      </c>
      <c r="AJ69" s="78" t="n">
        <v>0</v>
      </c>
      <c r="AK69" s="78" t="n">
        <v>0</v>
      </c>
      <c r="AL69" s="78" t="n">
        <v>0</v>
      </c>
    </row>
    <row r="70">
      <c r="A70" s="78" t="inlineStr">
        <is>
          <t>[나운동]</t>
        </is>
      </c>
      <c r="B70" s="78" t="n">
        <v>105136</v>
      </c>
      <c r="C70" s="78" t="n">
        <v>2</v>
      </c>
      <c r="D70" s="78" t="inlineStr">
        <is>
          <t>명성타운</t>
        </is>
      </c>
      <c r="E70" s="78" t="inlineStr">
        <is>
          <t>1991.10.</t>
        </is>
      </c>
      <c r="F70" s="78" t="n">
        <v>144</v>
      </c>
      <c r="G70" s="78" t="n">
        <v>22.52</v>
      </c>
      <c r="H70" s="78" t="n">
        <v>74.45999999999999</v>
      </c>
      <c r="I70" s="78" t="n">
        <v>18.13</v>
      </c>
      <c r="J70" s="78" t="n">
        <v>59.94</v>
      </c>
      <c r="K70" s="78" t="n">
        <v>48</v>
      </c>
      <c r="T70" s="78" t="n">
        <v>2</v>
      </c>
      <c r="U70" s="78" t="n">
        <v>1</v>
      </c>
      <c r="V70" s="78" t="inlineStr">
        <is>
          <t>계단식</t>
        </is>
      </c>
      <c r="W70" s="78" t="n">
        <v>74</v>
      </c>
      <c r="X70" s="78" t="n">
        <v>6</v>
      </c>
      <c r="Y70" s="78" t="n">
        <v>6</v>
      </c>
      <c r="Z70" s="78" t="inlineStr">
        <is>
          <t>https://new.land.naver.com/complexes/105136?tab=detail&amp;rf=Y</t>
        </is>
      </c>
      <c r="AA70" s="78" t="inlineStr">
        <is>
          <t>전라북도 군산시 나운동 786-1</t>
        </is>
      </c>
      <c r="AB70" s="78" t="inlineStr">
        <is>
          <t>전라북도</t>
        </is>
      </c>
      <c r="AC70" s="78" t="inlineStr">
        <is>
          <t>군산시</t>
        </is>
      </c>
      <c r="AD70" s="78" t="inlineStr">
        <is>
          <t>나운동</t>
        </is>
      </c>
      <c r="AG70" s="78" t="inlineStr">
        <is>
          <t>전라북도 군산시 상나운로 59</t>
        </is>
      </c>
      <c r="AH70" s="78" t="n">
        <v>0</v>
      </c>
      <c r="AI70" s="78" t="n">
        <v>0</v>
      </c>
      <c r="AJ70" s="78" t="n">
        <v>0</v>
      </c>
      <c r="AK70" s="78" t="n">
        <v>0</v>
      </c>
      <c r="AL70" s="78" t="n">
        <v>0</v>
      </c>
    </row>
    <row r="71">
      <c r="A71" s="78" t="inlineStr">
        <is>
          <t>[나운동]</t>
        </is>
      </c>
      <c r="B71" s="78" t="n">
        <v>105136</v>
      </c>
      <c r="C71" s="78" t="n">
        <v>3</v>
      </c>
      <c r="D71" s="78" t="inlineStr">
        <is>
          <t>명성타운</t>
        </is>
      </c>
      <c r="E71" s="78" t="inlineStr">
        <is>
          <t>1991.10.</t>
        </is>
      </c>
      <c r="F71" s="78" t="n">
        <v>144</v>
      </c>
      <c r="G71" s="78" t="n">
        <v>24.36</v>
      </c>
      <c r="H71" s="78" t="n">
        <v>80.53</v>
      </c>
      <c r="I71" s="78" t="n">
        <v>20.22</v>
      </c>
      <c r="J71" s="78" t="n">
        <v>66.87</v>
      </c>
      <c r="K71" s="78" t="n">
        <v>24</v>
      </c>
      <c r="T71" s="78" t="n">
        <v>2</v>
      </c>
      <c r="U71" s="78" t="n">
        <v>1</v>
      </c>
      <c r="V71" s="78" t="inlineStr">
        <is>
          <t>계단식</t>
        </is>
      </c>
      <c r="W71" s="78" t="n">
        <v>80</v>
      </c>
      <c r="X71" s="78" t="n">
        <v>6</v>
      </c>
      <c r="Y71" s="78" t="n">
        <v>6</v>
      </c>
      <c r="Z71" s="78" t="inlineStr">
        <is>
          <t>https://new.land.naver.com/complexes/105136?tab=detail&amp;rf=Y</t>
        </is>
      </c>
      <c r="AA71" s="78" t="inlineStr">
        <is>
          <t>전라북도 군산시 나운동 786-1</t>
        </is>
      </c>
      <c r="AB71" s="78" t="inlineStr">
        <is>
          <t>전라북도</t>
        </is>
      </c>
      <c r="AC71" s="78" t="inlineStr">
        <is>
          <t>군산시</t>
        </is>
      </c>
      <c r="AD71" s="78" t="inlineStr">
        <is>
          <t>나운동</t>
        </is>
      </c>
      <c r="AG71" s="78" t="inlineStr">
        <is>
          <t>전라북도 군산시 상나운로 59</t>
        </is>
      </c>
      <c r="AH71" s="78" t="n">
        <v>0</v>
      </c>
      <c r="AI71" s="78" t="n">
        <v>0</v>
      </c>
      <c r="AJ71" s="78" t="n">
        <v>0</v>
      </c>
      <c r="AK71" s="78" t="n">
        <v>0</v>
      </c>
      <c r="AL71" s="78" t="n">
        <v>0</v>
      </c>
    </row>
    <row r="72">
      <c r="A72" s="78" t="inlineStr">
        <is>
          <t>[나운동]</t>
        </is>
      </c>
      <c r="B72" s="78" t="n">
        <v>120933</v>
      </c>
      <c r="C72" s="78" t="n">
        <v>1</v>
      </c>
      <c r="D72" s="78" t="inlineStr">
        <is>
          <t>상지파크뷰(도시형)</t>
        </is>
      </c>
      <c r="E72" s="78" t="inlineStr">
        <is>
          <t>2014.06.</t>
        </is>
      </c>
      <c r="F72" s="78" t="n">
        <v>48</v>
      </c>
      <c r="G72" s="78" t="n">
        <v>16.79</v>
      </c>
      <c r="H72" s="78" t="n">
        <v>55.51</v>
      </c>
      <c r="I72" s="78" t="n">
        <v>12.71</v>
      </c>
      <c r="J72" s="78" t="n">
        <v>42.04</v>
      </c>
      <c r="K72" s="78" t="n">
        <v>1</v>
      </c>
      <c r="T72" s="78" t="n">
        <v>1</v>
      </c>
      <c r="U72" s="78" t="n">
        <v>1</v>
      </c>
      <c r="V72" s="78" t="inlineStr">
        <is>
          <t>계단식</t>
        </is>
      </c>
      <c r="W72" s="78" t="inlineStr">
        <is>
          <t>55A</t>
        </is>
      </c>
      <c r="X72" s="78" t="n">
        <v>9</v>
      </c>
      <c r="Y72" s="78" t="n">
        <v>9</v>
      </c>
      <c r="Z72" s="78" t="inlineStr">
        <is>
          <t>https://new.land.naver.com/complexes/120933?tab=detail&amp;rf=Y</t>
        </is>
      </c>
      <c r="AA72" s="78" t="inlineStr">
        <is>
          <t>전라북도 군산시 나운동 795-10</t>
        </is>
      </c>
      <c r="AB72" s="78" t="inlineStr">
        <is>
          <t>전라북도</t>
        </is>
      </c>
      <c r="AC72" s="78" t="inlineStr">
        <is>
          <t>군산시</t>
        </is>
      </c>
      <c r="AD72" s="78" t="inlineStr">
        <is>
          <t>나운동</t>
        </is>
      </c>
      <c r="AG72" s="78" t="inlineStr">
        <is>
          <t>전라북도 군산시 상나운1길 6-6</t>
        </is>
      </c>
      <c r="AH72" s="78" t="n">
        <v>0</v>
      </c>
      <c r="AI72" s="78" t="n">
        <v>0</v>
      </c>
      <c r="AJ72" s="78" t="n">
        <v>0</v>
      </c>
      <c r="AK72" s="78" t="n">
        <v>26</v>
      </c>
      <c r="AL72" s="78" t="n">
        <v>0.54</v>
      </c>
    </row>
    <row r="73">
      <c r="A73" s="78" t="inlineStr">
        <is>
          <t>[나운동]</t>
        </is>
      </c>
      <c r="B73" s="78" t="n">
        <v>120933</v>
      </c>
      <c r="C73" s="78" t="n">
        <v>2</v>
      </c>
      <c r="D73" s="78" t="inlineStr">
        <is>
          <t>상지파크뷰(도시형)</t>
        </is>
      </c>
      <c r="E73" s="78" t="inlineStr">
        <is>
          <t>2014.06.</t>
        </is>
      </c>
      <c r="F73" s="78" t="n">
        <v>48</v>
      </c>
      <c r="G73" s="78" t="n">
        <v>16.99</v>
      </c>
      <c r="H73" s="78" t="n">
        <v>56.19</v>
      </c>
      <c r="I73" s="78" t="n">
        <v>12.71</v>
      </c>
      <c r="J73" s="78" t="n">
        <v>42.04</v>
      </c>
      <c r="K73" s="78" t="n">
        <v>1</v>
      </c>
      <c r="T73" s="78" t="n">
        <v>1</v>
      </c>
      <c r="U73" s="78" t="n">
        <v>1</v>
      </c>
      <c r="V73" s="78" t="inlineStr">
        <is>
          <t>계단식</t>
        </is>
      </c>
      <c r="W73" s="78" t="inlineStr">
        <is>
          <t>56B</t>
        </is>
      </c>
      <c r="X73" s="78" t="n">
        <v>9</v>
      </c>
      <c r="Y73" s="78" t="n">
        <v>9</v>
      </c>
      <c r="Z73" s="78" t="inlineStr">
        <is>
          <t>https://new.land.naver.com/complexes/120933?tab=detail&amp;rf=Y</t>
        </is>
      </c>
      <c r="AA73" s="78" t="inlineStr">
        <is>
          <t>전라북도 군산시 나운동 795-10</t>
        </is>
      </c>
      <c r="AB73" s="78" t="inlineStr">
        <is>
          <t>전라북도</t>
        </is>
      </c>
      <c r="AC73" s="78" t="inlineStr">
        <is>
          <t>군산시</t>
        </is>
      </c>
      <c r="AD73" s="78" t="inlineStr">
        <is>
          <t>나운동</t>
        </is>
      </c>
      <c r="AG73" s="78" t="inlineStr">
        <is>
          <t>전라북도 군산시 상나운1길 6-6</t>
        </is>
      </c>
      <c r="AH73" s="78" t="n">
        <v>0</v>
      </c>
      <c r="AI73" s="78" t="n">
        <v>0</v>
      </c>
      <c r="AJ73" s="78" t="n">
        <v>0</v>
      </c>
      <c r="AK73" s="78" t="n">
        <v>26</v>
      </c>
      <c r="AL73" s="78" t="n">
        <v>0.54</v>
      </c>
    </row>
    <row r="74">
      <c r="A74" s="78" t="inlineStr">
        <is>
          <t>[나운동]</t>
        </is>
      </c>
      <c r="B74" s="78" t="n">
        <v>120933</v>
      </c>
      <c r="C74" s="78" t="n">
        <v>3</v>
      </c>
      <c r="D74" s="78" t="inlineStr">
        <is>
          <t>상지파크뷰(도시형)</t>
        </is>
      </c>
      <c r="E74" s="78" t="inlineStr">
        <is>
          <t>2014.06.</t>
        </is>
      </c>
      <c r="F74" s="78" t="n">
        <v>48</v>
      </c>
      <c r="G74" s="78" t="n">
        <v>19.92</v>
      </c>
      <c r="H74" s="78" t="n">
        <v>65.88</v>
      </c>
      <c r="I74" s="78" t="n">
        <v>15.09</v>
      </c>
      <c r="J74" s="78" t="n">
        <v>49.9</v>
      </c>
      <c r="K74" s="78" t="n">
        <v>8</v>
      </c>
      <c r="T74" s="78" t="n">
        <v>1</v>
      </c>
      <c r="U74" s="78" t="n">
        <v>1</v>
      </c>
      <c r="V74" s="78" t="inlineStr">
        <is>
          <t>계단식</t>
        </is>
      </c>
      <c r="W74" s="78" t="inlineStr">
        <is>
          <t>65D</t>
        </is>
      </c>
      <c r="X74" s="78" t="n">
        <v>9</v>
      </c>
      <c r="Y74" s="78" t="n">
        <v>9</v>
      </c>
      <c r="Z74" s="78" t="inlineStr">
        <is>
          <t>https://new.land.naver.com/complexes/120933?tab=detail&amp;rf=Y</t>
        </is>
      </c>
      <c r="AA74" s="78" t="inlineStr">
        <is>
          <t>전라북도 군산시 나운동 795-10</t>
        </is>
      </c>
      <c r="AB74" s="78" t="inlineStr">
        <is>
          <t>전라북도</t>
        </is>
      </c>
      <c r="AC74" s="78" t="inlineStr">
        <is>
          <t>군산시</t>
        </is>
      </c>
      <c r="AD74" s="78" t="inlineStr">
        <is>
          <t>나운동</t>
        </is>
      </c>
      <c r="AG74" s="78" t="inlineStr">
        <is>
          <t>전라북도 군산시 상나운1길 6-6</t>
        </is>
      </c>
      <c r="AH74" s="78" t="n">
        <v>0</v>
      </c>
      <c r="AI74" s="78" t="n">
        <v>0</v>
      </c>
      <c r="AJ74" s="78" t="n">
        <v>0</v>
      </c>
      <c r="AK74" s="78" t="n">
        <v>26</v>
      </c>
      <c r="AL74" s="78" t="n">
        <v>0.54</v>
      </c>
    </row>
    <row r="75">
      <c r="A75" s="78" t="inlineStr">
        <is>
          <t>[나운동]</t>
        </is>
      </c>
      <c r="B75" s="78" t="n">
        <v>120933</v>
      </c>
      <c r="C75" s="78" t="n">
        <v>4</v>
      </c>
      <c r="D75" s="78" t="inlineStr">
        <is>
          <t>상지파크뷰(도시형)</t>
        </is>
      </c>
      <c r="E75" s="78" t="inlineStr">
        <is>
          <t>2014.06.</t>
        </is>
      </c>
      <c r="F75" s="78" t="n">
        <v>48</v>
      </c>
      <c r="G75" s="78" t="n">
        <v>19.94</v>
      </c>
      <c r="H75" s="78" t="n">
        <v>65.92</v>
      </c>
      <c r="I75" s="78" t="n">
        <v>15.1</v>
      </c>
      <c r="J75" s="78" t="n">
        <v>49.93</v>
      </c>
      <c r="K75" s="78" t="n">
        <v>8</v>
      </c>
      <c r="T75" s="78" t="n">
        <v>1</v>
      </c>
      <c r="U75" s="78" t="n">
        <v>1</v>
      </c>
      <c r="V75" s="78" t="inlineStr">
        <is>
          <t>계단식</t>
        </is>
      </c>
      <c r="W75" s="78" t="inlineStr">
        <is>
          <t>65E</t>
        </is>
      </c>
      <c r="X75" s="78" t="n">
        <v>9</v>
      </c>
      <c r="Y75" s="78" t="n">
        <v>9</v>
      </c>
      <c r="Z75" s="78" t="inlineStr">
        <is>
          <t>https://new.land.naver.com/complexes/120933?tab=detail&amp;rf=Y</t>
        </is>
      </c>
      <c r="AA75" s="78" t="inlineStr">
        <is>
          <t>전라북도 군산시 나운동 795-10</t>
        </is>
      </c>
      <c r="AB75" s="78" t="inlineStr">
        <is>
          <t>전라북도</t>
        </is>
      </c>
      <c r="AC75" s="78" t="inlineStr">
        <is>
          <t>군산시</t>
        </is>
      </c>
      <c r="AD75" s="78" t="inlineStr">
        <is>
          <t>나운동</t>
        </is>
      </c>
      <c r="AG75" s="78" t="inlineStr">
        <is>
          <t>전라북도 군산시 상나운1길 6-6</t>
        </is>
      </c>
      <c r="AH75" s="78" t="n">
        <v>0</v>
      </c>
      <c r="AI75" s="78" t="n">
        <v>0</v>
      </c>
      <c r="AJ75" s="78" t="n">
        <v>0</v>
      </c>
      <c r="AK75" s="78" t="n">
        <v>26</v>
      </c>
      <c r="AL75" s="78" t="n">
        <v>0.54</v>
      </c>
    </row>
    <row r="76">
      <c r="A76" s="78" t="inlineStr">
        <is>
          <t>[나운동]</t>
        </is>
      </c>
      <c r="B76" s="78" t="n">
        <v>120933</v>
      </c>
      <c r="C76" s="78" t="n">
        <v>5</v>
      </c>
      <c r="D76" s="78" t="inlineStr">
        <is>
          <t>상지파크뷰(도시형)</t>
        </is>
      </c>
      <c r="E76" s="78" t="inlineStr">
        <is>
          <t>2014.06.</t>
        </is>
      </c>
      <c r="F76" s="78" t="n">
        <v>48</v>
      </c>
      <c r="G76" s="78" t="n">
        <v>19.89</v>
      </c>
      <c r="H76" s="78" t="n">
        <v>65.78</v>
      </c>
      <c r="I76" s="78" t="n">
        <v>15.07</v>
      </c>
      <c r="J76" s="78" t="n">
        <v>49.82</v>
      </c>
      <c r="K76" s="78" t="n">
        <v>7</v>
      </c>
      <c r="T76" s="78" t="n">
        <v>1</v>
      </c>
      <c r="U76" s="78" t="n">
        <v>1</v>
      </c>
      <c r="V76" s="78" t="inlineStr">
        <is>
          <t>계단식</t>
        </is>
      </c>
      <c r="W76" s="78" t="inlineStr">
        <is>
          <t>65B</t>
        </is>
      </c>
      <c r="X76" s="78" t="n">
        <v>9</v>
      </c>
      <c r="Y76" s="78" t="n">
        <v>9</v>
      </c>
      <c r="Z76" s="78" t="inlineStr">
        <is>
          <t>https://new.land.naver.com/complexes/120933?tab=detail&amp;rf=Y</t>
        </is>
      </c>
      <c r="AA76" s="78" t="inlineStr">
        <is>
          <t>전라북도 군산시 나운동 795-10</t>
        </is>
      </c>
      <c r="AB76" s="78" t="inlineStr">
        <is>
          <t>전라북도</t>
        </is>
      </c>
      <c r="AC76" s="78" t="inlineStr">
        <is>
          <t>군산시</t>
        </is>
      </c>
      <c r="AD76" s="78" t="inlineStr">
        <is>
          <t>나운동</t>
        </is>
      </c>
      <c r="AG76" s="78" t="inlineStr">
        <is>
          <t>전라북도 군산시 상나운1길 6-6</t>
        </is>
      </c>
      <c r="AH76" s="78" t="n">
        <v>0</v>
      </c>
      <c r="AI76" s="78" t="n">
        <v>0</v>
      </c>
      <c r="AJ76" s="78" t="n">
        <v>0</v>
      </c>
      <c r="AK76" s="78" t="n">
        <v>26</v>
      </c>
      <c r="AL76" s="78" t="n">
        <v>0.54</v>
      </c>
    </row>
    <row r="77">
      <c r="A77" s="78" t="inlineStr">
        <is>
          <t>[나운동]</t>
        </is>
      </c>
      <c r="B77" s="78" t="n">
        <v>120933</v>
      </c>
      <c r="C77" s="78" t="n">
        <v>6</v>
      </c>
      <c r="D77" s="78" t="inlineStr">
        <is>
          <t>상지파크뷰(도시형)</t>
        </is>
      </c>
      <c r="E77" s="78" t="inlineStr">
        <is>
          <t>2014.06.</t>
        </is>
      </c>
      <c r="F77" s="78" t="n">
        <v>48</v>
      </c>
      <c r="G77" s="78" t="n">
        <v>20.14</v>
      </c>
      <c r="H77" s="78" t="n">
        <v>66.59</v>
      </c>
      <c r="I77" s="78" t="n">
        <v>15.07</v>
      </c>
      <c r="J77" s="78" t="n">
        <v>49.82</v>
      </c>
      <c r="K77" s="78" t="n">
        <v>15</v>
      </c>
      <c r="T77" s="78" t="n">
        <v>1</v>
      </c>
      <c r="U77" s="78" t="n">
        <v>1</v>
      </c>
      <c r="V77" s="78" t="inlineStr">
        <is>
          <t>계단식</t>
        </is>
      </c>
      <c r="W77" s="78" t="inlineStr">
        <is>
          <t>66C</t>
        </is>
      </c>
      <c r="X77" s="78" t="n">
        <v>9</v>
      </c>
      <c r="Y77" s="78" t="n">
        <v>9</v>
      </c>
      <c r="Z77" s="78" t="inlineStr">
        <is>
          <t>https://new.land.naver.com/complexes/120933?tab=detail&amp;rf=Y</t>
        </is>
      </c>
      <c r="AA77" s="78" t="inlineStr">
        <is>
          <t>전라북도 군산시 나운동 795-10</t>
        </is>
      </c>
      <c r="AB77" s="78" t="inlineStr">
        <is>
          <t>전라북도</t>
        </is>
      </c>
      <c r="AC77" s="78" t="inlineStr">
        <is>
          <t>군산시</t>
        </is>
      </c>
      <c r="AD77" s="78" t="inlineStr">
        <is>
          <t>나운동</t>
        </is>
      </c>
      <c r="AG77" s="78" t="inlineStr">
        <is>
          <t>전라북도 군산시 상나운1길 6-6</t>
        </is>
      </c>
      <c r="AH77" s="78" t="n">
        <v>0</v>
      </c>
      <c r="AI77" s="78" t="n">
        <v>0</v>
      </c>
      <c r="AJ77" s="78" t="n">
        <v>0</v>
      </c>
      <c r="AK77" s="78" t="n">
        <v>26</v>
      </c>
      <c r="AL77" s="78" t="n">
        <v>0.54</v>
      </c>
    </row>
    <row r="78">
      <c r="A78" s="78" t="inlineStr">
        <is>
          <t>[나운동]</t>
        </is>
      </c>
      <c r="B78" s="78" t="n">
        <v>120933</v>
      </c>
      <c r="C78" s="78" t="n">
        <v>7</v>
      </c>
      <c r="D78" s="78" t="inlineStr">
        <is>
          <t>상지파크뷰(도시형)</t>
        </is>
      </c>
      <c r="E78" s="78" t="inlineStr">
        <is>
          <t>2014.06.</t>
        </is>
      </c>
      <c r="F78" s="78" t="n">
        <v>48</v>
      </c>
      <c r="G78" s="78" t="n">
        <v>20.09</v>
      </c>
      <c r="H78" s="78" t="n">
        <v>66.44</v>
      </c>
      <c r="I78" s="78" t="n">
        <v>15.03</v>
      </c>
      <c r="J78" s="78" t="n">
        <v>49.71</v>
      </c>
      <c r="K78" s="78" t="n">
        <v>8</v>
      </c>
      <c r="T78" s="78" t="n">
        <v>1</v>
      </c>
      <c r="U78" s="78" t="n">
        <v>1</v>
      </c>
      <c r="V78" s="78" t="inlineStr">
        <is>
          <t>계단식</t>
        </is>
      </c>
      <c r="W78" s="78" t="inlineStr">
        <is>
          <t>66A</t>
        </is>
      </c>
      <c r="X78" s="78" t="n">
        <v>9</v>
      </c>
      <c r="Y78" s="78" t="n">
        <v>9</v>
      </c>
      <c r="Z78" s="78" t="inlineStr">
        <is>
          <t>https://new.land.naver.com/complexes/120933?tab=detail&amp;rf=Y</t>
        </is>
      </c>
      <c r="AA78" s="78" t="inlineStr">
        <is>
          <t>전라북도 군산시 나운동 795-10</t>
        </is>
      </c>
      <c r="AB78" s="78" t="inlineStr">
        <is>
          <t>전라북도</t>
        </is>
      </c>
      <c r="AC78" s="78" t="inlineStr">
        <is>
          <t>군산시</t>
        </is>
      </c>
      <c r="AD78" s="78" t="inlineStr">
        <is>
          <t>나운동</t>
        </is>
      </c>
      <c r="AG78" s="78" t="inlineStr">
        <is>
          <t>전라북도 군산시 상나운1길 6-6</t>
        </is>
      </c>
      <c r="AH78" s="78" t="n">
        <v>0</v>
      </c>
      <c r="AI78" s="78" t="n">
        <v>0</v>
      </c>
      <c r="AJ78" s="78" t="n">
        <v>0</v>
      </c>
      <c r="AK78" s="78" t="n">
        <v>26</v>
      </c>
      <c r="AL78" s="78" t="n">
        <v>0.54</v>
      </c>
    </row>
    <row r="79">
      <c r="A79" s="78" t="inlineStr">
        <is>
          <t>[나운동]</t>
        </is>
      </c>
      <c r="B79" s="78" t="n">
        <v>27028</v>
      </c>
      <c r="C79" s="78" t="n">
        <v>1</v>
      </c>
      <c r="D79" s="78" t="inlineStr">
        <is>
          <t>수송코아루</t>
        </is>
      </c>
      <c r="E79" s="78" t="inlineStr">
        <is>
          <t>2009.03.</t>
        </is>
      </c>
      <c r="F79" s="78" t="n">
        <v>392</v>
      </c>
      <c r="G79" s="78" t="n">
        <v>26.35</v>
      </c>
      <c r="H79" s="78" t="n">
        <v>87.13</v>
      </c>
      <c r="I79" s="78" t="n">
        <v>18.03</v>
      </c>
      <c r="J79" s="78" t="n">
        <v>59.61</v>
      </c>
      <c r="K79" s="78" t="n">
        <v>392</v>
      </c>
      <c r="T79" s="78" t="n">
        <v>3</v>
      </c>
      <c r="U79" s="78" t="n">
        <v>2</v>
      </c>
      <c r="V79" s="78" t="inlineStr">
        <is>
          <t>계단식</t>
        </is>
      </c>
      <c r="W79" s="78" t="n">
        <v>87</v>
      </c>
      <c r="X79" s="78" t="n">
        <v>20</v>
      </c>
      <c r="Y79" s="78" t="n">
        <v>16</v>
      </c>
      <c r="Z79" s="78" t="inlineStr">
        <is>
          <t>https://new.land.naver.com/complexes/27028?tab=detail&amp;rf=Y</t>
        </is>
      </c>
      <c r="AA79" s="78" t="inlineStr">
        <is>
          <t>전라북도 군산시 나운동 1526</t>
        </is>
      </c>
      <c r="AB79" s="78" t="inlineStr">
        <is>
          <t>전라북도</t>
        </is>
      </c>
      <c r="AC79" s="78" t="inlineStr">
        <is>
          <t>군산시</t>
        </is>
      </c>
      <c r="AD79" s="78" t="inlineStr">
        <is>
          <t>나운동</t>
        </is>
      </c>
      <c r="AG79" s="78" t="inlineStr">
        <is>
          <t>전라북도 군산시 축동로 83</t>
        </is>
      </c>
      <c r="AH79" s="78" t="n">
        <v>0</v>
      </c>
      <c r="AI79" s="78" t="n">
        <v>219</v>
      </c>
      <c r="AJ79" s="78" t="n">
        <v>18</v>
      </c>
      <c r="AK79" s="78" t="n">
        <v>434</v>
      </c>
      <c r="AL79" s="78" t="n">
        <v>1.11</v>
      </c>
    </row>
    <row r="80">
      <c r="A80" s="78" t="inlineStr">
        <is>
          <t>[나운동]</t>
        </is>
      </c>
      <c r="B80" s="78" t="n">
        <v>140531</v>
      </c>
      <c r="C80" s="78" t="n">
        <v>1</v>
      </c>
      <c r="D80" s="78" t="inlineStr">
        <is>
          <t>C&amp;G빌</t>
        </is>
      </c>
      <c r="E80" s="78" t="inlineStr">
        <is>
          <t>2005.01.</t>
        </is>
      </c>
      <c r="F80" s="78" t="n">
        <v>19</v>
      </c>
      <c r="G80" s="78" t="n">
        <v>28.63</v>
      </c>
      <c r="H80" s="78" t="n">
        <v>94.66</v>
      </c>
      <c r="I80" s="78" t="n">
        <v>25.67</v>
      </c>
      <c r="J80" s="78" t="n">
        <v>84.86</v>
      </c>
      <c r="K80" s="78" t="n">
        <v>6</v>
      </c>
      <c r="T80" s="78" t="n">
        <v>3</v>
      </c>
      <c r="U80" s="78" t="n">
        <v>2</v>
      </c>
      <c r="V80" s="78" t="inlineStr">
        <is>
          <t>계단식</t>
        </is>
      </c>
      <c r="W80" s="78" t="inlineStr">
        <is>
          <t>94A</t>
        </is>
      </c>
      <c r="X80" s="78" t="n">
        <v>7</v>
      </c>
      <c r="Y80" s="78" t="n">
        <v>6</v>
      </c>
      <c r="Z80" s="78" t="inlineStr">
        <is>
          <t>https://new.land.naver.com/complexes/140531?tab=detail&amp;rf=Y</t>
        </is>
      </c>
      <c r="AA80" s="78" t="inlineStr">
        <is>
          <t>전라북도 군산시 나운동 757-3</t>
        </is>
      </c>
      <c r="AB80" s="78" t="inlineStr">
        <is>
          <t>전라북도</t>
        </is>
      </c>
      <c r="AC80" s="78" t="inlineStr">
        <is>
          <t>군산시</t>
        </is>
      </c>
      <c r="AD80" s="78" t="inlineStr">
        <is>
          <t>나운동</t>
        </is>
      </c>
      <c r="AG80" s="78" t="inlineStr">
        <is>
          <t>전라북도 군산시 상신4길 15-6</t>
        </is>
      </c>
      <c r="AH80" s="78" t="n">
        <v>0</v>
      </c>
      <c r="AI80" s="78" t="n">
        <v>161</v>
      </c>
      <c r="AJ80" s="78" t="n">
        <v>26</v>
      </c>
      <c r="AK80" s="78" t="n">
        <v>24</v>
      </c>
      <c r="AL80" s="78" t="n">
        <v>1.26</v>
      </c>
    </row>
    <row r="81">
      <c r="A81" s="78" t="inlineStr">
        <is>
          <t>[나운동]</t>
        </is>
      </c>
      <c r="B81" s="78" t="n">
        <v>140531</v>
      </c>
      <c r="C81" s="78" t="n">
        <v>2</v>
      </c>
      <c r="D81" s="78" t="inlineStr">
        <is>
          <t>C&amp;G빌</t>
        </is>
      </c>
      <c r="E81" s="78" t="inlineStr">
        <is>
          <t>2005.01.</t>
        </is>
      </c>
      <c r="F81" s="78" t="n">
        <v>19</v>
      </c>
      <c r="G81" s="78" t="n">
        <v>28.64</v>
      </c>
      <c r="H81" s="78" t="n">
        <v>94.69</v>
      </c>
      <c r="I81" s="78" t="n">
        <v>25.67</v>
      </c>
      <c r="J81" s="78" t="n">
        <v>84.88</v>
      </c>
      <c r="K81" s="78" t="n">
        <v>6</v>
      </c>
      <c r="T81" s="78" t="n">
        <v>3</v>
      </c>
      <c r="U81" s="78" t="n">
        <v>2</v>
      </c>
      <c r="V81" s="78" t="inlineStr">
        <is>
          <t>계단식</t>
        </is>
      </c>
      <c r="W81" s="78" t="inlineStr">
        <is>
          <t>94B</t>
        </is>
      </c>
      <c r="X81" s="78" t="n">
        <v>7</v>
      </c>
      <c r="Y81" s="78" t="n">
        <v>6</v>
      </c>
      <c r="Z81" s="78" t="inlineStr">
        <is>
          <t>https://new.land.naver.com/complexes/140531?tab=detail&amp;rf=Y</t>
        </is>
      </c>
      <c r="AA81" s="78" t="inlineStr">
        <is>
          <t>전라북도 군산시 나운동 757-3</t>
        </is>
      </c>
      <c r="AB81" s="78" t="inlineStr">
        <is>
          <t>전라북도</t>
        </is>
      </c>
      <c r="AC81" s="78" t="inlineStr">
        <is>
          <t>군산시</t>
        </is>
      </c>
      <c r="AD81" s="78" t="inlineStr">
        <is>
          <t>나운동</t>
        </is>
      </c>
      <c r="AG81" s="78" t="inlineStr">
        <is>
          <t>전라북도 군산시 상신4길 15-6</t>
        </is>
      </c>
      <c r="AH81" s="78" t="n">
        <v>0</v>
      </c>
      <c r="AI81" s="78" t="n">
        <v>161</v>
      </c>
      <c r="AJ81" s="78" t="n">
        <v>26</v>
      </c>
      <c r="AK81" s="78" t="n">
        <v>24</v>
      </c>
      <c r="AL81" s="78" t="n">
        <v>1.26</v>
      </c>
    </row>
    <row r="82">
      <c r="A82" s="78" t="inlineStr">
        <is>
          <t>[나운동]</t>
        </is>
      </c>
      <c r="B82" s="78" t="n">
        <v>140531</v>
      </c>
      <c r="C82" s="78" t="n">
        <v>3</v>
      </c>
      <c r="D82" s="78" t="inlineStr">
        <is>
          <t>C&amp;G빌</t>
        </is>
      </c>
      <c r="E82" s="78" t="inlineStr">
        <is>
          <t>2005.01.</t>
        </is>
      </c>
      <c r="F82" s="78" t="n">
        <v>19</v>
      </c>
      <c r="G82" s="78" t="n">
        <v>30.87</v>
      </c>
      <c r="H82" s="78" t="n">
        <v>102.07</v>
      </c>
      <c r="I82" s="78" t="n">
        <v>27.67</v>
      </c>
      <c r="J82" s="78" t="n">
        <v>91.5</v>
      </c>
      <c r="K82" s="78" t="n">
        <v>6</v>
      </c>
      <c r="T82" s="78" t="n">
        <v>3</v>
      </c>
      <c r="U82" s="78" t="n">
        <v>2</v>
      </c>
      <c r="V82" s="78" t="inlineStr">
        <is>
          <t>계단식</t>
        </is>
      </c>
      <c r="W82" s="78" t="n">
        <v>102</v>
      </c>
      <c r="X82" s="78" t="n">
        <v>7</v>
      </c>
      <c r="Y82" s="78" t="n">
        <v>6</v>
      </c>
      <c r="Z82" s="78" t="inlineStr">
        <is>
          <t>https://new.land.naver.com/complexes/140531?tab=detail&amp;rf=Y</t>
        </is>
      </c>
      <c r="AA82" s="78" t="inlineStr">
        <is>
          <t>전라북도 군산시 나운동 757-3</t>
        </is>
      </c>
      <c r="AB82" s="78" t="inlineStr">
        <is>
          <t>전라북도</t>
        </is>
      </c>
      <c r="AC82" s="78" t="inlineStr">
        <is>
          <t>군산시</t>
        </is>
      </c>
      <c r="AD82" s="78" t="inlineStr">
        <is>
          <t>나운동</t>
        </is>
      </c>
      <c r="AG82" s="78" t="inlineStr">
        <is>
          <t>전라북도 군산시 상신4길 15-6</t>
        </is>
      </c>
      <c r="AH82" s="78" t="n">
        <v>0</v>
      </c>
      <c r="AI82" s="78" t="n">
        <v>161</v>
      </c>
      <c r="AJ82" s="78" t="n">
        <v>26</v>
      </c>
      <c r="AK82" s="78" t="n">
        <v>24</v>
      </c>
      <c r="AL82" s="78" t="n">
        <v>1.26</v>
      </c>
    </row>
    <row r="83">
      <c r="A83" s="78" t="inlineStr">
        <is>
          <t>[나운동]</t>
        </is>
      </c>
      <c r="B83" s="78" t="n">
        <v>140531</v>
      </c>
      <c r="C83" s="78" t="n">
        <v>4</v>
      </c>
      <c r="D83" s="78" t="inlineStr">
        <is>
          <t>C&amp;G빌</t>
        </is>
      </c>
      <c r="E83" s="78" t="inlineStr">
        <is>
          <t>2005.01.</t>
        </is>
      </c>
      <c r="F83" s="78" t="n">
        <v>19</v>
      </c>
      <c r="G83" s="78" t="n">
        <v>46.39</v>
      </c>
      <c r="H83" s="78" t="n">
        <v>153.38</v>
      </c>
      <c r="I83" s="78" t="n">
        <v>41.59</v>
      </c>
      <c r="J83" s="78" t="n">
        <v>137.5</v>
      </c>
      <c r="K83" s="78" t="n">
        <v>1</v>
      </c>
      <c r="T83" s="78" t="n">
        <v>4</v>
      </c>
      <c r="U83" s="78" t="n">
        <v>2</v>
      </c>
      <c r="V83" s="78" t="inlineStr">
        <is>
          <t>계단식</t>
        </is>
      </c>
      <c r="W83" s="78" t="n">
        <v>153</v>
      </c>
      <c r="X83" s="78" t="n">
        <v>7</v>
      </c>
      <c r="Y83" s="78" t="n">
        <v>6</v>
      </c>
      <c r="Z83" s="78" t="inlineStr">
        <is>
          <t>https://new.land.naver.com/complexes/140531?tab=detail&amp;rf=Y</t>
        </is>
      </c>
      <c r="AA83" s="78" t="inlineStr">
        <is>
          <t>전라북도 군산시 나운동 757-3</t>
        </is>
      </c>
      <c r="AB83" s="78" t="inlineStr">
        <is>
          <t>전라북도</t>
        </is>
      </c>
      <c r="AC83" s="78" t="inlineStr">
        <is>
          <t>군산시</t>
        </is>
      </c>
      <c r="AD83" s="78" t="inlineStr">
        <is>
          <t>나운동</t>
        </is>
      </c>
      <c r="AG83" s="78" t="inlineStr">
        <is>
          <t>전라북도 군산시 상신4길 15-6</t>
        </is>
      </c>
      <c r="AH83" s="78" t="n">
        <v>0</v>
      </c>
      <c r="AI83" s="78" t="n">
        <v>161</v>
      </c>
      <c r="AJ83" s="78" t="n">
        <v>26</v>
      </c>
      <c r="AK83" s="78" t="n">
        <v>24</v>
      </c>
      <c r="AL83" s="78" t="n">
        <v>1.26</v>
      </c>
    </row>
    <row r="84">
      <c r="A84" s="78" t="inlineStr">
        <is>
          <t>[나운동]</t>
        </is>
      </c>
      <c r="B84" s="78" t="n">
        <v>4969</v>
      </c>
      <c r="C84" s="78" t="n">
        <v>1</v>
      </c>
      <c r="D84" s="78" t="inlineStr">
        <is>
          <t>금호타운2차</t>
        </is>
      </c>
      <c r="E84" s="78" t="inlineStr">
        <is>
          <t>1994.09.</t>
        </is>
      </c>
      <c r="F84" s="78" t="n">
        <v>336</v>
      </c>
      <c r="G84" s="78" t="n">
        <v>25.34</v>
      </c>
      <c r="H84" s="78" t="n">
        <v>83.79000000000001</v>
      </c>
      <c r="I84" s="78" t="n">
        <v>18.11</v>
      </c>
      <c r="J84" s="78" t="n">
        <v>59.88</v>
      </c>
      <c r="K84" s="78" t="n">
        <v>120</v>
      </c>
      <c r="T84" s="78" t="n">
        <v>2</v>
      </c>
      <c r="U84" s="78" t="n">
        <v>1</v>
      </c>
      <c r="V84" s="78" t="inlineStr">
        <is>
          <t>계단식</t>
        </is>
      </c>
      <c r="W84" s="78" t="n">
        <v>83</v>
      </c>
      <c r="X84" s="78" t="n">
        <v>15</v>
      </c>
      <c r="Y84" s="78" t="n">
        <v>12</v>
      </c>
      <c r="Z84" s="78" t="inlineStr">
        <is>
          <t>https://new.land.naver.com/complexes/4969?tab=detail&amp;rf=Y</t>
        </is>
      </c>
      <c r="AA84" s="78" t="inlineStr">
        <is>
          <t>전라북도 군산시 나운동 92</t>
        </is>
      </c>
      <c r="AB84" s="78" t="inlineStr">
        <is>
          <t>전라북도</t>
        </is>
      </c>
      <c r="AC84" s="78" t="inlineStr">
        <is>
          <t>군산시</t>
        </is>
      </c>
      <c r="AD84" s="78" t="inlineStr">
        <is>
          <t>나운동</t>
        </is>
      </c>
      <c r="AG84" s="78" t="inlineStr">
        <is>
          <t>전라북도 군산시 수송로 71</t>
        </is>
      </c>
      <c r="AH84" s="78" t="n">
        <v>0</v>
      </c>
      <c r="AI84" s="78" t="n">
        <v>212</v>
      </c>
      <c r="AJ84" s="78" t="n">
        <v>21</v>
      </c>
      <c r="AK84" s="78" t="n">
        <v>241</v>
      </c>
      <c r="AL84" s="78" t="n">
        <v>0.72</v>
      </c>
    </row>
    <row r="85">
      <c r="A85" s="78" t="inlineStr">
        <is>
          <t>[나운동]</t>
        </is>
      </c>
      <c r="B85" s="78" t="n">
        <v>4969</v>
      </c>
      <c r="C85" s="78" t="n">
        <v>2</v>
      </c>
      <c r="D85" s="78" t="inlineStr">
        <is>
          <t>금호타운2차</t>
        </is>
      </c>
      <c r="E85" s="78" t="inlineStr">
        <is>
          <t>1994.09.</t>
        </is>
      </c>
      <c r="F85" s="78" t="n">
        <v>336</v>
      </c>
      <c r="G85" s="78" t="n">
        <v>31.16</v>
      </c>
      <c r="H85" s="78" t="n">
        <v>103.01</v>
      </c>
      <c r="I85" s="78" t="n">
        <v>25.66</v>
      </c>
      <c r="J85" s="78" t="n">
        <v>84.84</v>
      </c>
      <c r="K85" s="78" t="n">
        <v>120</v>
      </c>
      <c r="T85" s="78" t="n">
        <v>3</v>
      </c>
      <c r="U85" s="78" t="n">
        <v>2</v>
      </c>
      <c r="V85" s="78" t="inlineStr">
        <is>
          <t>계단식</t>
        </is>
      </c>
      <c r="W85" s="78" t="n">
        <v>103</v>
      </c>
      <c r="X85" s="78" t="n">
        <v>15</v>
      </c>
      <c r="Y85" s="78" t="n">
        <v>12</v>
      </c>
      <c r="Z85" s="78" t="inlineStr">
        <is>
          <t>https://new.land.naver.com/complexes/4969?tab=detail&amp;rf=Y</t>
        </is>
      </c>
      <c r="AA85" s="78" t="inlineStr">
        <is>
          <t>전라북도 군산시 나운동 92</t>
        </is>
      </c>
      <c r="AB85" s="78" t="inlineStr">
        <is>
          <t>전라북도</t>
        </is>
      </c>
      <c r="AC85" s="78" t="inlineStr">
        <is>
          <t>군산시</t>
        </is>
      </c>
      <c r="AD85" s="78" t="inlineStr">
        <is>
          <t>나운동</t>
        </is>
      </c>
      <c r="AG85" s="78" t="inlineStr">
        <is>
          <t>전라북도 군산시 수송로 71</t>
        </is>
      </c>
      <c r="AH85" s="78" t="n">
        <v>0</v>
      </c>
      <c r="AI85" s="78" t="n">
        <v>212</v>
      </c>
      <c r="AJ85" s="78" t="n">
        <v>21</v>
      </c>
      <c r="AK85" s="78" t="n">
        <v>241</v>
      </c>
      <c r="AL85" s="78" t="n">
        <v>0.72</v>
      </c>
    </row>
    <row r="86">
      <c r="A86" s="78" t="inlineStr">
        <is>
          <t>[나운동]</t>
        </is>
      </c>
      <c r="B86" s="78" t="n">
        <v>4969</v>
      </c>
      <c r="C86" s="78" t="n">
        <v>3</v>
      </c>
      <c r="D86" s="78" t="inlineStr">
        <is>
          <t>금호타운2차</t>
        </is>
      </c>
      <c r="E86" s="78" t="inlineStr">
        <is>
          <t>1994.09.</t>
        </is>
      </c>
      <c r="F86" s="78" t="n">
        <v>336</v>
      </c>
      <c r="G86" s="78" t="n">
        <v>45.01</v>
      </c>
      <c r="H86" s="78" t="n">
        <v>148.81</v>
      </c>
      <c r="I86" s="78" t="n">
        <v>38.3</v>
      </c>
      <c r="J86" s="78" t="n">
        <v>126.63</v>
      </c>
      <c r="K86" s="78" t="n">
        <v>96</v>
      </c>
      <c r="T86" s="78" t="n">
        <v>4</v>
      </c>
      <c r="U86" s="78" t="n">
        <v>2</v>
      </c>
      <c r="V86" s="78" t="inlineStr">
        <is>
          <t>계단식</t>
        </is>
      </c>
      <c r="W86" s="78" t="n">
        <v>148</v>
      </c>
      <c r="X86" s="78" t="n">
        <v>15</v>
      </c>
      <c r="Y86" s="78" t="n">
        <v>12</v>
      </c>
      <c r="Z86" s="78" t="inlineStr">
        <is>
          <t>https://new.land.naver.com/complexes/4969?tab=detail&amp;rf=Y</t>
        </is>
      </c>
      <c r="AA86" s="78" t="inlineStr">
        <is>
          <t>전라북도 군산시 나운동 92</t>
        </is>
      </c>
      <c r="AB86" s="78" t="inlineStr">
        <is>
          <t>전라북도</t>
        </is>
      </c>
      <c r="AC86" s="78" t="inlineStr">
        <is>
          <t>군산시</t>
        </is>
      </c>
      <c r="AD86" s="78" t="inlineStr">
        <is>
          <t>나운동</t>
        </is>
      </c>
      <c r="AG86" s="78" t="inlineStr">
        <is>
          <t>전라북도 군산시 수송로 71</t>
        </is>
      </c>
      <c r="AH86" s="78" t="n">
        <v>0</v>
      </c>
      <c r="AI86" s="78" t="n">
        <v>212</v>
      </c>
      <c r="AJ86" s="78" t="n">
        <v>21</v>
      </c>
      <c r="AK86" s="78" t="n">
        <v>241</v>
      </c>
      <c r="AL86" s="78" t="n">
        <v>0.72</v>
      </c>
    </row>
    <row r="87">
      <c r="A87" s="78" t="inlineStr">
        <is>
          <t>[나운동]</t>
        </is>
      </c>
      <c r="B87" s="78" t="n">
        <v>14960</v>
      </c>
      <c r="C87" s="78" t="n">
        <v>1</v>
      </c>
      <c r="D87" s="78" t="inlineStr">
        <is>
          <t>대명(834-1)</t>
        </is>
      </c>
      <c r="E87" s="78" t="inlineStr">
        <is>
          <t>1990.07.</t>
        </is>
      </c>
      <c r="F87" s="78" t="n">
        <v>175</v>
      </c>
      <c r="G87" s="78" t="n">
        <v>26.74</v>
      </c>
      <c r="H87" s="78" t="n">
        <v>88.40000000000001</v>
      </c>
      <c r="I87" s="78" t="n">
        <v>21.82</v>
      </c>
      <c r="J87" s="78" t="n">
        <v>72.15000000000001</v>
      </c>
      <c r="K87" s="78" t="n">
        <v>55</v>
      </c>
      <c r="T87" s="78" t="n">
        <v>3</v>
      </c>
      <c r="U87" s="78" t="n">
        <v>1</v>
      </c>
      <c r="V87" s="78" t="inlineStr">
        <is>
          <t>계단식</t>
        </is>
      </c>
      <c r="W87" s="78" t="n">
        <v>88</v>
      </c>
      <c r="X87" s="78" t="n">
        <v>15</v>
      </c>
      <c r="Y87" s="78" t="n">
        <v>15</v>
      </c>
      <c r="Z87" s="78" t="inlineStr">
        <is>
          <t>https://new.land.naver.com/complexes/14960?tab=detail&amp;rf=Y</t>
        </is>
      </c>
      <c r="AA87" s="78" t="inlineStr">
        <is>
          <t>전라북도 군산시 나운동 834-1</t>
        </is>
      </c>
      <c r="AB87" s="78" t="inlineStr">
        <is>
          <t>전라북도</t>
        </is>
      </c>
      <c r="AC87" s="78" t="inlineStr">
        <is>
          <t>군산시</t>
        </is>
      </c>
      <c r="AD87" s="78" t="inlineStr">
        <is>
          <t>나운동</t>
        </is>
      </c>
      <c r="AG87" s="78" t="inlineStr">
        <is>
          <t>전라북도 군산시 나운로 70</t>
        </is>
      </c>
      <c r="AH87" s="78" t="n">
        <v>0</v>
      </c>
      <c r="AI87" s="78" t="n">
        <v>0</v>
      </c>
      <c r="AJ87" s="78" t="n">
        <v>0</v>
      </c>
      <c r="AK87" s="78" t="n">
        <v>0</v>
      </c>
      <c r="AL87" s="78" t="n">
        <v>0</v>
      </c>
    </row>
    <row r="88">
      <c r="A88" s="78" t="inlineStr">
        <is>
          <t>[나운동]</t>
        </is>
      </c>
      <c r="B88" s="78" t="n">
        <v>14960</v>
      </c>
      <c r="C88" s="78" t="n">
        <v>2</v>
      </c>
      <c r="D88" s="78" t="inlineStr">
        <is>
          <t>대명(834-1)</t>
        </is>
      </c>
      <c r="E88" s="78" t="inlineStr">
        <is>
          <t>1990.07.</t>
        </is>
      </c>
      <c r="F88" s="78" t="n">
        <v>175</v>
      </c>
      <c r="G88" s="78" t="n">
        <v>31.47</v>
      </c>
      <c r="H88" s="78" t="n">
        <v>104.04</v>
      </c>
      <c r="I88" s="78" t="n">
        <v>25.68</v>
      </c>
      <c r="J88" s="78" t="n">
        <v>84.92</v>
      </c>
      <c r="K88" s="78" t="n">
        <v>120</v>
      </c>
      <c r="T88" s="78" t="n">
        <v>3</v>
      </c>
      <c r="U88" s="78" t="n">
        <v>2</v>
      </c>
      <c r="V88" s="78" t="inlineStr">
        <is>
          <t>계단식</t>
        </is>
      </c>
      <c r="W88" s="78" t="n">
        <v>104</v>
      </c>
      <c r="X88" s="78" t="n">
        <v>15</v>
      </c>
      <c r="Y88" s="78" t="n">
        <v>15</v>
      </c>
      <c r="Z88" s="78" t="inlineStr">
        <is>
          <t>https://new.land.naver.com/complexes/14960?tab=detail&amp;rf=Y</t>
        </is>
      </c>
      <c r="AA88" s="78" t="inlineStr">
        <is>
          <t>전라북도 군산시 나운동 834-1</t>
        </is>
      </c>
      <c r="AB88" s="78" t="inlineStr">
        <is>
          <t>전라북도</t>
        </is>
      </c>
      <c r="AC88" s="78" t="inlineStr">
        <is>
          <t>군산시</t>
        </is>
      </c>
      <c r="AD88" s="78" t="inlineStr">
        <is>
          <t>나운동</t>
        </is>
      </c>
      <c r="AG88" s="78" t="inlineStr">
        <is>
          <t>전라북도 군산시 나운로 70</t>
        </is>
      </c>
      <c r="AH88" s="78" t="n">
        <v>0</v>
      </c>
      <c r="AI88" s="78" t="n">
        <v>0</v>
      </c>
      <c r="AJ88" s="78" t="n">
        <v>0</v>
      </c>
      <c r="AK88" s="78" t="n">
        <v>0</v>
      </c>
      <c r="AL88" s="78" t="n">
        <v>0</v>
      </c>
    </row>
    <row r="89">
      <c r="A89" s="78" t="inlineStr">
        <is>
          <t>[나운동]</t>
        </is>
      </c>
      <c r="B89" s="78" t="n">
        <v>102461</v>
      </c>
      <c r="C89" s="78" t="n">
        <v>1</v>
      </c>
      <c r="D89" s="78" t="inlineStr">
        <is>
          <t>나운현대2차</t>
        </is>
      </c>
      <c r="E89" s="78" t="inlineStr">
        <is>
          <t>1993.10.</t>
        </is>
      </c>
      <c r="F89" s="78" t="n">
        <v>899</v>
      </c>
      <c r="G89" s="78" t="n">
        <v>22.44</v>
      </c>
      <c r="H89" s="78" t="n">
        <v>74.20999999999999</v>
      </c>
      <c r="I89" s="78" t="n">
        <v>17.96</v>
      </c>
      <c r="J89" s="78" t="n">
        <v>59.4</v>
      </c>
      <c r="K89" s="78" t="n">
        <v>344</v>
      </c>
      <c r="T89" s="78" t="n">
        <v>3</v>
      </c>
      <c r="U89" s="78" t="n">
        <v>1</v>
      </c>
      <c r="V89" s="78" t="inlineStr">
        <is>
          <t>계단식</t>
        </is>
      </c>
      <c r="W89" s="78" t="n">
        <v>74</v>
      </c>
      <c r="X89" s="78" t="n">
        <v>15</v>
      </c>
      <c r="Y89" s="78" t="n">
        <v>12</v>
      </c>
      <c r="Z89" s="78" t="inlineStr">
        <is>
          <t>https://new.land.naver.com/complexes/102461?tab=detail&amp;rf=Y</t>
        </is>
      </c>
      <c r="AA89" s="78" t="inlineStr">
        <is>
          <t>전라북도 군산시 나운동 527</t>
        </is>
      </c>
      <c r="AB89" s="78" t="inlineStr">
        <is>
          <t>전라북도</t>
        </is>
      </c>
      <c r="AC89" s="78" t="inlineStr">
        <is>
          <t>군산시</t>
        </is>
      </c>
      <c r="AD89" s="78" t="inlineStr">
        <is>
          <t>나운동</t>
        </is>
      </c>
      <c r="AG89" s="78" t="inlineStr">
        <is>
          <t>전라북도 군산시 나운로 39</t>
        </is>
      </c>
      <c r="AH89" s="78" t="n">
        <v>0</v>
      </c>
      <c r="AI89" s="78" t="n">
        <v>222</v>
      </c>
      <c r="AJ89" s="78" t="n">
        <v>19</v>
      </c>
      <c r="AK89" s="78" t="n">
        <v>681</v>
      </c>
      <c r="AL89" s="78" t="n">
        <v>0.76</v>
      </c>
    </row>
    <row r="90">
      <c r="A90" s="78" t="inlineStr">
        <is>
          <t>[나운동]</t>
        </is>
      </c>
      <c r="B90" s="78" t="n">
        <v>102461</v>
      </c>
      <c r="C90" s="78" t="n">
        <v>2</v>
      </c>
      <c r="D90" s="78" t="inlineStr">
        <is>
          <t>나운현대2차</t>
        </is>
      </c>
      <c r="E90" s="78" t="inlineStr">
        <is>
          <t>1993.10.</t>
        </is>
      </c>
      <c r="F90" s="78" t="n">
        <v>899</v>
      </c>
      <c r="G90" s="78" t="n">
        <v>28.45</v>
      </c>
      <c r="H90" s="78" t="n">
        <v>94.05</v>
      </c>
      <c r="I90" s="78" t="n">
        <v>22.76</v>
      </c>
      <c r="J90" s="78" t="n">
        <v>75.27</v>
      </c>
      <c r="K90" s="78" t="n">
        <v>119</v>
      </c>
      <c r="T90" s="78" t="n">
        <v>3</v>
      </c>
      <c r="U90" s="78" t="n">
        <v>1</v>
      </c>
      <c r="V90" s="78" t="inlineStr">
        <is>
          <t>계단식</t>
        </is>
      </c>
      <c r="W90" s="78" t="n">
        <v>94</v>
      </c>
      <c r="X90" s="78" t="n">
        <v>15</v>
      </c>
      <c r="Y90" s="78" t="n">
        <v>12</v>
      </c>
      <c r="Z90" s="78" t="inlineStr">
        <is>
          <t>https://new.land.naver.com/complexes/102461?tab=detail&amp;rf=Y</t>
        </is>
      </c>
      <c r="AA90" s="78" t="inlineStr">
        <is>
          <t>전라북도 군산시 나운동 527</t>
        </is>
      </c>
      <c r="AB90" s="78" t="inlineStr">
        <is>
          <t>전라북도</t>
        </is>
      </c>
      <c r="AC90" s="78" t="inlineStr">
        <is>
          <t>군산시</t>
        </is>
      </c>
      <c r="AD90" s="78" t="inlineStr">
        <is>
          <t>나운동</t>
        </is>
      </c>
      <c r="AG90" s="78" t="inlineStr">
        <is>
          <t>전라북도 군산시 나운로 39</t>
        </is>
      </c>
      <c r="AH90" s="78" t="n">
        <v>0</v>
      </c>
      <c r="AI90" s="78" t="n">
        <v>222</v>
      </c>
      <c r="AJ90" s="78" t="n">
        <v>19</v>
      </c>
      <c r="AK90" s="78" t="n">
        <v>681</v>
      </c>
      <c r="AL90" s="78" t="n">
        <v>0.76</v>
      </c>
    </row>
    <row r="91">
      <c r="A91" s="78" t="inlineStr">
        <is>
          <t>[나운동]</t>
        </is>
      </c>
      <c r="B91" s="78" t="n">
        <v>102461</v>
      </c>
      <c r="C91" s="78" t="n">
        <v>3</v>
      </c>
      <c r="D91" s="78" t="inlineStr">
        <is>
          <t>나운현대2차</t>
        </is>
      </c>
      <c r="E91" s="78" t="inlineStr">
        <is>
          <t>1993.10.</t>
        </is>
      </c>
      <c r="F91" s="78" t="n">
        <v>899</v>
      </c>
      <c r="G91" s="78" t="n">
        <v>32.02</v>
      </c>
      <c r="H91" s="78" t="n">
        <v>105.87</v>
      </c>
      <c r="I91" s="78" t="n">
        <v>25.63</v>
      </c>
      <c r="J91" s="78" t="n">
        <v>84.73</v>
      </c>
      <c r="K91" s="78" t="n">
        <v>377</v>
      </c>
      <c r="T91" s="78" t="n">
        <v>3</v>
      </c>
      <c r="U91" s="78" t="n">
        <v>2</v>
      </c>
      <c r="V91" s="78" t="inlineStr">
        <is>
          <t>계단식</t>
        </is>
      </c>
      <c r="W91" s="78" t="n">
        <v>105</v>
      </c>
      <c r="X91" s="78" t="n">
        <v>15</v>
      </c>
      <c r="Y91" s="78" t="n">
        <v>12</v>
      </c>
      <c r="Z91" s="78" t="inlineStr">
        <is>
          <t>https://new.land.naver.com/complexes/102461?tab=detail&amp;rf=Y</t>
        </is>
      </c>
      <c r="AA91" s="78" t="inlineStr">
        <is>
          <t>전라북도 군산시 나운동 527</t>
        </is>
      </c>
      <c r="AB91" s="78" t="inlineStr">
        <is>
          <t>전라북도</t>
        </is>
      </c>
      <c r="AC91" s="78" t="inlineStr">
        <is>
          <t>군산시</t>
        </is>
      </c>
      <c r="AD91" s="78" t="inlineStr">
        <is>
          <t>나운동</t>
        </is>
      </c>
      <c r="AG91" s="78" t="inlineStr">
        <is>
          <t>전라북도 군산시 나운로 39</t>
        </is>
      </c>
      <c r="AH91" s="78" t="n">
        <v>0</v>
      </c>
      <c r="AI91" s="78" t="n">
        <v>222</v>
      </c>
      <c r="AJ91" s="78" t="n">
        <v>19</v>
      </c>
      <c r="AK91" s="78" t="n">
        <v>681</v>
      </c>
      <c r="AL91" s="78" t="n">
        <v>0.76</v>
      </c>
    </row>
    <row r="92">
      <c r="A92" s="78" t="inlineStr">
        <is>
          <t>[나운동]</t>
        </is>
      </c>
      <c r="B92" s="78" t="n">
        <v>102461</v>
      </c>
      <c r="C92" s="78" t="n">
        <v>4</v>
      </c>
      <c r="D92" s="78" t="inlineStr">
        <is>
          <t>나운현대2차</t>
        </is>
      </c>
      <c r="E92" s="78" t="inlineStr">
        <is>
          <t>1993.10.</t>
        </is>
      </c>
      <c r="F92" s="78" t="n">
        <v>899</v>
      </c>
      <c r="G92" s="78" t="n">
        <v>50.86</v>
      </c>
      <c r="H92" s="78" t="n">
        <v>168.14</v>
      </c>
      <c r="I92" s="78" t="n">
        <v>40.7</v>
      </c>
      <c r="J92" s="78" t="n">
        <v>134.57</v>
      </c>
      <c r="K92" s="78" t="n">
        <v>59</v>
      </c>
      <c r="T92" s="78" t="n">
        <v>4</v>
      </c>
      <c r="U92" s="78" t="n">
        <v>2</v>
      </c>
      <c r="V92" s="78" t="inlineStr">
        <is>
          <t>계단식</t>
        </is>
      </c>
      <c r="W92" s="78" t="n">
        <v>168</v>
      </c>
      <c r="X92" s="78" t="n">
        <v>15</v>
      </c>
      <c r="Y92" s="78" t="n">
        <v>12</v>
      </c>
      <c r="Z92" s="78" t="inlineStr">
        <is>
          <t>https://new.land.naver.com/complexes/102461?tab=detail&amp;rf=Y</t>
        </is>
      </c>
      <c r="AA92" s="78" t="inlineStr">
        <is>
          <t>전라북도 군산시 나운동 527</t>
        </is>
      </c>
      <c r="AB92" s="78" t="inlineStr">
        <is>
          <t>전라북도</t>
        </is>
      </c>
      <c r="AC92" s="78" t="inlineStr">
        <is>
          <t>군산시</t>
        </is>
      </c>
      <c r="AD92" s="78" t="inlineStr">
        <is>
          <t>나운동</t>
        </is>
      </c>
      <c r="AG92" s="78" t="inlineStr">
        <is>
          <t>전라북도 군산시 나운로 39</t>
        </is>
      </c>
      <c r="AH92" s="78" t="n">
        <v>0</v>
      </c>
      <c r="AI92" s="78" t="n">
        <v>222</v>
      </c>
      <c r="AJ92" s="78" t="n">
        <v>19</v>
      </c>
      <c r="AK92" s="78" t="n">
        <v>681</v>
      </c>
      <c r="AL92" s="78" t="n">
        <v>0.76</v>
      </c>
    </row>
    <row r="93">
      <c r="A93" s="78" t="inlineStr">
        <is>
          <t>[나운동]</t>
        </is>
      </c>
      <c r="B93" s="78" t="n">
        <v>5014</v>
      </c>
      <c r="C93" s="78" t="n">
        <v>1</v>
      </c>
      <c r="D93" s="78" t="inlineStr">
        <is>
          <t>현대1차</t>
        </is>
      </c>
      <c r="E93" s="78" t="inlineStr">
        <is>
          <t>1990.04.</t>
        </is>
      </c>
      <c r="F93" s="78" t="n">
        <v>498</v>
      </c>
      <c r="G93" s="78" t="n">
        <v>27.07</v>
      </c>
      <c r="H93" s="78" t="n">
        <v>89.51000000000001</v>
      </c>
      <c r="I93" s="78" t="n">
        <v>21.82</v>
      </c>
      <c r="J93" s="78" t="n">
        <v>72.15000000000001</v>
      </c>
      <c r="K93" s="78" t="n">
        <v>112</v>
      </c>
      <c r="T93" s="78" t="n">
        <v>3</v>
      </c>
      <c r="U93" s="78" t="n">
        <v>1</v>
      </c>
      <c r="V93" s="78" t="inlineStr">
        <is>
          <t>계단식</t>
        </is>
      </c>
      <c r="W93" s="78" t="n">
        <v>89</v>
      </c>
      <c r="X93" s="78" t="n">
        <v>14</v>
      </c>
      <c r="Y93" s="78" t="n">
        <v>12</v>
      </c>
      <c r="Z93" s="78" t="inlineStr">
        <is>
          <t>https://new.land.naver.com/complexes/5014?tab=detail&amp;rf=Y</t>
        </is>
      </c>
      <c r="AA93" s="78" t="inlineStr">
        <is>
          <t>전라북도 군산시 나운동 1255-8</t>
        </is>
      </c>
      <c r="AB93" s="78" t="inlineStr">
        <is>
          <t>전라북도</t>
        </is>
      </c>
      <c r="AC93" s="78" t="inlineStr">
        <is>
          <t>군산시</t>
        </is>
      </c>
      <c r="AD93" s="78" t="inlineStr">
        <is>
          <t>나운동</t>
        </is>
      </c>
      <c r="AG93" s="78" t="inlineStr">
        <is>
          <t>전라북도 군산시 현충로 33</t>
        </is>
      </c>
      <c r="AH93" s="78" t="n">
        <v>0</v>
      </c>
      <c r="AI93" s="78" t="n">
        <v>0</v>
      </c>
      <c r="AJ93" s="78" t="n">
        <v>0</v>
      </c>
      <c r="AK93" s="78" t="n">
        <v>0</v>
      </c>
      <c r="AL93" s="78" t="n">
        <v>0</v>
      </c>
    </row>
    <row r="94">
      <c r="A94" s="78" t="inlineStr">
        <is>
          <t>[나운동]</t>
        </is>
      </c>
      <c r="B94" s="78" t="n">
        <v>5014</v>
      </c>
      <c r="C94" s="78" t="n">
        <v>2</v>
      </c>
      <c r="D94" s="78" t="inlineStr">
        <is>
          <t>현대1차</t>
        </is>
      </c>
      <c r="E94" s="78" t="inlineStr">
        <is>
          <t>1990.04.</t>
        </is>
      </c>
      <c r="F94" s="78" t="n">
        <v>498</v>
      </c>
      <c r="G94" s="78" t="n">
        <v>31.49</v>
      </c>
      <c r="H94" s="78" t="n">
        <v>104.13</v>
      </c>
      <c r="I94" s="78" t="n">
        <v>25.6</v>
      </c>
      <c r="J94" s="78" t="n">
        <v>84.66</v>
      </c>
      <c r="K94" s="78" t="n">
        <v>330</v>
      </c>
      <c r="T94" s="78" t="n">
        <v>3</v>
      </c>
      <c r="U94" s="78" t="n">
        <v>1</v>
      </c>
      <c r="V94" s="78" t="inlineStr">
        <is>
          <t>계단식</t>
        </is>
      </c>
      <c r="W94" s="78" t="n">
        <v>104</v>
      </c>
      <c r="X94" s="78" t="n">
        <v>14</v>
      </c>
      <c r="Y94" s="78" t="n">
        <v>12</v>
      </c>
      <c r="Z94" s="78" t="inlineStr">
        <is>
          <t>https://new.land.naver.com/complexes/5014?tab=detail&amp;rf=Y</t>
        </is>
      </c>
      <c r="AA94" s="78" t="inlineStr">
        <is>
          <t>전라북도 군산시 나운동 1255-8</t>
        </is>
      </c>
      <c r="AB94" s="78" t="inlineStr">
        <is>
          <t>전라북도</t>
        </is>
      </c>
      <c r="AC94" s="78" t="inlineStr">
        <is>
          <t>군산시</t>
        </is>
      </c>
      <c r="AD94" s="78" t="inlineStr">
        <is>
          <t>나운동</t>
        </is>
      </c>
      <c r="AG94" s="78" t="inlineStr">
        <is>
          <t>전라북도 군산시 현충로 33</t>
        </is>
      </c>
      <c r="AH94" s="78" t="n">
        <v>0</v>
      </c>
      <c r="AI94" s="78" t="n">
        <v>0</v>
      </c>
      <c r="AJ94" s="78" t="n">
        <v>0</v>
      </c>
      <c r="AK94" s="78" t="n">
        <v>0</v>
      </c>
      <c r="AL94" s="78" t="n">
        <v>0</v>
      </c>
    </row>
    <row r="95">
      <c r="A95" s="78" t="inlineStr">
        <is>
          <t>[나운동]</t>
        </is>
      </c>
      <c r="B95" s="78" t="n">
        <v>5014</v>
      </c>
      <c r="C95" s="78" t="n">
        <v>3</v>
      </c>
      <c r="D95" s="78" t="inlineStr">
        <is>
          <t>현대1차</t>
        </is>
      </c>
      <c r="E95" s="78" t="inlineStr">
        <is>
          <t>1990.04.</t>
        </is>
      </c>
      <c r="F95" s="78" t="n">
        <v>498</v>
      </c>
      <c r="G95" s="78" t="n">
        <v>45.15</v>
      </c>
      <c r="H95" s="78" t="n">
        <v>149.26</v>
      </c>
      <c r="I95" s="78" t="n">
        <v>38.18</v>
      </c>
      <c r="J95" s="78" t="n">
        <v>126.24</v>
      </c>
      <c r="K95" s="78" t="n">
        <v>56</v>
      </c>
      <c r="T95" s="78" t="n">
        <v>4</v>
      </c>
      <c r="U95" s="78" t="n">
        <v>2</v>
      </c>
      <c r="V95" s="78" t="inlineStr">
        <is>
          <t>계단식</t>
        </is>
      </c>
      <c r="W95" s="78" t="n">
        <v>149</v>
      </c>
      <c r="X95" s="78" t="n">
        <v>14</v>
      </c>
      <c r="Y95" s="78" t="n">
        <v>12</v>
      </c>
      <c r="Z95" s="78" t="inlineStr">
        <is>
          <t>https://new.land.naver.com/complexes/5014?tab=detail&amp;rf=Y</t>
        </is>
      </c>
      <c r="AA95" s="78" t="inlineStr">
        <is>
          <t>전라북도 군산시 나운동 1255-8</t>
        </is>
      </c>
      <c r="AB95" s="78" t="inlineStr">
        <is>
          <t>전라북도</t>
        </is>
      </c>
      <c r="AC95" s="78" t="inlineStr">
        <is>
          <t>군산시</t>
        </is>
      </c>
      <c r="AD95" s="78" t="inlineStr">
        <is>
          <t>나운동</t>
        </is>
      </c>
      <c r="AG95" s="78" t="inlineStr">
        <is>
          <t>전라북도 군산시 현충로 33</t>
        </is>
      </c>
      <c r="AH95" s="78" t="n">
        <v>0</v>
      </c>
      <c r="AI95" s="78" t="n">
        <v>0</v>
      </c>
      <c r="AJ95" s="78" t="n">
        <v>0</v>
      </c>
      <c r="AK95" s="78" t="n">
        <v>0</v>
      </c>
      <c r="AL95" s="78" t="n">
        <v>0</v>
      </c>
    </row>
    <row r="96">
      <c r="A96" s="78" t="inlineStr">
        <is>
          <t>[나운동]</t>
        </is>
      </c>
      <c r="B96" s="78" t="n">
        <v>14962</v>
      </c>
      <c r="C96" s="78" t="n">
        <v>1</v>
      </c>
      <c r="D96" s="78" t="inlineStr">
        <is>
          <t>세광타운</t>
        </is>
      </c>
      <c r="E96" s="78" t="inlineStr">
        <is>
          <t>1993.10.</t>
        </is>
      </c>
      <c r="F96" s="78" t="n">
        <v>174</v>
      </c>
      <c r="G96" s="78" t="n">
        <v>23.53</v>
      </c>
      <c r="H96" s="78" t="n">
        <v>77.81</v>
      </c>
      <c r="I96" s="78" t="n">
        <v>17.74</v>
      </c>
      <c r="J96" s="78" t="n">
        <v>58.66</v>
      </c>
      <c r="K96" s="78" t="n">
        <v>174</v>
      </c>
      <c r="T96" s="78" t="n">
        <v>3</v>
      </c>
      <c r="U96" s="78" t="n">
        <v>1</v>
      </c>
      <c r="V96" s="78" t="inlineStr">
        <is>
          <t>복도식</t>
        </is>
      </c>
      <c r="W96" s="78" t="n">
        <v>77</v>
      </c>
      <c r="X96" s="78" t="n">
        <v>12</v>
      </c>
      <c r="Y96" s="78" t="n">
        <v>7</v>
      </c>
      <c r="Z96" s="78" t="inlineStr">
        <is>
          <t>https://new.land.naver.com/complexes/14962?tab=detail&amp;rf=Y</t>
        </is>
      </c>
      <c r="AA96" s="78" t="inlineStr">
        <is>
          <t>전라북도 군산시 나운동 833-1</t>
        </is>
      </c>
      <c r="AB96" s="78" t="inlineStr">
        <is>
          <t>전라북도</t>
        </is>
      </c>
      <c r="AC96" s="78" t="inlineStr">
        <is>
          <t>군산시</t>
        </is>
      </c>
      <c r="AD96" s="78" t="inlineStr">
        <is>
          <t>나운동</t>
        </is>
      </c>
      <c r="AG96" s="78" t="inlineStr">
        <is>
          <t>전라북도 군산시 하나운1길 32</t>
        </is>
      </c>
      <c r="AH96" s="78" t="n">
        <v>0</v>
      </c>
      <c r="AI96" s="78" t="n">
        <v>279</v>
      </c>
      <c r="AJ96" s="78" t="n">
        <v>25</v>
      </c>
      <c r="AK96" s="78" t="n">
        <v>71</v>
      </c>
      <c r="AL96" s="78" t="n">
        <v>0.41</v>
      </c>
    </row>
    <row r="97">
      <c r="A97" s="78" t="inlineStr">
        <is>
          <t>[나운동]</t>
        </is>
      </c>
      <c r="B97" s="78" t="n">
        <v>16984</v>
      </c>
      <c r="C97" s="78" t="n">
        <v>1</v>
      </c>
      <c r="D97" s="78" t="inlineStr">
        <is>
          <t>나운청솔</t>
        </is>
      </c>
      <c r="E97" s="78" t="inlineStr">
        <is>
          <t>2002.12.</t>
        </is>
      </c>
      <c r="F97" s="78" t="n">
        <v>495</v>
      </c>
      <c r="G97" s="78" t="n">
        <v>19.26</v>
      </c>
      <c r="H97" s="78" t="n">
        <v>63.69</v>
      </c>
      <c r="I97" s="78" t="n">
        <v>15.01</v>
      </c>
      <c r="J97" s="78" t="n">
        <v>49.65</v>
      </c>
      <c r="K97" s="78" t="n">
        <v>495</v>
      </c>
      <c r="T97" s="78" t="n">
        <v>2</v>
      </c>
      <c r="U97" s="78" t="n">
        <v>1</v>
      </c>
      <c r="V97" s="78" t="inlineStr">
        <is>
          <t>계단식</t>
        </is>
      </c>
      <c r="W97" s="78" t="n">
        <v>63</v>
      </c>
      <c r="X97" s="78" t="n">
        <v>15</v>
      </c>
      <c r="Y97" s="78" t="n">
        <v>12</v>
      </c>
      <c r="Z97" s="78" t="inlineStr">
        <is>
          <t>https://new.land.naver.com/complexes/16984?tab=detail&amp;rf=Y</t>
        </is>
      </c>
      <c r="AA97" s="78" t="inlineStr">
        <is>
          <t>전라북도 군산시 나운동 161</t>
        </is>
      </c>
      <c r="AB97" s="78" t="inlineStr">
        <is>
          <t>전라북도</t>
        </is>
      </c>
      <c r="AC97" s="78" t="inlineStr">
        <is>
          <t>군산시</t>
        </is>
      </c>
      <c r="AD97" s="78" t="inlineStr">
        <is>
          <t>나운동</t>
        </is>
      </c>
      <c r="AG97" s="78" t="inlineStr">
        <is>
          <t>전라북도 군산시 나운로 133</t>
        </is>
      </c>
      <c r="AH97" s="78" t="n">
        <v>0</v>
      </c>
      <c r="AI97" s="78" t="n">
        <v>200</v>
      </c>
      <c r="AJ97" s="78" t="n">
        <v>21</v>
      </c>
      <c r="AK97" s="78" t="n">
        <v>519</v>
      </c>
      <c r="AL97" s="78" t="n">
        <v>1.05</v>
      </c>
    </row>
    <row r="98">
      <c r="A98" s="78" t="inlineStr">
        <is>
          <t>[나운동]</t>
        </is>
      </c>
      <c r="B98" s="78" t="n">
        <v>4995</v>
      </c>
      <c r="C98" s="78" t="n">
        <v>1</v>
      </c>
      <c r="D98" s="78" t="inlineStr">
        <is>
          <t>신일</t>
        </is>
      </c>
      <c r="E98" s="78" t="inlineStr">
        <is>
          <t>1995.12.</t>
        </is>
      </c>
      <c r="F98" s="78" t="n">
        <v>600</v>
      </c>
      <c r="G98" s="78" t="n">
        <v>22.7</v>
      </c>
      <c r="H98" s="78" t="n">
        <v>75.06</v>
      </c>
      <c r="I98" s="78" t="n">
        <v>18.1</v>
      </c>
      <c r="J98" s="78" t="n">
        <v>59.85</v>
      </c>
      <c r="K98" s="78" t="n">
        <v>600</v>
      </c>
      <c r="T98" s="78" t="n">
        <v>3</v>
      </c>
      <c r="U98" s="78" t="n">
        <v>1</v>
      </c>
      <c r="V98" s="78" t="inlineStr">
        <is>
          <t>계단식</t>
        </is>
      </c>
      <c r="W98" s="78" t="n">
        <v>75</v>
      </c>
      <c r="X98" s="78" t="n">
        <v>15</v>
      </c>
      <c r="Y98" s="78" t="n">
        <v>15</v>
      </c>
      <c r="Z98" s="78" t="inlineStr">
        <is>
          <t>https://new.land.naver.com/complexes/4995?tab=detail&amp;rf=Y</t>
        </is>
      </c>
      <c r="AA98" s="78" t="inlineStr">
        <is>
          <t>전라북도 군산시 나운동 156-2</t>
        </is>
      </c>
      <c r="AB98" s="78" t="inlineStr">
        <is>
          <t>전라북도</t>
        </is>
      </c>
      <c r="AC98" s="78" t="inlineStr">
        <is>
          <t>군산시</t>
        </is>
      </c>
      <c r="AD98" s="78" t="inlineStr">
        <is>
          <t>나운동</t>
        </is>
      </c>
      <c r="AG98" s="78" t="inlineStr">
        <is>
          <t>전라북도 군산시 의료원로 163</t>
        </is>
      </c>
      <c r="AH98" s="78" t="n">
        <v>0</v>
      </c>
      <c r="AI98" s="78" t="n">
        <v>84</v>
      </c>
      <c r="AJ98" s="78" t="n">
        <v>23</v>
      </c>
      <c r="AK98" s="78" t="n">
        <v>542</v>
      </c>
      <c r="AL98" s="78" t="n">
        <v>0.9</v>
      </c>
    </row>
    <row r="99">
      <c r="A99" s="78" t="inlineStr">
        <is>
          <t>[나운동]</t>
        </is>
      </c>
      <c r="B99" s="78" t="n">
        <v>122926</v>
      </c>
      <c r="C99" s="78" t="n">
        <v>1</v>
      </c>
      <c r="D99" s="78" t="inlineStr">
        <is>
          <t>나운하이스빌</t>
        </is>
      </c>
      <c r="E99" s="78" t="inlineStr">
        <is>
          <t>2011.07.</t>
        </is>
      </c>
      <c r="F99" s="78" t="n">
        <v>48</v>
      </c>
      <c r="G99" s="78" t="n">
        <v>22.3</v>
      </c>
      <c r="H99" s="78" t="n">
        <v>73.73999999999999</v>
      </c>
      <c r="I99" s="78" t="n">
        <v>17.14</v>
      </c>
      <c r="J99" s="78" t="n">
        <v>56.68</v>
      </c>
      <c r="K99" s="78" t="n">
        <v>12</v>
      </c>
      <c r="T99" s="78" t="n">
        <v>3</v>
      </c>
      <c r="U99" s="78" t="n">
        <v>1</v>
      </c>
      <c r="V99" s="78" t="inlineStr">
        <is>
          <t>계단식</t>
        </is>
      </c>
      <c r="W99" s="78" t="n">
        <v>73</v>
      </c>
      <c r="X99" s="78" t="n">
        <v>7</v>
      </c>
      <c r="Y99" s="78" t="n">
        <v>7</v>
      </c>
      <c r="Z99" s="78" t="inlineStr">
        <is>
          <t>https://new.land.naver.com/complexes/122926?tab=detail&amp;rf=Y</t>
        </is>
      </c>
      <c r="AA99" s="78" t="inlineStr">
        <is>
          <t>전라북도 군산시 나운동 749-4</t>
        </is>
      </c>
      <c r="AB99" s="78" t="inlineStr">
        <is>
          <t>전라북도</t>
        </is>
      </c>
      <c r="AC99" s="78" t="inlineStr">
        <is>
          <t>군산시</t>
        </is>
      </c>
      <c r="AD99" s="78" t="inlineStr">
        <is>
          <t>나운동</t>
        </is>
      </c>
      <c r="AG99" s="78" t="inlineStr">
        <is>
          <t>전라북도 군산시 상신3길 26</t>
        </is>
      </c>
      <c r="AH99" s="78" t="n">
        <v>0</v>
      </c>
      <c r="AI99" s="78" t="n">
        <v>197</v>
      </c>
      <c r="AJ99" s="78" t="n">
        <v>37</v>
      </c>
      <c r="AK99" s="78" t="n">
        <v>36</v>
      </c>
      <c r="AL99" s="78" t="n">
        <v>0.75</v>
      </c>
    </row>
    <row r="100">
      <c r="A100" s="78" t="inlineStr">
        <is>
          <t>[나운동]</t>
        </is>
      </c>
      <c r="B100" s="78" t="n">
        <v>122926</v>
      </c>
      <c r="C100" s="78" t="n">
        <v>2</v>
      </c>
      <c r="D100" s="78" t="inlineStr">
        <is>
          <t>나운하이스빌</t>
        </is>
      </c>
      <c r="E100" s="78" t="inlineStr">
        <is>
          <t>2011.07.</t>
        </is>
      </c>
      <c r="F100" s="78" t="n">
        <v>48</v>
      </c>
      <c r="G100" s="78" t="n">
        <v>23.29</v>
      </c>
      <c r="H100" s="78" t="n">
        <v>77.01000000000001</v>
      </c>
      <c r="I100" s="78" t="n">
        <v>17.96</v>
      </c>
      <c r="J100" s="78" t="n">
        <v>59.4</v>
      </c>
      <c r="K100" s="78" t="n">
        <v>24</v>
      </c>
      <c r="T100" s="78" t="n">
        <v>3</v>
      </c>
      <c r="U100" s="78" t="n">
        <v>1</v>
      </c>
      <c r="V100" s="78" t="inlineStr">
        <is>
          <t>계단식</t>
        </is>
      </c>
      <c r="W100" s="78" t="n">
        <v>77</v>
      </c>
      <c r="X100" s="78" t="n">
        <v>7</v>
      </c>
      <c r="Y100" s="78" t="n">
        <v>7</v>
      </c>
      <c r="Z100" s="78" t="inlineStr">
        <is>
          <t>https://new.land.naver.com/complexes/122926?tab=detail&amp;rf=Y</t>
        </is>
      </c>
      <c r="AA100" s="78" t="inlineStr">
        <is>
          <t>전라북도 군산시 나운동 749-4</t>
        </is>
      </c>
      <c r="AB100" s="78" t="inlineStr">
        <is>
          <t>전라북도</t>
        </is>
      </c>
      <c r="AC100" s="78" t="inlineStr">
        <is>
          <t>군산시</t>
        </is>
      </c>
      <c r="AD100" s="78" t="inlineStr">
        <is>
          <t>나운동</t>
        </is>
      </c>
      <c r="AG100" s="78" t="inlineStr">
        <is>
          <t>전라북도 군산시 상신3길 26</t>
        </is>
      </c>
      <c r="AH100" s="78" t="n">
        <v>0</v>
      </c>
      <c r="AI100" s="78" t="n">
        <v>197</v>
      </c>
      <c r="AJ100" s="78" t="n">
        <v>37</v>
      </c>
      <c r="AK100" s="78" t="n">
        <v>36</v>
      </c>
      <c r="AL100" s="78" t="n">
        <v>0.75</v>
      </c>
    </row>
    <row r="101">
      <c r="A101" s="78" t="inlineStr">
        <is>
          <t>[나운동]</t>
        </is>
      </c>
      <c r="B101" s="78" t="n">
        <v>122926</v>
      </c>
      <c r="C101" s="78" t="n">
        <v>3</v>
      </c>
      <c r="D101" s="78" t="inlineStr">
        <is>
          <t>나운하이스빌</t>
        </is>
      </c>
      <c r="E101" s="78" t="inlineStr">
        <is>
          <t>2011.07.</t>
        </is>
      </c>
      <c r="F101" s="78" t="n">
        <v>48</v>
      </c>
      <c r="G101" s="78" t="n">
        <v>23.51</v>
      </c>
      <c r="H101" s="78" t="n">
        <v>77.72</v>
      </c>
      <c r="I101" s="78" t="n">
        <v>18.13</v>
      </c>
      <c r="J101" s="78" t="n">
        <v>59.94</v>
      </c>
      <c r="K101" s="78" t="n">
        <v>12</v>
      </c>
      <c r="T101" s="78" t="n">
        <v>3</v>
      </c>
      <c r="U101" s="78" t="n">
        <v>1</v>
      </c>
      <c r="V101" s="78" t="inlineStr">
        <is>
          <t>계단식</t>
        </is>
      </c>
      <c r="W101" s="78" t="n">
        <v>77</v>
      </c>
      <c r="X101" s="78" t="n">
        <v>7</v>
      </c>
      <c r="Y101" s="78" t="n">
        <v>7</v>
      </c>
      <c r="Z101" s="78" t="inlineStr">
        <is>
          <t>https://new.land.naver.com/complexes/122926?tab=detail&amp;rf=Y</t>
        </is>
      </c>
      <c r="AA101" s="78" t="inlineStr">
        <is>
          <t>전라북도 군산시 나운동 749-4</t>
        </is>
      </c>
      <c r="AB101" s="78" t="inlineStr">
        <is>
          <t>전라북도</t>
        </is>
      </c>
      <c r="AC101" s="78" t="inlineStr">
        <is>
          <t>군산시</t>
        </is>
      </c>
      <c r="AD101" s="78" t="inlineStr">
        <is>
          <t>나운동</t>
        </is>
      </c>
      <c r="AG101" s="78" t="inlineStr">
        <is>
          <t>전라북도 군산시 상신3길 26</t>
        </is>
      </c>
      <c r="AH101" s="78" t="n">
        <v>0</v>
      </c>
      <c r="AI101" s="78" t="n">
        <v>197</v>
      </c>
      <c r="AJ101" s="78" t="n">
        <v>37</v>
      </c>
      <c r="AK101" s="78" t="n">
        <v>36</v>
      </c>
      <c r="AL101" s="78" t="n">
        <v>0.75</v>
      </c>
    </row>
    <row r="102">
      <c r="A102" s="78" t="inlineStr">
        <is>
          <t>[나운동]</t>
        </is>
      </c>
      <c r="B102" s="78" t="n">
        <v>132202</v>
      </c>
      <c r="C102" s="78" t="n">
        <v>1</v>
      </c>
      <c r="D102" s="78" t="inlineStr">
        <is>
          <t>하이스타운</t>
        </is>
      </c>
      <c r="E102" s="78" t="inlineStr">
        <is>
          <t>2013.04.</t>
        </is>
      </c>
      <c r="F102" s="78" t="n">
        <v>38</v>
      </c>
      <c r="G102" s="78" t="n">
        <v>24.17</v>
      </c>
      <c r="H102" s="78" t="n">
        <v>79.92</v>
      </c>
      <c r="I102" s="78" t="n">
        <v>17.57</v>
      </c>
      <c r="J102" s="78" t="n">
        <v>58.1</v>
      </c>
      <c r="K102" s="78" t="n">
        <v>6</v>
      </c>
      <c r="T102" s="78" t="n">
        <v>3</v>
      </c>
      <c r="U102" s="78" t="n">
        <v>2</v>
      </c>
      <c r="V102" s="78" t="inlineStr">
        <is>
          <t>계단식</t>
        </is>
      </c>
      <c r="W102" s="78" t="inlineStr">
        <is>
          <t>79A</t>
        </is>
      </c>
      <c r="X102" s="78" t="n">
        <v>8</v>
      </c>
      <c r="Y102" s="78" t="n">
        <v>7</v>
      </c>
      <c r="Z102" s="78" t="inlineStr">
        <is>
          <t>https://new.land.naver.com/complexes/132202?tab=detail&amp;rf=Y</t>
        </is>
      </c>
      <c r="AA102" s="78" t="inlineStr">
        <is>
          <t>전라북도 군산시 나운동 788-1</t>
        </is>
      </c>
      <c r="AB102" s="78" t="inlineStr">
        <is>
          <t>전라북도</t>
        </is>
      </c>
      <c r="AC102" s="78" t="inlineStr">
        <is>
          <t>군산시</t>
        </is>
      </c>
      <c r="AD102" s="78" t="inlineStr">
        <is>
          <t>나운동</t>
        </is>
      </c>
      <c r="AG102" s="78" t="inlineStr">
        <is>
          <t>전라북도 군산시 신설2길 9</t>
        </is>
      </c>
      <c r="AH102" s="78" t="n">
        <v>0</v>
      </c>
      <c r="AI102" s="78" t="n">
        <v>243</v>
      </c>
      <c r="AJ102" s="78" t="n">
        <v>47</v>
      </c>
      <c r="AK102" s="78" t="n">
        <v>40</v>
      </c>
      <c r="AL102" s="78" t="n">
        <v>1.05</v>
      </c>
    </row>
    <row r="103">
      <c r="A103" s="78" t="inlineStr">
        <is>
          <t>[나운동]</t>
        </is>
      </c>
      <c r="B103" s="78" t="n">
        <v>132202</v>
      </c>
      <c r="C103" s="78" t="n">
        <v>2</v>
      </c>
      <c r="D103" s="78" t="inlineStr">
        <is>
          <t>하이스타운</t>
        </is>
      </c>
      <c r="E103" s="78" t="inlineStr">
        <is>
          <t>2013.04.</t>
        </is>
      </c>
      <c r="F103" s="78" t="n">
        <v>38</v>
      </c>
      <c r="G103" s="78" t="n">
        <v>24.39</v>
      </c>
      <c r="H103" s="78" t="n">
        <v>80.63</v>
      </c>
      <c r="I103" s="78" t="n">
        <v>17.78</v>
      </c>
      <c r="J103" s="78" t="n">
        <v>58.78</v>
      </c>
      <c r="K103" s="78" t="n">
        <v>6</v>
      </c>
      <c r="T103" s="78" t="n">
        <v>3</v>
      </c>
      <c r="U103" s="78" t="n">
        <v>2</v>
      </c>
      <c r="V103" s="78" t="inlineStr">
        <is>
          <t>계단식</t>
        </is>
      </c>
      <c r="W103" s="78" t="inlineStr">
        <is>
          <t>80B</t>
        </is>
      </c>
      <c r="X103" s="78" t="n">
        <v>8</v>
      </c>
      <c r="Y103" s="78" t="n">
        <v>7</v>
      </c>
      <c r="Z103" s="78" t="inlineStr">
        <is>
          <t>https://new.land.naver.com/complexes/132202?tab=detail&amp;rf=Y</t>
        </is>
      </c>
      <c r="AA103" s="78" t="inlineStr">
        <is>
          <t>전라북도 군산시 나운동 788-1</t>
        </is>
      </c>
      <c r="AB103" s="78" t="inlineStr">
        <is>
          <t>전라북도</t>
        </is>
      </c>
      <c r="AC103" s="78" t="inlineStr">
        <is>
          <t>군산시</t>
        </is>
      </c>
      <c r="AD103" s="78" t="inlineStr">
        <is>
          <t>나운동</t>
        </is>
      </c>
      <c r="AG103" s="78" t="inlineStr">
        <is>
          <t>전라북도 군산시 신설2길 9</t>
        </is>
      </c>
      <c r="AH103" s="78" t="n">
        <v>0</v>
      </c>
      <c r="AI103" s="78" t="n">
        <v>243</v>
      </c>
      <c r="AJ103" s="78" t="n">
        <v>47</v>
      </c>
      <c r="AK103" s="78" t="n">
        <v>40</v>
      </c>
      <c r="AL103" s="78" t="n">
        <v>1.05</v>
      </c>
    </row>
    <row r="104">
      <c r="A104" s="78" t="inlineStr">
        <is>
          <t>[나운동]</t>
        </is>
      </c>
      <c r="B104" s="78" t="n">
        <v>132202</v>
      </c>
      <c r="C104" s="78" t="n">
        <v>3</v>
      </c>
      <c r="D104" s="78" t="inlineStr">
        <is>
          <t>하이스타운</t>
        </is>
      </c>
      <c r="E104" s="78" t="inlineStr">
        <is>
          <t>2013.04.</t>
        </is>
      </c>
      <c r="F104" s="78" t="n">
        <v>38</v>
      </c>
      <c r="G104" s="78" t="n">
        <v>24.7</v>
      </c>
      <c r="H104" s="78" t="n">
        <v>81.68000000000001</v>
      </c>
      <c r="I104" s="78" t="n">
        <v>18.06</v>
      </c>
      <c r="J104" s="78" t="n">
        <v>59.73</v>
      </c>
      <c r="K104" s="78" t="n">
        <v>24</v>
      </c>
      <c r="T104" s="78" t="n">
        <v>3</v>
      </c>
      <c r="U104" s="78" t="n">
        <v>2</v>
      </c>
      <c r="V104" s="78" t="inlineStr">
        <is>
          <t>계단식</t>
        </is>
      </c>
      <c r="W104" s="78" t="n">
        <v>81</v>
      </c>
      <c r="X104" s="78" t="n">
        <v>8</v>
      </c>
      <c r="Y104" s="78" t="n">
        <v>7</v>
      </c>
      <c r="Z104" s="78" t="inlineStr">
        <is>
          <t>https://new.land.naver.com/complexes/132202?tab=detail&amp;rf=Y</t>
        </is>
      </c>
      <c r="AA104" s="78" t="inlineStr">
        <is>
          <t>전라북도 군산시 나운동 788-1</t>
        </is>
      </c>
      <c r="AB104" s="78" t="inlineStr">
        <is>
          <t>전라북도</t>
        </is>
      </c>
      <c r="AC104" s="78" t="inlineStr">
        <is>
          <t>군산시</t>
        </is>
      </c>
      <c r="AD104" s="78" t="inlineStr">
        <is>
          <t>나운동</t>
        </is>
      </c>
      <c r="AG104" s="78" t="inlineStr">
        <is>
          <t>전라북도 군산시 신설2길 9</t>
        </is>
      </c>
      <c r="AH104" s="78" t="n">
        <v>0</v>
      </c>
      <c r="AI104" s="78" t="n">
        <v>243</v>
      </c>
      <c r="AJ104" s="78" t="n">
        <v>47</v>
      </c>
      <c r="AK104" s="78" t="n">
        <v>40</v>
      </c>
      <c r="AL104" s="78" t="n">
        <v>1.05</v>
      </c>
    </row>
    <row r="105">
      <c r="A105" s="78" t="inlineStr">
        <is>
          <t>[나운동]</t>
        </is>
      </c>
      <c r="B105" s="78" t="n">
        <v>132202</v>
      </c>
      <c r="C105" s="78" t="n">
        <v>4</v>
      </c>
      <c r="D105" s="78" t="inlineStr">
        <is>
          <t>하이스타운</t>
        </is>
      </c>
      <c r="E105" s="78" t="inlineStr">
        <is>
          <t>2013.04.</t>
        </is>
      </c>
      <c r="F105" s="78" t="n">
        <v>38</v>
      </c>
      <c r="G105" s="78" t="n">
        <v>34.98</v>
      </c>
      <c r="H105" s="78" t="n">
        <v>115.65</v>
      </c>
      <c r="I105" s="78" t="n">
        <v>25.6</v>
      </c>
      <c r="J105" s="78" t="n">
        <v>84.66</v>
      </c>
      <c r="K105" s="78" t="n">
        <v>1</v>
      </c>
      <c r="T105" s="78" t="n">
        <v>4</v>
      </c>
      <c r="U105" s="78" t="n">
        <v>2</v>
      </c>
      <c r="V105" s="78" t="inlineStr">
        <is>
          <t>계단식</t>
        </is>
      </c>
      <c r="W105" s="78" t="inlineStr">
        <is>
          <t>115A</t>
        </is>
      </c>
      <c r="X105" s="78" t="n">
        <v>8</v>
      </c>
      <c r="Y105" s="78" t="n">
        <v>7</v>
      </c>
      <c r="Z105" s="78" t="inlineStr">
        <is>
          <t>https://new.land.naver.com/complexes/132202?tab=detail&amp;rf=Y</t>
        </is>
      </c>
      <c r="AA105" s="78" t="inlineStr">
        <is>
          <t>전라북도 군산시 나운동 788-1</t>
        </is>
      </c>
      <c r="AB105" s="78" t="inlineStr">
        <is>
          <t>전라북도</t>
        </is>
      </c>
      <c r="AC105" s="78" t="inlineStr">
        <is>
          <t>군산시</t>
        </is>
      </c>
      <c r="AD105" s="78" t="inlineStr">
        <is>
          <t>나운동</t>
        </is>
      </c>
      <c r="AG105" s="78" t="inlineStr">
        <is>
          <t>전라북도 군산시 신설2길 9</t>
        </is>
      </c>
      <c r="AH105" s="78" t="n">
        <v>0</v>
      </c>
      <c r="AI105" s="78" t="n">
        <v>243</v>
      </c>
      <c r="AJ105" s="78" t="n">
        <v>47</v>
      </c>
      <c r="AK105" s="78" t="n">
        <v>40</v>
      </c>
      <c r="AL105" s="78" t="n">
        <v>1.05</v>
      </c>
    </row>
    <row r="106">
      <c r="A106" s="78" t="inlineStr">
        <is>
          <t>[나운동]</t>
        </is>
      </c>
      <c r="B106" s="78" t="n">
        <v>132202</v>
      </c>
      <c r="C106" s="78" t="n">
        <v>5</v>
      </c>
      <c r="D106" s="78" t="inlineStr">
        <is>
          <t>하이스타운</t>
        </is>
      </c>
      <c r="E106" s="78" t="inlineStr">
        <is>
          <t>2013.04.</t>
        </is>
      </c>
      <c r="F106" s="78" t="n">
        <v>38</v>
      </c>
      <c r="G106" s="78" t="n">
        <v>35.09</v>
      </c>
      <c r="H106" s="78" t="n">
        <v>116.03</v>
      </c>
      <c r="I106" s="78" t="n">
        <v>25.66</v>
      </c>
      <c r="J106" s="78" t="n">
        <v>84.83</v>
      </c>
      <c r="K106" s="78" t="n">
        <v>1</v>
      </c>
      <c r="T106" s="78" t="n">
        <v>4</v>
      </c>
      <c r="U106" s="78" t="n">
        <v>2</v>
      </c>
      <c r="V106" s="78" t="inlineStr">
        <is>
          <t>복도식</t>
        </is>
      </c>
      <c r="W106" s="78" t="inlineStr">
        <is>
          <t>116B</t>
        </is>
      </c>
      <c r="X106" s="78" t="n">
        <v>8</v>
      </c>
      <c r="Y106" s="78" t="n">
        <v>7</v>
      </c>
      <c r="Z106" s="78" t="inlineStr">
        <is>
          <t>https://new.land.naver.com/complexes/132202?tab=detail&amp;rf=Y</t>
        </is>
      </c>
      <c r="AA106" s="78" t="inlineStr">
        <is>
          <t>전라북도 군산시 나운동 788-1</t>
        </is>
      </c>
      <c r="AB106" s="78" t="inlineStr">
        <is>
          <t>전라북도</t>
        </is>
      </c>
      <c r="AC106" s="78" t="inlineStr">
        <is>
          <t>군산시</t>
        </is>
      </c>
      <c r="AD106" s="78" t="inlineStr">
        <is>
          <t>나운동</t>
        </is>
      </c>
      <c r="AG106" s="78" t="inlineStr">
        <is>
          <t>전라북도 군산시 신설2길 9</t>
        </is>
      </c>
      <c r="AH106" s="78" t="n">
        <v>0</v>
      </c>
      <c r="AI106" s="78" t="n">
        <v>243</v>
      </c>
      <c r="AJ106" s="78" t="n">
        <v>47</v>
      </c>
      <c r="AK106" s="78" t="n">
        <v>40</v>
      </c>
      <c r="AL106" s="78" t="n">
        <v>1.05</v>
      </c>
    </row>
    <row r="107">
      <c r="A107" s="78" t="inlineStr">
        <is>
          <t>[나운동]</t>
        </is>
      </c>
      <c r="B107" s="78" t="n">
        <v>4987</v>
      </c>
      <c r="C107" s="78" t="n">
        <v>1</v>
      </c>
      <c r="D107" s="78" t="inlineStr">
        <is>
          <t>롯데4차</t>
        </is>
      </c>
      <c r="E107" s="78" t="inlineStr">
        <is>
          <t>1996.04.</t>
        </is>
      </c>
      <c r="F107" s="78" t="n">
        <v>210</v>
      </c>
      <c r="G107" s="78" t="n">
        <v>37.04</v>
      </c>
      <c r="H107" s="78" t="n">
        <v>122.46</v>
      </c>
      <c r="I107" s="78" t="n">
        <v>30.23</v>
      </c>
      <c r="J107" s="78" t="n">
        <v>99.94</v>
      </c>
      <c r="K107" s="78" t="n">
        <v>90</v>
      </c>
      <c r="T107" s="78" t="n">
        <v>4</v>
      </c>
      <c r="U107" s="78" t="n">
        <v>2</v>
      </c>
      <c r="V107" s="78" t="inlineStr">
        <is>
          <t>계단식</t>
        </is>
      </c>
      <c r="W107" s="78" t="n">
        <v>122</v>
      </c>
      <c r="X107" s="78" t="n">
        <v>15</v>
      </c>
      <c r="Y107" s="78" t="n">
        <v>15</v>
      </c>
      <c r="Z107" s="78" t="inlineStr">
        <is>
          <t>https://new.land.naver.com/complexes/4987?tab=detail&amp;rf=Y</t>
        </is>
      </c>
      <c r="AA107" s="78" t="inlineStr">
        <is>
          <t>전라북도 군산시 나운동 155-6</t>
        </is>
      </c>
      <c r="AB107" s="78" t="inlineStr">
        <is>
          <t>전라북도</t>
        </is>
      </c>
      <c r="AC107" s="78" t="inlineStr">
        <is>
          <t>군산시</t>
        </is>
      </c>
      <c r="AD107" s="78" t="inlineStr">
        <is>
          <t>나운동</t>
        </is>
      </c>
      <c r="AG107" s="78" t="inlineStr">
        <is>
          <t>전라북도 군산시 백토로 242</t>
        </is>
      </c>
      <c r="AH107" s="78" t="n">
        <v>0</v>
      </c>
      <c r="AI107" s="78" t="n">
        <v>207</v>
      </c>
      <c r="AJ107" s="78" t="n">
        <v>23</v>
      </c>
      <c r="AK107" s="78" t="n">
        <v>0</v>
      </c>
      <c r="AL107" s="78" t="n">
        <v>0</v>
      </c>
    </row>
    <row r="108">
      <c r="A108" s="78" t="inlineStr">
        <is>
          <t>[나운동]</t>
        </is>
      </c>
      <c r="B108" s="78" t="n">
        <v>4987</v>
      </c>
      <c r="C108" s="78" t="n">
        <v>2</v>
      </c>
      <c r="D108" s="78" t="inlineStr">
        <is>
          <t>롯데4차</t>
        </is>
      </c>
      <c r="E108" s="78" t="inlineStr">
        <is>
          <t>1996.04.</t>
        </is>
      </c>
      <c r="F108" s="78" t="n">
        <v>210</v>
      </c>
      <c r="G108" s="78" t="n">
        <v>48.4</v>
      </c>
      <c r="H108" s="78" t="n">
        <v>160.01</v>
      </c>
      <c r="I108" s="78" t="n">
        <v>40.79</v>
      </c>
      <c r="J108" s="78" t="n">
        <v>134.85</v>
      </c>
      <c r="K108" s="78" t="n">
        <v>90</v>
      </c>
      <c r="T108" s="78" t="n">
        <v>4</v>
      </c>
      <c r="U108" s="78" t="n">
        <v>2</v>
      </c>
      <c r="V108" s="78" t="inlineStr">
        <is>
          <t>계단식</t>
        </is>
      </c>
      <c r="W108" s="78" t="n">
        <v>160</v>
      </c>
      <c r="X108" s="78" t="n">
        <v>15</v>
      </c>
      <c r="Y108" s="78" t="n">
        <v>15</v>
      </c>
      <c r="Z108" s="78" t="inlineStr">
        <is>
          <t>https://new.land.naver.com/complexes/4987?tab=detail&amp;rf=Y</t>
        </is>
      </c>
      <c r="AA108" s="78" t="inlineStr">
        <is>
          <t>전라북도 군산시 나운동 155-6</t>
        </is>
      </c>
      <c r="AB108" s="78" t="inlineStr">
        <is>
          <t>전라북도</t>
        </is>
      </c>
      <c r="AC108" s="78" t="inlineStr">
        <is>
          <t>군산시</t>
        </is>
      </c>
      <c r="AD108" s="78" t="inlineStr">
        <is>
          <t>나운동</t>
        </is>
      </c>
      <c r="AG108" s="78" t="inlineStr">
        <is>
          <t>전라북도 군산시 백토로 242</t>
        </is>
      </c>
      <c r="AH108" s="78" t="n">
        <v>0</v>
      </c>
      <c r="AI108" s="78" t="n">
        <v>207</v>
      </c>
      <c r="AJ108" s="78" t="n">
        <v>23</v>
      </c>
      <c r="AK108" s="78" t="n">
        <v>0</v>
      </c>
      <c r="AL108" s="78" t="n">
        <v>0</v>
      </c>
    </row>
    <row r="109">
      <c r="A109" s="78" t="inlineStr">
        <is>
          <t>[나운동]</t>
        </is>
      </c>
      <c r="B109" s="78" t="n">
        <v>4987</v>
      </c>
      <c r="C109" s="78" t="n">
        <v>3</v>
      </c>
      <c r="D109" s="78" t="inlineStr">
        <is>
          <t>롯데4차</t>
        </is>
      </c>
      <c r="E109" s="78" t="inlineStr">
        <is>
          <t>1996.04.</t>
        </is>
      </c>
      <c r="F109" s="78" t="n">
        <v>210</v>
      </c>
      <c r="G109" s="78" t="n">
        <v>59.72</v>
      </c>
      <c r="H109" s="78" t="n">
        <v>197.44</v>
      </c>
      <c r="I109" s="78" t="n">
        <v>49.86</v>
      </c>
      <c r="J109" s="78" t="n">
        <v>164.85</v>
      </c>
      <c r="K109" s="78" t="n">
        <v>30</v>
      </c>
      <c r="T109" s="78" t="n">
        <v>4</v>
      </c>
      <c r="U109" s="78" t="n">
        <v>2</v>
      </c>
      <c r="V109" s="78" t="inlineStr">
        <is>
          <t>계단식</t>
        </is>
      </c>
      <c r="W109" s="78" t="n">
        <v>197</v>
      </c>
      <c r="X109" s="78" t="n">
        <v>15</v>
      </c>
      <c r="Y109" s="78" t="n">
        <v>15</v>
      </c>
      <c r="Z109" s="78" t="inlineStr">
        <is>
          <t>https://new.land.naver.com/complexes/4987?tab=detail&amp;rf=Y</t>
        </is>
      </c>
      <c r="AA109" s="78" t="inlineStr">
        <is>
          <t>전라북도 군산시 나운동 155-6</t>
        </is>
      </c>
      <c r="AB109" s="78" t="inlineStr">
        <is>
          <t>전라북도</t>
        </is>
      </c>
      <c r="AC109" s="78" t="inlineStr">
        <is>
          <t>군산시</t>
        </is>
      </c>
      <c r="AD109" s="78" t="inlineStr">
        <is>
          <t>나운동</t>
        </is>
      </c>
      <c r="AG109" s="78" t="inlineStr">
        <is>
          <t>전라북도 군산시 백토로 242</t>
        </is>
      </c>
      <c r="AH109" s="78" t="n">
        <v>0</v>
      </c>
      <c r="AI109" s="78" t="n">
        <v>207</v>
      </c>
      <c r="AJ109" s="78" t="n">
        <v>23</v>
      </c>
      <c r="AK109" s="78" t="n">
        <v>0</v>
      </c>
      <c r="AL109" s="78" t="n">
        <v>0</v>
      </c>
    </row>
    <row r="110">
      <c r="A110" s="78" t="inlineStr">
        <is>
          <t>[나운동]</t>
        </is>
      </c>
      <c r="B110" s="78" t="n">
        <v>106426</v>
      </c>
      <c r="C110" s="78" t="n">
        <v>1</v>
      </c>
      <c r="D110" s="78" t="inlineStr">
        <is>
          <t>동원</t>
        </is>
      </c>
      <c r="E110" s="78" t="inlineStr">
        <is>
          <t>1987.06.</t>
        </is>
      </c>
      <c r="F110" s="78" t="n">
        <v>108</v>
      </c>
      <c r="G110" s="78" t="n">
        <v>13.27</v>
      </c>
      <c r="H110" s="78" t="n">
        <v>43.87</v>
      </c>
      <c r="I110" s="78" t="n">
        <v>11.89</v>
      </c>
      <c r="J110" s="78" t="n">
        <v>39.33</v>
      </c>
      <c r="K110" s="78" t="n">
        <v>54</v>
      </c>
      <c r="T110" s="78" t="n">
        <v>2</v>
      </c>
      <c r="U110" s="78" t="n">
        <v>1</v>
      </c>
      <c r="V110" s="78" t="inlineStr">
        <is>
          <t>계단식</t>
        </is>
      </c>
      <c r="W110" s="78" t="n">
        <v>43</v>
      </c>
      <c r="X110" s="78" t="n">
        <v>3</v>
      </c>
      <c r="Y110" s="78" t="n">
        <v>3</v>
      </c>
      <c r="Z110" s="78" t="inlineStr">
        <is>
          <t>https://new.land.naver.com/complexes/106426?tab=detail&amp;rf=Y</t>
        </is>
      </c>
      <c r="AA110" s="78" t="inlineStr">
        <is>
          <t>전라북도 군산시 나운동 803-2</t>
        </is>
      </c>
      <c r="AB110" s="78" t="inlineStr">
        <is>
          <t>전라북도</t>
        </is>
      </c>
      <c r="AC110" s="78" t="inlineStr">
        <is>
          <t>군산시</t>
        </is>
      </c>
      <c r="AD110" s="78" t="inlineStr">
        <is>
          <t>나운동</t>
        </is>
      </c>
      <c r="AG110" s="78" t="inlineStr">
        <is>
          <t>전라북도 군산시 상나운로 9</t>
        </is>
      </c>
      <c r="AH110" s="78" t="n">
        <v>0</v>
      </c>
      <c r="AI110" s="78" t="n">
        <v>0</v>
      </c>
      <c r="AJ110" s="78" t="n">
        <v>0</v>
      </c>
      <c r="AK110" s="78" t="n">
        <v>0</v>
      </c>
      <c r="AL110" s="78" t="n">
        <v>0</v>
      </c>
    </row>
    <row r="111">
      <c r="A111" s="78" t="inlineStr">
        <is>
          <t>[나운동]</t>
        </is>
      </c>
      <c r="B111" s="78" t="n">
        <v>106426</v>
      </c>
      <c r="C111" s="78" t="n">
        <v>2</v>
      </c>
      <c r="D111" s="78" t="inlineStr">
        <is>
          <t>동원</t>
        </is>
      </c>
      <c r="E111" s="78" t="inlineStr">
        <is>
          <t>1987.06.</t>
        </is>
      </c>
      <c r="F111" s="78" t="n">
        <v>108</v>
      </c>
      <c r="G111" s="78" t="n">
        <v>14.9</v>
      </c>
      <c r="H111" s="78" t="n">
        <v>49.27</v>
      </c>
      <c r="I111" s="78" t="n">
        <v>13.53</v>
      </c>
      <c r="J111" s="78" t="n">
        <v>44.73</v>
      </c>
      <c r="K111" s="78" t="n">
        <v>54</v>
      </c>
      <c r="T111" s="78" t="n">
        <v>2</v>
      </c>
      <c r="U111" s="78" t="n">
        <v>1</v>
      </c>
      <c r="V111" s="78" t="inlineStr">
        <is>
          <t>계단식</t>
        </is>
      </c>
      <c r="W111" s="78" t="n">
        <v>49</v>
      </c>
      <c r="X111" s="78" t="n">
        <v>3</v>
      </c>
      <c r="Y111" s="78" t="n">
        <v>3</v>
      </c>
      <c r="Z111" s="78" t="inlineStr">
        <is>
          <t>https://new.land.naver.com/complexes/106426?tab=detail&amp;rf=Y</t>
        </is>
      </c>
      <c r="AA111" s="78" t="inlineStr">
        <is>
          <t>전라북도 군산시 나운동 803-2</t>
        </is>
      </c>
      <c r="AB111" s="78" t="inlineStr">
        <is>
          <t>전라북도</t>
        </is>
      </c>
      <c r="AC111" s="78" t="inlineStr">
        <is>
          <t>군산시</t>
        </is>
      </c>
      <c r="AD111" s="78" t="inlineStr">
        <is>
          <t>나운동</t>
        </is>
      </c>
      <c r="AG111" s="78" t="inlineStr">
        <is>
          <t>전라북도 군산시 상나운로 9</t>
        </is>
      </c>
      <c r="AH111" s="78" t="n">
        <v>0</v>
      </c>
      <c r="AI111" s="78" t="n">
        <v>0</v>
      </c>
      <c r="AJ111" s="78" t="n">
        <v>0</v>
      </c>
      <c r="AK111" s="78" t="n">
        <v>0</v>
      </c>
      <c r="AL111" s="78" t="n">
        <v>0</v>
      </c>
    </row>
    <row r="112">
      <c r="A112" s="78" t="inlineStr">
        <is>
          <t>[나운동]</t>
        </is>
      </c>
      <c r="B112" s="78" t="n">
        <v>4980</v>
      </c>
      <c r="C112" s="78" t="n">
        <v>1</v>
      </c>
      <c r="D112" s="78" t="inlineStr">
        <is>
          <t>롯데2차</t>
        </is>
      </c>
      <c r="E112" s="78" t="inlineStr">
        <is>
          <t>1992.08.</t>
        </is>
      </c>
      <c r="F112" s="78" t="n">
        <v>460</v>
      </c>
      <c r="G112" s="78" t="n">
        <v>27.82</v>
      </c>
      <c r="H112" s="78" t="n">
        <v>91.97</v>
      </c>
      <c r="I112" s="78" t="n">
        <v>22.39</v>
      </c>
      <c r="J112" s="78" t="n">
        <v>74.02</v>
      </c>
      <c r="K112" s="78" t="n">
        <v>104</v>
      </c>
      <c r="T112" s="78" t="n">
        <v>3</v>
      </c>
      <c r="U112" s="78" t="n">
        <v>1</v>
      </c>
      <c r="V112" s="78" t="inlineStr">
        <is>
          <t>계단식</t>
        </is>
      </c>
      <c r="W112" s="78" t="n">
        <v>91</v>
      </c>
      <c r="X112" s="78" t="n">
        <v>13</v>
      </c>
      <c r="Y112" s="78" t="n">
        <v>10</v>
      </c>
      <c r="Z112" s="78" t="inlineStr">
        <is>
          <t>https://new.land.naver.com/complexes/4980?tab=detail&amp;rf=Y</t>
        </is>
      </c>
      <c r="AA112" s="78" t="inlineStr">
        <is>
          <t>전라북도 군산시 나운동 345</t>
        </is>
      </c>
      <c r="AB112" s="78" t="inlineStr">
        <is>
          <t>전라북도</t>
        </is>
      </c>
      <c r="AC112" s="78" t="inlineStr">
        <is>
          <t>군산시</t>
        </is>
      </c>
      <c r="AD112" s="78" t="inlineStr">
        <is>
          <t>나운동</t>
        </is>
      </c>
      <c r="AG112" s="78" t="inlineStr">
        <is>
          <t>전라북도 군산시 하나운로 45</t>
        </is>
      </c>
      <c r="AH112" s="78" t="n">
        <v>0</v>
      </c>
      <c r="AI112" s="78" t="n">
        <v>0</v>
      </c>
      <c r="AJ112" s="78" t="n">
        <v>0</v>
      </c>
      <c r="AK112" s="78" t="n">
        <v>0</v>
      </c>
      <c r="AL112" s="78" t="n">
        <v>0</v>
      </c>
    </row>
    <row r="113">
      <c r="A113" s="78" t="inlineStr">
        <is>
          <t>[나운동]</t>
        </is>
      </c>
      <c r="B113" s="78" t="n">
        <v>4980</v>
      </c>
      <c r="C113" s="78" t="n">
        <v>2</v>
      </c>
      <c r="D113" s="78" t="inlineStr">
        <is>
          <t>롯데2차</t>
        </is>
      </c>
      <c r="E113" s="78" t="inlineStr">
        <is>
          <t>1992.08.</t>
        </is>
      </c>
      <c r="F113" s="78" t="n">
        <v>460</v>
      </c>
      <c r="G113" s="78" t="n">
        <v>32.06</v>
      </c>
      <c r="H113" s="78" t="n">
        <v>105.99</v>
      </c>
      <c r="I113" s="78" t="n">
        <v>25.66</v>
      </c>
      <c r="J113" s="78" t="n">
        <v>84.84</v>
      </c>
      <c r="K113" s="78" t="n">
        <v>278</v>
      </c>
      <c r="T113" s="78" t="n">
        <v>3</v>
      </c>
      <c r="U113" s="78" t="n">
        <v>2</v>
      </c>
      <c r="V113" s="78" t="inlineStr">
        <is>
          <t>계단식</t>
        </is>
      </c>
      <c r="W113" s="78" t="n">
        <v>105</v>
      </c>
      <c r="X113" s="78" t="n">
        <v>13</v>
      </c>
      <c r="Y113" s="78" t="n">
        <v>10</v>
      </c>
      <c r="Z113" s="78" t="inlineStr">
        <is>
          <t>https://new.land.naver.com/complexes/4980?tab=detail&amp;rf=Y</t>
        </is>
      </c>
      <c r="AA113" s="78" t="inlineStr">
        <is>
          <t>전라북도 군산시 나운동 345</t>
        </is>
      </c>
      <c r="AB113" s="78" t="inlineStr">
        <is>
          <t>전라북도</t>
        </is>
      </c>
      <c r="AC113" s="78" t="inlineStr">
        <is>
          <t>군산시</t>
        </is>
      </c>
      <c r="AD113" s="78" t="inlineStr">
        <is>
          <t>나운동</t>
        </is>
      </c>
      <c r="AG113" s="78" t="inlineStr">
        <is>
          <t>전라북도 군산시 하나운로 45</t>
        </is>
      </c>
      <c r="AH113" s="78" t="n">
        <v>0</v>
      </c>
      <c r="AI113" s="78" t="n">
        <v>0</v>
      </c>
      <c r="AJ113" s="78" t="n">
        <v>0</v>
      </c>
      <c r="AK113" s="78" t="n">
        <v>0</v>
      </c>
      <c r="AL113" s="78" t="n">
        <v>0</v>
      </c>
    </row>
    <row r="114">
      <c r="A114" s="78" t="inlineStr">
        <is>
          <t>[나운동]</t>
        </is>
      </c>
      <c r="B114" s="78" t="n">
        <v>4980</v>
      </c>
      <c r="C114" s="78" t="n">
        <v>3</v>
      </c>
      <c r="D114" s="78" t="inlineStr">
        <is>
          <t>롯데2차</t>
        </is>
      </c>
      <c r="E114" s="78" t="inlineStr">
        <is>
          <t>1992.08.</t>
        </is>
      </c>
      <c r="F114" s="78" t="n">
        <v>460</v>
      </c>
      <c r="G114" s="78" t="n">
        <v>47.06</v>
      </c>
      <c r="H114" s="78" t="n">
        <v>155.59</v>
      </c>
      <c r="I114" s="78" t="n">
        <v>39.85</v>
      </c>
      <c r="J114" s="78" t="n">
        <v>131.75</v>
      </c>
      <c r="K114" s="78" t="n">
        <v>78</v>
      </c>
      <c r="T114" s="78" t="n">
        <v>4</v>
      </c>
      <c r="U114" s="78" t="n">
        <v>2</v>
      </c>
      <c r="V114" s="78" t="inlineStr">
        <is>
          <t>계단식</t>
        </is>
      </c>
      <c r="W114" s="78" t="n">
        <v>155</v>
      </c>
      <c r="X114" s="78" t="n">
        <v>13</v>
      </c>
      <c r="Y114" s="78" t="n">
        <v>10</v>
      </c>
      <c r="Z114" s="78" t="inlineStr">
        <is>
          <t>https://new.land.naver.com/complexes/4980?tab=detail&amp;rf=Y</t>
        </is>
      </c>
      <c r="AA114" s="78" t="inlineStr">
        <is>
          <t>전라북도 군산시 나운동 345</t>
        </is>
      </c>
      <c r="AB114" s="78" t="inlineStr">
        <is>
          <t>전라북도</t>
        </is>
      </c>
      <c r="AC114" s="78" t="inlineStr">
        <is>
          <t>군산시</t>
        </is>
      </c>
      <c r="AD114" s="78" t="inlineStr">
        <is>
          <t>나운동</t>
        </is>
      </c>
      <c r="AG114" s="78" t="inlineStr">
        <is>
          <t>전라북도 군산시 하나운로 45</t>
        </is>
      </c>
      <c r="AH114" s="78" t="n">
        <v>0</v>
      </c>
      <c r="AI114" s="78" t="n">
        <v>0</v>
      </c>
      <c r="AJ114" s="78" t="n">
        <v>0</v>
      </c>
      <c r="AK114" s="78" t="n">
        <v>0</v>
      </c>
      <c r="AL114" s="78" t="n">
        <v>0</v>
      </c>
    </row>
    <row r="115">
      <c r="A115" s="78" t="inlineStr">
        <is>
          <t>[나운동]</t>
        </is>
      </c>
      <c r="B115" s="78" t="n">
        <v>109105</v>
      </c>
      <c r="C115" s="78" t="n">
        <v>1</v>
      </c>
      <c r="D115" s="78" t="inlineStr">
        <is>
          <t>대명(775-1)</t>
        </is>
      </c>
      <c r="E115" s="78" t="inlineStr">
        <is>
          <t>1988.10.</t>
        </is>
      </c>
      <c r="F115" s="78" t="n">
        <v>80</v>
      </c>
      <c r="G115" s="78" t="n">
        <v>18.04</v>
      </c>
      <c r="H115" s="78" t="n">
        <v>59.64</v>
      </c>
      <c r="I115" s="78" t="n">
        <v>15.81</v>
      </c>
      <c r="J115" s="78" t="n">
        <v>52.29</v>
      </c>
      <c r="K115" s="78" t="n">
        <v>50</v>
      </c>
      <c r="T115" s="78" t="n">
        <v>2</v>
      </c>
      <c r="U115" s="78" t="n">
        <v>1</v>
      </c>
      <c r="V115" s="78" t="inlineStr">
        <is>
          <t>계단식</t>
        </is>
      </c>
      <c r="W115" s="78" t="n">
        <v>59</v>
      </c>
      <c r="X115" s="78" t="n">
        <v>5</v>
      </c>
      <c r="Y115" s="78" t="n">
        <v>5</v>
      </c>
      <c r="Z115" s="78" t="inlineStr">
        <is>
          <t>https://new.land.naver.com/complexes/109105?tab=detail&amp;rf=Y</t>
        </is>
      </c>
      <c r="AA115" s="78" t="inlineStr">
        <is>
          <t>전라북도 군산시 나운동 775-1</t>
        </is>
      </c>
      <c r="AB115" s="78" t="inlineStr">
        <is>
          <t>전라북도</t>
        </is>
      </c>
      <c r="AC115" s="78" t="inlineStr">
        <is>
          <t>군산시</t>
        </is>
      </c>
      <c r="AD115" s="78" t="inlineStr">
        <is>
          <t>나운동</t>
        </is>
      </c>
      <c r="AG115" s="78" t="inlineStr">
        <is>
          <t>전라북도 군산시 신설1길 37</t>
        </is>
      </c>
      <c r="AH115" s="78" t="n">
        <v>0</v>
      </c>
      <c r="AI115" s="78" t="n">
        <v>0</v>
      </c>
      <c r="AJ115" s="78" t="n">
        <v>40</v>
      </c>
      <c r="AK115" s="78" t="n">
        <v>0</v>
      </c>
      <c r="AL115" s="78" t="n">
        <v>0</v>
      </c>
    </row>
    <row r="116">
      <c r="A116" s="78" t="inlineStr">
        <is>
          <t>[나운동]</t>
        </is>
      </c>
      <c r="B116" s="78" t="n">
        <v>109105</v>
      </c>
      <c r="C116" s="78" t="n">
        <v>2</v>
      </c>
      <c r="D116" s="78" t="inlineStr">
        <is>
          <t>대명(775-1)</t>
        </is>
      </c>
      <c r="E116" s="78" t="inlineStr">
        <is>
          <t>1988.10.</t>
        </is>
      </c>
      <c r="F116" s="78" t="n">
        <v>80</v>
      </c>
      <c r="G116" s="78" t="n">
        <v>25.72</v>
      </c>
      <c r="H116" s="78" t="n">
        <v>85.05</v>
      </c>
      <c r="I116" s="78" t="n">
        <v>23.73</v>
      </c>
      <c r="J116" s="78" t="n">
        <v>78.47</v>
      </c>
      <c r="K116" s="78" t="n">
        <v>30</v>
      </c>
      <c r="T116" s="78" t="n">
        <v>3</v>
      </c>
      <c r="U116" s="78" t="n">
        <v>1</v>
      </c>
      <c r="V116" s="78" t="inlineStr">
        <is>
          <t>계단식</t>
        </is>
      </c>
      <c r="W116" s="78" t="n">
        <v>85</v>
      </c>
      <c r="X116" s="78" t="n">
        <v>5</v>
      </c>
      <c r="Y116" s="78" t="n">
        <v>5</v>
      </c>
      <c r="Z116" s="78" t="inlineStr">
        <is>
          <t>https://new.land.naver.com/complexes/109105?tab=detail&amp;rf=Y</t>
        </is>
      </c>
      <c r="AA116" s="78" t="inlineStr">
        <is>
          <t>전라북도 군산시 나운동 775-1</t>
        </is>
      </c>
      <c r="AB116" s="78" t="inlineStr">
        <is>
          <t>전라북도</t>
        </is>
      </c>
      <c r="AC116" s="78" t="inlineStr">
        <is>
          <t>군산시</t>
        </is>
      </c>
      <c r="AD116" s="78" t="inlineStr">
        <is>
          <t>나운동</t>
        </is>
      </c>
      <c r="AG116" s="78" t="inlineStr">
        <is>
          <t>전라북도 군산시 신설1길 37</t>
        </is>
      </c>
      <c r="AH116" s="78" t="n">
        <v>0</v>
      </c>
      <c r="AI116" s="78" t="n">
        <v>0</v>
      </c>
      <c r="AJ116" s="78" t="n">
        <v>40</v>
      </c>
      <c r="AK116" s="78" t="n">
        <v>0</v>
      </c>
      <c r="AL116" s="78" t="n">
        <v>0</v>
      </c>
    </row>
    <row r="117">
      <c r="A117" s="78" t="inlineStr">
        <is>
          <t>[나운동]</t>
        </is>
      </c>
      <c r="B117" s="78" t="n">
        <v>135672</v>
      </c>
      <c r="C117" s="78" t="n">
        <v>1</v>
      </c>
      <c r="D117" s="78" t="inlineStr">
        <is>
          <t>삼진아트맨션</t>
        </is>
      </c>
      <c r="E117" s="78" t="inlineStr">
        <is>
          <t>1990.06.</t>
        </is>
      </c>
      <c r="F117" s="78" t="n">
        <v>19</v>
      </c>
      <c r="G117" s="78" t="n">
        <v>27.95</v>
      </c>
      <c r="H117" s="78" t="n">
        <v>92.40000000000001</v>
      </c>
      <c r="I117" s="78" t="n">
        <v>23.05</v>
      </c>
      <c r="J117" s="78" t="n">
        <v>76.23</v>
      </c>
      <c r="K117" s="78" t="n">
        <v>4</v>
      </c>
      <c r="T117" s="78" t="n">
        <v>3</v>
      </c>
      <c r="U117" s="78" t="n">
        <v>2</v>
      </c>
      <c r="V117" s="78" t="inlineStr">
        <is>
          <t>계단식</t>
        </is>
      </c>
      <c r="W117" s="78" t="n">
        <v>92</v>
      </c>
      <c r="X117" s="78" t="n">
        <v>5</v>
      </c>
      <c r="Y117" s="78" t="n">
        <v>4</v>
      </c>
      <c r="Z117" s="78" t="inlineStr">
        <is>
          <t>https://new.land.naver.com/complexes/135672?tab=detail&amp;rf=Y</t>
        </is>
      </c>
      <c r="AA117" s="78" t="inlineStr">
        <is>
          <t>전라북도 군산시 나운동 768-6</t>
        </is>
      </c>
      <c r="AB117" s="78" t="inlineStr">
        <is>
          <t>전라북도</t>
        </is>
      </c>
      <c r="AC117" s="78" t="inlineStr">
        <is>
          <t>군산시</t>
        </is>
      </c>
      <c r="AD117" s="78" t="inlineStr">
        <is>
          <t>나운동</t>
        </is>
      </c>
      <c r="AG117" s="78" t="inlineStr">
        <is>
          <t>전라북도 군산시 신설로 34</t>
        </is>
      </c>
      <c r="AH117" s="78" t="n">
        <v>0</v>
      </c>
      <c r="AI117" s="78" t="n">
        <v>158</v>
      </c>
      <c r="AJ117" s="78" t="n">
        <v>0</v>
      </c>
      <c r="AK117" s="78" t="n">
        <v>0</v>
      </c>
      <c r="AL117" s="78" t="n">
        <v>0</v>
      </c>
    </row>
    <row r="118">
      <c r="A118" s="78" t="inlineStr">
        <is>
          <t>[나운동]</t>
        </is>
      </c>
      <c r="B118" s="78" t="n">
        <v>135672</v>
      </c>
      <c r="C118" s="78" t="n">
        <v>2</v>
      </c>
      <c r="D118" s="78" t="inlineStr">
        <is>
          <t>삼진아트맨션</t>
        </is>
      </c>
      <c r="E118" s="78" t="inlineStr">
        <is>
          <t>1990.06.</t>
        </is>
      </c>
      <c r="F118" s="78" t="n">
        <v>19</v>
      </c>
      <c r="G118" s="78" t="n">
        <v>29.36</v>
      </c>
      <c r="H118" s="78" t="n">
        <v>97.08</v>
      </c>
      <c r="I118" s="78" t="n">
        <v>25.21</v>
      </c>
      <c r="J118" s="78" t="n">
        <v>83.37</v>
      </c>
      <c r="K118" s="78" t="n">
        <v>10</v>
      </c>
      <c r="T118" s="78" t="n">
        <v>3</v>
      </c>
      <c r="U118" s="78" t="n">
        <v>2</v>
      </c>
      <c r="V118" s="78" t="inlineStr">
        <is>
          <t>계단식</t>
        </is>
      </c>
      <c r="W118" s="78" t="n">
        <v>97</v>
      </c>
      <c r="X118" s="78" t="n">
        <v>5</v>
      </c>
      <c r="Y118" s="78" t="n">
        <v>4</v>
      </c>
      <c r="Z118" s="78" t="inlineStr">
        <is>
          <t>https://new.land.naver.com/complexes/135672?tab=detail&amp;rf=Y</t>
        </is>
      </c>
      <c r="AA118" s="78" t="inlineStr">
        <is>
          <t>전라북도 군산시 나운동 768-6</t>
        </is>
      </c>
      <c r="AB118" s="78" t="inlineStr">
        <is>
          <t>전라북도</t>
        </is>
      </c>
      <c r="AC118" s="78" t="inlineStr">
        <is>
          <t>군산시</t>
        </is>
      </c>
      <c r="AD118" s="78" t="inlineStr">
        <is>
          <t>나운동</t>
        </is>
      </c>
      <c r="AG118" s="78" t="inlineStr">
        <is>
          <t>전라북도 군산시 신설로 34</t>
        </is>
      </c>
      <c r="AH118" s="78" t="n">
        <v>0</v>
      </c>
      <c r="AI118" s="78" t="n">
        <v>158</v>
      </c>
      <c r="AJ118" s="78" t="n">
        <v>0</v>
      </c>
      <c r="AK118" s="78" t="n">
        <v>0</v>
      </c>
      <c r="AL118" s="78" t="n">
        <v>0</v>
      </c>
    </row>
    <row r="119">
      <c r="A119" s="78" t="inlineStr">
        <is>
          <t>[나운동]</t>
        </is>
      </c>
      <c r="B119" s="78" t="n">
        <v>135672</v>
      </c>
      <c r="C119" s="78" t="n">
        <v>3</v>
      </c>
      <c r="D119" s="78" t="inlineStr">
        <is>
          <t>삼진아트맨션</t>
        </is>
      </c>
      <c r="E119" s="78" t="inlineStr">
        <is>
          <t>1990.06.</t>
        </is>
      </c>
      <c r="F119" s="78" t="n">
        <v>19</v>
      </c>
      <c r="G119" s="78" t="n">
        <v>30.77</v>
      </c>
      <c r="H119" s="78" t="n">
        <v>101.75</v>
      </c>
      <c r="I119" s="78" t="n">
        <v>25.68</v>
      </c>
      <c r="J119" s="78" t="n">
        <v>84.92</v>
      </c>
      <c r="K119" s="78" t="n">
        <v>4</v>
      </c>
      <c r="T119" s="78" t="n">
        <v>3</v>
      </c>
      <c r="U119" s="78" t="n">
        <v>2</v>
      </c>
      <c r="V119" s="78" t="inlineStr">
        <is>
          <t>계단식</t>
        </is>
      </c>
      <c r="W119" s="78" t="n">
        <v>101</v>
      </c>
      <c r="X119" s="78" t="n">
        <v>5</v>
      </c>
      <c r="Y119" s="78" t="n">
        <v>4</v>
      </c>
      <c r="Z119" s="78" t="inlineStr">
        <is>
          <t>https://new.land.naver.com/complexes/135672?tab=detail&amp;rf=Y</t>
        </is>
      </c>
      <c r="AA119" s="78" t="inlineStr">
        <is>
          <t>전라북도 군산시 나운동 768-6</t>
        </is>
      </c>
      <c r="AB119" s="78" t="inlineStr">
        <is>
          <t>전라북도</t>
        </is>
      </c>
      <c r="AC119" s="78" t="inlineStr">
        <is>
          <t>군산시</t>
        </is>
      </c>
      <c r="AD119" s="78" t="inlineStr">
        <is>
          <t>나운동</t>
        </is>
      </c>
      <c r="AG119" s="78" t="inlineStr">
        <is>
          <t>전라북도 군산시 신설로 34</t>
        </is>
      </c>
      <c r="AH119" s="78" t="n">
        <v>0</v>
      </c>
      <c r="AI119" s="78" t="n">
        <v>158</v>
      </c>
      <c r="AJ119" s="78" t="n">
        <v>0</v>
      </c>
      <c r="AK119" s="78" t="n">
        <v>0</v>
      </c>
      <c r="AL119" s="78" t="n">
        <v>0</v>
      </c>
    </row>
    <row r="120">
      <c r="A120" s="78" t="inlineStr">
        <is>
          <t>[나운동]</t>
        </is>
      </c>
      <c r="B120" s="78" t="n">
        <v>135672</v>
      </c>
      <c r="C120" s="78" t="n">
        <v>4</v>
      </c>
      <c r="D120" s="78" t="inlineStr">
        <is>
          <t>삼진아트맨션</t>
        </is>
      </c>
      <c r="E120" s="78" t="inlineStr">
        <is>
          <t>1990.06.</t>
        </is>
      </c>
      <c r="F120" s="78" t="n">
        <v>19</v>
      </c>
      <c r="G120" s="78" t="n">
        <v>33.96</v>
      </c>
      <c r="H120" s="78" t="n">
        <v>112.28</v>
      </c>
      <c r="I120" s="78" t="n">
        <v>25.68</v>
      </c>
      <c r="J120" s="78" t="n">
        <v>84.92</v>
      </c>
      <c r="K120" s="78" t="n">
        <v>1</v>
      </c>
      <c r="T120" s="78" t="n">
        <v>3</v>
      </c>
      <c r="U120" s="78" t="n">
        <v>2</v>
      </c>
      <c r="V120" s="78" t="inlineStr">
        <is>
          <t>계단식</t>
        </is>
      </c>
      <c r="W120" s="78" t="n">
        <v>112</v>
      </c>
      <c r="X120" s="78" t="n">
        <v>5</v>
      </c>
      <c r="Y120" s="78" t="n">
        <v>4</v>
      </c>
      <c r="Z120" s="78" t="inlineStr">
        <is>
          <t>https://new.land.naver.com/complexes/135672?tab=detail&amp;rf=Y</t>
        </is>
      </c>
      <c r="AA120" s="78" t="inlineStr">
        <is>
          <t>전라북도 군산시 나운동 768-6</t>
        </is>
      </c>
      <c r="AB120" s="78" t="inlineStr">
        <is>
          <t>전라북도</t>
        </is>
      </c>
      <c r="AC120" s="78" t="inlineStr">
        <is>
          <t>군산시</t>
        </is>
      </c>
      <c r="AD120" s="78" t="inlineStr">
        <is>
          <t>나운동</t>
        </is>
      </c>
      <c r="AG120" s="78" t="inlineStr">
        <is>
          <t>전라북도 군산시 신설로 34</t>
        </is>
      </c>
      <c r="AH120" s="78" t="n">
        <v>0</v>
      </c>
      <c r="AI120" s="78" t="n">
        <v>158</v>
      </c>
      <c r="AJ120" s="78" t="n">
        <v>0</v>
      </c>
      <c r="AK120" s="78" t="n">
        <v>0</v>
      </c>
      <c r="AL120" s="78" t="n">
        <v>0</v>
      </c>
    </row>
    <row r="121">
      <c r="A121" s="78" t="inlineStr">
        <is>
          <t>[나운동]</t>
        </is>
      </c>
      <c r="B121" s="78" t="n">
        <v>4999</v>
      </c>
      <c r="C121" s="78" t="n">
        <v>1</v>
      </c>
      <c r="D121" s="78" t="inlineStr">
        <is>
          <t>우성</t>
        </is>
      </c>
      <c r="E121" s="78" t="inlineStr">
        <is>
          <t>1995.06.</t>
        </is>
      </c>
      <c r="F121" s="78" t="n">
        <v>345</v>
      </c>
      <c r="G121" s="78" t="n">
        <v>34.99</v>
      </c>
      <c r="H121" s="78" t="n">
        <v>115.69</v>
      </c>
      <c r="I121" s="78" t="n">
        <v>28.3</v>
      </c>
      <c r="J121" s="78" t="n">
        <v>93.56</v>
      </c>
      <c r="K121" s="78" t="n">
        <v>75</v>
      </c>
      <c r="T121" s="78" t="n">
        <v>3</v>
      </c>
      <c r="U121" s="78" t="n">
        <v>2</v>
      </c>
      <c r="V121" s="78" t="inlineStr">
        <is>
          <t>계단식</t>
        </is>
      </c>
      <c r="W121" s="78" t="n">
        <v>115</v>
      </c>
      <c r="X121" s="78" t="n">
        <v>15</v>
      </c>
      <c r="Y121" s="78" t="n">
        <v>15</v>
      </c>
      <c r="Z121" s="78" t="inlineStr">
        <is>
          <t>https://new.land.naver.com/complexes/4999?tab=detail&amp;rf=Y</t>
        </is>
      </c>
      <c r="AA121" s="78" t="inlineStr">
        <is>
          <t>전라북도 군산시 나운동 155-7</t>
        </is>
      </c>
      <c r="AB121" s="78" t="inlineStr">
        <is>
          <t>전라북도</t>
        </is>
      </c>
      <c r="AC121" s="78" t="inlineStr">
        <is>
          <t>군산시</t>
        </is>
      </c>
      <c r="AD121" s="78" t="inlineStr">
        <is>
          <t>나운동</t>
        </is>
      </c>
      <c r="AG121" s="78" t="inlineStr">
        <is>
          <t>전라북도 군산시 백토로 230</t>
        </is>
      </c>
      <c r="AH121" s="78" t="n">
        <v>0</v>
      </c>
      <c r="AI121" s="78" t="n">
        <v>0</v>
      </c>
      <c r="AJ121" s="78" t="n">
        <v>0</v>
      </c>
      <c r="AK121" s="78" t="n">
        <v>0</v>
      </c>
      <c r="AL121" s="78" t="n">
        <v>0</v>
      </c>
    </row>
    <row r="122">
      <c r="A122" s="78" t="inlineStr">
        <is>
          <t>[나운동]</t>
        </is>
      </c>
      <c r="B122" s="78" t="n">
        <v>4999</v>
      </c>
      <c r="C122" s="78" t="n">
        <v>2</v>
      </c>
      <c r="D122" s="78" t="inlineStr">
        <is>
          <t>우성</t>
        </is>
      </c>
      <c r="E122" s="78" t="inlineStr">
        <is>
          <t>1995.06.</t>
        </is>
      </c>
      <c r="F122" s="78" t="n">
        <v>345</v>
      </c>
      <c r="G122" s="78" t="n">
        <v>36.34</v>
      </c>
      <c r="H122" s="78" t="n">
        <v>120.16</v>
      </c>
      <c r="I122" s="78" t="n">
        <v>30.23</v>
      </c>
      <c r="J122" s="78" t="n">
        <v>99.95999999999999</v>
      </c>
      <c r="K122" s="78" t="n">
        <v>270</v>
      </c>
      <c r="T122" s="78" t="n">
        <v>3</v>
      </c>
      <c r="U122" s="78" t="n">
        <v>2</v>
      </c>
      <c r="V122" s="78" t="inlineStr">
        <is>
          <t>계단식</t>
        </is>
      </c>
      <c r="W122" s="78" t="n">
        <v>120</v>
      </c>
      <c r="X122" s="78" t="n">
        <v>15</v>
      </c>
      <c r="Y122" s="78" t="n">
        <v>15</v>
      </c>
      <c r="Z122" s="78" t="inlineStr">
        <is>
          <t>https://new.land.naver.com/complexes/4999?tab=detail&amp;rf=Y</t>
        </is>
      </c>
      <c r="AA122" s="78" t="inlineStr">
        <is>
          <t>전라북도 군산시 나운동 155-7</t>
        </is>
      </c>
      <c r="AB122" s="78" t="inlineStr">
        <is>
          <t>전라북도</t>
        </is>
      </c>
      <c r="AC122" s="78" t="inlineStr">
        <is>
          <t>군산시</t>
        </is>
      </c>
      <c r="AD122" s="78" t="inlineStr">
        <is>
          <t>나운동</t>
        </is>
      </c>
      <c r="AG122" s="78" t="inlineStr">
        <is>
          <t>전라북도 군산시 백토로 230</t>
        </is>
      </c>
      <c r="AH122" s="78" t="n">
        <v>0</v>
      </c>
      <c r="AI122" s="78" t="n">
        <v>0</v>
      </c>
      <c r="AJ122" s="78" t="n">
        <v>0</v>
      </c>
      <c r="AK122" s="78" t="n">
        <v>0</v>
      </c>
      <c r="AL122" s="78" t="n">
        <v>0</v>
      </c>
    </row>
    <row r="123">
      <c r="A123" s="78" t="inlineStr">
        <is>
          <t>[나운동]</t>
        </is>
      </c>
      <c r="B123" s="78" t="n">
        <v>4966</v>
      </c>
      <c r="C123" s="78" t="n">
        <v>1</v>
      </c>
      <c r="D123" s="78" t="inlineStr">
        <is>
          <t>금호타운1차</t>
        </is>
      </c>
      <c r="E123" s="78" t="inlineStr">
        <is>
          <t>1991.09.</t>
        </is>
      </c>
      <c r="F123" s="78" t="n">
        <v>930</v>
      </c>
      <c r="G123" s="78" t="n">
        <v>26.94</v>
      </c>
      <c r="H123" s="78" t="n">
        <v>89.06</v>
      </c>
      <c r="I123" s="78" t="n">
        <v>22.1</v>
      </c>
      <c r="J123" s="78" t="n">
        <v>73.09</v>
      </c>
      <c r="K123" s="78" t="n">
        <v>330</v>
      </c>
      <c r="T123" s="78" t="n">
        <v>3</v>
      </c>
      <c r="U123" s="78" t="n">
        <v>2</v>
      </c>
      <c r="V123" s="78" t="inlineStr">
        <is>
          <t>계단식</t>
        </is>
      </c>
      <c r="W123" s="78" t="n">
        <v>89</v>
      </c>
      <c r="X123" s="78" t="n">
        <v>15</v>
      </c>
      <c r="Y123" s="78" t="n">
        <v>15</v>
      </c>
      <c r="Z123" s="78" t="inlineStr">
        <is>
          <t>https://new.land.naver.com/complexes/4966?tab=detail&amp;rf=Y</t>
        </is>
      </c>
      <c r="AA123" s="78" t="inlineStr">
        <is>
          <t>전라북도 군산시 나운동 489</t>
        </is>
      </c>
      <c r="AB123" s="78" t="inlineStr">
        <is>
          <t>전라북도</t>
        </is>
      </c>
      <c r="AC123" s="78" t="inlineStr">
        <is>
          <t>군산시</t>
        </is>
      </c>
      <c r="AD123" s="78" t="inlineStr">
        <is>
          <t>나운동</t>
        </is>
      </c>
      <c r="AG123" s="78" t="inlineStr">
        <is>
          <t>전라북도 군산시 수송로 49</t>
        </is>
      </c>
      <c r="AH123" s="78" t="n">
        <v>0</v>
      </c>
      <c r="AI123" s="78" t="n">
        <v>0</v>
      </c>
      <c r="AJ123" s="78" t="n">
        <v>0</v>
      </c>
      <c r="AK123" s="78" t="n">
        <v>200</v>
      </c>
      <c r="AL123" s="78" t="n">
        <v>0.22</v>
      </c>
    </row>
    <row r="124">
      <c r="A124" s="78" t="inlineStr">
        <is>
          <t>[나운동]</t>
        </is>
      </c>
      <c r="B124" s="78" t="n">
        <v>4966</v>
      </c>
      <c r="C124" s="78" t="n">
        <v>2</v>
      </c>
      <c r="D124" s="78" t="inlineStr">
        <is>
          <t>금호타운1차</t>
        </is>
      </c>
      <c r="E124" s="78" t="inlineStr">
        <is>
          <t>1991.09.</t>
        </is>
      </c>
      <c r="F124" s="78" t="n">
        <v>930</v>
      </c>
      <c r="G124" s="78" t="n">
        <v>30.76</v>
      </c>
      <c r="H124" s="78" t="n">
        <v>101.69</v>
      </c>
      <c r="I124" s="78" t="n">
        <v>25.64</v>
      </c>
      <c r="J124" s="78" t="n">
        <v>84.79000000000001</v>
      </c>
      <c r="K124" s="78" t="n">
        <v>600</v>
      </c>
      <c r="T124" s="78" t="n">
        <v>3</v>
      </c>
      <c r="U124" s="78" t="n">
        <v>2</v>
      </c>
      <c r="V124" s="78" t="inlineStr">
        <is>
          <t>계단식</t>
        </is>
      </c>
      <c r="W124" s="78" t="n">
        <v>101</v>
      </c>
      <c r="X124" s="78" t="n">
        <v>15</v>
      </c>
      <c r="Y124" s="78" t="n">
        <v>15</v>
      </c>
      <c r="Z124" s="78" t="inlineStr">
        <is>
          <t>https://new.land.naver.com/complexes/4966?tab=detail&amp;rf=Y</t>
        </is>
      </c>
      <c r="AA124" s="78" t="inlineStr">
        <is>
          <t>전라북도 군산시 나운동 489</t>
        </is>
      </c>
      <c r="AB124" s="78" t="inlineStr">
        <is>
          <t>전라북도</t>
        </is>
      </c>
      <c r="AC124" s="78" t="inlineStr">
        <is>
          <t>군산시</t>
        </is>
      </c>
      <c r="AD124" s="78" t="inlineStr">
        <is>
          <t>나운동</t>
        </is>
      </c>
      <c r="AG124" s="78" t="inlineStr">
        <is>
          <t>전라북도 군산시 수송로 49</t>
        </is>
      </c>
      <c r="AH124" s="78" t="n">
        <v>0</v>
      </c>
      <c r="AI124" s="78" t="n">
        <v>0</v>
      </c>
      <c r="AJ124" s="78" t="n">
        <v>0</v>
      </c>
      <c r="AK124" s="78" t="n">
        <v>200</v>
      </c>
      <c r="AL124" s="78" t="n">
        <v>0.22</v>
      </c>
    </row>
    <row r="125">
      <c r="A125" s="78" t="inlineStr">
        <is>
          <t>[나운동]</t>
        </is>
      </c>
      <c r="B125" s="78" t="n">
        <v>117430</v>
      </c>
      <c r="C125" s="78" t="n">
        <v>1</v>
      </c>
      <c r="D125" s="78" t="inlineStr">
        <is>
          <t>희산</t>
        </is>
      </c>
      <c r="E125" s="78" t="inlineStr">
        <is>
          <t>1989.03.</t>
        </is>
      </c>
      <c r="F125" s="78" t="n">
        <v>60</v>
      </c>
      <c r="G125" s="78" t="n">
        <v>30.47</v>
      </c>
      <c r="H125" s="78" t="n">
        <v>100.76</v>
      </c>
      <c r="I125" s="78" t="n">
        <v>25.43</v>
      </c>
      <c r="J125" s="78" t="n">
        <v>84.08</v>
      </c>
      <c r="K125" s="78" t="n">
        <v>40</v>
      </c>
      <c r="T125" s="78" t="n">
        <v>3</v>
      </c>
      <c r="U125" s="78" t="n">
        <v>2</v>
      </c>
      <c r="V125" s="78" t="inlineStr">
        <is>
          <t>복도식</t>
        </is>
      </c>
      <c r="W125" s="78" t="n">
        <v>100</v>
      </c>
      <c r="X125" s="78" t="n">
        <v>5</v>
      </c>
      <c r="Y125" s="78" t="n">
        <v>5</v>
      </c>
      <c r="Z125" s="78" t="inlineStr">
        <is>
          <t>https://new.land.naver.com/complexes/117430?tab=detail&amp;rf=Y</t>
        </is>
      </c>
      <c r="AA125" s="78" t="inlineStr">
        <is>
          <t>전라북도 군산시 나운동 802-5</t>
        </is>
      </c>
      <c r="AB125" s="78" t="inlineStr">
        <is>
          <t>전라북도</t>
        </is>
      </c>
      <c r="AC125" s="78" t="inlineStr">
        <is>
          <t>군산시</t>
        </is>
      </c>
      <c r="AD125" s="78" t="inlineStr">
        <is>
          <t>나운동</t>
        </is>
      </c>
      <c r="AG125" s="78" t="inlineStr">
        <is>
          <t>전라북도 군산시 상나운3길 30-3</t>
        </is>
      </c>
      <c r="AH125" s="78" t="n">
        <v>0</v>
      </c>
      <c r="AI125" s="78" t="n">
        <v>0</v>
      </c>
      <c r="AJ125" s="78" t="n">
        <v>0</v>
      </c>
      <c r="AK125" s="78" t="n">
        <v>0</v>
      </c>
      <c r="AL125" s="78" t="n">
        <v>0</v>
      </c>
    </row>
    <row r="126">
      <c r="A126" s="78" t="inlineStr">
        <is>
          <t>[나운동]</t>
        </is>
      </c>
      <c r="B126" s="78" t="n">
        <v>117430</v>
      </c>
      <c r="C126" s="78" t="n">
        <v>2</v>
      </c>
      <c r="D126" s="78" t="inlineStr">
        <is>
          <t>희산</t>
        </is>
      </c>
      <c r="E126" s="78" t="inlineStr">
        <is>
          <t>1989.03.</t>
        </is>
      </c>
      <c r="F126" s="78" t="n">
        <v>60</v>
      </c>
      <c r="G126" s="78" t="n">
        <v>38.49</v>
      </c>
      <c r="H126" s="78" t="n">
        <v>127.24</v>
      </c>
      <c r="I126" s="78" t="n">
        <v>33.24</v>
      </c>
      <c r="J126" s="78" t="n">
        <v>109.9</v>
      </c>
      <c r="K126" s="78" t="n">
        <v>20</v>
      </c>
      <c r="T126" s="78" t="n">
        <v>3</v>
      </c>
      <c r="U126" s="78" t="n">
        <v>2</v>
      </c>
      <c r="V126" s="78" t="inlineStr">
        <is>
          <t>복도식</t>
        </is>
      </c>
      <c r="W126" s="78" t="n">
        <v>127</v>
      </c>
      <c r="X126" s="78" t="n">
        <v>5</v>
      </c>
      <c r="Y126" s="78" t="n">
        <v>5</v>
      </c>
      <c r="Z126" s="78" t="inlineStr">
        <is>
          <t>https://new.land.naver.com/complexes/117430?tab=detail&amp;rf=Y</t>
        </is>
      </c>
      <c r="AA126" s="78" t="inlineStr">
        <is>
          <t>전라북도 군산시 나운동 802-5</t>
        </is>
      </c>
      <c r="AB126" s="78" t="inlineStr">
        <is>
          <t>전라북도</t>
        </is>
      </c>
      <c r="AC126" s="78" t="inlineStr">
        <is>
          <t>군산시</t>
        </is>
      </c>
      <c r="AD126" s="78" t="inlineStr">
        <is>
          <t>나운동</t>
        </is>
      </c>
      <c r="AG126" s="78" t="inlineStr">
        <is>
          <t>전라북도 군산시 상나운3길 30-3</t>
        </is>
      </c>
      <c r="AH126" s="78" t="n">
        <v>0</v>
      </c>
      <c r="AI126" s="78" t="n">
        <v>0</v>
      </c>
      <c r="AJ126" s="78" t="n">
        <v>0</v>
      </c>
      <c r="AK126" s="78" t="n">
        <v>0</v>
      </c>
      <c r="AL126" s="78" t="n">
        <v>0</v>
      </c>
    </row>
    <row r="127">
      <c r="A127" s="78" t="inlineStr">
        <is>
          <t>[나운동]</t>
        </is>
      </c>
      <c r="B127" s="78" t="n">
        <v>4994</v>
      </c>
      <c r="C127" s="78" t="n">
        <v>1</v>
      </c>
      <c r="D127" s="78" t="inlineStr">
        <is>
          <t>서호</t>
        </is>
      </c>
      <c r="E127" s="78" t="inlineStr">
        <is>
          <t>1995.06.</t>
        </is>
      </c>
      <c r="F127" s="78" t="n">
        <v>490</v>
      </c>
      <c r="G127" s="78" t="n">
        <v>25.33</v>
      </c>
      <c r="H127" s="78" t="n">
        <v>83.76000000000001</v>
      </c>
      <c r="I127" s="78" t="n">
        <v>20.52</v>
      </c>
      <c r="J127" s="78" t="n">
        <v>67.86</v>
      </c>
      <c r="K127" s="78" t="n">
        <v>262</v>
      </c>
      <c r="T127" s="78" t="n">
        <v>3</v>
      </c>
      <c r="U127" s="78" t="n">
        <v>1</v>
      </c>
      <c r="V127" s="78" t="inlineStr">
        <is>
          <t>계단식</t>
        </is>
      </c>
      <c r="W127" s="78" t="n">
        <v>83</v>
      </c>
      <c r="X127" s="78" t="n">
        <v>15</v>
      </c>
      <c r="Y127" s="78" t="n">
        <v>10</v>
      </c>
      <c r="Z127" s="78" t="inlineStr">
        <is>
          <t>https://new.land.naver.com/complexes/4994?tab=detail&amp;rf=Y</t>
        </is>
      </c>
      <c r="AA127" s="78" t="inlineStr">
        <is>
          <t>전라북도 군산시 나운동 153-12</t>
        </is>
      </c>
      <c r="AB127" s="78" t="inlineStr">
        <is>
          <t>전라북도</t>
        </is>
      </c>
      <c r="AC127" s="78" t="inlineStr">
        <is>
          <t>군산시</t>
        </is>
      </c>
      <c r="AD127" s="78" t="inlineStr">
        <is>
          <t>나운동</t>
        </is>
      </c>
      <c r="AG127" s="78" t="inlineStr">
        <is>
          <t>전라북도 군산시 의료원로 188</t>
        </is>
      </c>
      <c r="AH127" s="78" t="n">
        <v>0</v>
      </c>
      <c r="AI127" s="78" t="n">
        <v>0</v>
      </c>
      <c r="AJ127" s="78" t="n">
        <v>0</v>
      </c>
      <c r="AK127" s="78" t="n">
        <v>465</v>
      </c>
      <c r="AL127" s="78" t="n">
        <v>0.95</v>
      </c>
    </row>
    <row r="128">
      <c r="A128" s="78" t="inlineStr">
        <is>
          <t>[나운동]</t>
        </is>
      </c>
      <c r="B128" s="78" t="n">
        <v>4994</v>
      </c>
      <c r="C128" s="78" t="n">
        <v>2</v>
      </c>
      <c r="D128" s="78" t="inlineStr">
        <is>
          <t>서호</t>
        </is>
      </c>
      <c r="E128" s="78" t="inlineStr">
        <is>
          <t>1995.06.</t>
        </is>
      </c>
      <c r="F128" s="78" t="n">
        <v>490</v>
      </c>
      <c r="G128" s="78" t="n">
        <v>31.4</v>
      </c>
      <c r="H128" s="78" t="n">
        <v>103.83</v>
      </c>
      <c r="I128" s="78" t="n">
        <v>25.7</v>
      </c>
      <c r="J128" s="78" t="n">
        <v>84.98999999999999</v>
      </c>
      <c r="K128" s="78" t="n">
        <v>228</v>
      </c>
      <c r="T128" s="78" t="n">
        <v>3</v>
      </c>
      <c r="U128" s="78" t="n">
        <v>2</v>
      </c>
      <c r="V128" s="78" t="inlineStr">
        <is>
          <t>계단식</t>
        </is>
      </c>
      <c r="W128" s="78" t="n">
        <v>103</v>
      </c>
      <c r="X128" s="78" t="n">
        <v>15</v>
      </c>
      <c r="Y128" s="78" t="n">
        <v>10</v>
      </c>
      <c r="Z128" s="78" t="inlineStr">
        <is>
          <t>https://new.land.naver.com/complexes/4994?tab=detail&amp;rf=Y</t>
        </is>
      </c>
      <c r="AA128" s="78" t="inlineStr">
        <is>
          <t>전라북도 군산시 나운동 153-12</t>
        </is>
      </c>
      <c r="AB128" s="78" t="inlineStr">
        <is>
          <t>전라북도</t>
        </is>
      </c>
      <c r="AC128" s="78" t="inlineStr">
        <is>
          <t>군산시</t>
        </is>
      </c>
      <c r="AD128" s="78" t="inlineStr">
        <is>
          <t>나운동</t>
        </is>
      </c>
      <c r="AG128" s="78" t="inlineStr">
        <is>
          <t>전라북도 군산시 의료원로 188</t>
        </is>
      </c>
      <c r="AH128" s="78" t="n">
        <v>0</v>
      </c>
      <c r="AI128" s="78" t="n">
        <v>0</v>
      </c>
      <c r="AJ128" s="78" t="n">
        <v>0</v>
      </c>
      <c r="AK128" s="78" t="n">
        <v>465</v>
      </c>
      <c r="AL128" s="78" t="n">
        <v>0.95</v>
      </c>
    </row>
    <row r="129">
      <c r="A129" s="78" t="inlineStr">
        <is>
          <t>[나운동]</t>
        </is>
      </c>
      <c r="B129" s="78" t="n">
        <v>5008</v>
      </c>
      <c r="C129" s="78" t="n">
        <v>1</v>
      </c>
      <c r="D129" s="78" t="inlineStr">
        <is>
          <t>주공3단지</t>
        </is>
      </c>
      <c r="E129" s="78" t="inlineStr">
        <is>
          <t>1983.12.</t>
        </is>
      </c>
      <c r="F129" s="78" t="n">
        <v>800</v>
      </c>
      <c r="G129" s="78" t="n">
        <v>14.38</v>
      </c>
      <c r="H129" s="78" t="n">
        <v>47.57</v>
      </c>
      <c r="I129" s="78" t="n">
        <v>14.38</v>
      </c>
      <c r="J129" s="78" t="n">
        <v>47.57</v>
      </c>
      <c r="K129" s="78" t="n">
        <v>25</v>
      </c>
      <c r="T129" s="78" t="n">
        <v>1</v>
      </c>
      <c r="U129" s="78" t="n">
        <v>1</v>
      </c>
      <c r="V129" s="78" t="inlineStr">
        <is>
          <t>계단식</t>
        </is>
      </c>
      <c r="W129" s="78" t="n">
        <v>47</v>
      </c>
      <c r="X129" s="78" t="n">
        <v>5</v>
      </c>
      <c r="Y129" s="78" t="n">
        <v>5</v>
      </c>
      <c r="Z129" s="78" t="inlineStr">
        <is>
          <t>https://new.land.naver.com/complexes/5008?tab=detail&amp;rf=Y</t>
        </is>
      </c>
      <c r="AA129" s="78" t="inlineStr">
        <is>
          <t>전라북도 군산시 나운동 835</t>
        </is>
      </c>
      <c r="AB129" s="78" t="inlineStr">
        <is>
          <t>전라북도</t>
        </is>
      </c>
      <c r="AC129" s="78" t="inlineStr">
        <is>
          <t>군산시</t>
        </is>
      </c>
      <c r="AD129" s="78" t="inlineStr">
        <is>
          <t>나운동</t>
        </is>
      </c>
      <c r="AG129" s="78" t="inlineStr">
        <is>
          <t>전라북도 군산시 하나운안1길 40</t>
        </is>
      </c>
      <c r="AH129" s="78" t="n">
        <v>0</v>
      </c>
      <c r="AI129" s="78" t="n">
        <v>0</v>
      </c>
      <c r="AJ129" s="78" t="n">
        <v>0</v>
      </c>
      <c r="AK129" s="78" t="n">
        <v>0</v>
      </c>
      <c r="AL129" s="78" t="n">
        <v>0</v>
      </c>
    </row>
    <row r="130">
      <c r="A130" s="78" t="inlineStr">
        <is>
          <t>[나운동]</t>
        </is>
      </c>
      <c r="B130" s="78" t="n">
        <v>5008</v>
      </c>
      <c r="C130" s="78" t="n">
        <v>2</v>
      </c>
      <c r="D130" s="78" t="inlineStr">
        <is>
          <t>주공3단지</t>
        </is>
      </c>
      <c r="E130" s="78" t="inlineStr">
        <is>
          <t>1983.12.</t>
        </is>
      </c>
      <c r="F130" s="78" t="n">
        <v>800</v>
      </c>
      <c r="G130" s="78" t="n">
        <v>16.22</v>
      </c>
      <c r="H130" s="78" t="n">
        <v>53.63</v>
      </c>
      <c r="I130" s="78" t="n">
        <v>14.7</v>
      </c>
      <c r="J130" s="78" t="n">
        <v>48.6</v>
      </c>
      <c r="K130" s="78" t="n">
        <v>136</v>
      </c>
      <c r="T130" s="78" t="n">
        <v>2</v>
      </c>
      <c r="U130" s="78" t="n">
        <v>1</v>
      </c>
      <c r="V130" s="78" t="inlineStr">
        <is>
          <t>계단식</t>
        </is>
      </c>
      <c r="W130" s="78" t="inlineStr">
        <is>
          <t>53A</t>
        </is>
      </c>
      <c r="X130" s="78" t="n">
        <v>5</v>
      </c>
      <c r="Y130" s="78" t="n">
        <v>5</v>
      </c>
      <c r="Z130" s="78" t="inlineStr">
        <is>
          <t>https://new.land.naver.com/complexes/5008?tab=detail&amp;rf=Y</t>
        </is>
      </c>
      <c r="AA130" s="78" t="inlineStr">
        <is>
          <t>전라북도 군산시 나운동 835</t>
        </is>
      </c>
      <c r="AB130" s="78" t="inlineStr">
        <is>
          <t>전라북도</t>
        </is>
      </c>
      <c r="AC130" s="78" t="inlineStr">
        <is>
          <t>군산시</t>
        </is>
      </c>
      <c r="AD130" s="78" t="inlineStr">
        <is>
          <t>나운동</t>
        </is>
      </c>
      <c r="AG130" s="78" t="inlineStr">
        <is>
          <t>전라북도 군산시 하나운안1길 40</t>
        </is>
      </c>
      <c r="AH130" s="78" t="n">
        <v>0</v>
      </c>
      <c r="AI130" s="78" t="n">
        <v>0</v>
      </c>
      <c r="AJ130" s="78" t="n">
        <v>0</v>
      </c>
      <c r="AK130" s="78" t="n">
        <v>0</v>
      </c>
      <c r="AL130" s="78" t="n">
        <v>0</v>
      </c>
    </row>
    <row r="131">
      <c r="A131" s="78" t="inlineStr">
        <is>
          <t>[나운동]</t>
        </is>
      </c>
      <c r="B131" s="78" t="n">
        <v>5008</v>
      </c>
      <c r="C131" s="78" t="n">
        <v>3</v>
      </c>
      <c r="D131" s="78" t="inlineStr">
        <is>
          <t>주공3단지</t>
        </is>
      </c>
      <c r="E131" s="78" t="inlineStr">
        <is>
          <t>1983.12.</t>
        </is>
      </c>
      <c r="F131" s="78" t="n">
        <v>800</v>
      </c>
      <c r="G131" s="78" t="n">
        <v>16.37</v>
      </c>
      <c r="H131" s="78" t="n">
        <v>54.12</v>
      </c>
      <c r="I131" s="78" t="n">
        <v>16.37</v>
      </c>
      <c r="J131" s="78" t="n">
        <v>54.12</v>
      </c>
      <c r="K131" s="78" t="n">
        <v>115</v>
      </c>
      <c r="T131" s="78" t="n">
        <v>2</v>
      </c>
      <c r="U131" s="78" t="n">
        <v>1</v>
      </c>
      <c r="V131" s="78" t="inlineStr">
        <is>
          <t>계단식</t>
        </is>
      </c>
      <c r="W131" s="78" t="inlineStr">
        <is>
          <t>54B</t>
        </is>
      </c>
      <c r="X131" s="78" t="n">
        <v>5</v>
      </c>
      <c r="Y131" s="78" t="n">
        <v>5</v>
      </c>
      <c r="Z131" s="78" t="inlineStr">
        <is>
          <t>https://new.land.naver.com/complexes/5008?tab=detail&amp;rf=Y</t>
        </is>
      </c>
      <c r="AA131" s="78" t="inlineStr">
        <is>
          <t>전라북도 군산시 나운동 835</t>
        </is>
      </c>
      <c r="AB131" s="78" t="inlineStr">
        <is>
          <t>전라북도</t>
        </is>
      </c>
      <c r="AC131" s="78" t="inlineStr">
        <is>
          <t>군산시</t>
        </is>
      </c>
      <c r="AD131" s="78" t="inlineStr">
        <is>
          <t>나운동</t>
        </is>
      </c>
      <c r="AG131" s="78" t="inlineStr">
        <is>
          <t>전라북도 군산시 하나운안1길 40</t>
        </is>
      </c>
      <c r="AH131" s="78" t="n">
        <v>0</v>
      </c>
      <c r="AI131" s="78" t="n">
        <v>0</v>
      </c>
      <c r="AJ131" s="78" t="n">
        <v>0</v>
      </c>
      <c r="AK131" s="78" t="n">
        <v>0</v>
      </c>
      <c r="AL131" s="78" t="n">
        <v>0</v>
      </c>
    </row>
    <row r="132">
      <c r="A132" s="78" t="inlineStr">
        <is>
          <t>[나운동]</t>
        </is>
      </c>
      <c r="B132" s="78" t="n">
        <v>5008</v>
      </c>
      <c r="C132" s="78" t="n">
        <v>4</v>
      </c>
      <c r="D132" s="78" t="inlineStr">
        <is>
          <t>주공3단지</t>
        </is>
      </c>
      <c r="E132" s="78" t="inlineStr">
        <is>
          <t>1983.12.</t>
        </is>
      </c>
      <c r="F132" s="78" t="n">
        <v>800</v>
      </c>
      <c r="G132" s="78" t="n">
        <v>16.56</v>
      </c>
      <c r="H132" s="78" t="n">
        <v>54.77</v>
      </c>
      <c r="I132" s="78" t="n">
        <v>16.56</v>
      </c>
      <c r="J132" s="78" t="n">
        <v>54.77</v>
      </c>
      <c r="K132" s="78" t="n">
        <v>100</v>
      </c>
      <c r="T132" s="78" t="n">
        <v>2</v>
      </c>
      <c r="U132" s="78" t="n">
        <v>1</v>
      </c>
      <c r="V132" s="78" t="inlineStr">
        <is>
          <t>계단식</t>
        </is>
      </c>
      <c r="W132" s="78" t="n">
        <v>54</v>
      </c>
      <c r="X132" s="78" t="n">
        <v>5</v>
      </c>
      <c r="Y132" s="78" t="n">
        <v>5</v>
      </c>
      <c r="Z132" s="78" t="inlineStr">
        <is>
          <t>https://new.land.naver.com/complexes/5008?tab=detail&amp;rf=Y</t>
        </is>
      </c>
      <c r="AA132" s="78" t="inlineStr">
        <is>
          <t>전라북도 군산시 나운동 835</t>
        </is>
      </c>
      <c r="AB132" s="78" t="inlineStr">
        <is>
          <t>전라북도</t>
        </is>
      </c>
      <c r="AC132" s="78" t="inlineStr">
        <is>
          <t>군산시</t>
        </is>
      </c>
      <c r="AD132" s="78" t="inlineStr">
        <is>
          <t>나운동</t>
        </is>
      </c>
      <c r="AG132" s="78" t="inlineStr">
        <is>
          <t>전라북도 군산시 하나운안1길 40</t>
        </is>
      </c>
      <c r="AH132" s="78" t="n">
        <v>0</v>
      </c>
      <c r="AI132" s="78" t="n">
        <v>0</v>
      </c>
      <c r="AJ132" s="78" t="n">
        <v>0</v>
      </c>
      <c r="AK132" s="78" t="n">
        <v>0</v>
      </c>
      <c r="AL132" s="78" t="n">
        <v>0</v>
      </c>
    </row>
    <row r="133">
      <c r="A133" s="78" t="inlineStr">
        <is>
          <t>[나운동]</t>
        </is>
      </c>
      <c r="B133" s="78" t="n">
        <v>5008</v>
      </c>
      <c r="C133" s="78" t="n">
        <v>5</v>
      </c>
      <c r="D133" s="78" t="inlineStr">
        <is>
          <t>주공3단지</t>
        </is>
      </c>
      <c r="E133" s="78" t="inlineStr">
        <is>
          <t>1983.12.</t>
        </is>
      </c>
      <c r="F133" s="78" t="n">
        <v>800</v>
      </c>
      <c r="G133" s="78" t="n">
        <v>16.44</v>
      </c>
      <c r="H133" s="78" t="n">
        <v>54.38</v>
      </c>
      <c r="I133" s="78" t="n">
        <v>16.44</v>
      </c>
      <c r="J133" s="78" t="n">
        <v>54.38</v>
      </c>
      <c r="K133" s="78" t="n">
        <v>43</v>
      </c>
      <c r="T133" s="78" t="n">
        <v>3</v>
      </c>
      <c r="U133" s="78" t="n">
        <v>1</v>
      </c>
      <c r="V133" s="78" t="inlineStr">
        <is>
          <t>계단식</t>
        </is>
      </c>
      <c r="W133" s="78" t="inlineStr">
        <is>
          <t>54C</t>
        </is>
      </c>
      <c r="X133" s="78" t="n">
        <v>5</v>
      </c>
      <c r="Y133" s="78" t="n">
        <v>5</v>
      </c>
      <c r="Z133" s="78" t="inlineStr">
        <is>
          <t>https://new.land.naver.com/complexes/5008?tab=detail&amp;rf=Y</t>
        </is>
      </c>
      <c r="AA133" s="78" t="inlineStr">
        <is>
          <t>전라북도 군산시 나운동 835</t>
        </is>
      </c>
      <c r="AB133" s="78" t="inlineStr">
        <is>
          <t>전라북도</t>
        </is>
      </c>
      <c r="AC133" s="78" t="inlineStr">
        <is>
          <t>군산시</t>
        </is>
      </c>
      <c r="AD133" s="78" t="inlineStr">
        <is>
          <t>나운동</t>
        </is>
      </c>
      <c r="AG133" s="78" t="inlineStr">
        <is>
          <t>전라북도 군산시 하나운안1길 40</t>
        </is>
      </c>
      <c r="AH133" s="78" t="n">
        <v>0</v>
      </c>
      <c r="AI133" s="78" t="n">
        <v>0</v>
      </c>
      <c r="AJ133" s="78" t="n">
        <v>0</v>
      </c>
      <c r="AK133" s="78" t="n">
        <v>0</v>
      </c>
      <c r="AL133" s="78" t="n">
        <v>0</v>
      </c>
    </row>
    <row r="134">
      <c r="A134" s="78" t="inlineStr">
        <is>
          <t>[나운동]</t>
        </is>
      </c>
      <c r="B134" s="78" t="n">
        <v>5008</v>
      </c>
      <c r="C134" s="78" t="n">
        <v>6</v>
      </c>
      <c r="D134" s="78" t="inlineStr">
        <is>
          <t>주공3단지</t>
        </is>
      </c>
      <c r="E134" s="78" t="inlineStr">
        <is>
          <t>1983.12.</t>
        </is>
      </c>
      <c r="F134" s="78" t="n">
        <v>800</v>
      </c>
      <c r="G134" s="78" t="n">
        <v>18.62</v>
      </c>
      <c r="H134" s="78" t="n">
        <v>61.57</v>
      </c>
      <c r="I134" s="78" t="n">
        <v>16.87</v>
      </c>
      <c r="J134" s="78" t="n">
        <v>55.8</v>
      </c>
      <c r="K134" s="78" t="n">
        <v>112</v>
      </c>
      <c r="T134" s="78" t="n">
        <v>3</v>
      </c>
      <c r="U134" s="78" t="n">
        <v>1</v>
      </c>
      <c r="V134" s="78" t="inlineStr">
        <is>
          <t>계단식</t>
        </is>
      </c>
      <c r="W134" s="78" t="inlineStr">
        <is>
          <t>61A</t>
        </is>
      </c>
      <c r="X134" s="78" t="n">
        <v>5</v>
      </c>
      <c r="Y134" s="78" t="n">
        <v>5</v>
      </c>
      <c r="Z134" s="78" t="inlineStr">
        <is>
          <t>https://new.land.naver.com/complexes/5008?tab=detail&amp;rf=Y</t>
        </is>
      </c>
      <c r="AA134" s="78" t="inlineStr">
        <is>
          <t>전라북도 군산시 나운동 835</t>
        </is>
      </c>
      <c r="AB134" s="78" t="inlineStr">
        <is>
          <t>전라북도</t>
        </is>
      </c>
      <c r="AC134" s="78" t="inlineStr">
        <is>
          <t>군산시</t>
        </is>
      </c>
      <c r="AD134" s="78" t="inlineStr">
        <is>
          <t>나운동</t>
        </is>
      </c>
      <c r="AG134" s="78" t="inlineStr">
        <is>
          <t>전라북도 군산시 하나운안1길 40</t>
        </is>
      </c>
      <c r="AH134" s="78" t="n">
        <v>0</v>
      </c>
      <c r="AI134" s="78" t="n">
        <v>0</v>
      </c>
      <c r="AJ134" s="78" t="n">
        <v>0</v>
      </c>
      <c r="AK134" s="78" t="n">
        <v>0</v>
      </c>
      <c r="AL134" s="78" t="n">
        <v>0</v>
      </c>
    </row>
    <row r="135">
      <c r="A135" s="78" t="inlineStr">
        <is>
          <t>[나운동]</t>
        </is>
      </c>
      <c r="B135" s="78" t="n">
        <v>5008</v>
      </c>
      <c r="C135" s="78" t="n">
        <v>7</v>
      </c>
      <c r="D135" s="78" t="inlineStr">
        <is>
          <t>주공3단지</t>
        </is>
      </c>
      <c r="E135" s="78" t="inlineStr">
        <is>
          <t>1983.12.</t>
        </is>
      </c>
      <c r="F135" s="78" t="n">
        <v>800</v>
      </c>
      <c r="G135" s="78" t="n">
        <v>18.62</v>
      </c>
      <c r="H135" s="78" t="n">
        <v>61.57</v>
      </c>
      <c r="I135" s="78" t="n">
        <v>18.62</v>
      </c>
      <c r="J135" s="78" t="n">
        <v>61.57</v>
      </c>
      <c r="K135" s="78" t="n">
        <v>1</v>
      </c>
      <c r="T135" s="78" t="n">
        <v>3</v>
      </c>
      <c r="U135" s="78" t="n">
        <v>1</v>
      </c>
      <c r="V135" s="78" t="inlineStr">
        <is>
          <t>계단식</t>
        </is>
      </c>
      <c r="W135" s="78" t="inlineStr">
        <is>
          <t>61B</t>
        </is>
      </c>
      <c r="X135" s="78" t="n">
        <v>5</v>
      </c>
      <c r="Y135" s="78" t="n">
        <v>5</v>
      </c>
      <c r="Z135" s="78" t="inlineStr">
        <is>
          <t>https://new.land.naver.com/complexes/5008?tab=detail&amp;rf=Y</t>
        </is>
      </c>
      <c r="AA135" s="78" t="inlineStr">
        <is>
          <t>전라북도 군산시 나운동 835</t>
        </is>
      </c>
      <c r="AB135" s="78" t="inlineStr">
        <is>
          <t>전라북도</t>
        </is>
      </c>
      <c r="AC135" s="78" t="inlineStr">
        <is>
          <t>군산시</t>
        </is>
      </c>
      <c r="AD135" s="78" t="inlineStr">
        <is>
          <t>나운동</t>
        </is>
      </c>
      <c r="AG135" s="78" t="inlineStr">
        <is>
          <t>전라북도 군산시 하나운안1길 40</t>
        </is>
      </c>
      <c r="AH135" s="78" t="n">
        <v>0</v>
      </c>
      <c r="AI135" s="78" t="n">
        <v>0</v>
      </c>
      <c r="AJ135" s="78" t="n">
        <v>0</v>
      </c>
      <c r="AK135" s="78" t="n">
        <v>0</v>
      </c>
      <c r="AL135" s="78" t="n">
        <v>0</v>
      </c>
    </row>
    <row r="136">
      <c r="A136" s="78" t="inlineStr">
        <is>
          <t>[나운동]</t>
        </is>
      </c>
      <c r="B136" s="78" t="n">
        <v>5008</v>
      </c>
      <c r="C136" s="78" t="n">
        <v>8</v>
      </c>
      <c r="D136" s="78" t="inlineStr">
        <is>
          <t>주공3단지</t>
        </is>
      </c>
      <c r="E136" s="78" t="inlineStr">
        <is>
          <t>1983.12.</t>
        </is>
      </c>
      <c r="F136" s="78" t="n">
        <v>800</v>
      </c>
      <c r="G136" s="78" t="n">
        <v>18.88</v>
      </c>
      <c r="H136" s="78" t="n">
        <v>62.43</v>
      </c>
      <c r="I136" s="78" t="n">
        <v>18.88</v>
      </c>
      <c r="J136" s="78" t="n">
        <v>62.43</v>
      </c>
      <c r="K136" s="78" t="n">
        <v>28</v>
      </c>
      <c r="T136" s="78" t="n">
        <v>3</v>
      </c>
      <c r="U136" s="78" t="n">
        <v>1</v>
      </c>
      <c r="V136" s="78" t="inlineStr">
        <is>
          <t>계단식</t>
        </is>
      </c>
      <c r="W136" s="78" t="inlineStr">
        <is>
          <t>62C</t>
        </is>
      </c>
      <c r="X136" s="78" t="n">
        <v>5</v>
      </c>
      <c r="Y136" s="78" t="n">
        <v>5</v>
      </c>
      <c r="Z136" s="78" t="inlineStr">
        <is>
          <t>https://new.land.naver.com/complexes/5008?tab=detail&amp;rf=Y</t>
        </is>
      </c>
      <c r="AA136" s="78" t="inlineStr">
        <is>
          <t>전라북도 군산시 나운동 835</t>
        </is>
      </c>
      <c r="AB136" s="78" t="inlineStr">
        <is>
          <t>전라북도</t>
        </is>
      </c>
      <c r="AC136" s="78" t="inlineStr">
        <is>
          <t>군산시</t>
        </is>
      </c>
      <c r="AD136" s="78" t="inlineStr">
        <is>
          <t>나운동</t>
        </is>
      </c>
      <c r="AG136" s="78" t="inlineStr">
        <is>
          <t>전라북도 군산시 하나운안1길 40</t>
        </is>
      </c>
      <c r="AH136" s="78" t="n">
        <v>0</v>
      </c>
      <c r="AI136" s="78" t="n">
        <v>0</v>
      </c>
      <c r="AJ136" s="78" t="n">
        <v>0</v>
      </c>
      <c r="AK136" s="78" t="n">
        <v>0</v>
      </c>
      <c r="AL136" s="78" t="n">
        <v>0</v>
      </c>
    </row>
    <row r="137">
      <c r="A137" s="78" t="inlineStr">
        <is>
          <t>[나운동]</t>
        </is>
      </c>
      <c r="B137" s="78" t="n">
        <v>5008</v>
      </c>
      <c r="C137" s="78" t="n">
        <v>9</v>
      </c>
      <c r="D137" s="78" t="inlineStr">
        <is>
          <t>주공3단지</t>
        </is>
      </c>
      <c r="E137" s="78" t="inlineStr">
        <is>
          <t>1983.12.</t>
        </is>
      </c>
      <c r="F137" s="78" t="n">
        <v>800</v>
      </c>
      <c r="G137" s="78" t="n">
        <v>19.96</v>
      </c>
      <c r="H137" s="78" t="n">
        <v>65.98999999999999</v>
      </c>
      <c r="I137" s="78" t="n">
        <v>19.96</v>
      </c>
      <c r="J137" s="78" t="n">
        <v>65.98999999999999</v>
      </c>
      <c r="K137" s="78" t="n">
        <v>125</v>
      </c>
      <c r="T137" s="78" t="n">
        <v>3</v>
      </c>
      <c r="U137" s="78" t="n">
        <v>1</v>
      </c>
      <c r="V137" s="78" t="inlineStr">
        <is>
          <t>계단식</t>
        </is>
      </c>
      <c r="W137" s="78" t="inlineStr">
        <is>
          <t>65B</t>
        </is>
      </c>
      <c r="X137" s="78" t="n">
        <v>5</v>
      </c>
      <c r="Y137" s="78" t="n">
        <v>5</v>
      </c>
      <c r="Z137" s="78" t="inlineStr">
        <is>
          <t>https://new.land.naver.com/complexes/5008?tab=detail&amp;rf=Y</t>
        </is>
      </c>
      <c r="AA137" s="78" t="inlineStr">
        <is>
          <t>전라북도 군산시 나운동 835</t>
        </is>
      </c>
      <c r="AB137" s="78" t="inlineStr">
        <is>
          <t>전라북도</t>
        </is>
      </c>
      <c r="AC137" s="78" t="inlineStr">
        <is>
          <t>군산시</t>
        </is>
      </c>
      <c r="AD137" s="78" t="inlineStr">
        <is>
          <t>나운동</t>
        </is>
      </c>
      <c r="AG137" s="78" t="inlineStr">
        <is>
          <t>전라북도 군산시 하나운안1길 40</t>
        </is>
      </c>
      <c r="AH137" s="78" t="n">
        <v>0</v>
      </c>
      <c r="AI137" s="78" t="n">
        <v>0</v>
      </c>
      <c r="AJ137" s="78" t="n">
        <v>0</v>
      </c>
      <c r="AK137" s="78" t="n">
        <v>0</v>
      </c>
      <c r="AL137" s="78" t="n">
        <v>0</v>
      </c>
    </row>
    <row r="138">
      <c r="A138" s="78" t="inlineStr">
        <is>
          <t>[나운동]</t>
        </is>
      </c>
      <c r="B138" s="78" t="n">
        <v>5008</v>
      </c>
      <c r="C138" s="78" t="n">
        <v>10</v>
      </c>
      <c r="D138" s="78" t="inlineStr">
        <is>
          <t>주공3단지</t>
        </is>
      </c>
      <c r="E138" s="78" t="inlineStr">
        <is>
          <t>1983.12.</t>
        </is>
      </c>
      <c r="F138" s="78" t="n">
        <v>800</v>
      </c>
      <c r="G138" s="78" t="n">
        <v>19.72</v>
      </c>
      <c r="H138" s="78" t="n">
        <v>65.2</v>
      </c>
      <c r="I138" s="78" t="n">
        <v>19.72</v>
      </c>
      <c r="J138" s="78" t="n">
        <v>65.2</v>
      </c>
      <c r="K138" s="78" t="n">
        <v>115</v>
      </c>
      <c r="T138" s="78" t="n">
        <v>3</v>
      </c>
      <c r="U138" s="78" t="n">
        <v>1</v>
      </c>
      <c r="V138" s="78" t="inlineStr">
        <is>
          <t>계단식</t>
        </is>
      </c>
      <c r="W138" s="78" t="inlineStr">
        <is>
          <t>65A</t>
        </is>
      </c>
      <c r="X138" s="78" t="n">
        <v>5</v>
      </c>
      <c r="Y138" s="78" t="n">
        <v>5</v>
      </c>
      <c r="Z138" s="78" t="inlineStr">
        <is>
          <t>https://new.land.naver.com/complexes/5008?tab=detail&amp;rf=Y</t>
        </is>
      </c>
      <c r="AA138" s="78" t="inlineStr">
        <is>
          <t>전라북도 군산시 나운동 835</t>
        </is>
      </c>
      <c r="AB138" s="78" t="inlineStr">
        <is>
          <t>전라북도</t>
        </is>
      </c>
      <c r="AC138" s="78" t="inlineStr">
        <is>
          <t>군산시</t>
        </is>
      </c>
      <c r="AD138" s="78" t="inlineStr">
        <is>
          <t>나운동</t>
        </is>
      </c>
      <c r="AG138" s="78" t="inlineStr">
        <is>
          <t>전라북도 군산시 하나운안1길 40</t>
        </is>
      </c>
      <c r="AH138" s="78" t="n">
        <v>0</v>
      </c>
      <c r="AI138" s="78" t="n">
        <v>0</v>
      </c>
      <c r="AJ138" s="78" t="n">
        <v>0</v>
      </c>
      <c r="AK138" s="78" t="n">
        <v>0</v>
      </c>
      <c r="AL138" s="78" t="n">
        <v>0</v>
      </c>
    </row>
    <row r="139">
      <c r="A139" s="78" t="inlineStr">
        <is>
          <t>[나운동]</t>
        </is>
      </c>
      <c r="B139" s="78" t="n">
        <v>125648</v>
      </c>
      <c r="C139" s="78" t="n">
        <v>1</v>
      </c>
      <c r="D139" s="78" t="inlineStr">
        <is>
          <t>청남하이츠빌리지</t>
        </is>
      </c>
      <c r="E139" s="78" t="inlineStr">
        <is>
          <t>1994.01.</t>
        </is>
      </c>
      <c r="F139" s="78" t="n">
        <v>16</v>
      </c>
      <c r="G139" s="78" t="n">
        <v>44.75</v>
      </c>
      <c r="H139" s="78" t="n">
        <v>147.95</v>
      </c>
      <c r="I139" s="78" t="n">
        <v>40.76</v>
      </c>
      <c r="J139" s="78" t="n">
        <v>134.75</v>
      </c>
      <c r="K139" s="78" t="n">
        <v>3</v>
      </c>
      <c r="T139" s="78" t="n">
        <v>3</v>
      </c>
      <c r="U139" s="78" t="n">
        <v>2</v>
      </c>
      <c r="V139" s="78" t="inlineStr">
        <is>
          <t>계단식</t>
        </is>
      </c>
      <c r="W139" s="78" t="inlineStr">
        <is>
          <t>147A</t>
        </is>
      </c>
      <c r="X139" s="78" t="n">
        <v>4</v>
      </c>
      <c r="Y139" s="78" t="n">
        <v>3</v>
      </c>
      <c r="Z139" s="78" t="inlineStr">
        <is>
          <t>https://new.land.naver.com/complexes/125648?tab=detail&amp;rf=Y</t>
        </is>
      </c>
      <c r="AA139" s="78" t="inlineStr">
        <is>
          <t>전라북도 군산시 나운동 772-1</t>
        </is>
      </c>
      <c r="AB139" s="78" t="inlineStr">
        <is>
          <t>전라북도</t>
        </is>
      </c>
      <c r="AC139" s="78" t="inlineStr">
        <is>
          <t>군산시</t>
        </is>
      </c>
      <c r="AD139" s="78" t="inlineStr">
        <is>
          <t>나운동</t>
        </is>
      </c>
      <c r="AG139" s="78" t="inlineStr">
        <is>
          <t>전라북도 군산시 신설로 57</t>
        </is>
      </c>
      <c r="AH139" s="78" t="n">
        <v>0</v>
      </c>
      <c r="AI139" s="78" t="n">
        <v>195</v>
      </c>
      <c r="AJ139" s="78" t="n">
        <v>54</v>
      </c>
      <c r="AK139" s="78" t="n">
        <v>23</v>
      </c>
      <c r="AL139" s="78" t="n">
        <v>1.44</v>
      </c>
    </row>
    <row r="140">
      <c r="A140" s="78" t="inlineStr">
        <is>
          <t>[나운동]</t>
        </is>
      </c>
      <c r="B140" s="78" t="n">
        <v>125648</v>
      </c>
      <c r="C140" s="78" t="n">
        <v>2</v>
      </c>
      <c r="D140" s="78" t="inlineStr">
        <is>
          <t>청남하이츠빌리지</t>
        </is>
      </c>
      <c r="E140" s="78" t="inlineStr">
        <is>
          <t>1994.01.</t>
        </is>
      </c>
      <c r="F140" s="78" t="n">
        <v>16</v>
      </c>
      <c r="G140" s="78" t="n">
        <v>44.75</v>
      </c>
      <c r="H140" s="78" t="n">
        <v>147.95</v>
      </c>
      <c r="I140" s="78" t="n">
        <v>40.76</v>
      </c>
      <c r="J140" s="78" t="n">
        <v>134.75</v>
      </c>
      <c r="K140" s="78" t="n">
        <v>1</v>
      </c>
      <c r="T140" s="78" t="n">
        <v>3</v>
      </c>
      <c r="U140" s="78" t="n">
        <v>2</v>
      </c>
      <c r="V140" s="78" t="inlineStr">
        <is>
          <t>계단식</t>
        </is>
      </c>
      <c r="W140" s="78" t="inlineStr">
        <is>
          <t>147B</t>
        </is>
      </c>
      <c r="X140" s="78" t="n">
        <v>4</v>
      </c>
      <c r="Y140" s="78" t="n">
        <v>3</v>
      </c>
      <c r="Z140" s="78" t="inlineStr">
        <is>
          <t>https://new.land.naver.com/complexes/125648?tab=detail&amp;rf=Y</t>
        </is>
      </c>
      <c r="AA140" s="78" t="inlineStr">
        <is>
          <t>전라북도 군산시 나운동 772-1</t>
        </is>
      </c>
      <c r="AB140" s="78" t="inlineStr">
        <is>
          <t>전라북도</t>
        </is>
      </c>
      <c r="AC140" s="78" t="inlineStr">
        <is>
          <t>군산시</t>
        </is>
      </c>
      <c r="AD140" s="78" t="inlineStr">
        <is>
          <t>나운동</t>
        </is>
      </c>
      <c r="AG140" s="78" t="inlineStr">
        <is>
          <t>전라북도 군산시 신설로 57</t>
        </is>
      </c>
      <c r="AH140" s="78" t="n">
        <v>0</v>
      </c>
      <c r="AI140" s="78" t="n">
        <v>195</v>
      </c>
      <c r="AJ140" s="78" t="n">
        <v>54</v>
      </c>
      <c r="AK140" s="78" t="n">
        <v>23</v>
      </c>
      <c r="AL140" s="78" t="n">
        <v>1.44</v>
      </c>
    </row>
    <row r="141">
      <c r="A141" s="78" t="inlineStr">
        <is>
          <t>[나운동]</t>
        </is>
      </c>
      <c r="B141" s="78" t="n">
        <v>125648</v>
      </c>
      <c r="C141" s="78" t="n">
        <v>3</v>
      </c>
      <c r="D141" s="78" t="inlineStr">
        <is>
          <t>청남하이츠빌리지</t>
        </is>
      </c>
      <c r="E141" s="78" t="inlineStr">
        <is>
          <t>1994.01.</t>
        </is>
      </c>
      <c r="F141" s="78" t="n">
        <v>16</v>
      </c>
      <c r="G141" s="78" t="n">
        <v>44.8</v>
      </c>
      <c r="H141" s="78" t="n">
        <v>148.13</v>
      </c>
      <c r="I141" s="78" t="n">
        <v>40.81</v>
      </c>
      <c r="J141" s="78" t="n">
        <v>134.93</v>
      </c>
      <c r="K141" s="78" t="n">
        <v>4</v>
      </c>
      <c r="T141" s="78" t="n">
        <v>3</v>
      </c>
      <c r="U141" s="78" t="n">
        <v>2</v>
      </c>
      <c r="V141" s="78" t="inlineStr">
        <is>
          <t>계단식</t>
        </is>
      </c>
      <c r="W141" s="78" t="inlineStr">
        <is>
          <t>148C</t>
        </is>
      </c>
      <c r="X141" s="78" t="n">
        <v>4</v>
      </c>
      <c r="Y141" s="78" t="n">
        <v>3</v>
      </c>
      <c r="Z141" s="78" t="inlineStr">
        <is>
          <t>https://new.land.naver.com/complexes/125648?tab=detail&amp;rf=Y</t>
        </is>
      </c>
      <c r="AA141" s="78" t="inlineStr">
        <is>
          <t>전라북도 군산시 나운동 772-1</t>
        </is>
      </c>
      <c r="AB141" s="78" t="inlineStr">
        <is>
          <t>전라북도</t>
        </is>
      </c>
      <c r="AC141" s="78" t="inlineStr">
        <is>
          <t>군산시</t>
        </is>
      </c>
      <c r="AD141" s="78" t="inlineStr">
        <is>
          <t>나운동</t>
        </is>
      </c>
      <c r="AG141" s="78" t="inlineStr">
        <is>
          <t>전라북도 군산시 신설로 57</t>
        </is>
      </c>
      <c r="AH141" s="78" t="n">
        <v>0</v>
      </c>
      <c r="AI141" s="78" t="n">
        <v>195</v>
      </c>
      <c r="AJ141" s="78" t="n">
        <v>54</v>
      </c>
      <c r="AK141" s="78" t="n">
        <v>23</v>
      </c>
      <c r="AL141" s="78" t="n">
        <v>1.44</v>
      </c>
    </row>
    <row r="142">
      <c r="A142" s="78" t="inlineStr">
        <is>
          <t>[나운동]</t>
        </is>
      </c>
      <c r="B142" s="78" t="n">
        <v>125648</v>
      </c>
      <c r="C142" s="78" t="n">
        <v>4</v>
      </c>
      <c r="D142" s="78" t="inlineStr">
        <is>
          <t>청남하이츠빌리지</t>
        </is>
      </c>
      <c r="E142" s="78" t="inlineStr">
        <is>
          <t>1994.01.</t>
        </is>
      </c>
      <c r="F142" s="78" t="n">
        <v>16</v>
      </c>
      <c r="G142" s="78" t="n">
        <v>45.3</v>
      </c>
      <c r="H142" s="78" t="n">
        <v>149.78</v>
      </c>
      <c r="I142" s="78" t="n">
        <v>40.81</v>
      </c>
      <c r="J142" s="78" t="n">
        <v>134.93</v>
      </c>
      <c r="K142" s="78" t="n">
        <v>4</v>
      </c>
      <c r="T142" s="78" t="n">
        <v>3</v>
      </c>
      <c r="U142" s="78" t="n">
        <v>2</v>
      </c>
      <c r="V142" s="78" t="inlineStr">
        <is>
          <t>계단식</t>
        </is>
      </c>
      <c r="W142" s="78" t="inlineStr">
        <is>
          <t>149D</t>
        </is>
      </c>
      <c r="X142" s="78" t="n">
        <v>4</v>
      </c>
      <c r="Y142" s="78" t="n">
        <v>3</v>
      </c>
      <c r="Z142" s="78" t="inlineStr">
        <is>
          <t>https://new.land.naver.com/complexes/125648?tab=detail&amp;rf=Y</t>
        </is>
      </c>
      <c r="AA142" s="78" t="inlineStr">
        <is>
          <t>전라북도 군산시 나운동 772-1</t>
        </is>
      </c>
      <c r="AB142" s="78" t="inlineStr">
        <is>
          <t>전라북도</t>
        </is>
      </c>
      <c r="AC142" s="78" t="inlineStr">
        <is>
          <t>군산시</t>
        </is>
      </c>
      <c r="AD142" s="78" t="inlineStr">
        <is>
          <t>나운동</t>
        </is>
      </c>
      <c r="AG142" s="78" t="inlineStr">
        <is>
          <t>전라북도 군산시 신설로 57</t>
        </is>
      </c>
      <c r="AH142" s="78" t="n">
        <v>0</v>
      </c>
      <c r="AI142" s="78" t="n">
        <v>195</v>
      </c>
      <c r="AJ142" s="78" t="n">
        <v>54</v>
      </c>
      <c r="AK142" s="78" t="n">
        <v>23</v>
      </c>
      <c r="AL142" s="78" t="n">
        <v>1.44</v>
      </c>
    </row>
    <row r="143">
      <c r="A143" s="78" t="inlineStr">
        <is>
          <t>[나운동]</t>
        </is>
      </c>
      <c r="B143" s="78" t="n">
        <v>125648</v>
      </c>
      <c r="C143" s="78" t="n">
        <v>5</v>
      </c>
      <c r="D143" s="78" t="inlineStr">
        <is>
          <t>청남하이츠빌리지</t>
        </is>
      </c>
      <c r="E143" s="78" t="inlineStr">
        <is>
          <t>1994.01.</t>
        </is>
      </c>
      <c r="F143" s="78" t="n">
        <v>16</v>
      </c>
      <c r="G143" s="78" t="n">
        <v>46.04</v>
      </c>
      <c r="H143" s="78" t="n">
        <v>152.22</v>
      </c>
      <c r="I143" s="78" t="n">
        <v>41.55</v>
      </c>
      <c r="J143" s="78" t="n">
        <v>137.37</v>
      </c>
      <c r="K143" s="78" t="n">
        <v>4</v>
      </c>
      <c r="T143" s="78" t="n">
        <v>3</v>
      </c>
      <c r="U143" s="78" t="n">
        <v>2</v>
      </c>
      <c r="V143" s="78" t="inlineStr">
        <is>
          <t>계단식</t>
        </is>
      </c>
      <c r="W143" s="78" t="n">
        <v>152</v>
      </c>
      <c r="X143" s="78" t="n">
        <v>4</v>
      </c>
      <c r="Y143" s="78" t="n">
        <v>3</v>
      </c>
      <c r="Z143" s="78" t="inlineStr">
        <is>
          <t>https://new.land.naver.com/complexes/125648?tab=detail&amp;rf=Y</t>
        </is>
      </c>
      <c r="AA143" s="78" t="inlineStr">
        <is>
          <t>전라북도 군산시 나운동 772-1</t>
        </is>
      </c>
      <c r="AB143" s="78" t="inlineStr">
        <is>
          <t>전라북도</t>
        </is>
      </c>
      <c r="AC143" s="78" t="inlineStr">
        <is>
          <t>군산시</t>
        </is>
      </c>
      <c r="AD143" s="78" t="inlineStr">
        <is>
          <t>나운동</t>
        </is>
      </c>
      <c r="AG143" s="78" t="inlineStr">
        <is>
          <t>전라북도 군산시 신설로 57</t>
        </is>
      </c>
      <c r="AH143" s="78" t="n">
        <v>0</v>
      </c>
      <c r="AI143" s="78" t="n">
        <v>195</v>
      </c>
      <c r="AJ143" s="78" t="n">
        <v>54</v>
      </c>
      <c r="AK143" s="78" t="n">
        <v>23</v>
      </c>
      <c r="AL143" s="78" t="n">
        <v>1.44</v>
      </c>
    </row>
    <row r="144">
      <c r="A144" s="78" t="inlineStr">
        <is>
          <t>[나운동]</t>
        </is>
      </c>
      <c r="B144" s="78" t="n">
        <v>101461</v>
      </c>
      <c r="C144" s="78" t="n">
        <v>1</v>
      </c>
      <c r="D144" s="78" t="inlineStr">
        <is>
          <t>나운보람더하임</t>
        </is>
      </c>
      <c r="E144" s="78" t="inlineStr">
        <is>
          <t>2010.03.</t>
        </is>
      </c>
      <c r="F144" s="78" t="n">
        <v>437</v>
      </c>
      <c r="G144" s="78" t="n">
        <v>23.58</v>
      </c>
      <c r="H144" s="78" t="n">
        <v>77.97</v>
      </c>
      <c r="I144" s="78" t="n">
        <v>18.1</v>
      </c>
      <c r="J144" s="78" t="n">
        <v>59.86</v>
      </c>
      <c r="K144" s="78" t="n">
        <v>155</v>
      </c>
      <c r="T144" s="78" t="n">
        <v>3</v>
      </c>
      <c r="U144" s="78" t="n">
        <v>2</v>
      </c>
      <c r="V144" s="78" t="inlineStr">
        <is>
          <t>계단식</t>
        </is>
      </c>
      <c r="W144" s="78" t="n">
        <v>77</v>
      </c>
      <c r="X144" s="78" t="n">
        <v>15</v>
      </c>
      <c r="Y144" s="78" t="n">
        <v>10</v>
      </c>
      <c r="Z144" s="78" t="inlineStr">
        <is>
          <t>https://new.land.naver.com/complexes/101461?tab=detail&amp;rf=Y</t>
        </is>
      </c>
      <c r="AA144" s="78" t="inlineStr">
        <is>
          <t>전라북도 군산시 나운동 1556</t>
        </is>
      </c>
      <c r="AB144" s="78" t="inlineStr">
        <is>
          <t>전라북도</t>
        </is>
      </c>
      <c r="AC144" s="78" t="inlineStr">
        <is>
          <t>군산시</t>
        </is>
      </c>
      <c r="AD144" s="78" t="inlineStr">
        <is>
          <t>나운동</t>
        </is>
      </c>
      <c r="AG144" s="78" t="inlineStr">
        <is>
          <t>전라북도 군산시 하신3길 7</t>
        </is>
      </c>
      <c r="AH144" s="78" t="n">
        <v>0</v>
      </c>
      <c r="AI144" s="78" t="n">
        <v>236</v>
      </c>
      <c r="AJ144" s="78" t="n">
        <v>23</v>
      </c>
      <c r="AK144" s="78" t="n">
        <v>435</v>
      </c>
      <c r="AL144" s="78" t="n">
        <v>1</v>
      </c>
    </row>
    <row r="145">
      <c r="A145" s="78" t="inlineStr">
        <is>
          <t>[나운동]</t>
        </is>
      </c>
      <c r="B145" s="78" t="n">
        <v>101461</v>
      </c>
      <c r="C145" s="78" t="n">
        <v>2</v>
      </c>
      <c r="D145" s="78" t="inlineStr">
        <is>
          <t>나운보람더하임</t>
        </is>
      </c>
      <c r="E145" s="78" t="inlineStr">
        <is>
          <t>2010.03.</t>
        </is>
      </c>
      <c r="F145" s="78" t="n">
        <v>437</v>
      </c>
      <c r="G145" s="78" t="n">
        <v>33.46</v>
      </c>
      <c r="H145" s="78" t="n">
        <v>110.64</v>
      </c>
      <c r="I145" s="78" t="n">
        <v>25.7</v>
      </c>
      <c r="J145" s="78" t="n">
        <v>84.98999999999999</v>
      </c>
      <c r="K145" s="78" t="n">
        <v>202</v>
      </c>
      <c r="T145" s="78" t="n">
        <v>3</v>
      </c>
      <c r="U145" s="78" t="n">
        <v>2</v>
      </c>
      <c r="V145" s="78" t="inlineStr">
        <is>
          <t>계단식</t>
        </is>
      </c>
      <c r="W145" s="78" t="inlineStr">
        <is>
          <t>110A</t>
        </is>
      </c>
      <c r="X145" s="78" t="n">
        <v>15</v>
      </c>
      <c r="Y145" s="78" t="n">
        <v>10</v>
      </c>
      <c r="Z145" s="78" t="inlineStr">
        <is>
          <t>https://new.land.naver.com/complexes/101461?tab=detail&amp;rf=Y</t>
        </is>
      </c>
      <c r="AA145" s="78" t="inlineStr">
        <is>
          <t>전라북도 군산시 나운동 1556</t>
        </is>
      </c>
      <c r="AB145" s="78" t="inlineStr">
        <is>
          <t>전라북도</t>
        </is>
      </c>
      <c r="AC145" s="78" t="inlineStr">
        <is>
          <t>군산시</t>
        </is>
      </c>
      <c r="AD145" s="78" t="inlineStr">
        <is>
          <t>나운동</t>
        </is>
      </c>
      <c r="AG145" s="78" t="inlineStr">
        <is>
          <t>전라북도 군산시 하신3길 7</t>
        </is>
      </c>
      <c r="AH145" s="78" t="n">
        <v>0</v>
      </c>
      <c r="AI145" s="78" t="n">
        <v>236</v>
      </c>
      <c r="AJ145" s="78" t="n">
        <v>23</v>
      </c>
      <c r="AK145" s="78" t="n">
        <v>435</v>
      </c>
      <c r="AL145" s="78" t="n">
        <v>1</v>
      </c>
    </row>
    <row r="146">
      <c r="A146" s="78" t="inlineStr">
        <is>
          <t>[나운동]</t>
        </is>
      </c>
      <c r="B146" s="78" t="n">
        <v>101461</v>
      </c>
      <c r="C146" s="78" t="n">
        <v>3</v>
      </c>
      <c r="D146" s="78" t="inlineStr">
        <is>
          <t>나운보람더하임</t>
        </is>
      </c>
      <c r="E146" s="78" t="inlineStr">
        <is>
          <t>2010.03.</t>
        </is>
      </c>
      <c r="F146" s="78" t="n">
        <v>437</v>
      </c>
      <c r="G146" s="78" t="n">
        <v>33.47</v>
      </c>
      <c r="H146" s="78" t="n">
        <v>110.65</v>
      </c>
      <c r="I146" s="78" t="n">
        <v>25.67</v>
      </c>
      <c r="J146" s="78" t="n">
        <v>84.89</v>
      </c>
      <c r="K146" s="78" t="n">
        <v>14</v>
      </c>
      <c r="T146" s="78" t="n">
        <v>3</v>
      </c>
      <c r="U146" s="78" t="n">
        <v>2</v>
      </c>
      <c r="V146" s="78" t="inlineStr">
        <is>
          <t>계단식</t>
        </is>
      </c>
      <c r="W146" s="78" t="inlineStr">
        <is>
          <t>110B</t>
        </is>
      </c>
      <c r="X146" s="78" t="n">
        <v>15</v>
      </c>
      <c r="Y146" s="78" t="n">
        <v>10</v>
      </c>
      <c r="Z146" s="78" t="inlineStr">
        <is>
          <t>https://new.land.naver.com/complexes/101461?tab=detail&amp;rf=Y</t>
        </is>
      </c>
      <c r="AA146" s="78" t="inlineStr">
        <is>
          <t>전라북도 군산시 나운동 1556</t>
        </is>
      </c>
      <c r="AB146" s="78" t="inlineStr">
        <is>
          <t>전라북도</t>
        </is>
      </c>
      <c r="AC146" s="78" t="inlineStr">
        <is>
          <t>군산시</t>
        </is>
      </c>
      <c r="AD146" s="78" t="inlineStr">
        <is>
          <t>나운동</t>
        </is>
      </c>
      <c r="AG146" s="78" t="inlineStr">
        <is>
          <t>전라북도 군산시 하신3길 7</t>
        </is>
      </c>
      <c r="AH146" s="78" t="n">
        <v>0</v>
      </c>
      <c r="AI146" s="78" t="n">
        <v>236</v>
      </c>
      <c r="AJ146" s="78" t="n">
        <v>23</v>
      </c>
      <c r="AK146" s="78" t="n">
        <v>435</v>
      </c>
      <c r="AL146" s="78" t="n">
        <v>1</v>
      </c>
    </row>
    <row r="147">
      <c r="A147" s="78" t="inlineStr">
        <is>
          <t>[나운동]</t>
        </is>
      </c>
      <c r="B147" s="78" t="n">
        <v>101461</v>
      </c>
      <c r="C147" s="78" t="n">
        <v>4</v>
      </c>
      <c r="D147" s="78" t="inlineStr">
        <is>
          <t>나운보람더하임</t>
        </is>
      </c>
      <c r="E147" s="78" t="inlineStr">
        <is>
          <t>2010.03.</t>
        </is>
      </c>
      <c r="F147" s="78" t="n">
        <v>437</v>
      </c>
      <c r="G147" s="78" t="n">
        <v>33.42</v>
      </c>
      <c r="H147" s="78" t="n">
        <v>110.49</v>
      </c>
      <c r="I147" s="78" t="n">
        <v>25.55</v>
      </c>
      <c r="J147" s="78" t="n">
        <v>84.47</v>
      </c>
      <c r="K147" s="78" t="n">
        <v>12</v>
      </c>
      <c r="T147" s="78" t="n">
        <v>3</v>
      </c>
      <c r="U147" s="78" t="n">
        <v>2</v>
      </c>
      <c r="V147" s="78" t="inlineStr">
        <is>
          <t>계단식</t>
        </is>
      </c>
      <c r="W147" s="78" t="inlineStr">
        <is>
          <t>110C</t>
        </is>
      </c>
      <c r="X147" s="78" t="n">
        <v>15</v>
      </c>
      <c r="Y147" s="78" t="n">
        <v>10</v>
      </c>
      <c r="Z147" s="78" t="inlineStr">
        <is>
          <t>https://new.land.naver.com/complexes/101461?tab=detail&amp;rf=Y</t>
        </is>
      </c>
      <c r="AA147" s="78" t="inlineStr">
        <is>
          <t>전라북도 군산시 나운동 1556</t>
        </is>
      </c>
      <c r="AB147" s="78" t="inlineStr">
        <is>
          <t>전라북도</t>
        </is>
      </c>
      <c r="AC147" s="78" t="inlineStr">
        <is>
          <t>군산시</t>
        </is>
      </c>
      <c r="AD147" s="78" t="inlineStr">
        <is>
          <t>나운동</t>
        </is>
      </c>
      <c r="AG147" s="78" t="inlineStr">
        <is>
          <t>전라북도 군산시 하신3길 7</t>
        </is>
      </c>
      <c r="AH147" s="78" t="n">
        <v>0</v>
      </c>
      <c r="AI147" s="78" t="n">
        <v>236</v>
      </c>
      <c r="AJ147" s="78" t="n">
        <v>23</v>
      </c>
      <c r="AK147" s="78" t="n">
        <v>435</v>
      </c>
      <c r="AL147" s="78" t="n">
        <v>1</v>
      </c>
    </row>
    <row r="148">
      <c r="A148" s="78" t="inlineStr">
        <is>
          <t>[나운동]</t>
        </is>
      </c>
      <c r="B148" s="78" t="n">
        <v>101461</v>
      </c>
      <c r="C148" s="78" t="n">
        <v>5</v>
      </c>
      <c r="D148" s="78" t="inlineStr">
        <is>
          <t>나운보람더하임</t>
        </is>
      </c>
      <c r="E148" s="78" t="inlineStr">
        <is>
          <t>2010.03.</t>
        </is>
      </c>
      <c r="F148" s="78" t="n">
        <v>437</v>
      </c>
      <c r="G148" s="78" t="n">
        <v>46.18</v>
      </c>
      <c r="H148" s="78" t="n">
        <v>152.68</v>
      </c>
      <c r="I148" s="78" t="n">
        <v>35.87</v>
      </c>
      <c r="J148" s="78" t="n">
        <v>118.61</v>
      </c>
      <c r="K148" s="78" t="n">
        <v>54</v>
      </c>
      <c r="T148" s="78" t="n">
        <v>4</v>
      </c>
      <c r="U148" s="78" t="n">
        <v>2</v>
      </c>
      <c r="V148" s="78" t="inlineStr">
        <is>
          <t>계단식</t>
        </is>
      </c>
      <c r="W148" s="78" t="n">
        <v>152</v>
      </c>
      <c r="X148" s="78" t="n">
        <v>15</v>
      </c>
      <c r="Y148" s="78" t="n">
        <v>10</v>
      </c>
      <c r="Z148" s="78" t="inlineStr">
        <is>
          <t>https://new.land.naver.com/complexes/101461?tab=detail&amp;rf=Y</t>
        </is>
      </c>
      <c r="AA148" s="78" t="inlineStr">
        <is>
          <t>전라북도 군산시 나운동 1556</t>
        </is>
      </c>
      <c r="AB148" s="78" t="inlineStr">
        <is>
          <t>전라북도</t>
        </is>
      </c>
      <c r="AC148" s="78" t="inlineStr">
        <is>
          <t>군산시</t>
        </is>
      </c>
      <c r="AD148" s="78" t="inlineStr">
        <is>
          <t>나운동</t>
        </is>
      </c>
      <c r="AG148" s="78" t="inlineStr">
        <is>
          <t>전라북도 군산시 하신3길 7</t>
        </is>
      </c>
      <c r="AH148" s="78" t="n">
        <v>0</v>
      </c>
      <c r="AI148" s="78" t="n">
        <v>236</v>
      </c>
      <c r="AJ148" s="78" t="n">
        <v>23</v>
      </c>
      <c r="AK148" s="78" t="n">
        <v>435</v>
      </c>
      <c r="AL148" s="78" t="n">
        <v>1</v>
      </c>
    </row>
    <row r="149">
      <c r="A149" s="78" t="inlineStr">
        <is>
          <t>[나운동]</t>
        </is>
      </c>
      <c r="B149" s="78" t="n">
        <v>4974</v>
      </c>
      <c r="C149" s="78" t="n">
        <v>1</v>
      </c>
      <c r="D149" s="78" t="inlineStr">
        <is>
          <t>동신</t>
        </is>
      </c>
      <c r="E149" s="78" t="inlineStr">
        <is>
          <t>1997.12.</t>
        </is>
      </c>
      <c r="F149" s="78" t="n">
        <v>420</v>
      </c>
      <c r="G149" s="78" t="n">
        <v>34</v>
      </c>
      <c r="H149" s="78" t="n">
        <v>112.4</v>
      </c>
      <c r="I149" s="78" t="n">
        <v>27.92</v>
      </c>
      <c r="J149" s="78" t="n">
        <v>92.3</v>
      </c>
      <c r="K149" s="78" t="n">
        <v>270</v>
      </c>
      <c r="T149" s="78" t="n">
        <v>3</v>
      </c>
      <c r="U149" s="78" t="n">
        <v>2</v>
      </c>
      <c r="V149" s="78" t="inlineStr">
        <is>
          <t>계단식</t>
        </is>
      </c>
      <c r="W149" s="78" t="n">
        <v>112</v>
      </c>
      <c r="X149" s="78" t="n">
        <v>15</v>
      </c>
      <c r="Y149" s="78" t="n">
        <v>15</v>
      </c>
      <c r="Z149" s="78" t="inlineStr">
        <is>
          <t>https://new.land.naver.com/complexes/4974?tab=detail&amp;rf=Y</t>
        </is>
      </c>
      <c r="AA149" s="78" t="inlineStr">
        <is>
          <t>전라북도 군산시 나운동 155-10</t>
        </is>
      </c>
      <c r="AB149" s="78" t="inlineStr">
        <is>
          <t>전라북도</t>
        </is>
      </c>
      <c r="AC149" s="78" t="inlineStr">
        <is>
          <t>군산시</t>
        </is>
      </c>
      <c r="AD149" s="78" t="inlineStr">
        <is>
          <t>나운동</t>
        </is>
      </c>
      <c r="AG149" s="78" t="inlineStr">
        <is>
          <t>전라북도 군산시 백토로 216</t>
        </is>
      </c>
      <c r="AH149" s="78" t="n">
        <v>0</v>
      </c>
      <c r="AI149" s="78" t="n">
        <v>208</v>
      </c>
      <c r="AJ149" s="78" t="n">
        <v>19</v>
      </c>
      <c r="AK149" s="78" t="n">
        <v>420</v>
      </c>
      <c r="AL149" s="78" t="n">
        <v>1</v>
      </c>
    </row>
    <row r="150">
      <c r="A150" s="78" t="inlineStr">
        <is>
          <t>[나운동]</t>
        </is>
      </c>
      <c r="B150" s="78" t="n">
        <v>4974</v>
      </c>
      <c r="C150" s="78" t="n">
        <v>2</v>
      </c>
      <c r="D150" s="78" t="inlineStr">
        <is>
          <t>동신</t>
        </is>
      </c>
      <c r="E150" s="78" t="inlineStr">
        <is>
          <t>1997.12.</t>
        </is>
      </c>
      <c r="F150" s="78" t="n">
        <v>420</v>
      </c>
      <c r="G150" s="78" t="n">
        <v>41.29</v>
      </c>
      <c r="H150" s="78" t="n">
        <v>136.52</v>
      </c>
      <c r="I150" s="78" t="n">
        <v>34.66</v>
      </c>
      <c r="J150" s="78" t="n">
        <v>114.6</v>
      </c>
      <c r="K150" s="78" t="n">
        <v>150</v>
      </c>
      <c r="T150" s="78" t="n">
        <v>4</v>
      </c>
      <c r="U150" s="78" t="n">
        <v>2</v>
      </c>
      <c r="V150" s="78" t="inlineStr">
        <is>
          <t>계단식</t>
        </is>
      </c>
      <c r="W150" s="78" t="n">
        <v>136</v>
      </c>
      <c r="X150" s="78" t="n">
        <v>15</v>
      </c>
      <c r="Y150" s="78" t="n">
        <v>15</v>
      </c>
      <c r="Z150" s="78" t="inlineStr">
        <is>
          <t>https://new.land.naver.com/complexes/4974?tab=detail&amp;rf=Y</t>
        </is>
      </c>
      <c r="AA150" s="78" t="inlineStr">
        <is>
          <t>전라북도 군산시 나운동 155-10</t>
        </is>
      </c>
      <c r="AB150" s="78" t="inlineStr">
        <is>
          <t>전라북도</t>
        </is>
      </c>
      <c r="AC150" s="78" t="inlineStr">
        <is>
          <t>군산시</t>
        </is>
      </c>
      <c r="AD150" s="78" t="inlineStr">
        <is>
          <t>나운동</t>
        </is>
      </c>
      <c r="AG150" s="78" t="inlineStr">
        <is>
          <t>전라북도 군산시 백토로 216</t>
        </is>
      </c>
      <c r="AH150" s="78" t="n">
        <v>0</v>
      </c>
      <c r="AI150" s="78" t="n">
        <v>208</v>
      </c>
      <c r="AJ150" s="78" t="n">
        <v>19</v>
      </c>
      <c r="AK150" s="78" t="n">
        <v>420</v>
      </c>
      <c r="AL150" s="78" t="n">
        <v>1</v>
      </c>
    </row>
    <row r="151">
      <c r="A151" s="78" t="inlineStr">
        <is>
          <t>[나운동]</t>
        </is>
      </c>
      <c r="B151" s="78" t="n">
        <v>4973</v>
      </c>
      <c r="C151" s="78" t="n">
        <v>1</v>
      </c>
      <c r="D151" s="78" t="inlineStr">
        <is>
          <t>대우</t>
        </is>
      </c>
      <c r="E151" s="78" t="inlineStr">
        <is>
          <t>1997.02.</t>
        </is>
      </c>
      <c r="F151" s="78" t="n">
        <v>260</v>
      </c>
      <c r="G151" s="78" t="n">
        <v>31.86</v>
      </c>
      <c r="H151" s="78" t="n">
        <v>105.33</v>
      </c>
      <c r="I151" s="78" t="n">
        <v>25.7</v>
      </c>
      <c r="J151" s="78" t="n">
        <v>84.98</v>
      </c>
      <c r="K151" s="78" t="n">
        <v>230</v>
      </c>
      <c r="T151" s="78" t="n">
        <v>3</v>
      </c>
      <c r="U151" s="78" t="n">
        <v>2</v>
      </c>
      <c r="V151" s="78" t="inlineStr">
        <is>
          <t>계단식</t>
        </is>
      </c>
      <c r="W151" s="78" t="n">
        <v>105</v>
      </c>
      <c r="X151" s="78" t="n">
        <v>15</v>
      </c>
      <c r="Y151" s="78" t="n">
        <v>14</v>
      </c>
      <c r="Z151" s="78" t="inlineStr">
        <is>
          <t>https://new.land.naver.com/complexes/4973?tab=detail&amp;rf=Y</t>
        </is>
      </c>
      <c r="AA151" s="78" t="inlineStr">
        <is>
          <t>전라북도 군산시 나운동 155-5</t>
        </is>
      </c>
      <c r="AB151" s="78" t="inlineStr">
        <is>
          <t>전라북도</t>
        </is>
      </c>
      <c r="AC151" s="78" t="inlineStr">
        <is>
          <t>군산시</t>
        </is>
      </c>
      <c r="AD151" s="78" t="inlineStr">
        <is>
          <t>나운동</t>
        </is>
      </c>
      <c r="AG151" s="78" t="inlineStr">
        <is>
          <t>전라북도 군산시 의료원로 136</t>
        </is>
      </c>
      <c r="AH151" s="78" t="n">
        <v>0</v>
      </c>
      <c r="AI151" s="78" t="n">
        <v>251</v>
      </c>
      <c r="AJ151" s="78" t="n">
        <v>20</v>
      </c>
      <c r="AK151" s="78" t="n">
        <v>260</v>
      </c>
      <c r="AL151" s="78" t="n">
        <v>1</v>
      </c>
    </row>
    <row r="152">
      <c r="A152" s="78" t="inlineStr">
        <is>
          <t>[나운동]</t>
        </is>
      </c>
      <c r="B152" s="78" t="n">
        <v>4973</v>
      </c>
      <c r="C152" s="78" t="n">
        <v>2</v>
      </c>
      <c r="D152" s="78" t="inlineStr">
        <is>
          <t>대우</t>
        </is>
      </c>
      <c r="E152" s="78" t="inlineStr">
        <is>
          <t>1997.02.</t>
        </is>
      </c>
      <c r="F152" s="78" t="n">
        <v>260</v>
      </c>
      <c r="G152" s="78" t="n">
        <v>68.3</v>
      </c>
      <c r="H152" s="78" t="n">
        <v>225.81</v>
      </c>
      <c r="I152" s="78" t="n">
        <v>56.6</v>
      </c>
      <c r="J152" s="78" t="n">
        <v>187.11</v>
      </c>
      <c r="K152" s="78" t="n">
        <v>30</v>
      </c>
      <c r="T152" s="78" t="n">
        <v>5</v>
      </c>
      <c r="U152" s="78" t="n">
        <v>2</v>
      </c>
      <c r="V152" s="78" t="inlineStr">
        <is>
          <t>계단식</t>
        </is>
      </c>
      <c r="W152" s="78" t="n">
        <v>225</v>
      </c>
      <c r="X152" s="78" t="n">
        <v>15</v>
      </c>
      <c r="Y152" s="78" t="n">
        <v>14</v>
      </c>
      <c r="Z152" s="78" t="inlineStr">
        <is>
          <t>https://new.land.naver.com/complexes/4973?tab=detail&amp;rf=Y</t>
        </is>
      </c>
      <c r="AA152" s="78" t="inlineStr">
        <is>
          <t>전라북도 군산시 나운동 155-5</t>
        </is>
      </c>
      <c r="AB152" s="78" t="inlineStr">
        <is>
          <t>전라북도</t>
        </is>
      </c>
      <c r="AC152" s="78" t="inlineStr">
        <is>
          <t>군산시</t>
        </is>
      </c>
      <c r="AD152" s="78" t="inlineStr">
        <is>
          <t>나운동</t>
        </is>
      </c>
      <c r="AG152" s="78" t="inlineStr">
        <is>
          <t>전라북도 군산시 의료원로 136</t>
        </is>
      </c>
      <c r="AH152" s="78" t="n">
        <v>0</v>
      </c>
      <c r="AI152" s="78" t="n">
        <v>251</v>
      </c>
      <c r="AJ152" s="78" t="n">
        <v>20</v>
      </c>
      <c r="AK152" s="78" t="n">
        <v>260</v>
      </c>
      <c r="AL152" s="78" t="n">
        <v>1</v>
      </c>
    </row>
    <row r="153">
      <c r="A153" s="78" t="inlineStr">
        <is>
          <t>[나운동]</t>
        </is>
      </c>
      <c r="B153" s="78" t="n">
        <v>126610</v>
      </c>
      <c r="C153" s="78" t="n">
        <v>1</v>
      </c>
      <c r="D153" s="78" t="inlineStr">
        <is>
          <t>로얄맨션4차</t>
        </is>
      </c>
      <c r="E153" s="78" t="inlineStr">
        <is>
          <t>1991.12.</t>
        </is>
      </c>
      <c r="F153" s="78" t="n">
        <v>32</v>
      </c>
      <c r="G153" s="78" t="n">
        <v>22.88</v>
      </c>
      <c r="H153" s="78" t="n">
        <v>75.64</v>
      </c>
      <c r="I153" s="78" t="n">
        <v>17.53</v>
      </c>
      <c r="J153" s="78" t="n">
        <v>57.96</v>
      </c>
      <c r="K153" s="78" t="n">
        <v>32</v>
      </c>
      <c r="T153" s="78" t="n">
        <v>3</v>
      </c>
      <c r="U153" s="78" t="n">
        <v>1</v>
      </c>
      <c r="V153" s="78" t="inlineStr">
        <is>
          <t>계단식</t>
        </is>
      </c>
      <c r="W153" s="78" t="n">
        <v>75</v>
      </c>
      <c r="X153" s="78" t="n">
        <v>4</v>
      </c>
      <c r="Y153" s="78" t="n">
        <v>4</v>
      </c>
      <c r="Z153" s="78" t="inlineStr">
        <is>
          <t>https://new.land.naver.com/complexes/126610?tab=detail&amp;rf=Y</t>
        </is>
      </c>
      <c r="AA153" s="78" t="inlineStr">
        <is>
          <t>전라북도 군산시 나운동 759-8</t>
        </is>
      </c>
      <c r="AB153" s="78" t="inlineStr">
        <is>
          <t>전라북도</t>
        </is>
      </c>
      <c r="AC153" s="78" t="inlineStr">
        <is>
          <t>군산시</t>
        </is>
      </c>
      <c r="AD153" s="78" t="inlineStr">
        <is>
          <t>나운동</t>
        </is>
      </c>
      <c r="AG153" s="78" t="inlineStr">
        <is>
          <t>전라북도 군산시 상신2길 10-6</t>
        </is>
      </c>
      <c r="AH153" s="78" t="n">
        <v>0</v>
      </c>
      <c r="AI153" s="78" t="n">
        <v>0</v>
      </c>
      <c r="AJ153" s="78" t="n">
        <v>0</v>
      </c>
      <c r="AK153" s="78" t="n">
        <v>0</v>
      </c>
      <c r="AL153" s="78" t="n">
        <v>0</v>
      </c>
    </row>
    <row r="154">
      <c r="A154" s="78" t="inlineStr">
        <is>
          <t>[나운동]</t>
        </is>
      </c>
      <c r="B154" s="78" t="n">
        <v>4977</v>
      </c>
      <c r="C154" s="78" t="n">
        <v>1</v>
      </c>
      <c r="D154" s="78" t="inlineStr">
        <is>
          <t>롯데1차</t>
        </is>
      </c>
      <c r="E154" s="78" t="inlineStr">
        <is>
          <t>1991.03.</t>
        </is>
      </c>
      <c r="F154" s="78" t="n">
        <v>420</v>
      </c>
      <c r="G154" s="78" t="n">
        <v>27.79</v>
      </c>
      <c r="H154" s="78" t="n">
        <v>91.87</v>
      </c>
      <c r="I154" s="78" t="n">
        <v>22.39</v>
      </c>
      <c r="J154" s="78" t="n">
        <v>74.02</v>
      </c>
      <c r="K154" s="78" t="n">
        <v>104</v>
      </c>
      <c r="T154" s="78" t="n">
        <v>3</v>
      </c>
      <c r="U154" s="78" t="n">
        <v>1</v>
      </c>
      <c r="V154" s="78" t="inlineStr">
        <is>
          <t>계단식</t>
        </is>
      </c>
      <c r="W154" s="78" t="n">
        <v>91</v>
      </c>
      <c r="X154" s="78" t="n">
        <v>14</v>
      </c>
      <c r="Y154" s="78" t="n">
        <v>13</v>
      </c>
      <c r="Z154" s="78" t="inlineStr">
        <is>
          <t>https://new.land.naver.com/complexes/4977?tab=detail&amp;rf=Y</t>
        </is>
      </c>
      <c r="AA154" s="78" t="inlineStr">
        <is>
          <t>전라북도 군산시 나운동 345</t>
        </is>
      </c>
      <c r="AB154" s="78" t="inlineStr">
        <is>
          <t>전라북도</t>
        </is>
      </c>
      <c r="AC154" s="78" t="inlineStr">
        <is>
          <t>군산시</t>
        </is>
      </c>
      <c r="AD154" s="78" t="inlineStr">
        <is>
          <t>나운동</t>
        </is>
      </c>
      <c r="AG154" s="78" t="inlineStr">
        <is>
          <t>전라북도 군산시 하나운로 45</t>
        </is>
      </c>
      <c r="AH154" s="78" t="n">
        <v>0</v>
      </c>
      <c r="AI154" s="78" t="n">
        <v>0</v>
      </c>
      <c r="AJ154" s="78" t="n">
        <v>0</v>
      </c>
      <c r="AK154" s="78" t="n">
        <v>0</v>
      </c>
      <c r="AL154" s="78" t="n">
        <v>0</v>
      </c>
    </row>
    <row r="155">
      <c r="A155" s="78" t="inlineStr">
        <is>
          <t>[나운동]</t>
        </is>
      </c>
      <c r="B155" s="78" t="n">
        <v>4977</v>
      </c>
      <c r="C155" s="78" t="n">
        <v>2</v>
      </c>
      <c r="D155" s="78" t="inlineStr">
        <is>
          <t>롯데1차</t>
        </is>
      </c>
      <c r="E155" s="78" t="inlineStr">
        <is>
          <t>1991.03.</t>
        </is>
      </c>
      <c r="F155" s="78" t="n">
        <v>420</v>
      </c>
      <c r="G155" s="78" t="n">
        <v>32.02</v>
      </c>
      <c r="H155" s="78" t="n">
        <v>105.86</v>
      </c>
      <c r="I155" s="78" t="n">
        <v>25.66</v>
      </c>
      <c r="J155" s="78" t="n">
        <v>84.84</v>
      </c>
      <c r="K155" s="78" t="n">
        <v>182</v>
      </c>
      <c r="T155" s="78" t="n">
        <v>3</v>
      </c>
      <c r="U155" s="78" t="n">
        <v>2</v>
      </c>
      <c r="V155" s="78" t="inlineStr">
        <is>
          <t>계단식</t>
        </is>
      </c>
      <c r="W155" s="78" t="n">
        <v>105</v>
      </c>
      <c r="X155" s="78" t="n">
        <v>14</v>
      </c>
      <c r="Y155" s="78" t="n">
        <v>13</v>
      </c>
      <c r="Z155" s="78" t="inlineStr">
        <is>
          <t>https://new.land.naver.com/complexes/4977?tab=detail&amp;rf=Y</t>
        </is>
      </c>
      <c r="AA155" s="78" t="inlineStr">
        <is>
          <t>전라북도 군산시 나운동 345</t>
        </is>
      </c>
      <c r="AB155" s="78" t="inlineStr">
        <is>
          <t>전라북도</t>
        </is>
      </c>
      <c r="AC155" s="78" t="inlineStr">
        <is>
          <t>군산시</t>
        </is>
      </c>
      <c r="AD155" s="78" t="inlineStr">
        <is>
          <t>나운동</t>
        </is>
      </c>
      <c r="AG155" s="78" t="inlineStr">
        <is>
          <t>전라북도 군산시 하나운로 45</t>
        </is>
      </c>
      <c r="AH155" s="78" t="n">
        <v>0</v>
      </c>
      <c r="AI155" s="78" t="n">
        <v>0</v>
      </c>
      <c r="AJ155" s="78" t="n">
        <v>0</v>
      </c>
      <c r="AK155" s="78" t="n">
        <v>0</v>
      </c>
      <c r="AL155" s="78" t="n">
        <v>0</v>
      </c>
    </row>
    <row r="156">
      <c r="A156" s="78" t="inlineStr">
        <is>
          <t>[나운동]</t>
        </is>
      </c>
      <c r="B156" s="78" t="n">
        <v>4977</v>
      </c>
      <c r="C156" s="78" t="n">
        <v>3</v>
      </c>
      <c r="D156" s="78" t="inlineStr">
        <is>
          <t>롯데1차</t>
        </is>
      </c>
      <c r="E156" s="78" t="inlineStr">
        <is>
          <t>1991.03.</t>
        </is>
      </c>
      <c r="F156" s="78" t="n">
        <v>420</v>
      </c>
      <c r="G156" s="78" t="n">
        <v>47.01</v>
      </c>
      <c r="H156" s="78" t="n">
        <v>155.42</v>
      </c>
      <c r="I156" s="78" t="n">
        <v>39.85</v>
      </c>
      <c r="J156" s="78" t="n">
        <v>131.75</v>
      </c>
      <c r="K156" s="78" t="n">
        <v>78</v>
      </c>
      <c r="T156" s="78" t="n">
        <v>4</v>
      </c>
      <c r="U156" s="78" t="n">
        <v>2</v>
      </c>
      <c r="V156" s="78" t="inlineStr">
        <is>
          <t>계단식</t>
        </is>
      </c>
      <c r="W156" s="78" t="n">
        <v>155</v>
      </c>
      <c r="X156" s="78" t="n">
        <v>14</v>
      </c>
      <c r="Y156" s="78" t="n">
        <v>13</v>
      </c>
      <c r="Z156" s="78" t="inlineStr">
        <is>
          <t>https://new.land.naver.com/complexes/4977?tab=detail&amp;rf=Y</t>
        </is>
      </c>
      <c r="AA156" s="78" t="inlineStr">
        <is>
          <t>전라북도 군산시 나운동 345</t>
        </is>
      </c>
      <c r="AB156" s="78" t="inlineStr">
        <is>
          <t>전라북도</t>
        </is>
      </c>
      <c r="AC156" s="78" t="inlineStr">
        <is>
          <t>군산시</t>
        </is>
      </c>
      <c r="AD156" s="78" t="inlineStr">
        <is>
          <t>나운동</t>
        </is>
      </c>
      <c r="AG156" s="78" t="inlineStr">
        <is>
          <t>전라북도 군산시 하나운로 45</t>
        </is>
      </c>
      <c r="AH156" s="78" t="n">
        <v>0</v>
      </c>
      <c r="AI156" s="78" t="n">
        <v>0</v>
      </c>
      <c r="AJ156" s="78" t="n">
        <v>0</v>
      </c>
      <c r="AK156" s="78" t="n">
        <v>0</v>
      </c>
      <c r="AL156" s="78" t="n">
        <v>0</v>
      </c>
    </row>
    <row r="157">
      <c r="A157" s="78" t="inlineStr">
        <is>
          <t>[나운동]</t>
        </is>
      </c>
      <c r="B157" s="78" t="n">
        <v>4977</v>
      </c>
      <c r="C157" s="78" t="n">
        <v>4</v>
      </c>
      <c r="D157" s="78" t="inlineStr">
        <is>
          <t>롯데1차</t>
        </is>
      </c>
      <c r="E157" s="78" t="inlineStr">
        <is>
          <t>1991.03.</t>
        </is>
      </c>
      <c r="F157" s="78" t="n">
        <v>420</v>
      </c>
      <c r="G157" s="78" t="n">
        <v>58.02</v>
      </c>
      <c r="H157" s="78" t="n">
        <v>191.81</v>
      </c>
      <c r="I157" s="78" t="n">
        <v>49.28</v>
      </c>
      <c r="J157" s="78" t="n">
        <v>162.92</v>
      </c>
      <c r="K157" s="78" t="n">
        <v>56</v>
      </c>
      <c r="T157" s="78" t="n">
        <v>5</v>
      </c>
      <c r="U157" s="78" t="n">
        <v>2</v>
      </c>
      <c r="V157" s="78" t="inlineStr">
        <is>
          <t>계단식</t>
        </is>
      </c>
      <c r="W157" s="78" t="n">
        <v>191</v>
      </c>
      <c r="X157" s="78" t="n">
        <v>14</v>
      </c>
      <c r="Y157" s="78" t="n">
        <v>13</v>
      </c>
      <c r="Z157" s="78" t="inlineStr">
        <is>
          <t>https://new.land.naver.com/complexes/4977?tab=detail&amp;rf=Y</t>
        </is>
      </c>
      <c r="AA157" s="78" t="inlineStr">
        <is>
          <t>전라북도 군산시 나운동 345</t>
        </is>
      </c>
      <c r="AB157" s="78" t="inlineStr">
        <is>
          <t>전라북도</t>
        </is>
      </c>
      <c r="AC157" s="78" t="inlineStr">
        <is>
          <t>군산시</t>
        </is>
      </c>
      <c r="AD157" s="78" t="inlineStr">
        <is>
          <t>나운동</t>
        </is>
      </c>
      <c r="AG157" s="78" t="inlineStr">
        <is>
          <t>전라북도 군산시 하나운로 45</t>
        </is>
      </c>
      <c r="AH157" s="78" t="n">
        <v>0</v>
      </c>
      <c r="AI157" s="78" t="n">
        <v>0</v>
      </c>
      <c r="AJ157" s="78" t="n">
        <v>0</v>
      </c>
      <c r="AK157" s="78" t="n">
        <v>0</v>
      </c>
      <c r="AL157" s="78" t="n">
        <v>0</v>
      </c>
    </row>
    <row r="158">
      <c r="A158" s="78" t="inlineStr">
        <is>
          <t>[나운동]</t>
        </is>
      </c>
      <c r="B158" s="78" t="n">
        <v>144827</v>
      </c>
      <c r="C158" s="78" t="n">
        <v>1</v>
      </c>
      <c r="D158" s="78" t="inlineStr">
        <is>
          <t>삼성(1187-7)</t>
        </is>
      </c>
      <c r="E158" s="78" t="inlineStr">
        <is>
          <t>1988.06.</t>
        </is>
      </c>
      <c r="F158" s="78" t="n">
        <v>88</v>
      </c>
      <c r="G158" s="78" t="n">
        <v>16.74</v>
      </c>
      <c r="H158" s="78" t="n">
        <v>55.35</v>
      </c>
      <c r="I158" s="78" t="n">
        <v>15.1</v>
      </c>
      <c r="J158" s="78" t="n">
        <v>49.95</v>
      </c>
      <c r="K158" s="78" t="n">
        <v>88</v>
      </c>
      <c r="T158" s="78" t="n">
        <v>2</v>
      </c>
      <c r="U158" s="78" t="n">
        <v>1</v>
      </c>
      <c r="V158" s="78" t="inlineStr">
        <is>
          <t>계단식</t>
        </is>
      </c>
      <c r="W158" s="78" t="n">
        <v>55</v>
      </c>
      <c r="X158" s="78" t="n">
        <v>5</v>
      </c>
      <c r="Y158" s="78" t="n">
        <v>5</v>
      </c>
      <c r="Z158" s="78" t="inlineStr">
        <is>
          <t>https://new.land.naver.com/complexes/144827?tab=detail&amp;rf=Y</t>
        </is>
      </c>
      <c r="AA158" s="78" t="inlineStr">
        <is>
          <t>전라북도 군산시 나운동 1187-7</t>
        </is>
      </c>
      <c r="AB158" s="78" t="inlineStr">
        <is>
          <t>전라북도</t>
        </is>
      </c>
      <c r="AC158" s="78" t="inlineStr">
        <is>
          <t>군산시</t>
        </is>
      </c>
      <c r="AD158" s="78" t="inlineStr">
        <is>
          <t>나운동</t>
        </is>
      </c>
      <c r="AG158" s="78" t="inlineStr">
        <is>
          <t>전라북도 군산시 한밭1길 12</t>
        </is>
      </c>
      <c r="AH158" s="78" t="n">
        <v>0</v>
      </c>
      <c r="AI158" s="78" t="n">
        <v>0</v>
      </c>
      <c r="AJ158" s="78" t="n">
        <v>0</v>
      </c>
      <c r="AK158" s="78" t="n">
        <v>0</v>
      </c>
      <c r="AL158" s="78" t="n">
        <v>0</v>
      </c>
    </row>
    <row r="159">
      <c r="A159" s="78" t="inlineStr">
        <is>
          <t>[나운동]</t>
        </is>
      </c>
      <c r="B159" s="78" t="n">
        <v>13526</v>
      </c>
      <c r="C159" s="78" t="n">
        <v>1</v>
      </c>
      <c r="D159" s="78" t="inlineStr">
        <is>
          <t>아리랑</t>
        </is>
      </c>
      <c r="E159" s="78" t="inlineStr">
        <is>
          <t>1988.11.</t>
        </is>
      </c>
      <c r="F159" s="78" t="n">
        <v>165</v>
      </c>
      <c r="G159" s="78" t="n">
        <v>20.41</v>
      </c>
      <c r="H159" s="78" t="n">
        <v>67.48</v>
      </c>
      <c r="I159" s="78" t="n">
        <v>17.47</v>
      </c>
      <c r="J159" s="78" t="n">
        <v>57.78</v>
      </c>
      <c r="K159" s="78" t="n">
        <v>160</v>
      </c>
      <c r="T159" s="78" t="n">
        <v>3</v>
      </c>
      <c r="U159" s="78" t="n">
        <v>1</v>
      </c>
      <c r="V159" s="78" t="inlineStr">
        <is>
          <t>계단식</t>
        </is>
      </c>
      <c r="W159" s="78" t="n">
        <v>67</v>
      </c>
      <c r="X159" s="78" t="n">
        <v>5</v>
      </c>
      <c r="Y159" s="78" t="n">
        <v>5</v>
      </c>
      <c r="Z159" s="78" t="inlineStr">
        <is>
          <t>https://new.land.naver.com/complexes/13526?tab=detail&amp;rf=Y</t>
        </is>
      </c>
      <c r="AA159" s="78" t="inlineStr">
        <is>
          <t>전라북도 군산시 나운동 1189-1</t>
        </is>
      </c>
      <c r="AB159" s="78" t="inlineStr">
        <is>
          <t>전라북도</t>
        </is>
      </c>
      <c r="AC159" s="78" t="inlineStr">
        <is>
          <t>군산시</t>
        </is>
      </c>
      <c r="AD159" s="78" t="inlineStr">
        <is>
          <t>나운동</t>
        </is>
      </c>
      <c r="AG159" s="78" t="inlineStr">
        <is>
          <t>전라북도 군산시 한밭3길 9</t>
        </is>
      </c>
      <c r="AH159" s="78" t="n">
        <v>0</v>
      </c>
      <c r="AI159" s="78" t="n">
        <v>0</v>
      </c>
      <c r="AJ159" s="78" t="n">
        <v>0</v>
      </c>
      <c r="AK159" s="78" t="n">
        <v>0</v>
      </c>
      <c r="AL159" s="78" t="n">
        <v>0</v>
      </c>
    </row>
    <row r="160">
      <c r="A160" s="78" t="inlineStr">
        <is>
          <t>[나운동]</t>
        </is>
      </c>
      <c r="B160" s="78" t="n">
        <v>13526</v>
      </c>
      <c r="C160" s="78" t="n">
        <v>2</v>
      </c>
      <c r="D160" s="78" t="inlineStr">
        <is>
          <t>아리랑</t>
        </is>
      </c>
      <c r="E160" s="78" t="inlineStr">
        <is>
          <t>1988.11.</t>
        </is>
      </c>
      <c r="F160" s="78" t="n">
        <v>165</v>
      </c>
      <c r="G160" s="78" t="n">
        <v>24.6</v>
      </c>
      <c r="H160" s="78" t="n">
        <v>81.34999999999999</v>
      </c>
      <c r="I160" s="78" t="n">
        <v>19.62</v>
      </c>
      <c r="J160" s="78" t="n">
        <v>64.89</v>
      </c>
      <c r="K160" s="78" t="n">
        <v>5</v>
      </c>
      <c r="T160" s="78" t="n">
        <v>3</v>
      </c>
      <c r="U160" s="78" t="n">
        <v>1</v>
      </c>
      <c r="V160" s="78" t="inlineStr">
        <is>
          <t>계단식</t>
        </is>
      </c>
      <c r="W160" s="78" t="n">
        <v>81</v>
      </c>
      <c r="X160" s="78" t="n">
        <v>5</v>
      </c>
      <c r="Y160" s="78" t="n">
        <v>5</v>
      </c>
      <c r="Z160" s="78" t="inlineStr">
        <is>
          <t>https://new.land.naver.com/complexes/13526?tab=detail&amp;rf=Y</t>
        </is>
      </c>
      <c r="AA160" s="78" t="inlineStr">
        <is>
          <t>전라북도 군산시 나운동 1189-1</t>
        </is>
      </c>
      <c r="AB160" s="78" t="inlineStr">
        <is>
          <t>전라북도</t>
        </is>
      </c>
      <c r="AC160" s="78" t="inlineStr">
        <is>
          <t>군산시</t>
        </is>
      </c>
      <c r="AD160" s="78" t="inlineStr">
        <is>
          <t>나운동</t>
        </is>
      </c>
      <c r="AG160" s="78" t="inlineStr">
        <is>
          <t>전라북도 군산시 한밭3길 9</t>
        </is>
      </c>
      <c r="AH160" s="78" t="n">
        <v>0</v>
      </c>
      <c r="AI160" s="78" t="n">
        <v>0</v>
      </c>
      <c r="AJ160" s="78" t="n">
        <v>0</v>
      </c>
      <c r="AK160" s="78" t="n">
        <v>0</v>
      </c>
      <c r="AL160" s="78" t="n">
        <v>0</v>
      </c>
    </row>
    <row r="161">
      <c r="A161" s="78" t="inlineStr">
        <is>
          <t>[나운동]</t>
        </is>
      </c>
      <c r="B161" s="78" t="n">
        <v>14963</v>
      </c>
      <c r="C161" s="78" t="n">
        <v>1</v>
      </c>
      <c r="D161" s="78" t="inlineStr">
        <is>
          <t>한울</t>
        </is>
      </c>
      <c r="E161" s="78" t="inlineStr">
        <is>
          <t>1996.07.</t>
        </is>
      </c>
      <c r="F161" s="78" t="n">
        <v>840</v>
      </c>
      <c r="G161" s="78" t="n">
        <v>23.02</v>
      </c>
      <c r="H161" s="78" t="n">
        <v>76.11</v>
      </c>
      <c r="I161" s="78" t="n">
        <v>18.06</v>
      </c>
      <c r="J161" s="78" t="n">
        <v>59.73</v>
      </c>
      <c r="K161" s="78" t="n">
        <v>477</v>
      </c>
      <c r="T161" s="78" t="n">
        <v>3</v>
      </c>
      <c r="U161" s="78" t="n">
        <v>1</v>
      </c>
      <c r="V161" s="78" t="inlineStr">
        <is>
          <t>계단식</t>
        </is>
      </c>
      <c r="W161" s="78" t="inlineStr">
        <is>
          <t>76A</t>
        </is>
      </c>
      <c r="X161" s="78" t="n">
        <v>15</v>
      </c>
      <c r="Y161" s="78" t="n">
        <v>15</v>
      </c>
      <c r="Z161" s="78" t="inlineStr">
        <is>
          <t>https://new.land.naver.com/complexes/14963?tab=detail&amp;rf=Y</t>
        </is>
      </c>
      <c r="AA161" s="78" t="inlineStr">
        <is>
          <t>전라북도 군산시 나운동 155-1</t>
        </is>
      </c>
      <c r="AB161" s="78" t="inlineStr">
        <is>
          <t>전라북도</t>
        </is>
      </c>
      <c r="AC161" s="78" t="inlineStr">
        <is>
          <t>군산시</t>
        </is>
      </c>
      <c r="AD161" s="78" t="inlineStr">
        <is>
          <t>나운동</t>
        </is>
      </c>
      <c r="AG161" s="78" t="inlineStr">
        <is>
          <t>전라북도 군산시 하나운로 20</t>
        </is>
      </c>
      <c r="AH161" s="78" t="n">
        <v>3</v>
      </c>
      <c r="AI161" s="78" t="n">
        <v>0</v>
      </c>
      <c r="AJ161" s="78" t="n">
        <v>0</v>
      </c>
      <c r="AK161" s="78" t="n">
        <v>811</v>
      </c>
      <c r="AL161" s="78" t="n">
        <v>0.97</v>
      </c>
    </row>
    <row r="162">
      <c r="A162" s="78" t="inlineStr">
        <is>
          <t>[나운동]</t>
        </is>
      </c>
      <c r="B162" s="78" t="n">
        <v>14963</v>
      </c>
      <c r="C162" s="78" t="n">
        <v>2</v>
      </c>
      <c r="D162" s="78" t="inlineStr">
        <is>
          <t>한울</t>
        </is>
      </c>
      <c r="E162" s="78" t="inlineStr">
        <is>
          <t>1996.07.</t>
        </is>
      </c>
      <c r="F162" s="78" t="n">
        <v>840</v>
      </c>
      <c r="G162" s="78" t="n">
        <v>23.24</v>
      </c>
      <c r="H162" s="78" t="n">
        <v>76.84999999999999</v>
      </c>
      <c r="I162" s="78" t="n">
        <v>18.13</v>
      </c>
      <c r="J162" s="78" t="n">
        <v>59.95</v>
      </c>
      <c r="K162" s="78" t="n">
        <v>360</v>
      </c>
      <c r="T162" s="78" t="n">
        <v>3</v>
      </c>
      <c r="U162" s="78" t="n">
        <v>1</v>
      </c>
      <c r="V162" s="78" t="inlineStr">
        <is>
          <t>계단식</t>
        </is>
      </c>
      <c r="W162" s="78" t="inlineStr">
        <is>
          <t>76B</t>
        </is>
      </c>
      <c r="X162" s="78" t="n">
        <v>15</v>
      </c>
      <c r="Y162" s="78" t="n">
        <v>15</v>
      </c>
      <c r="Z162" s="78" t="inlineStr">
        <is>
          <t>https://new.land.naver.com/complexes/14963?tab=detail&amp;rf=Y</t>
        </is>
      </c>
      <c r="AA162" s="78" t="inlineStr">
        <is>
          <t>전라북도 군산시 나운동 155-1</t>
        </is>
      </c>
      <c r="AB162" s="78" t="inlineStr">
        <is>
          <t>전라북도</t>
        </is>
      </c>
      <c r="AC162" s="78" t="inlineStr">
        <is>
          <t>군산시</t>
        </is>
      </c>
      <c r="AD162" s="78" t="inlineStr">
        <is>
          <t>나운동</t>
        </is>
      </c>
      <c r="AG162" s="78" t="inlineStr">
        <is>
          <t>전라북도 군산시 하나운로 20</t>
        </is>
      </c>
      <c r="AH162" s="78" t="n">
        <v>3</v>
      </c>
      <c r="AI162" s="78" t="n">
        <v>0</v>
      </c>
      <c r="AJ162" s="78" t="n">
        <v>0</v>
      </c>
      <c r="AK162" s="78" t="n">
        <v>811</v>
      </c>
      <c r="AL162" s="78" t="n">
        <v>0.97</v>
      </c>
    </row>
    <row r="163">
      <c r="A163" s="78" t="inlineStr">
        <is>
          <t>[나운동]</t>
        </is>
      </c>
      <c r="B163" s="78" t="n">
        <v>140966</v>
      </c>
      <c r="C163" s="78" t="n">
        <v>1</v>
      </c>
      <c r="D163" s="78" t="inlineStr">
        <is>
          <t>동산은파</t>
        </is>
      </c>
      <c r="E163" s="78" t="inlineStr">
        <is>
          <t>1985.04.</t>
        </is>
      </c>
      <c r="F163" s="78" t="n">
        <v>100</v>
      </c>
      <c r="G163" s="78" t="n">
        <v>19.62</v>
      </c>
      <c r="H163" s="78" t="n">
        <v>64.89</v>
      </c>
      <c r="I163" s="78" t="n">
        <v>17.99</v>
      </c>
      <c r="J163" s="78" t="n">
        <v>59.49</v>
      </c>
      <c r="K163" s="78" t="n">
        <v>30</v>
      </c>
      <c r="T163" s="78" t="n">
        <v>3</v>
      </c>
      <c r="U163" s="78" t="n">
        <v>1</v>
      </c>
      <c r="V163" s="78" t="inlineStr">
        <is>
          <t>계단식</t>
        </is>
      </c>
      <c r="W163" s="78" t="inlineStr">
        <is>
          <t>64A</t>
        </is>
      </c>
      <c r="X163" s="78" t="n">
        <v>5</v>
      </c>
      <c r="Y163" s="78" t="n">
        <v>5</v>
      </c>
      <c r="Z163" s="78" t="inlineStr">
        <is>
          <t>https://new.land.naver.com/complexes/140966?tab=detail&amp;rf=Y</t>
        </is>
      </c>
      <c r="AA163" s="78" t="inlineStr">
        <is>
          <t>전라북도 군산시 나운동 1188-5</t>
        </is>
      </c>
      <c r="AB163" s="78" t="inlineStr">
        <is>
          <t>전라북도</t>
        </is>
      </c>
      <c r="AC163" s="78" t="inlineStr">
        <is>
          <t>군산시</t>
        </is>
      </c>
      <c r="AD163" s="78" t="inlineStr">
        <is>
          <t>나운동</t>
        </is>
      </c>
      <c r="AG163" s="78" t="inlineStr">
        <is>
          <t>전라북도 군산시 한밭1길 32</t>
        </is>
      </c>
      <c r="AH163" s="78" t="n">
        <v>0</v>
      </c>
      <c r="AI163" s="78" t="n">
        <v>121</v>
      </c>
      <c r="AJ163" s="78" t="n">
        <v>26</v>
      </c>
      <c r="AK163" s="78" t="n">
        <v>18</v>
      </c>
      <c r="AL163" s="78" t="n">
        <v>0.18</v>
      </c>
    </row>
    <row r="164">
      <c r="A164" s="78" t="inlineStr">
        <is>
          <t>[나운동]</t>
        </is>
      </c>
      <c r="B164" s="78" t="n">
        <v>140966</v>
      </c>
      <c r="C164" s="78" t="n">
        <v>2</v>
      </c>
      <c r="D164" s="78" t="inlineStr">
        <is>
          <t>동산은파</t>
        </is>
      </c>
      <c r="E164" s="78" t="inlineStr">
        <is>
          <t>1985.04.</t>
        </is>
      </c>
      <c r="F164" s="78" t="n">
        <v>100</v>
      </c>
      <c r="G164" s="78" t="n">
        <v>19.72</v>
      </c>
      <c r="H164" s="78" t="n">
        <v>65.22</v>
      </c>
      <c r="I164" s="78" t="n">
        <v>18.09</v>
      </c>
      <c r="J164" s="78" t="n">
        <v>59.82</v>
      </c>
      <c r="K164" s="78" t="n">
        <v>5</v>
      </c>
      <c r="T164" s="78" t="n">
        <v>3</v>
      </c>
      <c r="U164" s="78" t="n">
        <v>1</v>
      </c>
      <c r="V164" s="78" t="inlineStr">
        <is>
          <t>계단식</t>
        </is>
      </c>
      <c r="W164" s="78" t="inlineStr">
        <is>
          <t>65B</t>
        </is>
      </c>
      <c r="X164" s="78" t="n">
        <v>5</v>
      </c>
      <c r="Y164" s="78" t="n">
        <v>5</v>
      </c>
      <c r="Z164" s="78" t="inlineStr">
        <is>
          <t>https://new.land.naver.com/complexes/140966?tab=detail&amp;rf=Y</t>
        </is>
      </c>
      <c r="AA164" s="78" t="inlineStr">
        <is>
          <t>전라북도 군산시 나운동 1188-5</t>
        </is>
      </c>
      <c r="AB164" s="78" t="inlineStr">
        <is>
          <t>전라북도</t>
        </is>
      </c>
      <c r="AC164" s="78" t="inlineStr">
        <is>
          <t>군산시</t>
        </is>
      </c>
      <c r="AD164" s="78" t="inlineStr">
        <is>
          <t>나운동</t>
        </is>
      </c>
      <c r="AG164" s="78" t="inlineStr">
        <is>
          <t>전라북도 군산시 한밭1길 32</t>
        </is>
      </c>
      <c r="AH164" s="78" t="n">
        <v>0</v>
      </c>
      <c r="AI164" s="78" t="n">
        <v>121</v>
      </c>
      <c r="AJ164" s="78" t="n">
        <v>26</v>
      </c>
      <c r="AK164" s="78" t="n">
        <v>18</v>
      </c>
      <c r="AL164" s="78" t="n">
        <v>0.18</v>
      </c>
    </row>
    <row r="165">
      <c r="A165" s="78" t="inlineStr">
        <is>
          <t>[나운동]</t>
        </is>
      </c>
      <c r="B165" s="78" t="n">
        <v>140966</v>
      </c>
      <c r="C165" s="78" t="n">
        <v>3</v>
      </c>
      <c r="D165" s="78" t="inlineStr">
        <is>
          <t>동산은파</t>
        </is>
      </c>
      <c r="E165" s="78" t="inlineStr">
        <is>
          <t>1985.04.</t>
        </is>
      </c>
      <c r="F165" s="78" t="n">
        <v>100</v>
      </c>
      <c r="G165" s="78" t="n">
        <v>20.52</v>
      </c>
      <c r="H165" s="78" t="n">
        <v>67.86</v>
      </c>
      <c r="I165" s="78" t="n">
        <v>18.89</v>
      </c>
      <c r="J165" s="78" t="n">
        <v>62.46</v>
      </c>
      <c r="K165" s="78" t="n">
        <v>65</v>
      </c>
      <c r="T165" s="78" t="n">
        <v>3</v>
      </c>
      <c r="U165" s="78" t="n">
        <v>1</v>
      </c>
      <c r="V165" s="78" t="inlineStr">
        <is>
          <t>계단식</t>
        </is>
      </c>
      <c r="W165" s="78" t="n">
        <v>67</v>
      </c>
      <c r="X165" s="78" t="n">
        <v>5</v>
      </c>
      <c r="Y165" s="78" t="n">
        <v>5</v>
      </c>
      <c r="Z165" s="78" t="inlineStr">
        <is>
          <t>https://new.land.naver.com/complexes/140966?tab=detail&amp;rf=Y</t>
        </is>
      </c>
      <c r="AA165" s="78" t="inlineStr">
        <is>
          <t>전라북도 군산시 나운동 1188-5</t>
        </is>
      </c>
      <c r="AB165" s="78" t="inlineStr">
        <is>
          <t>전라북도</t>
        </is>
      </c>
      <c r="AC165" s="78" t="inlineStr">
        <is>
          <t>군산시</t>
        </is>
      </c>
      <c r="AD165" s="78" t="inlineStr">
        <is>
          <t>나운동</t>
        </is>
      </c>
      <c r="AG165" s="78" t="inlineStr">
        <is>
          <t>전라북도 군산시 한밭1길 32</t>
        </is>
      </c>
      <c r="AH165" s="78" t="n">
        <v>0</v>
      </c>
      <c r="AI165" s="78" t="n">
        <v>121</v>
      </c>
      <c r="AJ165" s="78" t="n">
        <v>26</v>
      </c>
      <c r="AK165" s="78" t="n">
        <v>18</v>
      </c>
      <c r="AL165" s="78" t="n">
        <v>0.18</v>
      </c>
    </row>
    <row r="166">
      <c r="A166" s="78" t="inlineStr">
        <is>
          <t>[나운동]</t>
        </is>
      </c>
      <c r="B166" s="78" t="n">
        <v>5022</v>
      </c>
      <c r="C166" s="78" t="n">
        <v>1</v>
      </c>
      <c r="D166" s="78" t="inlineStr">
        <is>
          <t>현대3차</t>
        </is>
      </c>
      <c r="E166" s="78" t="inlineStr">
        <is>
          <t>1995.06.</t>
        </is>
      </c>
      <c r="F166" s="78" t="n">
        <v>479</v>
      </c>
      <c r="G166" s="78" t="n">
        <v>21.15</v>
      </c>
      <c r="H166" s="78" t="n">
        <v>69.95</v>
      </c>
      <c r="I166" s="78" t="n">
        <v>17.06</v>
      </c>
      <c r="J166" s="78" t="n">
        <v>56.41</v>
      </c>
      <c r="K166" s="78" t="n">
        <v>20</v>
      </c>
      <c r="T166" s="78" t="n">
        <v>2</v>
      </c>
      <c r="U166" s="78" t="n">
        <v>1</v>
      </c>
      <c r="V166" s="78" t="inlineStr">
        <is>
          <t>복도식</t>
        </is>
      </c>
      <c r="W166" s="78" t="n">
        <v>69</v>
      </c>
      <c r="X166" s="78" t="n">
        <v>20</v>
      </c>
      <c r="Y166" s="78" t="n">
        <v>20</v>
      </c>
      <c r="Z166" s="78" t="inlineStr">
        <is>
          <t>https://new.land.naver.com/complexes/5022?tab=detail&amp;rf=Y</t>
        </is>
      </c>
      <c r="AA166" s="78" t="inlineStr">
        <is>
          <t>전라북도 군산시 나운동 501</t>
        </is>
      </c>
      <c r="AB166" s="78" t="inlineStr">
        <is>
          <t>전라북도</t>
        </is>
      </c>
      <c r="AC166" s="78" t="inlineStr">
        <is>
          <t>군산시</t>
        </is>
      </c>
      <c r="AD166" s="78" t="inlineStr">
        <is>
          <t>나운동</t>
        </is>
      </c>
      <c r="AG166" s="78" t="inlineStr">
        <is>
          <t>전라북도 군산시 나운안2길 8</t>
        </is>
      </c>
      <c r="AH166" s="78" t="n">
        <v>0</v>
      </c>
      <c r="AI166" s="78" t="n">
        <v>300</v>
      </c>
      <c r="AJ166" s="78" t="n">
        <v>21</v>
      </c>
      <c r="AK166" s="78" t="n">
        <v>435</v>
      </c>
      <c r="AL166" s="78" t="n">
        <v>0.91</v>
      </c>
    </row>
    <row r="167">
      <c r="A167" s="78" t="inlineStr">
        <is>
          <t>[나운동]</t>
        </is>
      </c>
      <c r="B167" s="78" t="n">
        <v>5022</v>
      </c>
      <c r="C167" s="78" t="n">
        <v>2</v>
      </c>
      <c r="D167" s="78" t="inlineStr">
        <is>
          <t>현대3차</t>
        </is>
      </c>
      <c r="E167" s="78" t="inlineStr">
        <is>
          <t>1995.06.</t>
        </is>
      </c>
      <c r="F167" s="78" t="n">
        <v>479</v>
      </c>
      <c r="G167" s="78" t="n">
        <v>22.48</v>
      </c>
      <c r="H167" s="78" t="n">
        <v>74.33</v>
      </c>
      <c r="I167" s="78" t="n">
        <v>18.13</v>
      </c>
      <c r="J167" s="78" t="n">
        <v>59.95</v>
      </c>
      <c r="K167" s="78" t="n">
        <v>180</v>
      </c>
      <c r="T167" s="78" t="n">
        <v>3</v>
      </c>
      <c r="U167" s="78" t="n">
        <v>1</v>
      </c>
      <c r="V167" s="78" t="inlineStr">
        <is>
          <t>복도식</t>
        </is>
      </c>
      <c r="W167" s="78" t="n">
        <v>74</v>
      </c>
      <c r="X167" s="78" t="n">
        <v>20</v>
      </c>
      <c r="Y167" s="78" t="n">
        <v>20</v>
      </c>
      <c r="Z167" s="78" t="inlineStr">
        <is>
          <t>https://new.land.naver.com/complexes/5022?tab=detail&amp;rf=Y</t>
        </is>
      </c>
      <c r="AA167" s="78" t="inlineStr">
        <is>
          <t>전라북도 군산시 나운동 501</t>
        </is>
      </c>
      <c r="AB167" s="78" t="inlineStr">
        <is>
          <t>전라북도</t>
        </is>
      </c>
      <c r="AC167" s="78" t="inlineStr">
        <is>
          <t>군산시</t>
        </is>
      </c>
      <c r="AD167" s="78" t="inlineStr">
        <is>
          <t>나운동</t>
        </is>
      </c>
      <c r="AG167" s="78" t="inlineStr">
        <is>
          <t>전라북도 군산시 나운안2길 8</t>
        </is>
      </c>
      <c r="AH167" s="78" t="n">
        <v>0</v>
      </c>
      <c r="AI167" s="78" t="n">
        <v>300</v>
      </c>
      <c r="AJ167" s="78" t="n">
        <v>21</v>
      </c>
      <c r="AK167" s="78" t="n">
        <v>435</v>
      </c>
      <c r="AL167" s="78" t="n">
        <v>0.91</v>
      </c>
    </row>
    <row r="168">
      <c r="A168" s="78" t="inlineStr">
        <is>
          <t>[나운동]</t>
        </is>
      </c>
      <c r="B168" s="78" t="n">
        <v>5022</v>
      </c>
      <c r="C168" s="78" t="n">
        <v>3</v>
      </c>
      <c r="D168" s="78" t="inlineStr">
        <is>
          <t>현대3차</t>
        </is>
      </c>
      <c r="E168" s="78" t="inlineStr">
        <is>
          <t>1995.06.</t>
        </is>
      </c>
      <c r="F168" s="78" t="n">
        <v>479</v>
      </c>
      <c r="G168" s="78" t="n">
        <v>31.86</v>
      </c>
      <c r="H168" s="78" t="n">
        <v>105.33</v>
      </c>
      <c r="I168" s="78" t="n">
        <v>25.7</v>
      </c>
      <c r="J168" s="78" t="n">
        <v>84.95999999999999</v>
      </c>
      <c r="K168" s="78" t="n">
        <v>199</v>
      </c>
      <c r="T168" s="78" t="n">
        <v>3</v>
      </c>
      <c r="U168" s="78" t="n">
        <v>2</v>
      </c>
      <c r="V168" s="78" t="inlineStr">
        <is>
          <t>계단식</t>
        </is>
      </c>
      <c r="W168" s="78" t="n">
        <v>105</v>
      </c>
      <c r="X168" s="78" t="n">
        <v>20</v>
      </c>
      <c r="Y168" s="78" t="n">
        <v>20</v>
      </c>
      <c r="Z168" s="78" t="inlineStr">
        <is>
          <t>https://new.land.naver.com/complexes/5022?tab=detail&amp;rf=Y</t>
        </is>
      </c>
      <c r="AA168" s="78" t="inlineStr">
        <is>
          <t>전라북도 군산시 나운동 501</t>
        </is>
      </c>
      <c r="AB168" s="78" t="inlineStr">
        <is>
          <t>전라북도</t>
        </is>
      </c>
      <c r="AC168" s="78" t="inlineStr">
        <is>
          <t>군산시</t>
        </is>
      </c>
      <c r="AD168" s="78" t="inlineStr">
        <is>
          <t>나운동</t>
        </is>
      </c>
      <c r="AG168" s="78" t="inlineStr">
        <is>
          <t>전라북도 군산시 나운안2길 8</t>
        </is>
      </c>
      <c r="AH168" s="78" t="n">
        <v>0</v>
      </c>
      <c r="AI168" s="78" t="n">
        <v>300</v>
      </c>
      <c r="AJ168" s="78" t="n">
        <v>21</v>
      </c>
      <c r="AK168" s="78" t="n">
        <v>435</v>
      </c>
      <c r="AL168" s="78" t="n">
        <v>0.91</v>
      </c>
    </row>
    <row r="169">
      <c r="A169" s="78" t="inlineStr">
        <is>
          <t>[나운동]</t>
        </is>
      </c>
      <c r="B169" s="78" t="n">
        <v>5022</v>
      </c>
      <c r="C169" s="78" t="n">
        <v>4</v>
      </c>
      <c r="D169" s="78" t="inlineStr">
        <is>
          <t>현대3차</t>
        </is>
      </c>
      <c r="E169" s="78" t="inlineStr">
        <is>
          <t>1995.06.</t>
        </is>
      </c>
      <c r="F169" s="78" t="n">
        <v>479</v>
      </c>
      <c r="G169" s="78" t="n">
        <v>50.55</v>
      </c>
      <c r="H169" s="78" t="n">
        <v>167.12</v>
      </c>
      <c r="I169" s="78" t="n">
        <v>40.77</v>
      </c>
      <c r="J169" s="78" t="n">
        <v>134.79</v>
      </c>
      <c r="K169" s="78" t="n">
        <v>80</v>
      </c>
      <c r="T169" s="78" t="n">
        <v>4</v>
      </c>
      <c r="U169" s="78" t="n">
        <v>2</v>
      </c>
      <c r="V169" s="78" t="inlineStr">
        <is>
          <t>계단식</t>
        </is>
      </c>
      <c r="W169" s="78" t="n">
        <v>167</v>
      </c>
      <c r="X169" s="78" t="n">
        <v>20</v>
      </c>
      <c r="Y169" s="78" t="n">
        <v>20</v>
      </c>
      <c r="Z169" s="78" t="inlineStr">
        <is>
          <t>https://new.land.naver.com/complexes/5022?tab=detail&amp;rf=Y</t>
        </is>
      </c>
      <c r="AA169" s="78" t="inlineStr">
        <is>
          <t>전라북도 군산시 나운동 501</t>
        </is>
      </c>
      <c r="AB169" s="78" t="inlineStr">
        <is>
          <t>전라북도</t>
        </is>
      </c>
      <c r="AC169" s="78" t="inlineStr">
        <is>
          <t>군산시</t>
        </is>
      </c>
      <c r="AD169" s="78" t="inlineStr">
        <is>
          <t>나운동</t>
        </is>
      </c>
      <c r="AG169" s="78" t="inlineStr">
        <is>
          <t>전라북도 군산시 나운안2길 8</t>
        </is>
      </c>
      <c r="AH169" s="78" t="n">
        <v>0</v>
      </c>
      <c r="AI169" s="78" t="n">
        <v>300</v>
      </c>
      <c r="AJ169" s="78" t="n">
        <v>21</v>
      </c>
      <c r="AK169" s="78" t="n">
        <v>435</v>
      </c>
      <c r="AL169" s="78" t="n">
        <v>0.91</v>
      </c>
    </row>
    <row r="170">
      <c r="A170" s="78" t="inlineStr">
        <is>
          <t>[나운동]</t>
        </is>
      </c>
      <c r="B170" s="78" t="n">
        <v>5030</v>
      </c>
      <c r="C170" s="78" t="n">
        <v>1</v>
      </c>
      <c r="D170" s="78" t="inlineStr">
        <is>
          <t>현대백조</t>
        </is>
      </c>
      <c r="E170" s="78" t="inlineStr">
        <is>
          <t>1992.11.</t>
        </is>
      </c>
      <c r="F170" s="78" t="n">
        <v>498</v>
      </c>
      <c r="G170" s="78" t="n">
        <v>25.52</v>
      </c>
      <c r="H170" s="78" t="n">
        <v>84.38</v>
      </c>
      <c r="I170" s="78" t="n">
        <v>22.14</v>
      </c>
      <c r="J170" s="78" t="n">
        <v>73.2</v>
      </c>
      <c r="K170" s="78" t="n">
        <v>84</v>
      </c>
      <c r="T170" s="78" t="n">
        <v>3</v>
      </c>
      <c r="U170" s="78" t="n">
        <v>1</v>
      </c>
      <c r="V170" s="78" t="inlineStr">
        <is>
          <t>계단식</t>
        </is>
      </c>
      <c r="W170" s="78" t="n">
        <v>84</v>
      </c>
      <c r="X170" s="78" t="n">
        <v>15</v>
      </c>
      <c r="Y170" s="78" t="n">
        <v>14</v>
      </c>
      <c r="Z170" s="78" t="inlineStr">
        <is>
          <t>https://new.land.naver.com/complexes/5030?tab=detail&amp;rf=Y</t>
        </is>
      </c>
      <c r="AA170" s="78" t="inlineStr">
        <is>
          <t>전라북도 군산시 나운동 1155-9</t>
        </is>
      </c>
      <c r="AB170" s="78" t="inlineStr">
        <is>
          <t>전라북도</t>
        </is>
      </c>
      <c r="AC170" s="78" t="inlineStr">
        <is>
          <t>군산시</t>
        </is>
      </c>
      <c r="AD170" s="78" t="inlineStr">
        <is>
          <t>나운동</t>
        </is>
      </c>
      <c r="AG170" s="78" t="inlineStr">
        <is>
          <t>전라북도 군산시 상나운1길 30</t>
        </is>
      </c>
      <c r="AH170" s="78" t="n">
        <v>0</v>
      </c>
      <c r="AI170" s="78" t="n">
        <v>0</v>
      </c>
      <c r="AJ170" s="78" t="n">
        <v>0</v>
      </c>
      <c r="AK170" s="78" t="n">
        <v>200</v>
      </c>
      <c r="AL170" s="78" t="n">
        <v>0.4</v>
      </c>
    </row>
    <row r="171">
      <c r="A171" s="78" t="inlineStr">
        <is>
          <t>[나운동]</t>
        </is>
      </c>
      <c r="B171" s="78" t="n">
        <v>5030</v>
      </c>
      <c r="C171" s="78" t="n">
        <v>2</v>
      </c>
      <c r="D171" s="78" t="inlineStr">
        <is>
          <t>현대백조</t>
        </is>
      </c>
      <c r="E171" s="78" t="inlineStr">
        <is>
          <t>1992.11.</t>
        </is>
      </c>
      <c r="F171" s="78" t="n">
        <v>498</v>
      </c>
      <c r="G171" s="78" t="n">
        <v>28.97</v>
      </c>
      <c r="H171" s="78" t="n">
        <v>95.77</v>
      </c>
      <c r="I171" s="78" t="n">
        <v>25.59</v>
      </c>
      <c r="J171" s="78" t="n">
        <v>84.59999999999999</v>
      </c>
      <c r="K171" s="78" t="n">
        <v>384</v>
      </c>
      <c r="T171" s="78" t="n">
        <v>3</v>
      </c>
      <c r="U171" s="78" t="n">
        <v>2</v>
      </c>
      <c r="V171" s="78" t="inlineStr">
        <is>
          <t>계단식</t>
        </is>
      </c>
      <c r="W171" s="78" t="inlineStr">
        <is>
          <t>95B</t>
        </is>
      </c>
      <c r="X171" s="78" t="n">
        <v>15</v>
      </c>
      <c r="Y171" s="78" t="n">
        <v>14</v>
      </c>
      <c r="Z171" s="78" t="inlineStr">
        <is>
          <t>https://new.land.naver.com/complexes/5030?tab=detail&amp;rf=Y</t>
        </is>
      </c>
      <c r="AA171" s="78" t="inlineStr">
        <is>
          <t>전라북도 군산시 나운동 1155-9</t>
        </is>
      </c>
      <c r="AB171" s="78" t="inlineStr">
        <is>
          <t>전라북도</t>
        </is>
      </c>
      <c r="AC171" s="78" t="inlineStr">
        <is>
          <t>군산시</t>
        </is>
      </c>
      <c r="AD171" s="78" t="inlineStr">
        <is>
          <t>나운동</t>
        </is>
      </c>
      <c r="AG171" s="78" t="inlineStr">
        <is>
          <t>전라북도 군산시 상나운1길 30</t>
        </is>
      </c>
      <c r="AH171" s="78" t="n">
        <v>0</v>
      </c>
      <c r="AI171" s="78" t="n">
        <v>0</v>
      </c>
      <c r="AJ171" s="78" t="n">
        <v>0</v>
      </c>
      <c r="AK171" s="78" t="n">
        <v>200</v>
      </c>
      <c r="AL171" s="78" t="n">
        <v>0.4</v>
      </c>
    </row>
    <row r="172">
      <c r="A172" s="78" t="inlineStr">
        <is>
          <t>[나운동]</t>
        </is>
      </c>
      <c r="B172" s="78" t="n">
        <v>5030</v>
      </c>
      <c r="C172" s="78" t="n">
        <v>3</v>
      </c>
      <c r="D172" s="78" t="inlineStr">
        <is>
          <t>현대백조</t>
        </is>
      </c>
      <c r="E172" s="78" t="inlineStr">
        <is>
          <t>1992.11.</t>
        </is>
      </c>
      <c r="F172" s="78" t="n">
        <v>498</v>
      </c>
      <c r="G172" s="78" t="n">
        <v>28.95</v>
      </c>
      <c r="H172" s="78" t="n">
        <v>95.70999999999999</v>
      </c>
      <c r="I172" s="78" t="n">
        <v>25.57</v>
      </c>
      <c r="J172" s="78" t="n">
        <v>84.54000000000001</v>
      </c>
      <c r="K172" s="78" t="n">
        <v>30</v>
      </c>
      <c r="T172" s="78" t="n">
        <v>3</v>
      </c>
      <c r="U172" s="78" t="n">
        <v>2</v>
      </c>
      <c r="V172" s="78" t="inlineStr">
        <is>
          <t>계단식</t>
        </is>
      </c>
      <c r="W172" s="78" t="inlineStr">
        <is>
          <t>95A</t>
        </is>
      </c>
      <c r="X172" s="78" t="n">
        <v>15</v>
      </c>
      <c r="Y172" s="78" t="n">
        <v>14</v>
      </c>
      <c r="Z172" s="78" t="inlineStr">
        <is>
          <t>https://new.land.naver.com/complexes/5030?tab=detail&amp;rf=Y</t>
        </is>
      </c>
      <c r="AA172" s="78" t="inlineStr">
        <is>
          <t>전라북도 군산시 나운동 1155-9</t>
        </is>
      </c>
      <c r="AB172" s="78" t="inlineStr">
        <is>
          <t>전라북도</t>
        </is>
      </c>
      <c r="AC172" s="78" t="inlineStr">
        <is>
          <t>군산시</t>
        </is>
      </c>
      <c r="AD172" s="78" t="inlineStr">
        <is>
          <t>나운동</t>
        </is>
      </c>
      <c r="AG172" s="78" t="inlineStr">
        <is>
          <t>전라북도 군산시 상나운1길 30</t>
        </is>
      </c>
      <c r="AH172" s="78" t="n">
        <v>0</v>
      </c>
      <c r="AI172" s="78" t="n">
        <v>0</v>
      </c>
      <c r="AJ172" s="78" t="n">
        <v>0</v>
      </c>
      <c r="AK172" s="78" t="n">
        <v>200</v>
      </c>
      <c r="AL172" s="78" t="n">
        <v>0.4</v>
      </c>
    </row>
    <row r="173">
      <c r="A173" s="78" t="inlineStr">
        <is>
          <t>[나운동]</t>
        </is>
      </c>
      <c r="B173" s="78" t="n">
        <v>4964</v>
      </c>
      <c r="C173" s="78" t="n">
        <v>1</v>
      </c>
      <c r="D173" s="78" t="inlineStr">
        <is>
          <t>동신진주</t>
        </is>
      </c>
      <c r="E173" s="78" t="inlineStr">
        <is>
          <t>1993.12.</t>
        </is>
      </c>
      <c r="F173" s="78" t="n">
        <v>246</v>
      </c>
      <c r="G173" s="78" t="n">
        <v>22.5</v>
      </c>
      <c r="H173" s="78" t="n">
        <v>74.40000000000001</v>
      </c>
      <c r="I173" s="78" t="n">
        <v>17.86</v>
      </c>
      <c r="J173" s="78" t="n">
        <v>59.06</v>
      </c>
      <c r="K173" s="78" t="n">
        <v>168</v>
      </c>
      <c r="T173" s="78" t="n">
        <v>3</v>
      </c>
      <c r="U173" s="78" t="n">
        <v>1</v>
      </c>
      <c r="V173" s="78" t="inlineStr">
        <is>
          <t>계단식</t>
        </is>
      </c>
      <c r="W173" s="78" t="n">
        <v>74</v>
      </c>
      <c r="X173" s="78" t="n">
        <v>12</v>
      </c>
      <c r="Y173" s="78" t="n">
        <v>5</v>
      </c>
      <c r="Z173" s="78" t="inlineStr">
        <is>
          <t>https://new.land.naver.com/complexes/4964?tab=detail&amp;rf=Y</t>
        </is>
      </c>
      <c r="AA173" s="78" t="inlineStr">
        <is>
          <t>전라북도 군산시 나운동 733-1</t>
        </is>
      </c>
      <c r="AB173" s="78" t="inlineStr">
        <is>
          <t>전라북도</t>
        </is>
      </c>
      <c r="AC173" s="78" t="inlineStr">
        <is>
          <t>군산시</t>
        </is>
      </c>
      <c r="AD173" s="78" t="inlineStr">
        <is>
          <t>나운동</t>
        </is>
      </c>
      <c r="AG173" s="78" t="inlineStr">
        <is>
          <t>전라북도 군산시 상신7길 15</t>
        </is>
      </c>
      <c r="AH173" s="78" t="n">
        <v>0</v>
      </c>
      <c r="AI173" s="78" t="n">
        <v>0</v>
      </c>
      <c r="AJ173" s="78" t="n">
        <v>0</v>
      </c>
      <c r="AK173" s="78" t="n">
        <v>120</v>
      </c>
      <c r="AL173" s="78" t="n">
        <v>0.49</v>
      </c>
    </row>
    <row r="174">
      <c r="A174" s="78" t="inlineStr">
        <is>
          <t>[나운동]</t>
        </is>
      </c>
      <c r="B174" s="78" t="n">
        <v>4964</v>
      </c>
      <c r="C174" s="78" t="n">
        <v>2</v>
      </c>
      <c r="D174" s="78" t="inlineStr">
        <is>
          <t>동신진주</t>
        </is>
      </c>
      <c r="E174" s="78" t="inlineStr">
        <is>
          <t>1993.12.</t>
        </is>
      </c>
      <c r="F174" s="78" t="n">
        <v>246</v>
      </c>
      <c r="G174" s="78" t="n">
        <v>24.69</v>
      </c>
      <c r="H174" s="78" t="n">
        <v>81.62</v>
      </c>
      <c r="I174" s="78" t="n">
        <v>18.02</v>
      </c>
      <c r="J174" s="78" t="n">
        <v>59.58</v>
      </c>
      <c r="K174" s="78" t="n">
        <v>20</v>
      </c>
      <c r="T174" s="78" t="n">
        <v>3</v>
      </c>
      <c r="U174" s="78" t="n">
        <v>1</v>
      </c>
      <c r="V174" s="78" t="inlineStr">
        <is>
          <t>계단식</t>
        </is>
      </c>
      <c r="W174" s="78" t="inlineStr">
        <is>
          <t>81A</t>
        </is>
      </c>
      <c r="X174" s="78" t="n">
        <v>12</v>
      </c>
      <c r="Y174" s="78" t="n">
        <v>5</v>
      </c>
      <c r="Z174" s="78" t="inlineStr">
        <is>
          <t>https://new.land.naver.com/complexes/4964?tab=detail&amp;rf=Y</t>
        </is>
      </c>
      <c r="AA174" s="78" t="inlineStr">
        <is>
          <t>전라북도 군산시 나운동 733-1</t>
        </is>
      </c>
      <c r="AB174" s="78" t="inlineStr">
        <is>
          <t>전라북도</t>
        </is>
      </c>
      <c r="AC174" s="78" t="inlineStr">
        <is>
          <t>군산시</t>
        </is>
      </c>
      <c r="AD174" s="78" t="inlineStr">
        <is>
          <t>나운동</t>
        </is>
      </c>
      <c r="AG174" s="78" t="inlineStr">
        <is>
          <t>전라북도 군산시 상신7길 15</t>
        </is>
      </c>
      <c r="AH174" s="78" t="n">
        <v>0</v>
      </c>
      <c r="AI174" s="78" t="n">
        <v>0</v>
      </c>
      <c r="AJ174" s="78" t="n">
        <v>0</v>
      </c>
      <c r="AK174" s="78" t="n">
        <v>120</v>
      </c>
      <c r="AL174" s="78" t="n">
        <v>0.49</v>
      </c>
    </row>
    <row r="175">
      <c r="A175" s="78" t="inlineStr">
        <is>
          <t>[나운동]</t>
        </is>
      </c>
      <c r="B175" s="78" t="n">
        <v>4964</v>
      </c>
      <c r="C175" s="78" t="n">
        <v>3</v>
      </c>
      <c r="D175" s="78" t="inlineStr">
        <is>
          <t>동신진주</t>
        </is>
      </c>
      <c r="E175" s="78" t="inlineStr">
        <is>
          <t>1993.12.</t>
        </is>
      </c>
      <c r="F175" s="78" t="n">
        <v>246</v>
      </c>
      <c r="G175" s="78" t="n">
        <v>24.85</v>
      </c>
      <c r="H175" s="78" t="n">
        <v>82.15000000000001</v>
      </c>
      <c r="I175" s="78" t="n">
        <v>18.13</v>
      </c>
      <c r="J175" s="78" t="n">
        <v>59.96</v>
      </c>
      <c r="K175" s="78" t="n">
        <v>10</v>
      </c>
      <c r="T175" s="78" t="n">
        <v>3</v>
      </c>
      <c r="U175" s="78" t="n">
        <v>1</v>
      </c>
      <c r="V175" s="78" t="inlineStr">
        <is>
          <t>계단식</t>
        </is>
      </c>
      <c r="W175" s="78" t="inlineStr">
        <is>
          <t>82B</t>
        </is>
      </c>
      <c r="X175" s="78" t="n">
        <v>12</v>
      </c>
      <c r="Y175" s="78" t="n">
        <v>5</v>
      </c>
      <c r="Z175" s="78" t="inlineStr">
        <is>
          <t>https://new.land.naver.com/complexes/4964?tab=detail&amp;rf=Y</t>
        </is>
      </c>
      <c r="AA175" s="78" t="inlineStr">
        <is>
          <t>전라북도 군산시 나운동 733-1</t>
        </is>
      </c>
      <c r="AB175" s="78" t="inlineStr">
        <is>
          <t>전라북도</t>
        </is>
      </c>
      <c r="AC175" s="78" t="inlineStr">
        <is>
          <t>군산시</t>
        </is>
      </c>
      <c r="AD175" s="78" t="inlineStr">
        <is>
          <t>나운동</t>
        </is>
      </c>
      <c r="AG175" s="78" t="inlineStr">
        <is>
          <t>전라북도 군산시 상신7길 15</t>
        </is>
      </c>
      <c r="AH175" s="78" t="n">
        <v>0</v>
      </c>
      <c r="AI175" s="78" t="n">
        <v>0</v>
      </c>
      <c r="AJ175" s="78" t="n">
        <v>0</v>
      </c>
      <c r="AK175" s="78" t="n">
        <v>120</v>
      </c>
      <c r="AL175" s="78" t="n">
        <v>0.49</v>
      </c>
    </row>
    <row r="176">
      <c r="A176" s="78" t="inlineStr">
        <is>
          <t>[나운동]</t>
        </is>
      </c>
      <c r="B176" s="78" t="n">
        <v>4964</v>
      </c>
      <c r="C176" s="78" t="n">
        <v>4</v>
      </c>
      <c r="D176" s="78" t="inlineStr">
        <is>
          <t>동신진주</t>
        </is>
      </c>
      <c r="E176" s="78" t="inlineStr">
        <is>
          <t>1993.12.</t>
        </is>
      </c>
      <c r="F176" s="78" t="n">
        <v>246</v>
      </c>
      <c r="G176" s="78" t="n">
        <v>31.38</v>
      </c>
      <c r="H176" s="78" t="n">
        <v>103.74</v>
      </c>
      <c r="I176" s="78" t="n">
        <v>25.61</v>
      </c>
      <c r="J176" s="78" t="n">
        <v>84.67</v>
      </c>
      <c r="K176" s="78" t="n">
        <v>48</v>
      </c>
      <c r="T176" s="78" t="n">
        <v>3</v>
      </c>
      <c r="U176" s="78" t="n">
        <v>2</v>
      </c>
      <c r="V176" s="78" t="inlineStr">
        <is>
          <t>계단식</t>
        </is>
      </c>
      <c r="W176" s="78" t="n">
        <v>103</v>
      </c>
      <c r="X176" s="78" t="n">
        <v>12</v>
      </c>
      <c r="Y176" s="78" t="n">
        <v>5</v>
      </c>
      <c r="Z176" s="78" t="inlineStr">
        <is>
          <t>https://new.land.naver.com/complexes/4964?tab=detail&amp;rf=Y</t>
        </is>
      </c>
      <c r="AA176" s="78" t="inlineStr">
        <is>
          <t>전라북도 군산시 나운동 733-1</t>
        </is>
      </c>
      <c r="AB176" s="78" t="inlineStr">
        <is>
          <t>전라북도</t>
        </is>
      </c>
      <c r="AC176" s="78" t="inlineStr">
        <is>
          <t>군산시</t>
        </is>
      </c>
      <c r="AD176" s="78" t="inlineStr">
        <is>
          <t>나운동</t>
        </is>
      </c>
      <c r="AG176" s="78" t="inlineStr">
        <is>
          <t>전라북도 군산시 상신7길 15</t>
        </is>
      </c>
      <c r="AH176" s="78" t="n">
        <v>0</v>
      </c>
      <c r="AI176" s="78" t="n">
        <v>0</v>
      </c>
      <c r="AJ176" s="78" t="n">
        <v>0</v>
      </c>
      <c r="AK176" s="78" t="n">
        <v>120</v>
      </c>
      <c r="AL176" s="78" t="n">
        <v>0.49</v>
      </c>
    </row>
    <row r="177">
      <c r="A177" s="78" t="inlineStr">
        <is>
          <t>[나운동]</t>
        </is>
      </c>
      <c r="B177" s="78" t="n">
        <v>115453</v>
      </c>
      <c r="C177" s="78" t="n">
        <v>1</v>
      </c>
      <c r="D177" s="78" t="inlineStr">
        <is>
          <t>한신맨션</t>
        </is>
      </c>
      <c r="E177" s="78" t="inlineStr">
        <is>
          <t>1987.11.</t>
        </is>
      </c>
      <c r="F177" s="78" t="n">
        <v>85</v>
      </c>
      <c r="G177" s="78" t="n">
        <v>24.8</v>
      </c>
      <c r="H177" s="78" t="n">
        <v>82</v>
      </c>
      <c r="I177" s="78" t="n">
        <v>22.88</v>
      </c>
      <c r="J177" s="78" t="n">
        <v>75.66</v>
      </c>
      <c r="K177" s="78" t="n">
        <v>40</v>
      </c>
      <c r="T177" s="78" t="n">
        <v>3</v>
      </c>
      <c r="U177" s="78" t="n">
        <v>2</v>
      </c>
      <c r="V177" s="78" t="inlineStr">
        <is>
          <t>복도식</t>
        </is>
      </c>
      <c r="W177" s="78" t="n">
        <v>82</v>
      </c>
      <c r="X177" s="78" t="n">
        <v>5</v>
      </c>
      <c r="Y177" s="78" t="n">
        <v>5</v>
      </c>
      <c r="Z177" s="78" t="inlineStr">
        <is>
          <t>https://new.land.naver.com/complexes/115453?tab=detail&amp;rf=Y</t>
        </is>
      </c>
      <c r="AA177" s="78" t="inlineStr">
        <is>
          <t>전라북도 군산시 나운동 793-1</t>
        </is>
      </c>
      <c r="AB177" s="78" t="inlineStr">
        <is>
          <t>전라북도</t>
        </is>
      </c>
      <c r="AC177" s="78" t="inlineStr">
        <is>
          <t>군산시</t>
        </is>
      </c>
      <c r="AD177" s="78" t="inlineStr">
        <is>
          <t>나운동</t>
        </is>
      </c>
      <c r="AG177" s="78" t="inlineStr">
        <is>
          <t>전라북도 군산시 상나운1길 14</t>
        </is>
      </c>
      <c r="AH177" s="78" t="n">
        <v>0</v>
      </c>
      <c r="AI177" s="78" t="n">
        <v>0</v>
      </c>
      <c r="AJ177" s="78" t="n">
        <v>0</v>
      </c>
      <c r="AK177" s="78" t="n">
        <v>0</v>
      </c>
      <c r="AL177" s="78" t="n">
        <v>0</v>
      </c>
    </row>
    <row r="178">
      <c r="A178" s="78" t="inlineStr">
        <is>
          <t>[나운동]</t>
        </is>
      </c>
      <c r="B178" s="78" t="n">
        <v>115453</v>
      </c>
      <c r="C178" s="78" t="n">
        <v>2</v>
      </c>
      <c r="D178" s="78" t="inlineStr">
        <is>
          <t>한신맨션</t>
        </is>
      </c>
      <c r="E178" s="78" t="inlineStr">
        <is>
          <t>1987.11.</t>
        </is>
      </c>
      <c r="F178" s="78" t="n">
        <v>85</v>
      </c>
      <c r="G178" s="78" t="n">
        <v>26.64</v>
      </c>
      <c r="H178" s="78" t="n">
        <v>88.09</v>
      </c>
      <c r="I178" s="78" t="n">
        <v>24.72</v>
      </c>
      <c r="J178" s="78" t="n">
        <v>81.75</v>
      </c>
      <c r="K178" s="78" t="n">
        <v>45</v>
      </c>
      <c r="T178" s="78" t="n">
        <v>3</v>
      </c>
      <c r="U178" s="78" t="n">
        <v>2</v>
      </c>
      <c r="V178" s="78" t="inlineStr">
        <is>
          <t>복도식</t>
        </is>
      </c>
      <c r="W178" s="78" t="n">
        <v>88</v>
      </c>
      <c r="X178" s="78" t="n">
        <v>5</v>
      </c>
      <c r="Y178" s="78" t="n">
        <v>5</v>
      </c>
      <c r="Z178" s="78" t="inlineStr">
        <is>
          <t>https://new.land.naver.com/complexes/115453?tab=detail&amp;rf=Y</t>
        </is>
      </c>
      <c r="AA178" s="78" t="inlineStr">
        <is>
          <t>전라북도 군산시 나운동 793-1</t>
        </is>
      </c>
      <c r="AB178" s="78" t="inlineStr">
        <is>
          <t>전라북도</t>
        </is>
      </c>
      <c r="AC178" s="78" t="inlineStr">
        <is>
          <t>군산시</t>
        </is>
      </c>
      <c r="AD178" s="78" t="inlineStr">
        <is>
          <t>나운동</t>
        </is>
      </c>
      <c r="AG178" s="78" t="inlineStr">
        <is>
          <t>전라북도 군산시 상나운1길 14</t>
        </is>
      </c>
      <c r="AH178" s="78" t="n">
        <v>0</v>
      </c>
      <c r="AI178" s="78" t="n">
        <v>0</v>
      </c>
      <c r="AJ178" s="78" t="n">
        <v>0</v>
      </c>
      <c r="AK178" s="78" t="n">
        <v>0</v>
      </c>
      <c r="AL178" s="78" t="n">
        <v>0</v>
      </c>
    </row>
    <row r="179">
      <c r="A179" s="78" t="inlineStr">
        <is>
          <t>[나운동]</t>
        </is>
      </c>
      <c r="B179" s="78" t="n">
        <v>102445</v>
      </c>
      <c r="C179" s="78" t="n">
        <v>1</v>
      </c>
      <c r="D179" s="78" t="inlineStr">
        <is>
          <t>그린골든맨션</t>
        </is>
      </c>
      <c r="E179" s="78" t="inlineStr">
        <is>
          <t>1993.06.</t>
        </is>
      </c>
      <c r="F179" s="78" t="n">
        <v>154</v>
      </c>
      <c r="G179" s="78" t="n">
        <v>25.17</v>
      </c>
      <c r="H179" s="78" t="n">
        <v>83.20999999999999</v>
      </c>
      <c r="I179" s="78" t="n">
        <v>17.96</v>
      </c>
      <c r="J179" s="78" t="n">
        <v>59.4</v>
      </c>
      <c r="K179" s="78" t="n">
        <v>149</v>
      </c>
      <c r="T179" s="78" t="n">
        <v>3</v>
      </c>
      <c r="U179" s="78" t="n">
        <v>1</v>
      </c>
      <c r="V179" s="78" t="inlineStr">
        <is>
          <t>계단식</t>
        </is>
      </c>
      <c r="W179" s="78" t="n">
        <v>83</v>
      </c>
      <c r="X179" s="78" t="n">
        <v>11</v>
      </c>
      <c r="Y179" s="78" t="n">
        <v>11</v>
      </c>
      <c r="Z179" s="78" t="inlineStr">
        <is>
          <t>https://new.land.naver.com/complexes/102445?tab=detail&amp;rf=Y</t>
        </is>
      </c>
      <c r="AA179" s="78" t="inlineStr">
        <is>
          <t>전라북도 군산시 나운동 800-2</t>
        </is>
      </c>
      <c r="AB179" s="78" t="inlineStr">
        <is>
          <t>전라북도</t>
        </is>
      </c>
      <c r="AC179" s="78" t="inlineStr">
        <is>
          <t>군산시</t>
        </is>
      </c>
      <c r="AD179" s="78" t="inlineStr">
        <is>
          <t>나운동</t>
        </is>
      </c>
      <c r="AG179" s="78" t="inlineStr">
        <is>
          <t>전라북도 군산시 상나운1길 25</t>
        </is>
      </c>
      <c r="AH179" s="78" t="n">
        <v>5</v>
      </c>
      <c r="AI179" s="78" t="n">
        <v>258</v>
      </c>
      <c r="AJ179" s="78" t="n">
        <v>23</v>
      </c>
      <c r="AK179" s="78" t="n">
        <v>71</v>
      </c>
      <c r="AL179" s="78" t="n">
        <v>0.46</v>
      </c>
    </row>
    <row r="180">
      <c r="A180" s="78" t="inlineStr">
        <is>
          <t>[나운동]</t>
        </is>
      </c>
      <c r="B180" s="78" t="n">
        <v>26916</v>
      </c>
      <c r="C180" s="78" t="n">
        <v>1</v>
      </c>
      <c r="D180" s="78" t="inlineStr">
        <is>
          <t>수송금호어울림</t>
        </is>
      </c>
      <c r="E180" s="78" t="inlineStr">
        <is>
          <t>2008.08.</t>
        </is>
      </c>
      <c r="F180" s="78" t="n">
        <v>773</v>
      </c>
      <c r="G180" s="78" t="n">
        <v>33.44</v>
      </c>
      <c r="H180" s="78" t="n">
        <v>110.55</v>
      </c>
      <c r="I180" s="78" t="n">
        <v>25.69</v>
      </c>
      <c r="J180" s="78" t="n">
        <v>84.93000000000001</v>
      </c>
      <c r="K180" s="78" t="n">
        <v>336</v>
      </c>
      <c r="T180" s="78" t="n">
        <v>3</v>
      </c>
      <c r="U180" s="78" t="n">
        <v>2</v>
      </c>
      <c r="V180" s="78" t="inlineStr">
        <is>
          <t>계단식</t>
        </is>
      </c>
      <c r="W180" s="78" t="inlineStr">
        <is>
          <t>110A</t>
        </is>
      </c>
      <c r="X180" s="78" t="n">
        <v>20</v>
      </c>
      <c r="Y180" s="78" t="n">
        <v>20</v>
      </c>
      <c r="Z180" s="78" t="inlineStr">
        <is>
          <t>https://new.land.naver.com/complexes/26916?tab=detail&amp;rf=Y</t>
        </is>
      </c>
      <c r="AA180" s="78" t="inlineStr">
        <is>
          <t>전라북도 군산시 나운동 1525</t>
        </is>
      </c>
      <c r="AB180" s="78" t="inlineStr">
        <is>
          <t>전라북도</t>
        </is>
      </c>
      <c r="AC180" s="78" t="inlineStr">
        <is>
          <t>군산시</t>
        </is>
      </c>
      <c r="AD180" s="78" t="inlineStr">
        <is>
          <t>나운동</t>
        </is>
      </c>
      <c r="AG180" s="78" t="inlineStr">
        <is>
          <t>전라북도 군산시 서수송2길 23</t>
        </is>
      </c>
      <c r="AH180" s="78" t="n">
        <v>0</v>
      </c>
      <c r="AI180" s="78" t="n">
        <v>219</v>
      </c>
      <c r="AJ180" s="78" t="n">
        <v>49</v>
      </c>
      <c r="AK180" s="78" t="n">
        <v>966</v>
      </c>
      <c r="AL180" s="78" t="n">
        <v>1.25</v>
      </c>
    </row>
    <row r="181">
      <c r="A181" s="78" t="inlineStr">
        <is>
          <t>[나운동]</t>
        </is>
      </c>
      <c r="B181" s="78" t="n">
        <v>26916</v>
      </c>
      <c r="C181" s="78" t="n">
        <v>2</v>
      </c>
      <c r="D181" s="78" t="inlineStr">
        <is>
          <t>수송금호어울림</t>
        </is>
      </c>
      <c r="E181" s="78" t="inlineStr">
        <is>
          <t>2008.08.</t>
        </is>
      </c>
      <c r="F181" s="78" t="n">
        <v>773</v>
      </c>
      <c r="G181" s="78" t="n">
        <v>33.62</v>
      </c>
      <c r="H181" s="78" t="n">
        <v>111.15</v>
      </c>
      <c r="I181" s="78" t="n">
        <v>25.69</v>
      </c>
      <c r="J181" s="78" t="n">
        <v>84.95</v>
      </c>
      <c r="K181" s="78" t="n">
        <v>324</v>
      </c>
      <c r="T181" s="78" t="n">
        <v>3</v>
      </c>
      <c r="U181" s="78" t="n">
        <v>2</v>
      </c>
      <c r="V181" s="78" t="inlineStr">
        <is>
          <t>계단식</t>
        </is>
      </c>
      <c r="W181" s="78" t="inlineStr">
        <is>
          <t>111B</t>
        </is>
      </c>
      <c r="X181" s="78" t="n">
        <v>20</v>
      </c>
      <c r="Y181" s="78" t="n">
        <v>20</v>
      </c>
      <c r="Z181" s="78" t="inlineStr">
        <is>
          <t>https://new.land.naver.com/complexes/26916?tab=detail&amp;rf=Y</t>
        </is>
      </c>
      <c r="AA181" s="78" t="inlineStr">
        <is>
          <t>전라북도 군산시 나운동 1525</t>
        </is>
      </c>
      <c r="AB181" s="78" t="inlineStr">
        <is>
          <t>전라북도</t>
        </is>
      </c>
      <c r="AC181" s="78" t="inlineStr">
        <is>
          <t>군산시</t>
        </is>
      </c>
      <c r="AD181" s="78" t="inlineStr">
        <is>
          <t>나운동</t>
        </is>
      </c>
      <c r="AG181" s="78" t="inlineStr">
        <is>
          <t>전라북도 군산시 서수송2길 23</t>
        </is>
      </c>
      <c r="AH181" s="78" t="n">
        <v>0</v>
      </c>
      <c r="AI181" s="78" t="n">
        <v>219</v>
      </c>
      <c r="AJ181" s="78" t="n">
        <v>49</v>
      </c>
      <c r="AK181" s="78" t="n">
        <v>966</v>
      </c>
      <c r="AL181" s="78" t="n">
        <v>1.25</v>
      </c>
    </row>
    <row r="182">
      <c r="A182" s="78" t="inlineStr">
        <is>
          <t>[나운동]</t>
        </is>
      </c>
      <c r="B182" s="78" t="n">
        <v>26916</v>
      </c>
      <c r="C182" s="78" t="n">
        <v>3</v>
      </c>
      <c r="D182" s="78" t="inlineStr">
        <is>
          <t>수송금호어울림</t>
        </is>
      </c>
      <c r="E182" s="78" t="inlineStr">
        <is>
          <t>2008.08.</t>
        </is>
      </c>
      <c r="F182" s="78" t="n">
        <v>773</v>
      </c>
      <c r="G182" s="78" t="n">
        <v>33.65</v>
      </c>
      <c r="H182" s="78" t="n">
        <v>111.27</v>
      </c>
      <c r="I182" s="78" t="n">
        <v>25.69</v>
      </c>
      <c r="J182" s="78" t="n">
        <v>84.95</v>
      </c>
      <c r="K182" s="78" t="n">
        <v>37</v>
      </c>
      <c r="T182" s="78" t="n">
        <v>3</v>
      </c>
      <c r="U182" s="78" t="n">
        <v>2</v>
      </c>
      <c r="V182" s="78" t="inlineStr">
        <is>
          <t>계단식</t>
        </is>
      </c>
      <c r="W182" s="78" t="inlineStr">
        <is>
          <t>111C</t>
        </is>
      </c>
      <c r="X182" s="78" t="n">
        <v>20</v>
      </c>
      <c r="Y182" s="78" t="n">
        <v>20</v>
      </c>
      <c r="Z182" s="78" t="inlineStr">
        <is>
          <t>https://new.land.naver.com/complexes/26916?tab=detail&amp;rf=Y</t>
        </is>
      </c>
      <c r="AA182" s="78" t="inlineStr">
        <is>
          <t>전라북도 군산시 나운동 1525</t>
        </is>
      </c>
      <c r="AB182" s="78" t="inlineStr">
        <is>
          <t>전라북도</t>
        </is>
      </c>
      <c r="AC182" s="78" t="inlineStr">
        <is>
          <t>군산시</t>
        </is>
      </c>
      <c r="AD182" s="78" t="inlineStr">
        <is>
          <t>나운동</t>
        </is>
      </c>
      <c r="AG182" s="78" t="inlineStr">
        <is>
          <t>전라북도 군산시 서수송2길 23</t>
        </is>
      </c>
      <c r="AH182" s="78" t="n">
        <v>0</v>
      </c>
      <c r="AI182" s="78" t="n">
        <v>219</v>
      </c>
      <c r="AJ182" s="78" t="n">
        <v>49</v>
      </c>
      <c r="AK182" s="78" t="n">
        <v>966</v>
      </c>
      <c r="AL182" s="78" t="n">
        <v>1.25</v>
      </c>
    </row>
    <row r="183">
      <c r="A183" s="78" t="inlineStr">
        <is>
          <t>[나운동]</t>
        </is>
      </c>
      <c r="B183" s="78" t="n">
        <v>26916</v>
      </c>
      <c r="C183" s="78" t="n">
        <v>4</v>
      </c>
      <c r="D183" s="78" t="inlineStr">
        <is>
          <t>수송금호어울림</t>
        </is>
      </c>
      <c r="E183" s="78" t="inlineStr">
        <is>
          <t>2008.08.</t>
        </is>
      </c>
      <c r="F183" s="78" t="n">
        <v>773</v>
      </c>
      <c r="G183" s="78" t="n">
        <v>33.99</v>
      </c>
      <c r="H183" s="78" t="n">
        <v>112.39</v>
      </c>
      <c r="I183" s="78" t="n">
        <v>25.69</v>
      </c>
      <c r="J183" s="78" t="n">
        <v>84.95</v>
      </c>
      <c r="K183" s="78" t="n">
        <v>76</v>
      </c>
      <c r="T183" s="78" t="n">
        <v>3</v>
      </c>
      <c r="U183" s="78" t="n">
        <v>2</v>
      </c>
      <c r="V183" s="78" t="inlineStr">
        <is>
          <t>계단식</t>
        </is>
      </c>
      <c r="W183" s="78" t="inlineStr">
        <is>
          <t>112D</t>
        </is>
      </c>
      <c r="X183" s="78" t="n">
        <v>20</v>
      </c>
      <c r="Y183" s="78" t="n">
        <v>20</v>
      </c>
      <c r="Z183" s="78" t="inlineStr">
        <is>
          <t>https://new.land.naver.com/complexes/26916?tab=detail&amp;rf=Y</t>
        </is>
      </c>
      <c r="AA183" s="78" t="inlineStr">
        <is>
          <t>전라북도 군산시 나운동 1525</t>
        </is>
      </c>
      <c r="AB183" s="78" t="inlineStr">
        <is>
          <t>전라북도</t>
        </is>
      </c>
      <c r="AC183" s="78" t="inlineStr">
        <is>
          <t>군산시</t>
        </is>
      </c>
      <c r="AD183" s="78" t="inlineStr">
        <is>
          <t>나운동</t>
        </is>
      </c>
      <c r="AG183" s="78" t="inlineStr">
        <is>
          <t>전라북도 군산시 서수송2길 23</t>
        </is>
      </c>
      <c r="AH183" s="78" t="n">
        <v>0</v>
      </c>
      <c r="AI183" s="78" t="n">
        <v>219</v>
      </c>
      <c r="AJ183" s="78" t="n">
        <v>49</v>
      </c>
      <c r="AK183" s="78" t="n">
        <v>966</v>
      </c>
      <c r="AL183" s="78" t="n">
        <v>1.25</v>
      </c>
    </row>
    <row r="184">
      <c r="A184" s="78" t="inlineStr">
        <is>
          <t>[나운동]</t>
        </is>
      </c>
      <c r="B184" s="78" t="n">
        <v>131885</v>
      </c>
      <c r="C184" s="78" t="n">
        <v>1</v>
      </c>
      <c r="D184" s="78" t="inlineStr">
        <is>
          <t>성보</t>
        </is>
      </c>
      <c r="E184" s="78" t="inlineStr">
        <is>
          <t>2016.12.</t>
        </is>
      </c>
      <c r="F184" s="78" t="n">
        <v>80</v>
      </c>
      <c r="G184" s="78" t="n">
        <v>26.26</v>
      </c>
      <c r="H184" s="78" t="n">
        <v>86.81</v>
      </c>
      <c r="I184" s="78" t="n">
        <v>18.01</v>
      </c>
      <c r="J184" s="78" t="n">
        <v>59.54</v>
      </c>
      <c r="K184" s="78" t="n">
        <v>52</v>
      </c>
      <c r="T184" s="78" t="n">
        <v>3</v>
      </c>
      <c r="U184" s="78" t="n">
        <v>2</v>
      </c>
      <c r="V184" s="78" t="inlineStr">
        <is>
          <t>계단식</t>
        </is>
      </c>
      <c r="W184" s="78" t="inlineStr">
        <is>
          <t>86A</t>
        </is>
      </c>
      <c r="X184" s="78" t="n">
        <v>9</v>
      </c>
      <c r="Y184" s="78" t="n">
        <v>9</v>
      </c>
      <c r="Z184" s="78" t="inlineStr">
        <is>
          <t>https://new.land.naver.com/complexes/131885?tab=detail&amp;rf=Y</t>
        </is>
      </c>
      <c r="AA184" s="78" t="inlineStr">
        <is>
          <t>전라북도 군산시 나운동 798-8</t>
        </is>
      </c>
      <c r="AB184" s="78" t="inlineStr">
        <is>
          <t>전라북도</t>
        </is>
      </c>
      <c r="AC184" s="78" t="inlineStr">
        <is>
          <t>군산시</t>
        </is>
      </c>
      <c r="AD184" s="78" t="inlineStr">
        <is>
          <t>나운동</t>
        </is>
      </c>
      <c r="AG184" s="78" t="inlineStr">
        <is>
          <t>전라북도 군산시 상나운안길 7</t>
        </is>
      </c>
      <c r="AH184" s="78" t="n">
        <v>0</v>
      </c>
      <c r="AI184" s="78" t="n">
        <v>295</v>
      </c>
      <c r="AJ184" s="78" t="n">
        <v>52</v>
      </c>
      <c r="AK184" s="78" t="n">
        <v>61</v>
      </c>
      <c r="AL184" s="78" t="n">
        <v>0.76</v>
      </c>
    </row>
    <row r="185">
      <c r="A185" s="78" t="inlineStr">
        <is>
          <t>[나운동]</t>
        </is>
      </c>
      <c r="B185" s="78" t="n">
        <v>131885</v>
      </c>
      <c r="C185" s="78" t="n">
        <v>2</v>
      </c>
      <c r="D185" s="78" t="inlineStr">
        <is>
          <t>성보</t>
        </is>
      </c>
      <c r="E185" s="78" t="inlineStr">
        <is>
          <t>2016.12.</t>
        </is>
      </c>
      <c r="F185" s="78" t="n">
        <v>80</v>
      </c>
      <c r="G185" s="78" t="n">
        <v>26.4</v>
      </c>
      <c r="H185" s="78" t="n">
        <v>87.3</v>
      </c>
      <c r="I185" s="78" t="n">
        <v>18.11</v>
      </c>
      <c r="J185" s="78" t="n">
        <v>59.88</v>
      </c>
      <c r="K185" s="78" t="n">
        <v>26</v>
      </c>
      <c r="T185" s="78" t="n">
        <v>3</v>
      </c>
      <c r="U185" s="78" t="n">
        <v>2</v>
      </c>
      <c r="V185" s="78" t="inlineStr">
        <is>
          <t>계단식</t>
        </is>
      </c>
      <c r="W185" s="78" t="inlineStr">
        <is>
          <t>87B</t>
        </is>
      </c>
      <c r="X185" s="78" t="n">
        <v>9</v>
      </c>
      <c r="Y185" s="78" t="n">
        <v>9</v>
      </c>
      <c r="Z185" s="78" t="inlineStr">
        <is>
          <t>https://new.land.naver.com/complexes/131885?tab=detail&amp;rf=Y</t>
        </is>
      </c>
      <c r="AA185" s="78" t="inlineStr">
        <is>
          <t>전라북도 군산시 나운동 798-8</t>
        </is>
      </c>
      <c r="AB185" s="78" t="inlineStr">
        <is>
          <t>전라북도</t>
        </is>
      </c>
      <c r="AC185" s="78" t="inlineStr">
        <is>
          <t>군산시</t>
        </is>
      </c>
      <c r="AD185" s="78" t="inlineStr">
        <is>
          <t>나운동</t>
        </is>
      </c>
      <c r="AG185" s="78" t="inlineStr">
        <is>
          <t>전라북도 군산시 상나운안길 7</t>
        </is>
      </c>
      <c r="AH185" s="78" t="n">
        <v>0</v>
      </c>
      <c r="AI185" s="78" t="n">
        <v>295</v>
      </c>
      <c r="AJ185" s="78" t="n">
        <v>52</v>
      </c>
      <c r="AK185" s="78" t="n">
        <v>61</v>
      </c>
      <c r="AL185" s="78" t="n">
        <v>0.76</v>
      </c>
    </row>
    <row r="186">
      <c r="A186" s="78" t="inlineStr">
        <is>
          <t>[나운동]</t>
        </is>
      </c>
      <c r="B186" s="78" t="n">
        <v>131885</v>
      </c>
      <c r="C186" s="78" t="n">
        <v>3</v>
      </c>
      <c r="D186" s="78" t="inlineStr">
        <is>
          <t>성보</t>
        </is>
      </c>
      <c r="E186" s="78" t="inlineStr">
        <is>
          <t>2016.12.</t>
        </is>
      </c>
      <c r="F186" s="78" t="n">
        <v>80</v>
      </c>
      <c r="G186" s="78" t="n">
        <v>37.39</v>
      </c>
      <c r="H186" s="78" t="n">
        <v>123.62</v>
      </c>
      <c r="I186" s="78" t="n">
        <v>25.64</v>
      </c>
      <c r="J186" s="78" t="n">
        <v>84.79000000000001</v>
      </c>
      <c r="K186" s="78" t="n">
        <v>2</v>
      </c>
      <c r="T186" s="78" t="n">
        <v>3</v>
      </c>
      <c r="U186" s="78" t="n">
        <v>2</v>
      </c>
      <c r="V186" s="78" t="inlineStr">
        <is>
          <t>계단식</t>
        </is>
      </c>
      <c r="W186" s="78" t="n">
        <v>123</v>
      </c>
      <c r="X186" s="78" t="n">
        <v>9</v>
      </c>
      <c r="Y186" s="78" t="n">
        <v>9</v>
      </c>
      <c r="Z186" s="78" t="inlineStr">
        <is>
          <t>https://new.land.naver.com/complexes/131885?tab=detail&amp;rf=Y</t>
        </is>
      </c>
      <c r="AA186" s="78" t="inlineStr">
        <is>
          <t>전라북도 군산시 나운동 798-8</t>
        </is>
      </c>
      <c r="AB186" s="78" t="inlineStr">
        <is>
          <t>전라북도</t>
        </is>
      </c>
      <c r="AC186" s="78" t="inlineStr">
        <is>
          <t>군산시</t>
        </is>
      </c>
      <c r="AD186" s="78" t="inlineStr">
        <is>
          <t>나운동</t>
        </is>
      </c>
      <c r="AG186" s="78" t="inlineStr">
        <is>
          <t>전라북도 군산시 상나운안길 7</t>
        </is>
      </c>
      <c r="AH186" s="78" t="n">
        <v>0</v>
      </c>
      <c r="AI186" s="78" t="n">
        <v>295</v>
      </c>
      <c r="AJ186" s="78" t="n">
        <v>52</v>
      </c>
      <c r="AK186" s="78" t="n">
        <v>61</v>
      </c>
      <c r="AL186" s="78" t="n">
        <v>0.76</v>
      </c>
    </row>
    <row r="187">
      <c r="A187" s="78" t="inlineStr">
        <is>
          <t>[나운동]</t>
        </is>
      </c>
      <c r="B187" s="78" t="n">
        <v>4998</v>
      </c>
      <c r="C187" s="78" t="n">
        <v>1</v>
      </c>
      <c r="D187" s="78" t="inlineStr">
        <is>
          <t>영창</t>
        </is>
      </c>
      <c r="E187" s="78" t="inlineStr">
        <is>
          <t>1995.06.</t>
        </is>
      </c>
      <c r="F187" s="78" t="n">
        <v>765</v>
      </c>
      <c r="G187" s="78" t="n">
        <v>17.1</v>
      </c>
      <c r="H187" s="78" t="n">
        <v>56.54</v>
      </c>
      <c r="I187" s="78" t="n">
        <v>11.89</v>
      </c>
      <c r="J187" s="78" t="n">
        <v>39.33</v>
      </c>
      <c r="K187" s="78" t="n">
        <v>60</v>
      </c>
      <c r="T187" s="78" t="n">
        <v>2</v>
      </c>
      <c r="U187" s="78" t="n">
        <v>1</v>
      </c>
      <c r="V187" s="78" t="inlineStr">
        <is>
          <t>복도식</t>
        </is>
      </c>
      <c r="W187" s="78" t="n">
        <v>56</v>
      </c>
      <c r="X187" s="78" t="n">
        <v>15</v>
      </c>
      <c r="Y187" s="78" t="n">
        <v>15</v>
      </c>
      <c r="Z187" s="78" t="inlineStr">
        <is>
          <t>https://new.land.naver.com/complexes/4998?tab=detail&amp;rf=Y</t>
        </is>
      </c>
      <c r="AA187" s="78" t="inlineStr">
        <is>
          <t>전라북도 군산시 나운동 156-6</t>
        </is>
      </c>
      <c r="AB187" s="78" t="inlineStr">
        <is>
          <t>전라북도</t>
        </is>
      </c>
      <c r="AC187" s="78" t="inlineStr">
        <is>
          <t>군산시</t>
        </is>
      </c>
      <c r="AD187" s="78" t="inlineStr">
        <is>
          <t>나운동</t>
        </is>
      </c>
      <c r="AG187" s="78" t="inlineStr">
        <is>
          <t>전라북도 군산시 의료원로 137</t>
        </is>
      </c>
      <c r="AH187" s="78" t="n">
        <v>0</v>
      </c>
      <c r="AI187" s="78" t="n">
        <v>0</v>
      </c>
      <c r="AJ187" s="78" t="n">
        <v>0</v>
      </c>
      <c r="AK187" s="78" t="n">
        <v>0</v>
      </c>
      <c r="AL187" s="78" t="n">
        <v>0</v>
      </c>
    </row>
    <row r="188">
      <c r="A188" s="78" t="inlineStr">
        <is>
          <t>[나운동]</t>
        </is>
      </c>
      <c r="B188" s="78" t="n">
        <v>4998</v>
      </c>
      <c r="C188" s="78" t="n">
        <v>2</v>
      </c>
      <c r="D188" s="78" t="inlineStr">
        <is>
          <t>영창</t>
        </is>
      </c>
      <c r="E188" s="78" t="inlineStr">
        <is>
          <t>1995.06.</t>
        </is>
      </c>
      <c r="F188" s="78" t="n">
        <v>765</v>
      </c>
      <c r="G188" s="78" t="n">
        <v>21.63</v>
      </c>
      <c r="H188" s="78" t="n">
        <v>71.51000000000001</v>
      </c>
      <c r="I188" s="78" t="n">
        <v>15.05</v>
      </c>
      <c r="J188" s="78" t="n">
        <v>49.77</v>
      </c>
      <c r="K188" s="78" t="n">
        <v>120</v>
      </c>
      <c r="T188" s="78" t="n">
        <v>2</v>
      </c>
      <c r="U188" s="78" t="n">
        <v>1</v>
      </c>
      <c r="V188" s="78" t="inlineStr">
        <is>
          <t>복도식</t>
        </is>
      </c>
      <c r="W188" s="78" t="n">
        <v>71</v>
      </c>
      <c r="X188" s="78" t="n">
        <v>15</v>
      </c>
      <c r="Y188" s="78" t="n">
        <v>15</v>
      </c>
      <c r="Z188" s="78" t="inlineStr">
        <is>
          <t>https://new.land.naver.com/complexes/4998?tab=detail&amp;rf=Y</t>
        </is>
      </c>
      <c r="AA188" s="78" t="inlineStr">
        <is>
          <t>전라북도 군산시 나운동 156-6</t>
        </is>
      </c>
      <c r="AB188" s="78" t="inlineStr">
        <is>
          <t>전라북도</t>
        </is>
      </c>
      <c r="AC188" s="78" t="inlineStr">
        <is>
          <t>군산시</t>
        </is>
      </c>
      <c r="AD188" s="78" t="inlineStr">
        <is>
          <t>나운동</t>
        </is>
      </c>
      <c r="AG188" s="78" t="inlineStr">
        <is>
          <t>전라북도 군산시 의료원로 137</t>
        </is>
      </c>
      <c r="AH188" s="78" t="n">
        <v>0</v>
      </c>
      <c r="AI188" s="78" t="n">
        <v>0</v>
      </c>
      <c r="AJ188" s="78" t="n">
        <v>0</v>
      </c>
      <c r="AK188" s="78" t="n">
        <v>0</v>
      </c>
      <c r="AL188" s="78" t="n">
        <v>0</v>
      </c>
    </row>
    <row r="189">
      <c r="A189" s="78" t="inlineStr">
        <is>
          <t>[나운동]</t>
        </is>
      </c>
      <c r="B189" s="78" t="n">
        <v>4998</v>
      </c>
      <c r="C189" s="78" t="n">
        <v>3</v>
      </c>
      <c r="D189" s="78" t="inlineStr">
        <is>
          <t>영창</t>
        </is>
      </c>
      <c r="E189" s="78" t="inlineStr">
        <is>
          <t>1995.06.</t>
        </is>
      </c>
      <c r="F189" s="78" t="n">
        <v>765</v>
      </c>
      <c r="G189" s="78" t="n">
        <v>22.59</v>
      </c>
      <c r="H189" s="78" t="n">
        <v>74.70999999999999</v>
      </c>
      <c r="I189" s="78" t="n">
        <v>18.13</v>
      </c>
      <c r="J189" s="78" t="n">
        <v>59.94</v>
      </c>
      <c r="K189" s="78" t="n">
        <v>300</v>
      </c>
      <c r="T189" s="78" t="n">
        <v>3</v>
      </c>
      <c r="U189" s="78" t="n">
        <v>1</v>
      </c>
      <c r="V189" s="78" t="inlineStr">
        <is>
          <t>계단식</t>
        </is>
      </c>
      <c r="W189" s="78" t="n">
        <v>74</v>
      </c>
      <c r="X189" s="78" t="n">
        <v>15</v>
      </c>
      <c r="Y189" s="78" t="n">
        <v>15</v>
      </c>
      <c r="Z189" s="78" t="inlineStr">
        <is>
          <t>https://new.land.naver.com/complexes/4998?tab=detail&amp;rf=Y</t>
        </is>
      </c>
      <c r="AA189" s="78" t="inlineStr">
        <is>
          <t>전라북도 군산시 나운동 156-6</t>
        </is>
      </c>
      <c r="AB189" s="78" t="inlineStr">
        <is>
          <t>전라북도</t>
        </is>
      </c>
      <c r="AC189" s="78" t="inlineStr">
        <is>
          <t>군산시</t>
        </is>
      </c>
      <c r="AD189" s="78" t="inlineStr">
        <is>
          <t>나운동</t>
        </is>
      </c>
      <c r="AG189" s="78" t="inlineStr">
        <is>
          <t>전라북도 군산시 의료원로 137</t>
        </is>
      </c>
      <c r="AH189" s="78" t="n">
        <v>0</v>
      </c>
      <c r="AI189" s="78" t="n">
        <v>0</v>
      </c>
      <c r="AJ189" s="78" t="n">
        <v>0</v>
      </c>
      <c r="AK189" s="78" t="n">
        <v>0</v>
      </c>
      <c r="AL189" s="78" t="n">
        <v>0</v>
      </c>
    </row>
    <row r="190">
      <c r="A190" s="78" t="inlineStr">
        <is>
          <t>[나운동]</t>
        </is>
      </c>
      <c r="B190" s="78" t="n">
        <v>4998</v>
      </c>
      <c r="C190" s="78" t="n">
        <v>4</v>
      </c>
      <c r="D190" s="78" t="inlineStr">
        <is>
          <t>영창</t>
        </is>
      </c>
      <c r="E190" s="78" t="inlineStr">
        <is>
          <t>1995.06.</t>
        </is>
      </c>
      <c r="F190" s="78" t="n">
        <v>765</v>
      </c>
      <c r="G190" s="78" t="n">
        <v>24.85</v>
      </c>
      <c r="H190" s="78" t="n">
        <v>82.16</v>
      </c>
      <c r="I190" s="78" t="n">
        <v>18.09</v>
      </c>
      <c r="J190" s="78" t="n">
        <v>59.82</v>
      </c>
      <c r="K190" s="78" t="n">
        <v>285</v>
      </c>
      <c r="T190" s="78" t="n">
        <v>3</v>
      </c>
      <c r="U190" s="78" t="n">
        <v>1</v>
      </c>
      <c r="V190" s="78" t="inlineStr">
        <is>
          <t>복도식</t>
        </is>
      </c>
      <c r="W190" s="78" t="n">
        <v>82</v>
      </c>
      <c r="X190" s="78" t="n">
        <v>15</v>
      </c>
      <c r="Y190" s="78" t="n">
        <v>15</v>
      </c>
      <c r="Z190" s="78" t="inlineStr">
        <is>
          <t>https://new.land.naver.com/complexes/4998?tab=detail&amp;rf=Y</t>
        </is>
      </c>
      <c r="AA190" s="78" t="inlineStr">
        <is>
          <t>전라북도 군산시 나운동 156-6</t>
        </is>
      </c>
      <c r="AB190" s="78" t="inlineStr">
        <is>
          <t>전라북도</t>
        </is>
      </c>
      <c r="AC190" s="78" t="inlineStr">
        <is>
          <t>군산시</t>
        </is>
      </c>
      <c r="AD190" s="78" t="inlineStr">
        <is>
          <t>나운동</t>
        </is>
      </c>
      <c r="AG190" s="78" t="inlineStr">
        <is>
          <t>전라북도 군산시 의료원로 137</t>
        </is>
      </c>
      <c r="AH190" s="78" t="n">
        <v>0</v>
      </c>
      <c r="AI190" s="78" t="n">
        <v>0</v>
      </c>
      <c r="AJ190" s="78" t="n">
        <v>0</v>
      </c>
      <c r="AK190" s="78" t="n">
        <v>0</v>
      </c>
      <c r="AL190" s="78" t="n">
        <v>0</v>
      </c>
    </row>
    <row r="191">
      <c r="A191" s="78" t="inlineStr">
        <is>
          <t>[나운동]</t>
        </is>
      </c>
      <c r="B191" s="78" t="n">
        <v>27019</v>
      </c>
      <c r="C191" s="78" t="n">
        <v>1</v>
      </c>
      <c r="D191" s="78" t="inlineStr">
        <is>
          <t>비사벌</t>
        </is>
      </c>
      <c r="E191" s="78" t="inlineStr">
        <is>
          <t>1997.02.</t>
        </is>
      </c>
      <c r="F191" s="78" t="n">
        <v>268</v>
      </c>
      <c r="G191" s="78" t="n">
        <v>23.64</v>
      </c>
      <c r="H191" s="78" t="n">
        <v>78.16</v>
      </c>
      <c r="I191" s="78" t="n">
        <v>18.12</v>
      </c>
      <c r="J191" s="78" t="n">
        <v>59.91</v>
      </c>
      <c r="K191" s="78" t="n">
        <v>268</v>
      </c>
      <c r="T191" s="78" t="n">
        <v>2</v>
      </c>
      <c r="U191" s="78" t="n">
        <v>1</v>
      </c>
      <c r="V191" s="78" t="inlineStr">
        <is>
          <t>계단식</t>
        </is>
      </c>
      <c r="W191" s="78" t="n">
        <v>78</v>
      </c>
      <c r="X191" s="78" t="n">
        <v>15</v>
      </c>
      <c r="Y191" s="78" t="n">
        <v>15</v>
      </c>
      <c r="Z191" s="78" t="inlineStr">
        <is>
          <t>https://new.land.naver.com/complexes/27019?tab=detail&amp;rf=Y</t>
        </is>
      </c>
      <c r="AA191" s="78" t="inlineStr">
        <is>
          <t>전라북도 군산시 나운동 153-11</t>
        </is>
      </c>
      <c r="AB191" s="78" t="inlineStr">
        <is>
          <t>전라북도</t>
        </is>
      </c>
      <c r="AC191" s="78" t="inlineStr">
        <is>
          <t>군산시</t>
        </is>
      </c>
      <c r="AD191" s="78" t="inlineStr">
        <is>
          <t>나운동</t>
        </is>
      </c>
      <c r="AG191" s="78" t="inlineStr">
        <is>
          <t>전라북도 군산시 하나운로 7</t>
        </is>
      </c>
      <c r="AH191" s="78" t="n">
        <v>0</v>
      </c>
      <c r="AI191" s="78" t="n">
        <v>0</v>
      </c>
      <c r="AJ191" s="78" t="n">
        <v>0</v>
      </c>
      <c r="AK191" s="78" t="n">
        <v>276</v>
      </c>
      <c r="AL191" s="78" t="n">
        <v>1.03</v>
      </c>
    </row>
    <row r="192">
      <c r="A192" s="78" t="inlineStr">
        <is>
          <t>[나운동]</t>
        </is>
      </c>
      <c r="B192" s="78" t="n">
        <v>5004</v>
      </c>
      <c r="C192" s="78" t="n">
        <v>1</v>
      </c>
      <c r="D192" s="78" t="inlineStr">
        <is>
          <t>나운유원</t>
        </is>
      </c>
      <c r="E192" s="78" t="inlineStr">
        <is>
          <t>1990.11.</t>
        </is>
      </c>
      <c r="F192" s="78" t="n">
        <v>458</v>
      </c>
      <c r="G192" s="78" t="n">
        <v>24.58</v>
      </c>
      <c r="H192" s="78" t="n">
        <v>81.28</v>
      </c>
      <c r="I192" s="78" t="n">
        <v>19.69</v>
      </c>
      <c r="J192" s="78" t="n">
        <v>65.09999999999999</v>
      </c>
      <c r="K192" s="78" t="n">
        <v>144</v>
      </c>
      <c r="T192" s="78" t="n">
        <v>3</v>
      </c>
      <c r="U192" s="78" t="n">
        <v>1</v>
      </c>
      <c r="V192" s="78" t="inlineStr">
        <is>
          <t>계단식</t>
        </is>
      </c>
      <c r="W192" s="78" t="n">
        <v>81</v>
      </c>
      <c r="X192" s="78" t="n">
        <v>15</v>
      </c>
      <c r="Y192" s="78" t="n">
        <v>8</v>
      </c>
      <c r="Z192" s="78" t="inlineStr">
        <is>
          <t>https://new.land.naver.com/complexes/5004?tab=detail&amp;rf=Y</t>
        </is>
      </c>
      <c r="AA192" s="78" t="inlineStr">
        <is>
          <t>전라북도 군산시 나운동 866-1</t>
        </is>
      </c>
      <c r="AB192" s="78" t="inlineStr">
        <is>
          <t>전라북도</t>
        </is>
      </c>
      <c r="AC192" s="78" t="inlineStr">
        <is>
          <t>군산시</t>
        </is>
      </c>
      <c r="AD192" s="78" t="inlineStr">
        <is>
          <t>나운동</t>
        </is>
      </c>
      <c r="AG192" s="78" t="inlineStr">
        <is>
          <t>전라북도 군산시 부곡1길 39</t>
        </is>
      </c>
      <c r="AH192" s="78" t="n">
        <v>0</v>
      </c>
      <c r="AI192" s="78" t="n">
        <v>0</v>
      </c>
      <c r="AJ192" s="78" t="n">
        <v>0</v>
      </c>
      <c r="AK192" s="78" t="n">
        <v>229</v>
      </c>
      <c r="AL192" s="78" t="n">
        <v>0.5</v>
      </c>
    </row>
    <row r="193">
      <c r="A193" s="78" t="inlineStr">
        <is>
          <t>[나운동]</t>
        </is>
      </c>
      <c r="B193" s="78" t="n">
        <v>5004</v>
      </c>
      <c r="C193" s="78" t="n">
        <v>2</v>
      </c>
      <c r="D193" s="78" t="inlineStr">
        <is>
          <t>나운유원</t>
        </is>
      </c>
      <c r="E193" s="78" t="inlineStr">
        <is>
          <t>1990.11.</t>
        </is>
      </c>
      <c r="F193" s="78" t="n">
        <v>458</v>
      </c>
      <c r="G193" s="78" t="n">
        <v>29.27</v>
      </c>
      <c r="H193" s="78" t="n">
        <v>96.79000000000001</v>
      </c>
      <c r="I193" s="78" t="n">
        <v>23.62</v>
      </c>
      <c r="J193" s="78" t="n">
        <v>78.09</v>
      </c>
      <c r="K193" s="78" t="n">
        <v>69</v>
      </c>
      <c r="T193" s="78" t="n">
        <v>3</v>
      </c>
      <c r="U193" s="78" t="n">
        <v>1</v>
      </c>
      <c r="V193" s="78" t="inlineStr">
        <is>
          <t>계단식</t>
        </is>
      </c>
      <c r="W193" s="78" t="n">
        <v>96</v>
      </c>
      <c r="X193" s="78" t="n">
        <v>15</v>
      </c>
      <c r="Y193" s="78" t="n">
        <v>8</v>
      </c>
      <c r="Z193" s="78" t="inlineStr">
        <is>
          <t>https://new.land.naver.com/complexes/5004?tab=detail&amp;rf=Y</t>
        </is>
      </c>
      <c r="AA193" s="78" t="inlineStr">
        <is>
          <t>전라북도 군산시 나운동 866-1</t>
        </is>
      </c>
      <c r="AB193" s="78" t="inlineStr">
        <is>
          <t>전라북도</t>
        </is>
      </c>
      <c r="AC193" s="78" t="inlineStr">
        <is>
          <t>군산시</t>
        </is>
      </c>
      <c r="AD193" s="78" t="inlineStr">
        <is>
          <t>나운동</t>
        </is>
      </c>
      <c r="AG193" s="78" t="inlineStr">
        <is>
          <t>전라북도 군산시 부곡1길 39</t>
        </is>
      </c>
      <c r="AH193" s="78" t="n">
        <v>0</v>
      </c>
      <c r="AI193" s="78" t="n">
        <v>0</v>
      </c>
      <c r="AJ193" s="78" t="n">
        <v>0</v>
      </c>
      <c r="AK193" s="78" t="n">
        <v>229</v>
      </c>
      <c r="AL193" s="78" t="n">
        <v>0.5</v>
      </c>
    </row>
    <row r="194">
      <c r="A194" s="78" t="inlineStr">
        <is>
          <t>[나운동]</t>
        </is>
      </c>
      <c r="B194" s="78" t="n">
        <v>5004</v>
      </c>
      <c r="C194" s="78" t="n">
        <v>3</v>
      </c>
      <c r="D194" s="78" t="inlineStr">
        <is>
          <t>나운유원</t>
        </is>
      </c>
      <c r="E194" s="78" t="inlineStr">
        <is>
          <t>1990.11.</t>
        </is>
      </c>
      <c r="F194" s="78" t="n">
        <v>458</v>
      </c>
      <c r="G194" s="78" t="n">
        <v>31.48</v>
      </c>
      <c r="H194" s="78" t="n">
        <v>104.07</v>
      </c>
      <c r="I194" s="78" t="n">
        <v>25.7</v>
      </c>
      <c r="J194" s="78" t="n">
        <v>84.95999999999999</v>
      </c>
      <c r="K194" s="78" t="n">
        <v>245</v>
      </c>
      <c r="T194" s="78" t="n">
        <v>3</v>
      </c>
      <c r="U194" s="78" t="n">
        <v>2</v>
      </c>
      <c r="V194" s="78" t="inlineStr">
        <is>
          <t>계단식</t>
        </is>
      </c>
      <c r="W194" s="78" t="n">
        <v>104</v>
      </c>
      <c r="X194" s="78" t="n">
        <v>15</v>
      </c>
      <c r="Y194" s="78" t="n">
        <v>8</v>
      </c>
      <c r="Z194" s="78" t="inlineStr">
        <is>
          <t>https://new.land.naver.com/complexes/5004?tab=detail&amp;rf=Y</t>
        </is>
      </c>
      <c r="AA194" s="78" t="inlineStr">
        <is>
          <t>전라북도 군산시 나운동 866-1</t>
        </is>
      </c>
      <c r="AB194" s="78" t="inlineStr">
        <is>
          <t>전라북도</t>
        </is>
      </c>
      <c r="AC194" s="78" t="inlineStr">
        <is>
          <t>군산시</t>
        </is>
      </c>
      <c r="AD194" s="78" t="inlineStr">
        <is>
          <t>나운동</t>
        </is>
      </c>
      <c r="AG194" s="78" t="inlineStr">
        <is>
          <t>전라북도 군산시 부곡1길 39</t>
        </is>
      </c>
      <c r="AH194" s="78" t="n">
        <v>0</v>
      </c>
      <c r="AI194" s="78" t="n">
        <v>0</v>
      </c>
      <c r="AJ194" s="78" t="n">
        <v>0</v>
      </c>
      <c r="AK194" s="78" t="n">
        <v>229</v>
      </c>
      <c r="AL194" s="78" t="n">
        <v>0.5</v>
      </c>
    </row>
    <row r="195">
      <c r="A195" s="78" t="inlineStr">
        <is>
          <t>[나운동]</t>
        </is>
      </c>
      <c r="B195" s="78" t="n">
        <v>5012</v>
      </c>
      <c r="C195" s="78" t="n">
        <v>1</v>
      </c>
      <c r="D195" s="78" t="inlineStr">
        <is>
          <t>주공5단지</t>
        </is>
      </c>
      <c r="E195" s="78" t="inlineStr">
        <is>
          <t>1995.07.</t>
        </is>
      </c>
      <c r="F195" s="78" t="n">
        <v>1541</v>
      </c>
      <c r="G195" s="78" t="n">
        <v>16.58</v>
      </c>
      <c r="H195" s="78" t="n">
        <v>54.81</v>
      </c>
      <c r="I195" s="78" t="n">
        <v>11.39</v>
      </c>
      <c r="J195" s="78" t="n">
        <v>37.67</v>
      </c>
      <c r="K195" s="78" t="n">
        <v>149</v>
      </c>
      <c r="T195" s="78" t="n">
        <v>2</v>
      </c>
      <c r="U195" s="78" t="n">
        <v>1</v>
      </c>
      <c r="V195" s="78" t="inlineStr">
        <is>
          <t>복도식</t>
        </is>
      </c>
      <c r="W195" s="78" t="n">
        <v>54</v>
      </c>
      <c r="X195" s="78" t="n">
        <v>15</v>
      </c>
      <c r="Y195" s="78" t="n">
        <v>15</v>
      </c>
      <c r="Z195" s="78" t="inlineStr">
        <is>
          <t>https://new.land.naver.com/complexes/5012?tab=detail&amp;rf=Y</t>
        </is>
      </c>
      <c r="AA195" s="78" t="inlineStr">
        <is>
          <t>전라북도 군산시 나운동 45-7</t>
        </is>
      </c>
      <c r="AB195" s="78" t="inlineStr">
        <is>
          <t>전라북도</t>
        </is>
      </c>
      <c r="AC195" s="78" t="inlineStr">
        <is>
          <t>군산시</t>
        </is>
      </c>
      <c r="AD195" s="78" t="inlineStr">
        <is>
          <t>나운동</t>
        </is>
      </c>
      <c r="AG195" s="78" t="inlineStr">
        <is>
          <t>전라북도 군산시 백토로 117</t>
        </is>
      </c>
      <c r="AH195" s="78" t="n">
        <v>0</v>
      </c>
      <c r="AI195" s="78" t="n">
        <v>0</v>
      </c>
      <c r="AJ195" s="78" t="n">
        <v>0</v>
      </c>
      <c r="AK195" s="78" t="n">
        <v>0</v>
      </c>
      <c r="AL195" s="78" t="n">
        <v>0</v>
      </c>
    </row>
    <row r="196">
      <c r="A196" s="78" t="inlineStr">
        <is>
          <t>[나운동]</t>
        </is>
      </c>
      <c r="B196" s="78" t="n">
        <v>5012</v>
      </c>
      <c r="C196" s="78" t="n">
        <v>2</v>
      </c>
      <c r="D196" s="78" t="inlineStr">
        <is>
          <t>주공5단지</t>
        </is>
      </c>
      <c r="E196" s="78" t="inlineStr">
        <is>
          <t>1995.07.</t>
        </is>
      </c>
      <c r="F196" s="78" t="n">
        <v>1541</v>
      </c>
      <c r="G196" s="78" t="n">
        <v>21.11</v>
      </c>
      <c r="H196" s="78" t="n">
        <v>69.8</v>
      </c>
      <c r="I196" s="78" t="n">
        <v>15.03</v>
      </c>
      <c r="J196" s="78" t="n">
        <v>49.69</v>
      </c>
      <c r="K196" s="78" t="n">
        <v>149</v>
      </c>
      <c r="T196" s="78" t="n">
        <v>2</v>
      </c>
      <c r="U196" s="78" t="n">
        <v>1</v>
      </c>
      <c r="V196" s="78" t="inlineStr">
        <is>
          <t>복도식</t>
        </is>
      </c>
      <c r="W196" s="78" t="n">
        <v>69</v>
      </c>
      <c r="X196" s="78" t="n">
        <v>15</v>
      </c>
      <c r="Y196" s="78" t="n">
        <v>15</v>
      </c>
      <c r="Z196" s="78" t="inlineStr">
        <is>
          <t>https://new.land.naver.com/complexes/5012?tab=detail&amp;rf=Y</t>
        </is>
      </c>
      <c r="AA196" s="78" t="inlineStr">
        <is>
          <t>전라북도 군산시 나운동 45-7</t>
        </is>
      </c>
      <c r="AB196" s="78" t="inlineStr">
        <is>
          <t>전라북도</t>
        </is>
      </c>
      <c r="AC196" s="78" t="inlineStr">
        <is>
          <t>군산시</t>
        </is>
      </c>
      <c r="AD196" s="78" t="inlineStr">
        <is>
          <t>나운동</t>
        </is>
      </c>
      <c r="AG196" s="78" t="inlineStr">
        <is>
          <t>전라북도 군산시 백토로 117</t>
        </is>
      </c>
      <c r="AH196" s="78" t="n">
        <v>0</v>
      </c>
      <c r="AI196" s="78" t="n">
        <v>0</v>
      </c>
      <c r="AJ196" s="78" t="n">
        <v>0</v>
      </c>
      <c r="AK196" s="78" t="n">
        <v>0</v>
      </c>
      <c r="AL196" s="78" t="n">
        <v>0</v>
      </c>
    </row>
    <row r="197">
      <c r="A197" s="78" t="inlineStr">
        <is>
          <t>[나운동]</t>
        </is>
      </c>
      <c r="B197" s="78" t="n">
        <v>5012</v>
      </c>
      <c r="C197" s="78" t="n">
        <v>3</v>
      </c>
      <c r="D197" s="78" t="inlineStr">
        <is>
          <t>주공5단지</t>
        </is>
      </c>
      <c r="E197" s="78" t="inlineStr">
        <is>
          <t>1995.07.</t>
        </is>
      </c>
      <c r="F197" s="78" t="n">
        <v>1541</v>
      </c>
      <c r="G197" s="78" t="n">
        <v>23.95</v>
      </c>
      <c r="H197" s="78" t="n">
        <v>79.19</v>
      </c>
      <c r="I197" s="78" t="n">
        <v>17.58</v>
      </c>
      <c r="J197" s="78" t="n">
        <v>58.14</v>
      </c>
      <c r="K197" s="78" t="n">
        <v>1243</v>
      </c>
      <c r="T197" s="78" t="n">
        <v>3</v>
      </c>
      <c r="U197" s="78" t="n">
        <v>1</v>
      </c>
      <c r="V197" s="78" t="inlineStr">
        <is>
          <t>복도식</t>
        </is>
      </c>
      <c r="W197" s="78" t="n">
        <v>79</v>
      </c>
      <c r="X197" s="78" t="n">
        <v>15</v>
      </c>
      <c r="Y197" s="78" t="n">
        <v>15</v>
      </c>
      <c r="Z197" s="78" t="inlineStr">
        <is>
          <t>https://new.land.naver.com/complexes/5012?tab=detail&amp;rf=Y</t>
        </is>
      </c>
      <c r="AA197" s="78" t="inlineStr">
        <is>
          <t>전라북도 군산시 나운동 45-7</t>
        </is>
      </c>
      <c r="AB197" s="78" t="inlineStr">
        <is>
          <t>전라북도</t>
        </is>
      </c>
      <c r="AC197" s="78" t="inlineStr">
        <is>
          <t>군산시</t>
        </is>
      </c>
      <c r="AD197" s="78" t="inlineStr">
        <is>
          <t>나운동</t>
        </is>
      </c>
      <c r="AG197" s="78" t="inlineStr">
        <is>
          <t>전라북도 군산시 백토로 117</t>
        </is>
      </c>
      <c r="AH197" s="78" t="n">
        <v>0</v>
      </c>
      <c r="AI197" s="78" t="n">
        <v>0</v>
      </c>
      <c r="AJ197" s="78" t="n">
        <v>0</v>
      </c>
      <c r="AK197" s="78" t="n">
        <v>0</v>
      </c>
      <c r="AL197" s="78" t="n">
        <v>0</v>
      </c>
    </row>
    <row r="198">
      <c r="A198" s="78" t="inlineStr">
        <is>
          <t>[나운동]</t>
        </is>
      </c>
      <c r="B198" s="78" t="n">
        <v>139866</v>
      </c>
      <c r="C198" s="78" t="n">
        <v>1</v>
      </c>
      <c r="D198" s="78" t="inlineStr">
        <is>
          <t>금호</t>
        </is>
      </c>
      <c r="E198" s="78" t="inlineStr">
        <is>
          <t>1987.06.</t>
        </is>
      </c>
      <c r="F198" s="78" t="n">
        <v>100</v>
      </c>
      <c r="G198" s="78" t="n">
        <v>19.41</v>
      </c>
      <c r="H198" s="78" t="n">
        <v>64.17</v>
      </c>
      <c r="I198" s="78" t="n">
        <v>17.66</v>
      </c>
      <c r="J198" s="78" t="n">
        <v>58.41</v>
      </c>
      <c r="K198" s="78" t="n">
        <v>50</v>
      </c>
      <c r="T198" s="78" t="n">
        <v>3</v>
      </c>
      <c r="U198" s="78" t="n">
        <v>1</v>
      </c>
      <c r="V198" s="78" t="inlineStr">
        <is>
          <t>계단식</t>
        </is>
      </c>
      <c r="W198" s="78" t="inlineStr">
        <is>
          <t>64A</t>
        </is>
      </c>
      <c r="X198" s="78" t="n">
        <v>5</v>
      </c>
      <c r="Y198" s="78" t="n">
        <v>5</v>
      </c>
      <c r="Z198" s="78" t="inlineStr">
        <is>
          <t>https://new.land.naver.com/complexes/139866?tab=detail&amp;rf=Y</t>
        </is>
      </c>
      <c r="AA198" s="78" t="inlineStr">
        <is>
          <t>전라북도 군산시 나운동 787-4</t>
        </is>
      </c>
      <c r="AB198" s="78" t="inlineStr">
        <is>
          <t>전라북도</t>
        </is>
      </c>
      <c r="AC198" s="78" t="inlineStr">
        <is>
          <t>군산시</t>
        </is>
      </c>
      <c r="AD198" s="78" t="inlineStr">
        <is>
          <t>나운동</t>
        </is>
      </c>
      <c r="AG198" s="78" t="inlineStr">
        <is>
          <t>전라북도 군산시 신설3길 14</t>
        </is>
      </c>
      <c r="AH198" s="78" t="n">
        <v>0</v>
      </c>
      <c r="AI198" s="78" t="n">
        <v>0</v>
      </c>
      <c r="AJ198" s="78" t="n">
        <v>0</v>
      </c>
      <c r="AK198" s="78" t="n">
        <v>0</v>
      </c>
      <c r="AL198" s="78" t="n">
        <v>0</v>
      </c>
    </row>
    <row r="199">
      <c r="A199" s="78" t="inlineStr">
        <is>
          <t>[나운동]</t>
        </is>
      </c>
      <c r="B199" s="78" t="n">
        <v>139866</v>
      </c>
      <c r="C199" s="78" t="n">
        <v>2</v>
      </c>
      <c r="D199" s="78" t="inlineStr">
        <is>
          <t>금호</t>
        </is>
      </c>
      <c r="E199" s="78" t="inlineStr">
        <is>
          <t>1987.06.</t>
        </is>
      </c>
      <c r="F199" s="78" t="n">
        <v>100</v>
      </c>
      <c r="G199" s="78" t="n">
        <v>19.57</v>
      </c>
      <c r="H199" s="78" t="n">
        <v>64.70999999999999</v>
      </c>
      <c r="I199" s="78" t="n">
        <v>17.83</v>
      </c>
      <c r="J199" s="78" t="n">
        <v>58.95</v>
      </c>
      <c r="K199" s="78" t="n">
        <v>50</v>
      </c>
      <c r="T199" s="78" t="n">
        <v>2</v>
      </c>
      <c r="U199" s="78" t="n">
        <v>1</v>
      </c>
      <c r="V199" s="78" t="inlineStr">
        <is>
          <t>계단식</t>
        </is>
      </c>
      <c r="W199" s="78" t="inlineStr">
        <is>
          <t>64B</t>
        </is>
      </c>
      <c r="X199" s="78" t="n">
        <v>5</v>
      </c>
      <c r="Y199" s="78" t="n">
        <v>5</v>
      </c>
      <c r="Z199" s="78" t="inlineStr">
        <is>
          <t>https://new.land.naver.com/complexes/139866?tab=detail&amp;rf=Y</t>
        </is>
      </c>
      <c r="AA199" s="78" t="inlineStr">
        <is>
          <t>전라북도 군산시 나운동 787-4</t>
        </is>
      </c>
      <c r="AB199" s="78" t="inlineStr">
        <is>
          <t>전라북도</t>
        </is>
      </c>
      <c r="AC199" s="78" t="inlineStr">
        <is>
          <t>군산시</t>
        </is>
      </c>
      <c r="AD199" s="78" t="inlineStr">
        <is>
          <t>나운동</t>
        </is>
      </c>
      <c r="AG199" s="78" t="inlineStr">
        <is>
          <t>전라북도 군산시 신설3길 14</t>
        </is>
      </c>
      <c r="AH199" s="78" t="n">
        <v>0</v>
      </c>
      <c r="AI199" s="78" t="n">
        <v>0</v>
      </c>
      <c r="AJ199" s="78" t="n">
        <v>0</v>
      </c>
      <c r="AK199" s="78" t="n">
        <v>0</v>
      </c>
      <c r="AL199" s="78" t="n">
        <v>0</v>
      </c>
    </row>
    <row r="200">
      <c r="A200" s="78" t="inlineStr">
        <is>
          <t>[나운동]</t>
        </is>
      </c>
      <c r="B200" s="78" t="n">
        <v>136405</v>
      </c>
      <c r="C200" s="78" t="n">
        <v>1</v>
      </c>
      <c r="D200" s="78" t="inlineStr">
        <is>
          <t>로얄맨션7차</t>
        </is>
      </c>
      <c r="E200" s="78" t="inlineStr">
        <is>
          <t>1992.12.</t>
        </is>
      </c>
      <c r="F200" s="78" t="n">
        <v>18</v>
      </c>
      <c r="G200" s="78" t="n">
        <v>30.04</v>
      </c>
      <c r="H200" s="78" t="n">
        <v>99.31</v>
      </c>
      <c r="I200" s="78" t="n">
        <v>24.81</v>
      </c>
      <c r="J200" s="78" t="n">
        <v>82.02</v>
      </c>
      <c r="K200" s="78" t="n">
        <v>4</v>
      </c>
      <c r="T200" s="78" t="n">
        <v>3</v>
      </c>
      <c r="U200" s="78" t="n">
        <v>2</v>
      </c>
      <c r="V200" s="78" t="inlineStr">
        <is>
          <t>계단식</t>
        </is>
      </c>
      <c r="W200" s="78" t="inlineStr">
        <is>
          <t>99A</t>
        </is>
      </c>
      <c r="X200" s="78" t="n">
        <v>5</v>
      </c>
      <c r="Y200" s="78" t="n">
        <v>5</v>
      </c>
      <c r="Z200" s="78" t="inlineStr">
        <is>
          <t>https://new.land.naver.com/complexes/136405?tab=detail&amp;rf=Y</t>
        </is>
      </c>
      <c r="AA200" s="78" t="inlineStr">
        <is>
          <t>전라북도 군산시 나운동 774-6</t>
        </is>
      </c>
      <c r="AB200" s="78" t="inlineStr">
        <is>
          <t>전라북도</t>
        </is>
      </c>
      <c r="AC200" s="78" t="inlineStr">
        <is>
          <t>군산시</t>
        </is>
      </c>
      <c r="AD200" s="78" t="inlineStr">
        <is>
          <t>나운동</t>
        </is>
      </c>
      <c r="AG200" s="78" t="inlineStr">
        <is>
          <t>전라북도 군산시 신설1길 41</t>
        </is>
      </c>
      <c r="AH200" s="78" t="n">
        <v>0</v>
      </c>
      <c r="AI200" s="78" t="n">
        <v>230</v>
      </c>
      <c r="AJ200" s="78" t="n">
        <v>47</v>
      </c>
      <c r="AK200" s="78" t="n">
        <v>0</v>
      </c>
      <c r="AL200" s="78" t="n">
        <v>0</v>
      </c>
    </row>
    <row r="201">
      <c r="A201" s="78" t="inlineStr">
        <is>
          <t>[나운동]</t>
        </is>
      </c>
      <c r="B201" s="78" t="n">
        <v>136405</v>
      </c>
      <c r="C201" s="78" t="n">
        <v>2</v>
      </c>
      <c r="D201" s="78" t="inlineStr">
        <is>
          <t>로얄맨션7차</t>
        </is>
      </c>
      <c r="E201" s="78" t="inlineStr">
        <is>
          <t>1992.12.</t>
        </is>
      </c>
      <c r="F201" s="78" t="n">
        <v>18</v>
      </c>
      <c r="G201" s="78" t="n">
        <v>30.05</v>
      </c>
      <c r="H201" s="78" t="n">
        <v>99.36</v>
      </c>
      <c r="I201" s="78" t="n">
        <v>24.82</v>
      </c>
      <c r="J201" s="78" t="n">
        <v>82.06999999999999</v>
      </c>
      <c r="K201" s="78" t="n">
        <v>4</v>
      </c>
      <c r="T201" s="78" t="n">
        <v>3</v>
      </c>
      <c r="U201" s="78" t="n">
        <v>2</v>
      </c>
      <c r="V201" s="78" t="inlineStr">
        <is>
          <t>계단식</t>
        </is>
      </c>
      <c r="W201" s="78" t="inlineStr">
        <is>
          <t>99C</t>
        </is>
      </c>
      <c r="X201" s="78" t="n">
        <v>5</v>
      </c>
      <c r="Y201" s="78" t="n">
        <v>5</v>
      </c>
      <c r="Z201" s="78" t="inlineStr">
        <is>
          <t>https://new.land.naver.com/complexes/136405?tab=detail&amp;rf=Y</t>
        </is>
      </c>
      <c r="AA201" s="78" t="inlineStr">
        <is>
          <t>전라북도 군산시 나운동 774-6</t>
        </is>
      </c>
      <c r="AB201" s="78" t="inlineStr">
        <is>
          <t>전라북도</t>
        </is>
      </c>
      <c r="AC201" s="78" t="inlineStr">
        <is>
          <t>군산시</t>
        </is>
      </c>
      <c r="AD201" s="78" t="inlineStr">
        <is>
          <t>나운동</t>
        </is>
      </c>
      <c r="AG201" s="78" t="inlineStr">
        <is>
          <t>전라북도 군산시 신설1길 41</t>
        </is>
      </c>
      <c r="AH201" s="78" t="n">
        <v>0</v>
      </c>
      <c r="AI201" s="78" t="n">
        <v>230</v>
      </c>
      <c r="AJ201" s="78" t="n">
        <v>47</v>
      </c>
      <c r="AK201" s="78" t="n">
        <v>0</v>
      </c>
      <c r="AL201" s="78" t="n">
        <v>0</v>
      </c>
    </row>
    <row r="202">
      <c r="A202" s="78" t="inlineStr">
        <is>
          <t>[나운동]</t>
        </is>
      </c>
      <c r="B202" s="78" t="n">
        <v>136405</v>
      </c>
      <c r="C202" s="78" t="n">
        <v>3</v>
      </c>
      <c r="D202" s="78" t="inlineStr">
        <is>
          <t>로얄맨션7차</t>
        </is>
      </c>
      <c r="E202" s="78" t="inlineStr">
        <is>
          <t>1992.12.</t>
        </is>
      </c>
      <c r="F202" s="78" t="n">
        <v>18</v>
      </c>
      <c r="G202" s="78" t="n">
        <v>30.05</v>
      </c>
      <c r="H202" s="78" t="n">
        <v>99.36</v>
      </c>
      <c r="I202" s="78" t="n">
        <v>24.81</v>
      </c>
      <c r="J202" s="78" t="n">
        <v>82.02</v>
      </c>
      <c r="K202" s="78" t="n">
        <v>1</v>
      </c>
      <c r="T202" s="78" t="n">
        <v>3</v>
      </c>
      <c r="U202" s="78" t="n">
        <v>2</v>
      </c>
      <c r="V202" s="78" t="inlineStr">
        <is>
          <t>계단식</t>
        </is>
      </c>
      <c r="W202" s="78" t="inlineStr">
        <is>
          <t>99B</t>
        </is>
      </c>
      <c r="X202" s="78" t="n">
        <v>5</v>
      </c>
      <c r="Y202" s="78" t="n">
        <v>5</v>
      </c>
      <c r="Z202" s="78" t="inlineStr">
        <is>
          <t>https://new.land.naver.com/complexes/136405?tab=detail&amp;rf=Y</t>
        </is>
      </c>
      <c r="AA202" s="78" t="inlineStr">
        <is>
          <t>전라북도 군산시 나운동 774-6</t>
        </is>
      </c>
      <c r="AB202" s="78" t="inlineStr">
        <is>
          <t>전라북도</t>
        </is>
      </c>
      <c r="AC202" s="78" t="inlineStr">
        <is>
          <t>군산시</t>
        </is>
      </c>
      <c r="AD202" s="78" t="inlineStr">
        <is>
          <t>나운동</t>
        </is>
      </c>
      <c r="AG202" s="78" t="inlineStr">
        <is>
          <t>전라북도 군산시 신설1길 41</t>
        </is>
      </c>
      <c r="AH202" s="78" t="n">
        <v>0</v>
      </c>
      <c r="AI202" s="78" t="n">
        <v>230</v>
      </c>
      <c r="AJ202" s="78" t="n">
        <v>47</v>
      </c>
      <c r="AK202" s="78" t="n">
        <v>0</v>
      </c>
      <c r="AL202" s="78" t="n">
        <v>0</v>
      </c>
    </row>
    <row r="203">
      <c r="A203" s="78" t="inlineStr">
        <is>
          <t>[나운동]</t>
        </is>
      </c>
      <c r="B203" s="78" t="n">
        <v>136405</v>
      </c>
      <c r="C203" s="78" t="n">
        <v>4</v>
      </c>
      <c r="D203" s="78" t="inlineStr">
        <is>
          <t>로얄맨션7차</t>
        </is>
      </c>
      <c r="E203" s="78" t="inlineStr">
        <is>
          <t>1992.12.</t>
        </is>
      </c>
      <c r="F203" s="78" t="n">
        <v>18</v>
      </c>
      <c r="G203" s="78" t="n">
        <v>30.51</v>
      </c>
      <c r="H203" s="78" t="n">
        <v>100.89</v>
      </c>
      <c r="I203" s="78" t="n">
        <v>25.24</v>
      </c>
      <c r="J203" s="78" t="n">
        <v>83.45</v>
      </c>
      <c r="K203" s="78" t="n">
        <v>4</v>
      </c>
      <c r="T203" s="78" t="n">
        <v>3</v>
      </c>
      <c r="U203" s="78" t="n">
        <v>2</v>
      </c>
      <c r="V203" s="78" t="inlineStr">
        <is>
          <t>계단식</t>
        </is>
      </c>
      <c r="W203" s="78" t="inlineStr">
        <is>
          <t>100B</t>
        </is>
      </c>
      <c r="X203" s="78" t="n">
        <v>5</v>
      </c>
      <c r="Y203" s="78" t="n">
        <v>5</v>
      </c>
      <c r="Z203" s="78" t="inlineStr">
        <is>
          <t>https://new.land.naver.com/complexes/136405?tab=detail&amp;rf=Y</t>
        </is>
      </c>
      <c r="AA203" s="78" t="inlineStr">
        <is>
          <t>전라북도 군산시 나운동 774-6</t>
        </is>
      </c>
      <c r="AB203" s="78" t="inlineStr">
        <is>
          <t>전라북도</t>
        </is>
      </c>
      <c r="AC203" s="78" t="inlineStr">
        <is>
          <t>군산시</t>
        </is>
      </c>
      <c r="AD203" s="78" t="inlineStr">
        <is>
          <t>나운동</t>
        </is>
      </c>
      <c r="AG203" s="78" t="inlineStr">
        <is>
          <t>전라북도 군산시 신설1길 41</t>
        </is>
      </c>
      <c r="AH203" s="78" t="n">
        <v>0</v>
      </c>
      <c r="AI203" s="78" t="n">
        <v>230</v>
      </c>
      <c r="AJ203" s="78" t="n">
        <v>47</v>
      </c>
      <c r="AK203" s="78" t="n">
        <v>0</v>
      </c>
      <c r="AL203" s="78" t="n">
        <v>0</v>
      </c>
    </row>
    <row r="204">
      <c r="A204" s="78" t="inlineStr">
        <is>
          <t>[나운동]</t>
        </is>
      </c>
      <c r="B204" s="78" t="n">
        <v>136405</v>
      </c>
      <c r="C204" s="78" t="n">
        <v>5</v>
      </c>
      <c r="D204" s="78" t="inlineStr">
        <is>
          <t>로얄맨션7차</t>
        </is>
      </c>
      <c r="E204" s="78" t="inlineStr">
        <is>
          <t>1992.12.</t>
        </is>
      </c>
      <c r="F204" s="78" t="n">
        <v>18</v>
      </c>
      <c r="G204" s="78" t="n">
        <v>30.64</v>
      </c>
      <c r="H204" s="78" t="n">
        <v>101.29</v>
      </c>
      <c r="I204" s="78" t="n">
        <v>25.34</v>
      </c>
      <c r="J204" s="78" t="n">
        <v>83.79000000000001</v>
      </c>
      <c r="K204" s="78" t="n">
        <v>4</v>
      </c>
      <c r="T204" s="78" t="n">
        <v>3</v>
      </c>
      <c r="U204" s="78" t="n">
        <v>2</v>
      </c>
      <c r="V204" s="78" t="inlineStr">
        <is>
          <t>계단식</t>
        </is>
      </c>
      <c r="W204" s="78" t="inlineStr">
        <is>
          <t>101A</t>
        </is>
      </c>
      <c r="X204" s="78" t="n">
        <v>5</v>
      </c>
      <c r="Y204" s="78" t="n">
        <v>5</v>
      </c>
      <c r="Z204" s="78" t="inlineStr">
        <is>
          <t>https://new.land.naver.com/complexes/136405?tab=detail&amp;rf=Y</t>
        </is>
      </c>
      <c r="AA204" s="78" t="inlineStr">
        <is>
          <t>전라북도 군산시 나운동 774-6</t>
        </is>
      </c>
      <c r="AB204" s="78" t="inlineStr">
        <is>
          <t>전라북도</t>
        </is>
      </c>
      <c r="AC204" s="78" t="inlineStr">
        <is>
          <t>군산시</t>
        </is>
      </c>
      <c r="AD204" s="78" t="inlineStr">
        <is>
          <t>나운동</t>
        </is>
      </c>
      <c r="AG204" s="78" t="inlineStr">
        <is>
          <t>전라북도 군산시 신설1길 41</t>
        </is>
      </c>
      <c r="AH204" s="78" t="n">
        <v>0</v>
      </c>
      <c r="AI204" s="78" t="n">
        <v>230</v>
      </c>
      <c r="AJ204" s="78" t="n">
        <v>47</v>
      </c>
      <c r="AK204" s="78" t="n">
        <v>0</v>
      </c>
      <c r="AL204" s="78" t="n">
        <v>0</v>
      </c>
    </row>
    <row r="205">
      <c r="A205" s="78" t="inlineStr">
        <is>
          <t>[나운동]</t>
        </is>
      </c>
      <c r="B205" s="78" t="n">
        <v>136405</v>
      </c>
      <c r="C205" s="78" t="n">
        <v>6</v>
      </c>
      <c r="D205" s="78" t="inlineStr">
        <is>
          <t>로얄맨션7차</t>
        </is>
      </c>
      <c r="E205" s="78" t="inlineStr">
        <is>
          <t>1992.12.</t>
        </is>
      </c>
      <c r="F205" s="78" t="n">
        <v>18</v>
      </c>
      <c r="G205" s="78" t="n">
        <v>30.65</v>
      </c>
      <c r="H205" s="78" t="n">
        <v>101.34</v>
      </c>
      <c r="I205" s="78" t="n">
        <v>25.34</v>
      </c>
      <c r="J205" s="78" t="n">
        <v>83.79000000000001</v>
      </c>
      <c r="K205" s="78" t="n">
        <v>1</v>
      </c>
      <c r="T205" s="78" t="n">
        <v>3</v>
      </c>
      <c r="U205" s="78" t="n">
        <v>2</v>
      </c>
      <c r="V205" s="78" t="inlineStr">
        <is>
          <t>계단식</t>
        </is>
      </c>
      <c r="W205" s="78" t="inlineStr">
        <is>
          <t>101C</t>
        </is>
      </c>
      <c r="X205" s="78" t="n">
        <v>5</v>
      </c>
      <c r="Y205" s="78" t="n">
        <v>5</v>
      </c>
      <c r="Z205" s="78" t="inlineStr">
        <is>
          <t>https://new.land.naver.com/complexes/136405?tab=detail&amp;rf=Y</t>
        </is>
      </c>
      <c r="AA205" s="78" t="inlineStr">
        <is>
          <t>전라북도 군산시 나운동 774-6</t>
        </is>
      </c>
      <c r="AB205" s="78" t="inlineStr">
        <is>
          <t>전라북도</t>
        </is>
      </c>
      <c r="AC205" s="78" t="inlineStr">
        <is>
          <t>군산시</t>
        </is>
      </c>
      <c r="AD205" s="78" t="inlineStr">
        <is>
          <t>나운동</t>
        </is>
      </c>
      <c r="AG205" s="78" t="inlineStr">
        <is>
          <t>전라북도 군산시 신설1길 41</t>
        </is>
      </c>
      <c r="AH205" s="78" t="n">
        <v>0</v>
      </c>
      <c r="AI205" s="78" t="n">
        <v>230</v>
      </c>
      <c r="AJ205" s="78" t="n">
        <v>47</v>
      </c>
      <c r="AK205" s="78" t="n">
        <v>0</v>
      </c>
      <c r="AL205" s="78" t="n">
        <v>0</v>
      </c>
    </row>
    <row r="206">
      <c r="A206" s="78" t="inlineStr">
        <is>
          <t>[나운동]</t>
        </is>
      </c>
      <c r="B206" s="78" t="n">
        <v>133504</v>
      </c>
      <c r="C206" s="78" t="n">
        <v>1</v>
      </c>
      <c r="D206" s="78" t="inlineStr">
        <is>
          <t>명성(778-9)</t>
        </is>
      </c>
      <c r="E206" s="78" t="inlineStr">
        <is>
          <t>1989.01.</t>
        </is>
      </c>
      <c r="F206" s="78" t="n">
        <v>35</v>
      </c>
      <c r="G206" s="78" t="n">
        <v>32.4</v>
      </c>
      <c r="H206" s="78" t="n">
        <v>107.12</v>
      </c>
      <c r="I206" s="78" t="n">
        <v>27.99</v>
      </c>
      <c r="J206" s="78" t="n">
        <v>92.53</v>
      </c>
      <c r="K206" s="78" t="n">
        <v>30</v>
      </c>
      <c r="T206" s="78" t="n">
        <v>3</v>
      </c>
      <c r="U206" s="78" t="n">
        <v>2</v>
      </c>
      <c r="V206" s="78" t="inlineStr">
        <is>
          <t>계단식</t>
        </is>
      </c>
      <c r="W206" s="78" t="n">
        <v>107</v>
      </c>
      <c r="X206" s="78" t="n">
        <v>5</v>
      </c>
      <c r="Y206" s="78" t="n">
        <v>5</v>
      </c>
      <c r="Z206" s="78" t="inlineStr">
        <is>
          <t>https://new.land.naver.com/complexes/133504?tab=detail&amp;rf=Y</t>
        </is>
      </c>
      <c r="AA206" s="78" t="inlineStr">
        <is>
          <t>전라북도 군산시 나운동 778-9</t>
        </is>
      </c>
      <c r="AB206" s="78" t="inlineStr">
        <is>
          <t>전라북도</t>
        </is>
      </c>
      <c r="AC206" s="78" t="inlineStr">
        <is>
          <t>군산시</t>
        </is>
      </c>
      <c r="AD206" s="78" t="inlineStr">
        <is>
          <t>나운동</t>
        </is>
      </c>
      <c r="AG206" s="78" t="inlineStr">
        <is>
          <t>전라북도 군산시 상신안길 16</t>
        </is>
      </c>
      <c r="AH206" s="78" t="n">
        <v>0</v>
      </c>
      <c r="AI206" s="78" t="n">
        <v>164</v>
      </c>
      <c r="AJ206" s="78" t="n">
        <v>32</v>
      </c>
      <c r="AK206" s="78" t="n">
        <v>0</v>
      </c>
      <c r="AL206" s="78" t="n">
        <v>0</v>
      </c>
    </row>
    <row r="207">
      <c r="A207" s="78" t="inlineStr">
        <is>
          <t>[나운동]</t>
        </is>
      </c>
      <c r="B207" s="78" t="n">
        <v>133504</v>
      </c>
      <c r="C207" s="78" t="n">
        <v>2</v>
      </c>
      <c r="D207" s="78" t="inlineStr">
        <is>
          <t>명성(778-9)</t>
        </is>
      </c>
      <c r="E207" s="78" t="inlineStr">
        <is>
          <t>1989.01.</t>
        </is>
      </c>
      <c r="F207" s="78" t="n">
        <v>35</v>
      </c>
      <c r="G207" s="78" t="n">
        <v>35.96</v>
      </c>
      <c r="H207" s="78" t="n">
        <v>118.88</v>
      </c>
      <c r="I207" s="78" t="n">
        <v>29.91</v>
      </c>
      <c r="J207" s="78" t="n">
        <v>98.89</v>
      </c>
      <c r="K207" s="78" t="n">
        <v>5</v>
      </c>
      <c r="T207" s="78" t="n">
        <v>3</v>
      </c>
      <c r="U207" s="78" t="n">
        <v>2</v>
      </c>
      <c r="V207" s="78" t="inlineStr">
        <is>
          <t>계단식</t>
        </is>
      </c>
      <c r="W207" s="78" t="n">
        <v>118</v>
      </c>
      <c r="X207" s="78" t="n">
        <v>5</v>
      </c>
      <c r="Y207" s="78" t="n">
        <v>5</v>
      </c>
      <c r="Z207" s="78" t="inlineStr">
        <is>
          <t>https://new.land.naver.com/complexes/133504?tab=detail&amp;rf=Y</t>
        </is>
      </c>
      <c r="AA207" s="78" t="inlineStr">
        <is>
          <t>전라북도 군산시 나운동 778-9</t>
        </is>
      </c>
      <c r="AB207" s="78" t="inlineStr">
        <is>
          <t>전라북도</t>
        </is>
      </c>
      <c r="AC207" s="78" t="inlineStr">
        <is>
          <t>군산시</t>
        </is>
      </c>
      <c r="AD207" s="78" t="inlineStr">
        <is>
          <t>나운동</t>
        </is>
      </c>
      <c r="AG207" s="78" t="inlineStr">
        <is>
          <t>전라북도 군산시 상신안길 16</t>
        </is>
      </c>
      <c r="AH207" s="78" t="n">
        <v>0</v>
      </c>
      <c r="AI207" s="78" t="n">
        <v>164</v>
      </c>
      <c r="AJ207" s="78" t="n">
        <v>32</v>
      </c>
      <c r="AK207" s="78" t="n">
        <v>0</v>
      </c>
      <c r="AL207" s="78" t="n">
        <v>0</v>
      </c>
    </row>
    <row r="208">
      <c r="A208" s="78" t="inlineStr">
        <is>
          <t>[나운동]</t>
        </is>
      </c>
      <c r="B208" s="78" t="n">
        <v>125674</v>
      </c>
      <c r="C208" s="78" t="n">
        <v>1</v>
      </c>
      <c r="D208" s="78" t="inlineStr">
        <is>
          <t>한신</t>
        </is>
      </c>
      <c r="E208" s="78" t="inlineStr">
        <is>
          <t>1986.04.</t>
        </is>
      </c>
      <c r="F208" s="78" t="n">
        <v>78</v>
      </c>
      <c r="G208" s="78" t="n">
        <v>18.24</v>
      </c>
      <c r="H208" s="78" t="n">
        <v>60.3</v>
      </c>
      <c r="I208" s="78" t="n">
        <v>16.52</v>
      </c>
      <c r="J208" s="78" t="n">
        <v>54.63</v>
      </c>
      <c r="K208" s="78" t="n">
        <v>1</v>
      </c>
      <c r="T208" s="78" t="n">
        <v>3</v>
      </c>
      <c r="U208" s="78" t="n">
        <v>1</v>
      </c>
      <c r="V208" s="78" t="inlineStr">
        <is>
          <t>계단식</t>
        </is>
      </c>
      <c r="W208" s="78" t="n">
        <v>60</v>
      </c>
      <c r="X208" s="78" t="n">
        <v>3</v>
      </c>
      <c r="Y208" s="78" t="n">
        <v>3</v>
      </c>
      <c r="Z208" s="78" t="inlineStr">
        <is>
          <t>https://new.land.naver.com/complexes/125674?tab=detail&amp;rf=Y</t>
        </is>
      </c>
      <c r="AA208" s="78" t="inlineStr">
        <is>
          <t>전라북도 군산시 나운동 799-1</t>
        </is>
      </c>
      <c r="AB208" s="78" t="inlineStr">
        <is>
          <t>전라북도</t>
        </is>
      </c>
      <c r="AC208" s="78" t="inlineStr">
        <is>
          <t>군산시</t>
        </is>
      </c>
      <c r="AD208" s="78" t="inlineStr">
        <is>
          <t>나운동</t>
        </is>
      </c>
      <c r="AG208" s="78" t="inlineStr">
        <is>
          <t>전라북도 군산시 상나운로 19</t>
        </is>
      </c>
      <c r="AH208" s="78" t="n">
        <v>0</v>
      </c>
      <c r="AI208" s="78" t="n">
        <v>0</v>
      </c>
      <c r="AJ208" s="78" t="n">
        <v>0</v>
      </c>
      <c r="AK208" s="78" t="n">
        <v>0</v>
      </c>
      <c r="AL208" s="78" t="n">
        <v>0</v>
      </c>
    </row>
    <row r="209">
      <c r="A209" s="78" t="inlineStr">
        <is>
          <t>[나운동]</t>
        </is>
      </c>
      <c r="B209" s="78" t="n">
        <v>125674</v>
      </c>
      <c r="C209" s="78" t="n">
        <v>2</v>
      </c>
      <c r="D209" s="78" t="inlineStr">
        <is>
          <t>한신</t>
        </is>
      </c>
      <c r="E209" s="78" t="inlineStr">
        <is>
          <t>1986.04.</t>
        </is>
      </c>
      <c r="F209" s="78" t="n">
        <v>78</v>
      </c>
      <c r="G209" s="78" t="n">
        <v>21.61</v>
      </c>
      <c r="H209" s="78" t="n">
        <v>71.45999999999999</v>
      </c>
      <c r="I209" s="78" t="n">
        <v>19.9</v>
      </c>
      <c r="J209" s="78" t="n">
        <v>65.79000000000001</v>
      </c>
      <c r="K209" s="78" t="n">
        <v>35</v>
      </c>
      <c r="T209" s="78" t="n">
        <v>3</v>
      </c>
      <c r="U209" s="78" t="n">
        <v>1</v>
      </c>
      <c r="V209" s="78" t="inlineStr">
        <is>
          <t>계단식</t>
        </is>
      </c>
      <c r="W209" s="78" t="n">
        <v>71</v>
      </c>
      <c r="X209" s="78" t="n">
        <v>3</v>
      </c>
      <c r="Y209" s="78" t="n">
        <v>3</v>
      </c>
      <c r="Z209" s="78" t="inlineStr">
        <is>
          <t>https://new.land.naver.com/complexes/125674?tab=detail&amp;rf=Y</t>
        </is>
      </c>
      <c r="AA209" s="78" t="inlineStr">
        <is>
          <t>전라북도 군산시 나운동 799-1</t>
        </is>
      </c>
      <c r="AB209" s="78" t="inlineStr">
        <is>
          <t>전라북도</t>
        </is>
      </c>
      <c r="AC209" s="78" t="inlineStr">
        <is>
          <t>군산시</t>
        </is>
      </c>
      <c r="AD209" s="78" t="inlineStr">
        <is>
          <t>나운동</t>
        </is>
      </c>
      <c r="AG209" s="78" t="inlineStr">
        <is>
          <t>전라북도 군산시 상나운로 19</t>
        </is>
      </c>
      <c r="AH209" s="78" t="n">
        <v>0</v>
      </c>
      <c r="AI209" s="78" t="n">
        <v>0</v>
      </c>
      <c r="AJ209" s="78" t="n">
        <v>0</v>
      </c>
      <c r="AK209" s="78" t="n">
        <v>0</v>
      </c>
      <c r="AL209" s="78" t="n">
        <v>0</v>
      </c>
    </row>
    <row r="210">
      <c r="A210" s="78" t="inlineStr">
        <is>
          <t>[나운동]</t>
        </is>
      </c>
      <c r="B210" s="78" t="n">
        <v>125674</v>
      </c>
      <c r="C210" s="78" t="n">
        <v>3</v>
      </c>
      <c r="D210" s="78" t="inlineStr">
        <is>
          <t>한신</t>
        </is>
      </c>
      <c r="E210" s="78" t="inlineStr">
        <is>
          <t>1986.04.</t>
        </is>
      </c>
      <c r="F210" s="78" t="n">
        <v>78</v>
      </c>
      <c r="G210" s="78" t="n">
        <v>25.07</v>
      </c>
      <c r="H210" s="78" t="n">
        <v>82.89</v>
      </c>
      <c r="I210" s="78" t="n">
        <v>23.35</v>
      </c>
      <c r="J210" s="78" t="n">
        <v>77.22</v>
      </c>
      <c r="K210" s="78" t="n">
        <v>18</v>
      </c>
      <c r="T210" s="78" t="n">
        <v>3</v>
      </c>
      <c r="U210" s="78" t="n">
        <v>1</v>
      </c>
      <c r="V210" s="78" t="inlineStr">
        <is>
          <t>계단식</t>
        </is>
      </c>
      <c r="W210" s="78" t="n">
        <v>82</v>
      </c>
      <c r="X210" s="78" t="n">
        <v>3</v>
      </c>
      <c r="Y210" s="78" t="n">
        <v>3</v>
      </c>
      <c r="Z210" s="78" t="inlineStr">
        <is>
          <t>https://new.land.naver.com/complexes/125674?tab=detail&amp;rf=Y</t>
        </is>
      </c>
      <c r="AA210" s="78" t="inlineStr">
        <is>
          <t>전라북도 군산시 나운동 799-1</t>
        </is>
      </c>
      <c r="AB210" s="78" t="inlineStr">
        <is>
          <t>전라북도</t>
        </is>
      </c>
      <c r="AC210" s="78" t="inlineStr">
        <is>
          <t>군산시</t>
        </is>
      </c>
      <c r="AD210" s="78" t="inlineStr">
        <is>
          <t>나운동</t>
        </is>
      </c>
      <c r="AG210" s="78" t="inlineStr">
        <is>
          <t>전라북도 군산시 상나운로 19</t>
        </is>
      </c>
      <c r="AH210" s="78" t="n">
        <v>0</v>
      </c>
      <c r="AI210" s="78" t="n">
        <v>0</v>
      </c>
      <c r="AJ210" s="78" t="n">
        <v>0</v>
      </c>
      <c r="AK210" s="78" t="n">
        <v>0</v>
      </c>
      <c r="AL210" s="78" t="n">
        <v>0</v>
      </c>
    </row>
    <row r="211">
      <c r="A211" s="78" t="inlineStr">
        <is>
          <t>[나운동]</t>
        </is>
      </c>
      <c r="B211" s="78" t="n">
        <v>125674</v>
      </c>
      <c r="C211" s="78" t="n">
        <v>4</v>
      </c>
      <c r="D211" s="78" t="inlineStr">
        <is>
          <t>한신</t>
        </is>
      </c>
      <c r="E211" s="78" t="inlineStr">
        <is>
          <t>1986.04.</t>
        </is>
      </c>
      <c r="F211" s="78" t="n">
        <v>78</v>
      </c>
      <c r="G211" s="78" t="n">
        <v>33.16</v>
      </c>
      <c r="H211" s="78" t="n">
        <v>109.65</v>
      </c>
      <c r="I211" s="78" t="n">
        <v>33.16</v>
      </c>
      <c r="J211" s="78" t="n">
        <v>109.65</v>
      </c>
      <c r="K211" s="78" t="n">
        <v>12</v>
      </c>
      <c r="T211" s="78" t="n">
        <v>3</v>
      </c>
      <c r="U211" s="78" t="n">
        <v>2</v>
      </c>
      <c r="V211" s="78" t="inlineStr">
        <is>
          <t>계단식</t>
        </is>
      </c>
      <c r="W211" s="78" t="n">
        <v>109</v>
      </c>
      <c r="X211" s="78" t="n">
        <v>3</v>
      </c>
      <c r="Y211" s="78" t="n">
        <v>3</v>
      </c>
      <c r="Z211" s="78" t="inlineStr">
        <is>
          <t>https://new.land.naver.com/complexes/125674?tab=detail&amp;rf=Y</t>
        </is>
      </c>
      <c r="AA211" s="78" t="inlineStr">
        <is>
          <t>전라북도 군산시 나운동 799-1</t>
        </is>
      </c>
      <c r="AB211" s="78" t="inlineStr">
        <is>
          <t>전라북도</t>
        </is>
      </c>
      <c r="AC211" s="78" t="inlineStr">
        <is>
          <t>군산시</t>
        </is>
      </c>
      <c r="AD211" s="78" t="inlineStr">
        <is>
          <t>나운동</t>
        </is>
      </c>
      <c r="AG211" s="78" t="inlineStr">
        <is>
          <t>전라북도 군산시 상나운로 19</t>
        </is>
      </c>
      <c r="AH211" s="78" t="n">
        <v>0</v>
      </c>
      <c r="AI211" s="78" t="n">
        <v>0</v>
      </c>
      <c r="AJ211" s="78" t="n">
        <v>0</v>
      </c>
      <c r="AK211" s="78" t="n">
        <v>0</v>
      </c>
      <c r="AL211" s="78" t="n">
        <v>0</v>
      </c>
    </row>
    <row r="212">
      <c r="A212" s="78" t="inlineStr">
        <is>
          <t>[나운동]</t>
        </is>
      </c>
      <c r="B212" s="78" t="n">
        <v>125674</v>
      </c>
      <c r="C212" s="78" t="n">
        <v>5</v>
      </c>
      <c r="D212" s="78" t="inlineStr">
        <is>
          <t>한신</t>
        </is>
      </c>
      <c r="E212" s="78" t="inlineStr">
        <is>
          <t>1986.04.</t>
        </is>
      </c>
      <c r="F212" s="78" t="n">
        <v>78</v>
      </c>
      <c r="G212" s="78" t="n">
        <v>37.79</v>
      </c>
      <c r="H212" s="78" t="n">
        <v>124.95</v>
      </c>
      <c r="I212" s="78" t="n">
        <v>37.79</v>
      </c>
      <c r="J212" s="78" t="n">
        <v>124.95</v>
      </c>
      <c r="K212" s="78" t="n">
        <v>12</v>
      </c>
      <c r="T212" s="78" t="n">
        <v>3</v>
      </c>
      <c r="U212" s="78" t="n">
        <v>2</v>
      </c>
      <c r="V212" s="78" t="inlineStr">
        <is>
          <t>계단식</t>
        </is>
      </c>
      <c r="W212" s="78" t="n">
        <v>124</v>
      </c>
      <c r="X212" s="78" t="n">
        <v>3</v>
      </c>
      <c r="Y212" s="78" t="n">
        <v>3</v>
      </c>
      <c r="Z212" s="78" t="inlineStr">
        <is>
          <t>https://new.land.naver.com/complexes/125674?tab=detail&amp;rf=Y</t>
        </is>
      </c>
      <c r="AA212" s="78" t="inlineStr">
        <is>
          <t>전라북도 군산시 나운동 799-1</t>
        </is>
      </c>
      <c r="AB212" s="78" t="inlineStr">
        <is>
          <t>전라북도</t>
        </is>
      </c>
      <c r="AC212" s="78" t="inlineStr">
        <is>
          <t>군산시</t>
        </is>
      </c>
      <c r="AD212" s="78" t="inlineStr">
        <is>
          <t>나운동</t>
        </is>
      </c>
      <c r="AG212" s="78" t="inlineStr">
        <is>
          <t>전라북도 군산시 상나운로 19</t>
        </is>
      </c>
      <c r="AH212" s="78" t="n">
        <v>0</v>
      </c>
      <c r="AI212" s="78" t="n">
        <v>0</v>
      </c>
      <c r="AJ212" s="78" t="n">
        <v>0</v>
      </c>
      <c r="AK212" s="78" t="n">
        <v>0</v>
      </c>
      <c r="AL212" s="78" t="n">
        <v>0</v>
      </c>
    </row>
    <row r="213">
      <c r="A213" s="78" t="inlineStr">
        <is>
          <t>[나운동]</t>
        </is>
      </c>
      <c r="B213" s="78" t="n">
        <v>136392</v>
      </c>
      <c r="C213" s="78" t="n">
        <v>1</v>
      </c>
      <c r="D213" s="78" t="inlineStr">
        <is>
          <t>춘광아티움(도시형)</t>
        </is>
      </c>
      <c r="E213" s="78" t="inlineStr">
        <is>
          <t>2013.06.</t>
        </is>
      </c>
      <c r="F213" s="78" t="n">
        <v>24</v>
      </c>
      <c r="G213" s="78" t="n">
        <v>11.39</v>
      </c>
      <c r="H213" s="78" t="n">
        <v>37.67</v>
      </c>
      <c r="I213" s="78" t="n">
        <v>9.609999999999999</v>
      </c>
      <c r="J213" s="78" t="n">
        <v>31.78</v>
      </c>
      <c r="K213" s="78" t="n">
        <v>4</v>
      </c>
      <c r="T213" s="78" t="n">
        <v>1</v>
      </c>
      <c r="U213" s="78" t="n">
        <v>1</v>
      </c>
      <c r="V213" s="78" t="inlineStr">
        <is>
          <t>계단식</t>
        </is>
      </c>
      <c r="W213" s="78" t="n">
        <v>37</v>
      </c>
      <c r="X213" s="78" t="n">
        <v>5</v>
      </c>
      <c r="Y213" s="78" t="n">
        <v>5</v>
      </c>
      <c r="Z213" s="78" t="inlineStr">
        <is>
          <t>https://new.land.naver.com/complexes/136392?tab=detail&amp;rf=Y</t>
        </is>
      </c>
      <c r="AA213" s="78" t="inlineStr">
        <is>
          <t>전라북도 군산시 나운동 132-7</t>
        </is>
      </c>
      <c r="AB213" s="78" t="inlineStr">
        <is>
          <t>전라북도</t>
        </is>
      </c>
      <c r="AC213" s="78" t="inlineStr">
        <is>
          <t>군산시</t>
        </is>
      </c>
      <c r="AD213" s="78" t="inlineStr">
        <is>
          <t>나운동</t>
        </is>
      </c>
      <c r="AG213" s="78" t="inlineStr">
        <is>
          <t>전라북도 군산시 나운안1길 32-23</t>
        </is>
      </c>
      <c r="AH213" s="78" t="n">
        <v>0</v>
      </c>
      <c r="AI213" s="78" t="n">
        <v>186</v>
      </c>
      <c r="AJ213" s="78" t="n">
        <v>50</v>
      </c>
      <c r="AK213" s="78" t="n">
        <v>19</v>
      </c>
      <c r="AL213" s="78" t="n">
        <v>0.79</v>
      </c>
    </row>
    <row r="214">
      <c r="A214" s="78" t="inlineStr">
        <is>
          <t>[나운동]</t>
        </is>
      </c>
      <c r="B214" s="78" t="n">
        <v>136392</v>
      </c>
      <c r="C214" s="78" t="n">
        <v>2</v>
      </c>
      <c r="D214" s="78" t="inlineStr">
        <is>
          <t>춘광아티움(도시형)</t>
        </is>
      </c>
      <c r="E214" s="78" t="inlineStr">
        <is>
          <t>2013.06.</t>
        </is>
      </c>
      <c r="F214" s="78" t="n">
        <v>24</v>
      </c>
      <c r="G214" s="78" t="n">
        <v>17.68</v>
      </c>
      <c r="H214" s="78" t="n">
        <v>58.47</v>
      </c>
      <c r="I214" s="78" t="n">
        <v>14.92</v>
      </c>
      <c r="J214" s="78" t="n">
        <v>49.33</v>
      </c>
      <c r="K214" s="78" t="n">
        <v>20</v>
      </c>
      <c r="T214" s="78" t="n">
        <v>1</v>
      </c>
      <c r="U214" s="78" t="n">
        <v>1</v>
      </c>
      <c r="V214" s="78" t="inlineStr">
        <is>
          <t>계단식</t>
        </is>
      </c>
      <c r="W214" s="78" t="n">
        <v>58</v>
      </c>
      <c r="X214" s="78" t="n">
        <v>5</v>
      </c>
      <c r="Y214" s="78" t="n">
        <v>5</v>
      </c>
      <c r="Z214" s="78" t="inlineStr">
        <is>
          <t>https://new.land.naver.com/complexes/136392?tab=detail&amp;rf=Y</t>
        </is>
      </c>
      <c r="AA214" s="78" t="inlineStr">
        <is>
          <t>전라북도 군산시 나운동 132-7</t>
        </is>
      </c>
      <c r="AB214" s="78" t="inlineStr">
        <is>
          <t>전라북도</t>
        </is>
      </c>
      <c r="AC214" s="78" t="inlineStr">
        <is>
          <t>군산시</t>
        </is>
      </c>
      <c r="AD214" s="78" t="inlineStr">
        <is>
          <t>나운동</t>
        </is>
      </c>
      <c r="AG214" s="78" t="inlineStr">
        <is>
          <t>전라북도 군산시 나운안1길 32-23</t>
        </is>
      </c>
      <c r="AH214" s="78" t="n">
        <v>0</v>
      </c>
      <c r="AI214" s="78" t="n">
        <v>186</v>
      </c>
      <c r="AJ214" s="78" t="n">
        <v>50</v>
      </c>
      <c r="AK214" s="78" t="n">
        <v>19</v>
      </c>
      <c r="AL214" s="78" t="n">
        <v>0.79</v>
      </c>
    </row>
    <row r="215">
      <c r="A215" s="78" t="inlineStr">
        <is>
          <t>[나운동]</t>
        </is>
      </c>
      <c r="B215" s="78" t="n">
        <v>14966</v>
      </c>
      <c r="C215" s="78" t="n">
        <v>1</v>
      </c>
      <c r="D215" s="78" t="inlineStr">
        <is>
          <t>현대4차</t>
        </is>
      </c>
      <c r="E215" s="78" t="inlineStr">
        <is>
          <t>1998.09.</t>
        </is>
      </c>
      <c r="F215" s="78" t="n">
        <v>636</v>
      </c>
      <c r="G215" s="78" t="n">
        <v>22.61</v>
      </c>
      <c r="H215" s="78" t="n">
        <v>74.77</v>
      </c>
      <c r="I215" s="78" t="n">
        <v>18.14</v>
      </c>
      <c r="J215" s="78" t="n">
        <v>59.99</v>
      </c>
      <c r="K215" s="78" t="n">
        <v>64</v>
      </c>
      <c r="T215" s="78" t="n">
        <v>3</v>
      </c>
      <c r="U215" s="78" t="n">
        <v>1</v>
      </c>
      <c r="V215" s="78" t="inlineStr">
        <is>
          <t>계단식</t>
        </is>
      </c>
      <c r="W215" s="78" t="n">
        <v>74</v>
      </c>
      <c r="X215" s="78" t="n">
        <v>20</v>
      </c>
      <c r="Y215" s="78" t="n">
        <v>12</v>
      </c>
      <c r="Z215" s="78" t="inlineStr">
        <is>
          <t>https://new.land.naver.com/complexes/14966?tab=detail&amp;rf=Y</t>
        </is>
      </c>
      <c r="AA215" s="78" t="inlineStr">
        <is>
          <t>전라북도 군산시 나운동 109-6</t>
        </is>
      </c>
      <c r="AB215" s="78" t="inlineStr">
        <is>
          <t>전라북도</t>
        </is>
      </c>
      <c r="AC215" s="78" t="inlineStr">
        <is>
          <t>군산시</t>
        </is>
      </c>
      <c r="AD215" s="78" t="inlineStr">
        <is>
          <t>나운동</t>
        </is>
      </c>
      <c r="AG215" s="78" t="inlineStr">
        <is>
          <t>전라북도 군산시 나운안1길 24</t>
        </is>
      </c>
      <c r="AH215" s="78" t="n">
        <v>0</v>
      </c>
      <c r="AI215" s="78" t="n">
        <v>217</v>
      </c>
      <c r="AJ215" s="78" t="n">
        <v>17</v>
      </c>
      <c r="AK215" s="78" t="n">
        <v>617</v>
      </c>
      <c r="AL215" s="78" t="n">
        <v>0.97</v>
      </c>
    </row>
    <row r="216">
      <c r="A216" s="78" t="inlineStr">
        <is>
          <t>[나운동]</t>
        </is>
      </c>
      <c r="B216" s="78" t="n">
        <v>14966</v>
      </c>
      <c r="C216" s="78" t="n">
        <v>2</v>
      </c>
      <c r="D216" s="78" t="inlineStr">
        <is>
          <t>현대4차</t>
        </is>
      </c>
      <c r="E216" s="78" t="inlineStr">
        <is>
          <t>1998.09.</t>
        </is>
      </c>
      <c r="F216" s="78" t="n">
        <v>636</v>
      </c>
      <c r="G216" s="78" t="n">
        <v>28.34</v>
      </c>
      <c r="H216" s="78" t="n">
        <v>93.70999999999999</v>
      </c>
      <c r="I216" s="78" t="n">
        <v>22.74</v>
      </c>
      <c r="J216" s="78" t="n">
        <v>75.18000000000001</v>
      </c>
      <c r="K216" s="78" t="n">
        <v>68</v>
      </c>
      <c r="T216" s="78" t="n">
        <v>3</v>
      </c>
      <c r="U216" s="78" t="n">
        <v>1</v>
      </c>
      <c r="V216" s="78" t="inlineStr">
        <is>
          <t>계단식</t>
        </is>
      </c>
      <c r="W216" s="78" t="n">
        <v>93</v>
      </c>
      <c r="X216" s="78" t="n">
        <v>20</v>
      </c>
      <c r="Y216" s="78" t="n">
        <v>12</v>
      </c>
      <c r="Z216" s="78" t="inlineStr">
        <is>
          <t>https://new.land.naver.com/complexes/14966?tab=detail&amp;rf=Y</t>
        </is>
      </c>
      <c r="AA216" s="78" t="inlineStr">
        <is>
          <t>전라북도 군산시 나운동 109-6</t>
        </is>
      </c>
      <c r="AB216" s="78" t="inlineStr">
        <is>
          <t>전라북도</t>
        </is>
      </c>
      <c r="AC216" s="78" t="inlineStr">
        <is>
          <t>군산시</t>
        </is>
      </c>
      <c r="AD216" s="78" t="inlineStr">
        <is>
          <t>나운동</t>
        </is>
      </c>
      <c r="AG216" s="78" t="inlineStr">
        <is>
          <t>전라북도 군산시 나운안1길 24</t>
        </is>
      </c>
      <c r="AH216" s="78" t="n">
        <v>0</v>
      </c>
      <c r="AI216" s="78" t="n">
        <v>217</v>
      </c>
      <c r="AJ216" s="78" t="n">
        <v>17</v>
      </c>
      <c r="AK216" s="78" t="n">
        <v>617</v>
      </c>
      <c r="AL216" s="78" t="n">
        <v>0.97</v>
      </c>
    </row>
    <row r="217">
      <c r="A217" s="78" t="inlineStr">
        <is>
          <t>[나운동]</t>
        </is>
      </c>
      <c r="B217" s="78" t="n">
        <v>14966</v>
      </c>
      <c r="C217" s="78" t="n">
        <v>3</v>
      </c>
      <c r="D217" s="78" t="inlineStr">
        <is>
          <t>현대4차</t>
        </is>
      </c>
      <c r="E217" s="78" t="inlineStr">
        <is>
          <t>1998.09.</t>
        </is>
      </c>
      <c r="F217" s="78" t="n">
        <v>636</v>
      </c>
      <c r="G217" s="78" t="n">
        <v>32.03</v>
      </c>
      <c r="H217" s="78" t="n">
        <v>105.9</v>
      </c>
      <c r="I217" s="78" t="n">
        <v>25.7</v>
      </c>
      <c r="J217" s="78" t="n">
        <v>84.95999999999999</v>
      </c>
      <c r="K217" s="78" t="n">
        <v>386</v>
      </c>
      <c r="T217" s="78" t="n">
        <v>3</v>
      </c>
      <c r="U217" s="78" t="n">
        <v>2</v>
      </c>
      <c r="V217" s="78" t="inlineStr">
        <is>
          <t>계단식</t>
        </is>
      </c>
      <c r="W217" s="78" t="n">
        <v>105</v>
      </c>
      <c r="X217" s="78" t="n">
        <v>20</v>
      </c>
      <c r="Y217" s="78" t="n">
        <v>12</v>
      </c>
      <c r="Z217" s="78" t="inlineStr">
        <is>
          <t>https://new.land.naver.com/complexes/14966?tab=detail&amp;rf=Y</t>
        </is>
      </c>
      <c r="AA217" s="78" t="inlineStr">
        <is>
          <t>전라북도 군산시 나운동 109-6</t>
        </is>
      </c>
      <c r="AB217" s="78" t="inlineStr">
        <is>
          <t>전라북도</t>
        </is>
      </c>
      <c r="AC217" s="78" t="inlineStr">
        <is>
          <t>군산시</t>
        </is>
      </c>
      <c r="AD217" s="78" t="inlineStr">
        <is>
          <t>나운동</t>
        </is>
      </c>
      <c r="AG217" s="78" t="inlineStr">
        <is>
          <t>전라북도 군산시 나운안1길 24</t>
        </is>
      </c>
      <c r="AH217" s="78" t="n">
        <v>0</v>
      </c>
      <c r="AI217" s="78" t="n">
        <v>217</v>
      </c>
      <c r="AJ217" s="78" t="n">
        <v>17</v>
      </c>
      <c r="AK217" s="78" t="n">
        <v>617</v>
      </c>
      <c r="AL217" s="78" t="n">
        <v>0.97</v>
      </c>
    </row>
    <row r="218">
      <c r="A218" s="78" t="inlineStr">
        <is>
          <t>[나운동]</t>
        </is>
      </c>
      <c r="B218" s="78" t="n">
        <v>14966</v>
      </c>
      <c r="C218" s="78" t="n">
        <v>4</v>
      </c>
      <c r="D218" s="78" t="inlineStr">
        <is>
          <t>현대4차</t>
        </is>
      </c>
      <c r="E218" s="78" t="inlineStr">
        <is>
          <t>1998.09.</t>
        </is>
      </c>
      <c r="F218" s="78" t="n">
        <v>636</v>
      </c>
      <c r="G218" s="78" t="n">
        <v>37.67</v>
      </c>
      <c r="H218" s="78" t="n">
        <v>124.56</v>
      </c>
      <c r="I218" s="78" t="n">
        <v>30.22</v>
      </c>
      <c r="J218" s="78" t="n">
        <v>99.93000000000001</v>
      </c>
      <c r="K218" s="78" t="n">
        <v>78</v>
      </c>
      <c r="T218" s="78" t="n">
        <v>3</v>
      </c>
      <c r="U218" s="78" t="n">
        <v>2</v>
      </c>
      <c r="V218" s="78" t="inlineStr">
        <is>
          <t>계단식</t>
        </is>
      </c>
      <c r="W218" s="78" t="n">
        <v>124</v>
      </c>
      <c r="X218" s="78" t="n">
        <v>20</v>
      </c>
      <c r="Y218" s="78" t="n">
        <v>12</v>
      </c>
      <c r="Z218" s="78" t="inlineStr">
        <is>
          <t>https://new.land.naver.com/complexes/14966?tab=detail&amp;rf=Y</t>
        </is>
      </c>
      <c r="AA218" s="78" t="inlineStr">
        <is>
          <t>전라북도 군산시 나운동 109-6</t>
        </is>
      </c>
      <c r="AB218" s="78" t="inlineStr">
        <is>
          <t>전라북도</t>
        </is>
      </c>
      <c r="AC218" s="78" t="inlineStr">
        <is>
          <t>군산시</t>
        </is>
      </c>
      <c r="AD218" s="78" t="inlineStr">
        <is>
          <t>나운동</t>
        </is>
      </c>
      <c r="AG218" s="78" t="inlineStr">
        <is>
          <t>전라북도 군산시 나운안1길 24</t>
        </is>
      </c>
      <c r="AH218" s="78" t="n">
        <v>0</v>
      </c>
      <c r="AI218" s="78" t="n">
        <v>217</v>
      </c>
      <c r="AJ218" s="78" t="n">
        <v>17</v>
      </c>
      <c r="AK218" s="78" t="n">
        <v>617</v>
      </c>
      <c r="AL218" s="78" t="n">
        <v>0.97</v>
      </c>
    </row>
    <row r="219">
      <c r="A219" s="78" t="inlineStr">
        <is>
          <t>[나운동]</t>
        </is>
      </c>
      <c r="B219" s="78" t="n">
        <v>14966</v>
      </c>
      <c r="C219" s="78" t="n">
        <v>5</v>
      </c>
      <c r="D219" s="78" t="inlineStr">
        <is>
          <t>현대4차</t>
        </is>
      </c>
      <c r="E219" s="78" t="inlineStr">
        <is>
          <t>1998.09.</t>
        </is>
      </c>
      <c r="F219" s="78" t="n">
        <v>636</v>
      </c>
      <c r="G219" s="78" t="n">
        <v>44.57</v>
      </c>
      <c r="H219" s="78" t="n">
        <v>147.34</v>
      </c>
      <c r="I219" s="78" t="n">
        <v>35.75</v>
      </c>
      <c r="J219" s="78" t="n">
        <v>118.21</v>
      </c>
      <c r="K219" s="78" t="n">
        <v>40</v>
      </c>
      <c r="T219" s="78" t="n">
        <v>4</v>
      </c>
      <c r="U219" s="78" t="n">
        <v>2</v>
      </c>
      <c r="V219" s="78" t="inlineStr">
        <is>
          <t>계단식</t>
        </is>
      </c>
      <c r="W219" s="78" t="n">
        <v>147</v>
      </c>
      <c r="X219" s="78" t="n">
        <v>20</v>
      </c>
      <c r="Y219" s="78" t="n">
        <v>12</v>
      </c>
      <c r="Z219" s="78" t="inlineStr">
        <is>
          <t>https://new.land.naver.com/complexes/14966?tab=detail&amp;rf=Y</t>
        </is>
      </c>
      <c r="AA219" s="78" t="inlineStr">
        <is>
          <t>전라북도 군산시 나운동 109-6</t>
        </is>
      </c>
      <c r="AB219" s="78" t="inlineStr">
        <is>
          <t>전라북도</t>
        </is>
      </c>
      <c r="AC219" s="78" t="inlineStr">
        <is>
          <t>군산시</t>
        </is>
      </c>
      <c r="AD219" s="78" t="inlineStr">
        <is>
          <t>나운동</t>
        </is>
      </c>
      <c r="AG219" s="78" t="inlineStr">
        <is>
          <t>전라북도 군산시 나운안1길 24</t>
        </is>
      </c>
      <c r="AH219" s="78" t="n">
        <v>0</v>
      </c>
      <c r="AI219" s="78" t="n">
        <v>217</v>
      </c>
      <c r="AJ219" s="78" t="n">
        <v>17</v>
      </c>
      <c r="AK219" s="78" t="n">
        <v>617</v>
      </c>
      <c r="AL219" s="78" t="n">
        <v>0.97</v>
      </c>
    </row>
    <row r="220">
      <c r="A220" s="78" t="inlineStr">
        <is>
          <t>[나운동]</t>
        </is>
      </c>
      <c r="B220" s="78" t="n">
        <v>4990</v>
      </c>
      <c r="C220" s="78" t="n">
        <v>1</v>
      </c>
      <c r="D220" s="78" t="inlineStr">
        <is>
          <t>삼성(401)</t>
        </is>
      </c>
      <c r="E220" s="78" t="inlineStr">
        <is>
          <t>1998.05.</t>
        </is>
      </c>
      <c r="F220" s="78" t="n">
        <v>670</v>
      </c>
      <c r="G220" s="78" t="n">
        <v>28.87</v>
      </c>
      <c r="H220" s="78" t="n">
        <v>95.45999999999999</v>
      </c>
      <c r="I220" s="78" t="n">
        <v>22.36</v>
      </c>
      <c r="J220" s="78" t="n">
        <v>73.92</v>
      </c>
      <c r="K220" s="78" t="n">
        <v>128</v>
      </c>
      <c r="T220" s="78" t="n">
        <v>3</v>
      </c>
      <c r="U220" s="78" t="n">
        <v>1</v>
      </c>
      <c r="V220" s="78" t="inlineStr">
        <is>
          <t>계단식</t>
        </is>
      </c>
      <c r="W220" s="78" t="n">
        <v>95</v>
      </c>
      <c r="X220" s="78" t="n">
        <v>20</v>
      </c>
      <c r="Y220" s="78" t="n">
        <v>16</v>
      </c>
      <c r="Z220" s="78" t="inlineStr">
        <is>
          <t>https://new.land.naver.com/complexes/4990?tab=detail&amp;rf=Y</t>
        </is>
      </c>
      <c r="AA220" s="78" t="inlineStr">
        <is>
          <t>전라북도 군산시 나운동 401</t>
        </is>
      </c>
      <c r="AB220" s="78" t="inlineStr">
        <is>
          <t>전라북도</t>
        </is>
      </c>
      <c r="AC220" s="78" t="inlineStr">
        <is>
          <t>군산시</t>
        </is>
      </c>
      <c r="AD220" s="78" t="inlineStr">
        <is>
          <t>나운동</t>
        </is>
      </c>
      <c r="AG220" s="78" t="inlineStr">
        <is>
          <t>전라북도 군산시 나운3길 9</t>
        </is>
      </c>
      <c r="AH220" s="78" t="n">
        <v>0</v>
      </c>
      <c r="AI220" s="78" t="n">
        <v>234</v>
      </c>
      <c r="AJ220" s="78" t="n">
        <v>19</v>
      </c>
      <c r="AK220" s="78" t="n">
        <v>746</v>
      </c>
      <c r="AL220" s="78" t="n">
        <v>1.11</v>
      </c>
    </row>
    <row r="221">
      <c r="A221" s="78" t="inlineStr">
        <is>
          <t>[나운동]</t>
        </is>
      </c>
      <c r="B221" s="78" t="n">
        <v>4990</v>
      </c>
      <c r="C221" s="78" t="n">
        <v>2</v>
      </c>
      <c r="D221" s="78" t="inlineStr">
        <is>
          <t>삼성(401)</t>
        </is>
      </c>
      <c r="E221" s="78" t="inlineStr">
        <is>
          <t>1998.05.</t>
        </is>
      </c>
      <c r="F221" s="78" t="n">
        <v>670</v>
      </c>
      <c r="G221" s="78" t="n">
        <v>32.47</v>
      </c>
      <c r="H221" s="78" t="n">
        <v>107.36</v>
      </c>
      <c r="I221" s="78" t="n">
        <v>25.7</v>
      </c>
      <c r="J221" s="78" t="n">
        <v>84.98999999999999</v>
      </c>
      <c r="K221" s="78" t="n">
        <v>422</v>
      </c>
      <c r="T221" s="78" t="n">
        <v>3</v>
      </c>
      <c r="U221" s="78" t="n">
        <v>2</v>
      </c>
      <c r="V221" s="78" t="inlineStr">
        <is>
          <t>계단식</t>
        </is>
      </c>
      <c r="W221" s="78" t="n">
        <v>107</v>
      </c>
      <c r="X221" s="78" t="n">
        <v>20</v>
      </c>
      <c r="Y221" s="78" t="n">
        <v>16</v>
      </c>
      <c r="Z221" s="78" t="inlineStr">
        <is>
          <t>https://new.land.naver.com/complexes/4990?tab=detail&amp;rf=Y</t>
        </is>
      </c>
      <c r="AA221" s="78" t="inlineStr">
        <is>
          <t>전라북도 군산시 나운동 401</t>
        </is>
      </c>
      <c r="AB221" s="78" t="inlineStr">
        <is>
          <t>전라북도</t>
        </is>
      </c>
      <c r="AC221" s="78" t="inlineStr">
        <is>
          <t>군산시</t>
        </is>
      </c>
      <c r="AD221" s="78" t="inlineStr">
        <is>
          <t>나운동</t>
        </is>
      </c>
      <c r="AG221" s="78" t="inlineStr">
        <is>
          <t>전라북도 군산시 나운3길 9</t>
        </is>
      </c>
      <c r="AH221" s="78" t="n">
        <v>0</v>
      </c>
      <c r="AI221" s="78" t="n">
        <v>234</v>
      </c>
      <c r="AJ221" s="78" t="n">
        <v>19</v>
      </c>
      <c r="AK221" s="78" t="n">
        <v>746</v>
      </c>
      <c r="AL221" s="78" t="n">
        <v>1.11</v>
      </c>
    </row>
    <row r="222">
      <c r="A222" s="78" t="inlineStr">
        <is>
          <t>[나운동]</t>
        </is>
      </c>
      <c r="B222" s="78" t="n">
        <v>4990</v>
      </c>
      <c r="C222" s="78" t="n">
        <v>3</v>
      </c>
      <c r="D222" s="78" t="inlineStr">
        <is>
          <t>삼성(401)</t>
        </is>
      </c>
      <c r="E222" s="78" t="inlineStr">
        <is>
          <t>1998.05.</t>
        </is>
      </c>
      <c r="F222" s="78" t="n">
        <v>670</v>
      </c>
      <c r="G222" s="78" t="n">
        <v>42.24</v>
      </c>
      <c r="H222" s="78" t="n">
        <v>139.65</v>
      </c>
      <c r="I222" s="78" t="n">
        <v>34.78</v>
      </c>
      <c r="J222" s="78" t="n">
        <v>114.99</v>
      </c>
      <c r="K222" s="78" t="n">
        <v>40</v>
      </c>
      <c r="T222" s="78" t="n">
        <v>4</v>
      </c>
      <c r="U222" s="78" t="n">
        <v>2</v>
      </c>
      <c r="V222" s="78" t="inlineStr">
        <is>
          <t>계단식</t>
        </is>
      </c>
      <c r="W222" s="78" t="n">
        <v>139</v>
      </c>
      <c r="X222" s="78" t="n">
        <v>20</v>
      </c>
      <c r="Y222" s="78" t="n">
        <v>16</v>
      </c>
      <c r="Z222" s="78" t="inlineStr">
        <is>
          <t>https://new.land.naver.com/complexes/4990?tab=detail&amp;rf=Y</t>
        </is>
      </c>
      <c r="AA222" s="78" t="inlineStr">
        <is>
          <t>전라북도 군산시 나운동 401</t>
        </is>
      </c>
      <c r="AB222" s="78" t="inlineStr">
        <is>
          <t>전라북도</t>
        </is>
      </c>
      <c r="AC222" s="78" t="inlineStr">
        <is>
          <t>군산시</t>
        </is>
      </c>
      <c r="AD222" s="78" t="inlineStr">
        <is>
          <t>나운동</t>
        </is>
      </c>
      <c r="AG222" s="78" t="inlineStr">
        <is>
          <t>전라북도 군산시 나운3길 9</t>
        </is>
      </c>
      <c r="AH222" s="78" t="n">
        <v>0</v>
      </c>
      <c r="AI222" s="78" t="n">
        <v>234</v>
      </c>
      <c r="AJ222" s="78" t="n">
        <v>19</v>
      </c>
      <c r="AK222" s="78" t="n">
        <v>746</v>
      </c>
      <c r="AL222" s="78" t="n">
        <v>1.11</v>
      </c>
    </row>
    <row r="223">
      <c r="A223" s="78" t="inlineStr">
        <is>
          <t>[나운동]</t>
        </is>
      </c>
      <c r="B223" s="78" t="n">
        <v>4990</v>
      </c>
      <c r="C223" s="78" t="n">
        <v>4</v>
      </c>
      <c r="D223" s="78" t="inlineStr">
        <is>
          <t>삼성(401)</t>
        </is>
      </c>
      <c r="E223" s="78" t="inlineStr">
        <is>
          <t>1998.05.</t>
        </is>
      </c>
      <c r="F223" s="78" t="n">
        <v>670</v>
      </c>
      <c r="G223" s="78" t="n">
        <v>48.75</v>
      </c>
      <c r="H223" s="78" t="n">
        <v>161.19</v>
      </c>
      <c r="I223" s="78" t="n">
        <v>40.82</v>
      </c>
      <c r="J223" s="78" t="n">
        <v>134.97</v>
      </c>
      <c r="K223" s="78" t="n">
        <v>80</v>
      </c>
      <c r="T223" s="78" t="n">
        <v>4</v>
      </c>
      <c r="U223" s="78" t="n">
        <v>2</v>
      </c>
      <c r="V223" s="78" t="inlineStr">
        <is>
          <t>계단식</t>
        </is>
      </c>
      <c r="W223" s="78" t="n">
        <v>161</v>
      </c>
      <c r="X223" s="78" t="n">
        <v>20</v>
      </c>
      <c r="Y223" s="78" t="n">
        <v>16</v>
      </c>
      <c r="Z223" s="78" t="inlineStr">
        <is>
          <t>https://new.land.naver.com/complexes/4990?tab=detail&amp;rf=Y</t>
        </is>
      </c>
      <c r="AA223" s="78" t="inlineStr">
        <is>
          <t>전라북도 군산시 나운동 401</t>
        </is>
      </c>
      <c r="AB223" s="78" t="inlineStr">
        <is>
          <t>전라북도</t>
        </is>
      </c>
      <c r="AC223" s="78" t="inlineStr">
        <is>
          <t>군산시</t>
        </is>
      </c>
      <c r="AD223" s="78" t="inlineStr">
        <is>
          <t>나운동</t>
        </is>
      </c>
      <c r="AG223" s="78" t="inlineStr">
        <is>
          <t>전라북도 군산시 나운3길 9</t>
        </is>
      </c>
      <c r="AH223" s="78" t="n">
        <v>0</v>
      </c>
      <c r="AI223" s="78" t="n">
        <v>234</v>
      </c>
      <c r="AJ223" s="78" t="n">
        <v>19</v>
      </c>
      <c r="AK223" s="78" t="n">
        <v>746</v>
      </c>
      <c r="AL223" s="78" t="n">
        <v>1.11</v>
      </c>
    </row>
    <row r="224">
      <c r="A224" s="78" t="inlineStr">
        <is>
          <t>[나운동]</t>
        </is>
      </c>
      <c r="B224" s="78" t="n">
        <v>4965</v>
      </c>
      <c r="C224" s="78" t="n">
        <v>1</v>
      </c>
      <c r="D224" s="78" t="inlineStr">
        <is>
          <t>동신진주3차</t>
        </is>
      </c>
      <c r="E224" s="78" t="inlineStr">
        <is>
          <t>1995.04.</t>
        </is>
      </c>
      <c r="F224" s="78" t="n">
        <v>114</v>
      </c>
      <c r="G224" s="78" t="n">
        <v>22.5</v>
      </c>
      <c r="H224" s="78" t="n">
        <v>74.39</v>
      </c>
      <c r="I224" s="78" t="n">
        <v>18.1</v>
      </c>
      <c r="J224" s="78" t="n">
        <v>59.84</v>
      </c>
      <c r="K224" s="78" t="n">
        <v>114</v>
      </c>
      <c r="T224" s="78" t="n">
        <v>2</v>
      </c>
      <c r="U224" s="78" t="n">
        <v>1</v>
      </c>
      <c r="V224" s="78" t="inlineStr">
        <is>
          <t>계단식</t>
        </is>
      </c>
      <c r="W224" s="78" t="n">
        <v>74</v>
      </c>
      <c r="X224" s="78" t="n">
        <v>15</v>
      </c>
      <c r="Y224" s="78" t="n">
        <v>12</v>
      </c>
      <c r="Z224" s="78" t="inlineStr">
        <is>
          <t>https://new.land.naver.com/complexes/4965?tab=detail&amp;rf=Y</t>
        </is>
      </c>
      <c r="AA224" s="78" t="inlineStr">
        <is>
          <t>전라북도 군산시 나운동 737-1</t>
        </is>
      </c>
      <c r="AB224" s="78" t="inlineStr">
        <is>
          <t>전라북도</t>
        </is>
      </c>
      <c r="AC224" s="78" t="inlineStr">
        <is>
          <t>군산시</t>
        </is>
      </c>
      <c r="AD224" s="78" t="inlineStr">
        <is>
          <t>나운동</t>
        </is>
      </c>
      <c r="AG224" s="78" t="inlineStr">
        <is>
          <t>전라북도 군산시 상신6길 2</t>
        </is>
      </c>
      <c r="AH224" s="78" t="n">
        <v>0</v>
      </c>
      <c r="AI224" s="78" t="n">
        <v>242</v>
      </c>
      <c r="AJ224" s="78" t="n">
        <v>22</v>
      </c>
      <c r="AK224" s="78" t="n">
        <v>104</v>
      </c>
      <c r="AL224" s="78" t="n">
        <v>0.91</v>
      </c>
    </row>
    <row r="225">
      <c r="A225" s="78" t="inlineStr">
        <is>
          <t>[나운동]</t>
        </is>
      </c>
      <c r="B225" s="78" t="n">
        <v>4984</v>
      </c>
      <c r="C225" s="78" t="n">
        <v>1</v>
      </c>
      <c r="D225" s="78" t="inlineStr">
        <is>
          <t>롯데3차</t>
        </is>
      </c>
      <c r="E225" s="78" t="inlineStr">
        <is>
          <t>1994.06.</t>
        </is>
      </c>
      <c r="F225" s="78" t="n">
        <v>572</v>
      </c>
      <c r="G225" s="78" t="n">
        <v>27.39</v>
      </c>
      <c r="H225" s="78" t="n">
        <v>90.55</v>
      </c>
      <c r="I225" s="78" t="n">
        <v>22.39</v>
      </c>
      <c r="J225" s="78" t="n">
        <v>74.02</v>
      </c>
      <c r="K225" s="78" t="n">
        <v>234</v>
      </c>
      <c r="T225" s="78" t="n">
        <v>3</v>
      </c>
      <c r="U225" s="78" t="n">
        <v>1</v>
      </c>
      <c r="V225" s="78" t="inlineStr">
        <is>
          <t>계단식</t>
        </is>
      </c>
      <c r="W225" s="78" t="n">
        <v>90</v>
      </c>
      <c r="X225" s="78" t="n">
        <v>13</v>
      </c>
      <c r="Y225" s="78" t="n">
        <v>13</v>
      </c>
      <c r="Z225" s="78" t="inlineStr">
        <is>
          <t>https://new.land.naver.com/complexes/4984?tab=detail&amp;rf=Y</t>
        </is>
      </c>
      <c r="AA225" s="78" t="inlineStr">
        <is>
          <t>전라북도 군산시 나운동 100-11</t>
        </is>
      </c>
      <c r="AB225" s="78" t="inlineStr">
        <is>
          <t>전라북도</t>
        </is>
      </c>
      <c r="AC225" s="78" t="inlineStr">
        <is>
          <t>군산시</t>
        </is>
      </c>
      <c r="AD225" s="78" t="inlineStr">
        <is>
          <t>나운동</t>
        </is>
      </c>
      <c r="AG225" s="78" t="inlineStr">
        <is>
          <t>전라북도 군산시 하나운로 48</t>
        </is>
      </c>
      <c r="AH225" s="78" t="n">
        <v>0</v>
      </c>
      <c r="AI225" s="78" t="n">
        <v>200</v>
      </c>
      <c r="AJ225" s="78" t="n">
        <v>17</v>
      </c>
      <c r="AK225" s="78" t="n">
        <v>312</v>
      </c>
      <c r="AL225" s="78" t="n">
        <v>0.55</v>
      </c>
    </row>
    <row r="226">
      <c r="A226" s="78" t="inlineStr">
        <is>
          <t>[나운동]</t>
        </is>
      </c>
      <c r="B226" s="78" t="n">
        <v>4984</v>
      </c>
      <c r="C226" s="78" t="n">
        <v>2</v>
      </c>
      <c r="D226" s="78" t="inlineStr">
        <is>
          <t>롯데3차</t>
        </is>
      </c>
      <c r="E226" s="78" t="inlineStr">
        <is>
          <t>1994.06.</t>
        </is>
      </c>
      <c r="F226" s="78" t="n">
        <v>572</v>
      </c>
      <c r="G226" s="78" t="n">
        <v>31.59</v>
      </c>
      <c r="H226" s="78" t="n">
        <v>104.46</v>
      </c>
      <c r="I226" s="78" t="n">
        <v>25.66</v>
      </c>
      <c r="J226" s="78" t="n">
        <v>84.84</v>
      </c>
      <c r="K226" s="78" t="n">
        <v>286</v>
      </c>
      <c r="T226" s="78" t="n">
        <v>3</v>
      </c>
      <c r="U226" s="78" t="n">
        <v>2</v>
      </c>
      <c r="V226" s="78" t="inlineStr">
        <is>
          <t>계단식</t>
        </is>
      </c>
      <c r="W226" s="78" t="n">
        <v>104</v>
      </c>
      <c r="X226" s="78" t="n">
        <v>13</v>
      </c>
      <c r="Y226" s="78" t="n">
        <v>13</v>
      </c>
      <c r="Z226" s="78" t="inlineStr">
        <is>
          <t>https://new.land.naver.com/complexes/4984?tab=detail&amp;rf=Y</t>
        </is>
      </c>
      <c r="AA226" s="78" t="inlineStr">
        <is>
          <t>전라북도 군산시 나운동 100-11</t>
        </is>
      </c>
      <c r="AB226" s="78" t="inlineStr">
        <is>
          <t>전라북도</t>
        </is>
      </c>
      <c r="AC226" s="78" t="inlineStr">
        <is>
          <t>군산시</t>
        </is>
      </c>
      <c r="AD226" s="78" t="inlineStr">
        <is>
          <t>나운동</t>
        </is>
      </c>
      <c r="AG226" s="78" t="inlineStr">
        <is>
          <t>전라북도 군산시 하나운로 48</t>
        </is>
      </c>
      <c r="AH226" s="78" t="n">
        <v>0</v>
      </c>
      <c r="AI226" s="78" t="n">
        <v>200</v>
      </c>
      <c r="AJ226" s="78" t="n">
        <v>17</v>
      </c>
      <c r="AK226" s="78" t="n">
        <v>312</v>
      </c>
      <c r="AL226" s="78" t="n">
        <v>0.55</v>
      </c>
    </row>
    <row r="227">
      <c r="A227" s="78" t="inlineStr">
        <is>
          <t>[나운동]</t>
        </is>
      </c>
      <c r="B227" s="78" t="n">
        <v>4984</v>
      </c>
      <c r="C227" s="78" t="n">
        <v>3</v>
      </c>
      <c r="D227" s="78" t="inlineStr">
        <is>
          <t>롯데3차</t>
        </is>
      </c>
      <c r="E227" s="78" t="inlineStr">
        <is>
          <t>1994.06.</t>
        </is>
      </c>
      <c r="F227" s="78" t="n">
        <v>572</v>
      </c>
      <c r="G227" s="78" t="n">
        <v>46.4</v>
      </c>
      <c r="H227" s="78" t="n">
        <v>153.42</v>
      </c>
      <c r="I227" s="78" t="n">
        <v>39.85</v>
      </c>
      <c r="J227" s="78" t="n">
        <v>131.75</v>
      </c>
      <c r="K227" s="78" t="n">
        <v>52</v>
      </c>
      <c r="T227" s="78" t="n">
        <v>4</v>
      </c>
      <c r="U227" s="78" t="n">
        <v>2</v>
      </c>
      <c r="V227" s="78" t="inlineStr">
        <is>
          <t>계단식</t>
        </is>
      </c>
      <c r="W227" s="78" t="n">
        <v>153</v>
      </c>
      <c r="X227" s="78" t="n">
        <v>13</v>
      </c>
      <c r="Y227" s="78" t="n">
        <v>13</v>
      </c>
      <c r="Z227" s="78" t="inlineStr">
        <is>
          <t>https://new.land.naver.com/complexes/4984?tab=detail&amp;rf=Y</t>
        </is>
      </c>
      <c r="AA227" s="78" t="inlineStr">
        <is>
          <t>전라북도 군산시 나운동 100-11</t>
        </is>
      </c>
      <c r="AB227" s="78" t="inlineStr">
        <is>
          <t>전라북도</t>
        </is>
      </c>
      <c r="AC227" s="78" t="inlineStr">
        <is>
          <t>군산시</t>
        </is>
      </c>
      <c r="AD227" s="78" t="inlineStr">
        <is>
          <t>나운동</t>
        </is>
      </c>
      <c r="AG227" s="78" t="inlineStr">
        <is>
          <t>전라북도 군산시 하나운로 48</t>
        </is>
      </c>
      <c r="AH227" s="78" t="n">
        <v>0</v>
      </c>
      <c r="AI227" s="78" t="n">
        <v>200</v>
      </c>
      <c r="AJ227" s="78" t="n">
        <v>17</v>
      </c>
      <c r="AK227" s="78" t="n">
        <v>312</v>
      </c>
      <c r="AL227" s="78" t="n">
        <v>0.55</v>
      </c>
    </row>
    <row r="228">
      <c r="A228" s="78" t="inlineStr">
        <is>
          <t>[나운동]</t>
        </is>
      </c>
      <c r="B228" s="78" t="n">
        <v>139522</v>
      </c>
      <c r="C228" s="78" t="n">
        <v>1</v>
      </c>
      <c r="D228" s="78" t="inlineStr">
        <is>
          <t>에코하우스(도시형)</t>
        </is>
      </c>
      <c r="E228" s="78" t="inlineStr">
        <is>
          <t>2013.05.</t>
        </is>
      </c>
      <c r="F228" s="78" t="n">
        <v>16</v>
      </c>
      <c r="G228" s="78" t="n">
        <v>22.5</v>
      </c>
      <c r="H228" s="78" t="n">
        <v>74.40000000000001</v>
      </c>
      <c r="I228" s="78" t="n">
        <v>17.92</v>
      </c>
      <c r="J228" s="78" t="n">
        <v>59.25</v>
      </c>
      <c r="K228" s="78" t="n">
        <v>4</v>
      </c>
      <c r="T228" s="78" t="n">
        <v>3</v>
      </c>
      <c r="U228" s="78" t="n">
        <v>1</v>
      </c>
      <c r="V228" s="78" t="inlineStr">
        <is>
          <t>계단식</t>
        </is>
      </c>
      <c r="W228" s="78" t="inlineStr">
        <is>
          <t>74A</t>
        </is>
      </c>
      <c r="X228" s="78" t="n">
        <v>5</v>
      </c>
      <c r="Y228" s="78" t="n">
        <v>5</v>
      </c>
      <c r="Z228" s="78" t="inlineStr">
        <is>
          <t>https://new.land.naver.com/complexes/139522?tab=detail&amp;rf=Y</t>
        </is>
      </c>
      <c r="AA228" s="78" t="inlineStr">
        <is>
          <t>전라북도 군산시 나운동 741-1</t>
        </is>
      </c>
      <c r="AB228" s="78" t="inlineStr">
        <is>
          <t>전라북도</t>
        </is>
      </c>
      <c r="AC228" s="78" t="inlineStr">
        <is>
          <t>군산시</t>
        </is>
      </c>
      <c r="AD228" s="78" t="inlineStr">
        <is>
          <t>나운동</t>
        </is>
      </c>
      <c r="AG228" s="78" t="inlineStr">
        <is>
          <t>전라북도 군산시 나운우회로 13</t>
        </is>
      </c>
      <c r="AH228" s="78" t="n">
        <v>0</v>
      </c>
      <c r="AI228" s="78" t="n">
        <v>158</v>
      </c>
      <c r="AJ228" s="78" t="n">
        <v>50</v>
      </c>
      <c r="AK228" s="78" t="n">
        <v>13</v>
      </c>
      <c r="AL228" s="78" t="n">
        <v>0.8100000000000001</v>
      </c>
    </row>
    <row r="229">
      <c r="A229" s="78" t="inlineStr">
        <is>
          <t>[나운동]</t>
        </is>
      </c>
      <c r="B229" s="78" t="n">
        <v>139522</v>
      </c>
      <c r="C229" s="78" t="n">
        <v>2</v>
      </c>
      <c r="D229" s="78" t="inlineStr">
        <is>
          <t>에코하우스(도시형)</t>
        </is>
      </c>
      <c r="E229" s="78" t="inlineStr">
        <is>
          <t>2013.05.</t>
        </is>
      </c>
      <c r="F229" s="78" t="n">
        <v>16</v>
      </c>
      <c r="G229" s="78" t="n">
        <v>22.59</v>
      </c>
      <c r="H229" s="78" t="n">
        <v>74.7</v>
      </c>
      <c r="I229" s="78" t="n">
        <v>17.99</v>
      </c>
      <c r="J229" s="78" t="n">
        <v>59.49</v>
      </c>
      <c r="K229" s="78" t="n">
        <v>4</v>
      </c>
      <c r="T229" s="78" t="n">
        <v>3</v>
      </c>
      <c r="U229" s="78" t="n">
        <v>1</v>
      </c>
      <c r="V229" s="78" t="inlineStr">
        <is>
          <t>계단식</t>
        </is>
      </c>
      <c r="W229" s="78" t="inlineStr">
        <is>
          <t>74B</t>
        </is>
      </c>
      <c r="X229" s="78" t="n">
        <v>5</v>
      </c>
      <c r="Y229" s="78" t="n">
        <v>5</v>
      </c>
      <c r="Z229" s="78" t="inlineStr">
        <is>
          <t>https://new.land.naver.com/complexes/139522?tab=detail&amp;rf=Y</t>
        </is>
      </c>
      <c r="AA229" s="78" t="inlineStr">
        <is>
          <t>전라북도 군산시 나운동 741-1</t>
        </is>
      </c>
      <c r="AB229" s="78" t="inlineStr">
        <is>
          <t>전라북도</t>
        </is>
      </c>
      <c r="AC229" s="78" t="inlineStr">
        <is>
          <t>군산시</t>
        </is>
      </c>
      <c r="AD229" s="78" t="inlineStr">
        <is>
          <t>나운동</t>
        </is>
      </c>
      <c r="AG229" s="78" t="inlineStr">
        <is>
          <t>전라북도 군산시 나운우회로 13</t>
        </is>
      </c>
      <c r="AH229" s="78" t="n">
        <v>0</v>
      </c>
      <c r="AI229" s="78" t="n">
        <v>158</v>
      </c>
      <c r="AJ229" s="78" t="n">
        <v>50</v>
      </c>
      <c r="AK229" s="78" t="n">
        <v>13</v>
      </c>
      <c r="AL229" s="78" t="n">
        <v>0.8100000000000001</v>
      </c>
    </row>
    <row r="230">
      <c r="A230" s="78" t="inlineStr">
        <is>
          <t>[나운동]</t>
        </is>
      </c>
      <c r="B230" s="78" t="n">
        <v>139522</v>
      </c>
      <c r="C230" s="78" t="n">
        <v>3</v>
      </c>
      <c r="D230" s="78" t="inlineStr">
        <is>
          <t>에코하우스(도시형)</t>
        </is>
      </c>
      <c r="E230" s="78" t="inlineStr">
        <is>
          <t>2013.05.</t>
        </is>
      </c>
      <c r="F230" s="78" t="n">
        <v>16</v>
      </c>
      <c r="G230" s="78" t="n">
        <v>22.72</v>
      </c>
      <c r="H230" s="78" t="n">
        <v>75.11</v>
      </c>
      <c r="I230" s="78" t="n">
        <v>18.09</v>
      </c>
      <c r="J230" s="78" t="n">
        <v>59.81</v>
      </c>
      <c r="K230" s="78" t="n">
        <v>4</v>
      </c>
      <c r="T230" s="78" t="n">
        <v>3</v>
      </c>
      <c r="U230" s="78" t="n">
        <v>1</v>
      </c>
      <c r="V230" s="78" t="inlineStr">
        <is>
          <t>계단식</t>
        </is>
      </c>
      <c r="W230" s="78" t="inlineStr">
        <is>
          <t>75C</t>
        </is>
      </c>
      <c r="X230" s="78" t="n">
        <v>5</v>
      </c>
      <c r="Y230" s="78" t="n">
        <v>5</v>
      </c>
      <c r="Z230" s="78" t="inlineStr">
        <is>
          <t>https://new.land.naver.com/complexes/139522?tab=detail&amp;rf=Y</t>
        </is>
      </c>
      <c r="AA230" s="78" t="inlineStr">
        <is>
          <t>전라북도 군산시 나운동 741-1</t>
        </is>
      </c>
      <c r="AB230" s="78" t="inlineStr">
        <is>
          <t>전라북도</t>
        </is>
      </c>
      <c r="AC230" s="78" t="inlineStr">
        <is>
          <t>군산시</t>
        </is>
      </c>
      <c r="AD230" s="78" t="inlineStr">
        <is>
          <t>나운동</t>
        </is>
      </c>
      <c r="AG230" s="78" t="inlineStr">
        <is>
          <t>전라북도 군산시 나운우회로 13</t>
        </is>
      </c>
      <c r="AH230" s="78" t="n">
        <v>0</v>
      </c>
      <c r="AI230" s="78" t="n">
        <v>158</v>
      </c>
      <c r="AJ230" s="78" t="n">
        <v>50</v>
      </c>
      <c r="AK230" s="78" t="n">
        <v>13</v>
      </c>
      <c r="AL230" s="78" t="n">
        <v>0.8100000000000001</v>
      </c>
    </row>
    <row r="231">
      <c r="A231" s="78" t="inlineStr">
        <is>
          <t>[나운동]</t>
        </is>
      </c>
      <c r="B231" s="78" t="n">
        <v>139522</v>
      </c>
      <c r="C231" s="78" t="n">
        <v>4</v>
      </c>
      <c r="D231" s="78" t="inlineStr">
        <is>
          <t>에코하우스(도시형)</t>
        </is>
      </c>
      <c r="E231" s="78" t="inlineStr">
        <is>
          <t>2013.05.</t>
        </is>
      </c>
      <c r="F231" s="78" t="n">
        <v>16</v>
      </c>
      <c r="G231" s="78" t="n">
        <v>22.76</v>
      </c>
      <c r="H231" s="78" t="n">
        <v>75.26000000000001</v>
      </c>
      <c r="I231" s="78" t="n">
        <v>18.12</v>
      </c>
      <c r="J231" s="78" t="n">
        <v>59.93</v>
      </c>
      <c r="K231" s="78" t="n">
        <v>4</v>
      </c>
      <c r="T231" s="78" t="n">
        <v>3</v>
      </c>
      <c r="U231" s="78" t="n">
        <v>1</v>
      </c>
      <c r="V231" s="78" t="inlineStr">
        <is>
          <t>계단식</t>
        </is>
      </c>
      <c r="W231" s="78" t="inlineStr">
        <is>
          <t>75D</t>
        </is>
      </c>
      <c r="X231" s="78" t="n">
        <v>5</v>
      </c>
      <c r="Y231" s="78" t="n">
        <v>5</v>
      </c>
      <c r="Z231" s="78" t="inlineStr">
        <is>
          <t>https://new.land.naver.com/complexes/139522?tab=detail&amp;rf=Y</t>
        </is>
      </c>
      <c r="AA231" s="78" t="inlineStr">
        <is>
          <t>전라북도 군산시 나운동 741-1</t>
        </is>
      </c>
      <c r="AB231" s="78" t="inlineStr">
        <is>
          <t>전라북도</t>
        </is>
      </c>
      <c r="AC231" s="78" t="inlineStr">
        <is>
          <t>군산시</t>
        </is>
      </c>
      <c r="AD231" s="78" t="inlineStr">
        <is>
          <t>나운동</t>
        </is>
      </c>
      <c r="AG231" s="78" t="inlineStr">
        <is>
          <t>전라북도 군산시 나운우회로 13</t>
        </is>
      </c>
      <c r="AH231" s="78" t="n">
        <v>0</v>
      </c>
      <c r="AI231" s="78" t="n">
        <v>158</v>
      </c>
      <c r="AJ231" s="78" t="n">
        <v>50</v>
      </c>
      <c r="AK231" s="78" t="n">
        <v>13</v>
      </c>
      <c r="AL231" s="78" t="n">
        <v>0.8100000000000001</v>
      </c>
    </row>
    <row r="232">
      <c r="A232" s="78" t="inlineStr">
        <is>
          <t>[나운동]</t>
        </is>
      </c>
      <c r="B232" s="78" t="n">
        <v>142718</v>
      </c>
      <c r="C232" s="78" t="n">
        <v>1</v>
      </c>
      <c r="D232" s="78" t="inlineStr">
        <is>
          <t>대우하늘채2차</t>
        </is>
      </c>
      <c r="E232" s="78" t="inlineStr">
        <is>
          <t>2013.07.</t>
        </is>
      </c>
      <c r="F232" s="78" t="n">
        <v>12</v>
      </c>
      <c r="G232" s="78" t="n">
        <v>16.11</v>
      </c>
      <c r="H232" s="78" t="n">
        <v>53.27</v>
      </c>
      <c r="I232" s="78" t="n">
        <v>13.68</v>
      </c>
      <c r="J232" s="78" t="n">
        <v>45.23</v>
      </c>
      <c r="K232" s="78" t="n">
        <v>4</v>
      </c>
      <c r="T232" s="78" t="n">
        <v>2</v>
      </c>
      <c r="U232" s="78" t="n">
        <v>1</v>
      </c>
      <c r="V232" s="78" t="inlineStr">
        <is>
          <t>계단식</t>
        </is>
      </c>
      <c r="W232" s="78" t="n">
        <v>53</v>
      </c>
      <c r="X232" s="78" t="n">
        <v>8</v>
      </c>
      <c r="Y232" s="78" t="n">
        <v>8</v>
      </c>
      <c r="Z232" s="78" t="inlineStr">
        <is>
          <t>https://new.land.naver.com/complexes/142718?tab=detail&amp;rf=Y</t>
        </is>
      </c>
      <c r="AA232" s="78" t="inlineStr">
        <is>
          <t>전라북도 군산시 나운동 754-8</t>
        </is>
      </c>
      <c r="AB232" s="78" t="inlineStr">
        <is>
          <t>전라북도</t>
        </is>
      </c>
      <c r="AC232" s="78" t="inlineStr">
        <is>
          <t>군산시</t>
        </is>
      </c>
      <c r="AD232" s="78" t="inlineStr">
        <is>
          <t>나운동</t>
        </is>
      </c>
      <c r="AG232" s="78" t="inlineStr">
        <is>
          <t>전라북도 군산시 나운우회로 75</t>
        </is>
      </c>
      <c r="AH232" s="78" t="n">
        <v>0</v>
      </c>
      <c r="AI232" s="78" t="n">
        <v>249</v>
      </c>
      <c r="AJ232" s="78" t="n">
        <v>54</v>
      </c>
      <c r="AK232" s="78" t="n">
        <v>9</v>
      </c>
      <c r="AL232" s="78" t="n">
        <v>0.75</v>
      </c>
    </row>
    <row r="233">
      <c r="A233" s="78" t="inlineStr">
        <is>
          <t>[나운동]</t>
        </is>
      </c>
      <c r="B233" s="78" t="n">
        <v>142718</v>
      </c>
      <c r="C233" s="78" t="n">
        <v>2</v>
      </c>
      <c r="D233" s="78" t="inlineStr">
        <is>
          <t>대우하늘채2차</t>
        </is>
      </c>
      <c r="E233" s="78" t="inlineStr">
        <is>
          <t>2013.07.</t>
        </is>
      </c>
      <c r="F233" s="78" t="n">
        <v>12</v>
      </c>
      <c r="G233" s="78" t="n">
        <v>16.58</v>
      </c>
      <c r="H233" s="78" t="n">
        <v>54.83</v>
      </c>
      <c r="I233" s="78" t="n">
        <v>14.08</v>
      </c>
      <c r="J233" s="78" t="n">
        <v>46.55</v>
      </c>
      <c r="K233" s="78" t="n">
        <v>4</v>
      </c>
      <c r="T233" s="78" t="n">
        <v>2</v>
      </c>
      <c r="U233" s="78" t="n">
        <v>1</v>
      </c>
      <c r="V233" s="78" t="inlineStr">
        <is>
          <t>계단식</t>
        </is>
      </c>
      <c r="W233" s="78" t="inlineStr">
        <is>
          <t>54A</t>
        </is>
      </c>
      <c r="X233" s="78" t="n">
        <v>8</v>
      </c>
      <c r="Y233" s="78" t="n">
        <v>8</v>
      </c>
      <c r="Z233" s="78" t="inlineStr">
        <is>
          <t>https://new.land.naver.com/complexes/142718?tab=detail&amp;rf=Y</t>
        </is>
      </c>
      <c r="AA233" s="78" t="inlineStr">
        <is>
          <t>전라북도 군산시 나운동 754-8</t>
        </is>
      </c>
      <c r="AB233" s="78" t="inlineStr">
        <is>
          <t>전라북도</t>
        </is>
      </c>
      <c r="AC233" s="78" t="inlineStr">
        <is>
          <t>군산시</t>
        </is>
      </c>
      <c r="AD233" s="78" t="inlineStr">
        <is>
          <t>나운동</t>
        </is>
      </c>
      <c r="AG233" s="78" t="inlineStr">
        <is>
          <t>전라북도 군산시 나운우회로 75</t>
        </is>
      </c>
      <c r="AH233" s="78" t="n">
        <v>0</v>
      </c>
      <c r="AI233" s="78" t="n">
        <v>249</v>
      </c>
      <c r="AJ233" s="78" t="n">
        <v>54</v>
      </c>
      <c r="AK233" s="78" t="n">
        <v>9</v>
      </c>
      <c r="AL233" s="78" t="n">
        <v>0.75</v>
      </c>
    </row>
    <row r="234">
      <c r="A234" s="78" t="inlineStr">
        <is>
          <t>[나운동]</t>
        </is>
      </c>
      <c r="B234" s="78" t="n">
        <v>142718</v>
      </c>
      <c r="C234" s="78" t="n">
        <v>3</v>
      </c>
      <c r="D234" s="78" t="inlineStr">
        <is>
          <t>대우하늘채2차</t>
        </is>
      </c>
      <c r="E234" s="78" t="inlineStr">
        <is>
          <t>2013.07.</t>
        </is>
      </c>
      <c r="F234" s="78" t="n">
        <v>12</v>
      </c>
      <c r="G234" s="78" t="n">
        <v>17.16</v>
      </c>
      <c r="H234" s="78" t="n">
        <v>56.76</v>
      </c>
      <c r="I234" s="78" t="n">
        <v>14.57</v>
      </c>
      <c r="J234" s="78" t="n">
        <v>48.19</v>
      </c>
      <c r="K234" s="78" t="n">
        <v>4</v>
      </c>
      <c r="T234" s="78" t="n">
        <v>2</v>
      </c>
      <c r="U234" s="78" t="n">
        <v>1</v>
      </c>
      <c r="V234" s="78" t="inlineStr">
        <is>
          <t>계단식</t>
        </is>
      </c>
      <c r="W234" s="78" t="inlineStr">
        <is>
          <t>56B</t>
        </is>
      </c>
      <c r="X234" s="78" t="n">
        <v>8</v>
      </c>
      <c r="Y234" s="78" t="n">
        <v>8</v>
      </c>
      <c r="Z234" s="78" t="inlineStr">
        <is>
          <t>https://new.land.naver.com/complexes/142718?tab=detail&amp;rf=Y</t>
        </is>
      </c>
      <c r="AA234" s="78" t="inlineStr">
        <is>
          <t>전라북도 군산시 나운동 754-8</t>
        </is>
      </c>
      <c r="AB234" s="78" t="inlineStr">
        <is>
          <t>전라북도</t>
        </is>
      </c>
      <c r="AC234" s="78" t="inlineStr">
        <is>
          <t>군산시</t>
        </is>
      </c>
      <c r="AD234" s="78" t="inlineStr">
        <is>
          <t>나운동</t>
        </is>
      </c>
      <c r="AG234" s="78" t="inlineStr">
        <is>
          <t>전라북도 군산시 나운우회로 75</t>
        </is>
      </c>
      <c r="AH234" s="78" t="n">
        <v>0</v>
      </c>
      <c r="AI234" s="78" t="n">
        <v>249</v>
      </c>
      <c r="AJ234" s="78" t="n">
        <v>54</v>
      </c>
      <c r="AK234" s="78" t="n">
        <v>9</v>
      </c>
      <c r="AL234" s="78" t="n">
        <v>0.75</v>
      </c>
    </row>
    <row r="235">
      <c r="A235" s="78" t="inlineStr">
        <is>
          <t>[나운동]</t>
        </is>
      </c>
      <c r="B235" s="78" t="n">
        <v>14967</v>
      </c>
      <c r="C235" s="78" t="n">
        <v>1</v>
      </c>
      <c r="D235" s="78" t="inlineStr">
        <is>
          <t>우진</t>
        </is>
      </c>
      <c r="E235" s="78" t="inlineStr">
        <is>
          <t>1979.01.</t>
        </is>
      </c>
      <c r="F235" s="78" t="n">
        <v>390</v>
      </c>
      <c r="G235" s="78" t="n">
        <v>18.29</v>
      </c>
      <c r="H235" s="78" t="n">
        <v>60.49</v>
      </c>
      <c r="I235" s="78" t="n">
        <v>16.78</v>
      </c>
      <c r="J235" s="78" t="n">
        <v>55.48</v>
      </c>
      <c r="K235" s="78" t="n">
        <v>100</v>
      </c>
      <c r="T235" s="78" t="n">
        <v>3</v>
      </c>
      <c r="U235" s="78" t="n">
        <v>1</v>
      </c>
      <c r="V235" s="78" t="inlineStr">
        <is>
          <t>계단식</t>
        </is>
      </c>
      <c r="W235" s="78" t="n">
        <v>60</v>
      </c>
      <c r="X235" s="78" t="n">
        <v>5</v>
      </c>
      <c r="Y235" s="78" t="n">
        <v>5</v>
      </c>
      <c r="Z235" s="78" t="inlineStr">
        <is>
          <t>https://new.land.naver.com/complexes/14967?tab=detail&amp;rf=Y</t>
        </is>
      </c>
      <c r="AA235" s="78" t="inlineStr">
        <is>
          <t>전라북도 군산시 나운동 555-1</t>
        </is>
      </c>
      <c r="AB235" s="78" t="inlineStr">
        <is>
          <t>전라북도</t>
        </is>
      </c>
      <c r="AC235" s="78" t="inlineStr">
        <is>
          <t>군산시</t>
        </is>
      </c>
      <c r="AD235" s="78" t="inlineStr">
        <is>
          <t>나운동</t>
        </is>
      </c>
      <c r="AG235" s="78" t="inlineStr">
        <is>
          <t>전라북도 군산시 하신재길 23</t>
        </is>
      </c>
      <c r="AH235" s="78" t="n">
        <v>0</v>
      </c>
      <c r="AI235" s="78" t="n">
        <v>0</v>
      </c>
      <c r="AJ235" s="78" t="n">
        <v>0</v>
      </c>
      <c r="AK235" s="78" t="n">
        <v>0</v>
      </c>
      <c r="AL235" s="78" t="n">
        <v>0</v>
      </c>
    </row>
    <row r="236">
      <c r="A236" s="78" t="inlineStr">
        <is>
          <t>[나운동]</t>
        </is>
      </c>
      <c r="B236" s="78" t="n">
        <v>14967</v>
      </c>
      <c r="C236" s="78" t="n">
        <v>2</v>
      </c>
      <c r="D236" s="78" t="inlineStr">
        <is>
          <t>우진</t>
        </is>
      </c>
      <c r="E236" s="78" t="inlineStr">
        <is>
          <t>1979.01.</t>
        </is>
      </c>
      <c r="F236" s="78" t="n">
        <v>390</v>
      </c>
      <c r="G236" s="78" t="n">
        <v>18.5</v>
      </c>
      <c r="H236" s="78" t="n">
        <v>61.18</v>
      </c>
      <c r="I236" s="78" t="n">
        <v>16.74</v>
      </c>
      <c r="J236" s="78" t="n">
        <v>55.36</v>
      </c>
      <c r="K236" s="78" t="n">
        <v>170</v>
      </c>
      <c r="T236" s="78" t="n">
        <v>2</v>
      </c>
      <c r="U236" s="78" t="n">
        <v>1</v>
      </c>
      <c r="V236" s="78" t="inlineStr">
        <is>
          <t>복도식</t>
        </is>
      </c>
      <c r="W236" s="78" t="n">
        <v>61</v>
      </c>
      <c r="X236" s="78" t="n">
        <v>5</v>
      </c>
      <c r="Y236" s="78" t="n">
        <v>5</v>
      </c>
      <c r="Z236" s="78" t="inlineStr">
        <is>
          <t>https://new.land.naver.com/complexes/14967?tab=detail&amp;rf=Y</t>
        </is>
      </c>
      <c r="AA236" s="78" t="inlineStr">
        <is>
          <t>전라북도 군산시 나운동 555-1</t>
        </is>
      </c>
      <c r="AB236" s="78" t="inlineStr">
        <is>
          <t>전라북도</t>
        </is>
      </c>
      <c r="AC236" s="78" t="inlineStr">
        <is>
          <t>군산시</t>
        </is>
      </c>
      <c r="AD236" s="78" t="inlineStr">
        <is>
          <t>나운동</t>
        </is>
      </c>
      <c r="AG236" s="78" t="inlineStr">
        <is>
          <t>전라북도 군산시 하신재길 23</t>
        </is>
      </c>
      <c r="AH236" s="78" t="n">
        <v>0</v>
      </c>
      <c r="AI236" s="78" t="n">
        <v>0</v>
      </c>
      <c r="AJ236" s="78" t="n">
        <v>0</v>
      </c>
      <c r="AK236" s="78" t="n">
        <v>0</v>
      </c>
      <c r="AL236" s="78" t="n">
        <v>0</v>
      </c>
    </row>
    <row r="237">
      <c r="A237" s="78" t="inlineStr">
        <is>
          <t>[나운동]</t>
        </is>
      </c>
      <c r="B237" s="78" t="n">
        <v>14967</v>
      </c>
      <c r="C237" s="78" t="n">
        <v>3</v>
      </c>
      <c r="D237" s="78" t="inlineStr">
        <is>
          <t>우진</t>
        </is>
      </c>
      <c r="E237" s="78" t="inlineStr">
        <is>
          <t>1979.01.</t>
        </is>
      </c>
      <c r="F237" s="78" t="n">
        <v>390</v>
      </c>
      <c r="G237" s="78" t="n">
        <v>21.99</v>
      </c>
      <c r="H237" s="78" t="n">
        <v>72.7</v>
      </c>
      <c r="I237" s="78" t="n">
        <v>19.89</v>
      </c>
      <c r="J237" s="78" t="n">
        <v>65.78</v>
      </c>
      <c r="K237" s="78" t="n">
        <v>120</v>
      </c>
      <c r="T237" s="78" t="n">
        <v>3</v>
      </c>
      <c r="U237" s="78" t="n">
        <v>1</v>
      </c>
      <c r="V237" s="78" t="inlineStr">
        <is>
          <t>계단식</t>
        </is>
      </c>
      <c r="W237" s="78" t="n">
        <v>72</v>
      </c>
      <c r="X237" s="78" t="n">
        <v>5</v>
      </c>
      <c r="Y237" s="78" t="n">
        <v>5</v>
      </c>
      <c r="Z237" s="78" t="inlineStr">
        <is>
          <t>https://new.land.naver.com/complexes/14967?tab=detail&amp;rf=Y</t>
        </is>
      </c>
      <c r="AA237" s="78" t="inlineStr">
        <is>
          <t>전라북도 군산시 나운동 555-1</t>
        </is>
      </c>
      <c r="AB237" s="78" t="inlineStr">
        <is>
          <t>전라북도</t>
        </is>
      </c>
      <c r="AC237" s="78" t="inlineStr">
        <is>
          <t>군산시</t>
        </is>
      </c>
      <c r="AD237" s="78" t="inlineStr">
        <is>
          <t>나운동</t>
        </is>
      </c>
      <c r="AG237" s="78" t="inlineStr">
        <is>
          <t>전라북도 군산시 하신재길 23</t>
        </is>
      </c>
      <c r="AH237" s="78" t="n">
        <v>0</v>
      </c>
      <c r="AI237" s="78" t="n">
        <v>0</v>
      </c>
      <c r="AJ237" s="78" t="n">
        <v>0</v>
      </c>
      <c r="AK237" s="78" t="n">
        <v>0</v>
      </c>
      <c r="AL237" s="78" t="n">
        <v>0</v>
      </c>
    </row>
    <row r="238">
      <c r="A238" s="78" t="inlineStr">
        <is>
          <t>[나운동]</t>
        </is>
      </c>
      <c r="B238" s="78" t="n">
        <v>130728</v>
      </c>
      <c r="C238" s="78" t="n">
        <v>1</v>
      </c>
      <c r="D238" s="78" t="inlineStr">
        <is>
          <t>군산월드</t>
        </is>
      </c>
      <c r="E238" s="78" t="inlineStr">
        <is>
          <t>1995.09.</t>
        </is>
      </c>
      <c r="F238" s="78" t="n">
        <v>36</v>
      </c>
      <c r="G238" s="78" t="n">
        <v>24.73</v>
      </c>
      <c r="H238" s="78" t="n">
        <v>81.77</v>
      </c>
      <c r="I238" s="78" t="n">
        <v>18.87</v>
      </c>
      <c r="J238" s="78" t="n">
        <v>62.4</v>
      </c>
      <c r="K238" s="78" t="n">
        <v>2</v>
      </c>
      <c r="T238" s="78" t="n">
        <v>3</v>
      </c>
      <c r="U238" s="78" t="n">
        <v>2</v>
      </c>
      <c r="V238" s="78" t="inlineStr">
        <is>
          <t>계단식</t>
        </is>
      </c>
      <c r="W238" s="78" t="n">
        <v>81</v>
      </c>
      <c r="X238" s="78" t="n">
        <v>13</v>
      </c>
      <c r="Y238" s="78" t="n">
        <v>13</v>
      </c>
      <c r="Z238" s="78" t="inlineStr">
        <is>
          <t>https://new.land.naver.com/complexes/130728?tab=detail&amp;rf=Y</t>
        </is>
      </c>
      <c r="AA238" s="78" t="inlineStr">
        <is>
          <t>전라북도 군산시 나운동 854-1</t>
        </is>
      </c>
      <c r="AB238" s="78" t="inlineStr">
        <is>
          <t>전라북도</t>
        </is>
      </c>
      <c r="AC238" s="78" t="inlineStr">
        <is>
          <t>군산시</t>
        </is>
      </c>
      <c r="AD238" s="78" t="inlineStr">
        <is>
          <t>나운동</t>
        </is>
      </c>
      <c r="AG238" s="78" t="inlineStr">
        <is>
          <t>전라북도 군산시 부곡1길 69</t>
        </is>
      </c>
      <c r="AH238" s="78" t="n">
        <v>0</v>
      </c>
      <c r="AI238" s="78" t="n">
        <v>397</v>
      </c>
      <c r="AJ238" s="78" t="n">
        <v>46</v>
      </c>
      <c r="AK238" s="78" t="n">
        <v>17</v>
      </c>
      <c r="AL238" s="78" t="n">
        <v>0.47</v>
      </c>
    </row>
    <row r="239">
      <c r="A239" s="78" t="inlineStr">
        <is>
          <t>[나운동]</t>
        </is>
      </c>
      <c r="B239" s="78" t="n">
        <v>130728</v>
      </c>
      <c r="C239" s="78" t="n">
        <v>2</v>
      </c>
      <c r="D239" s="78" t="inlineStr">
        <is>
          <t>군산월드</t>
        </is>
      </c>
      <c r="E239" s="78" t="inlineStr">
        <is>
          <t>1995.09.</t>
        </is>
      </c>
      <c r="F239" s="78" t="n">
        <v>36</v>
      </c>
      <c r="G239" s="78" t="n">
        <v>29.96</v>
      </c>
      <c r="H239" s="78" t="n">
        <v>99.06</v>
      </c>
      <c r="I239" s="78" t="n">
        <v>22.86</v>
      </c>
      <c r="J239" s="78" t="n">
        <v>75.59999999999999</v>
      </c>
      <c r="K239" s="78" t="n">
        <v>2</v>
      </c>
      <c r="T239" s="78" t="n">
        <v>3</v>
      </c>
      <c r="U239" s="78" t="n">
        <v>2</v>
      </c>
      <c r="V239" s="78" t="inlineStr">
        <is>
          <t>계단식</t>
        </is>
      </c>
      <c r="W239" s="78" t="n">
        <v>99</v>
      </c>
      <c r="X239" s="78" t="n">
        <v>13</v>
      </c>
      <c r="Y239" s="78" t="n">
        <v>13</v>
      </c>
      <c r="Z239" s="78" t="inlineStr">
        <is>
          <t>https://new.land.naver.com/complexes/130728?tab=detail&amp;rf=Y</t>
        </is>
      </c>
      <c r="AA239" s="78" t="inlineStr">
        <is>
          <t>전라북도 군산시 나운동 854-1</t>
        </is>
      </c>
      <c r="AB239" s="78" t="inlineStr">
        <is>
          <t>전라북도</t>
        </is>
      </c>
      <c r="AC239" s="78" t="inlineStr">
        <is>
          <t>군산시</t>
        </is>
      </c>
      <c r="AD239" s="78" t="inlineStr">
        <is>
          <t>나운동</t>
        </is>
      </c>
      <c r="AG239" s="78" t="inlineStr">
        <is>
          <t>전라북도 군산시 부곡1길 69</t>
        </is>
      </c>
      <c r="AH239" s="78" t="n">
        <v>0</v>
      </c>
      <c r="AI239" s="78" t="n">
        <v>397</v>
      </c>
      <c r="AJ239" s="78" t="n">
        <v>46</v>
      </c>
      <c r="AK239" s="78" t="n">
        <v>17</v>
      </c>
      <c r="AL239" s="78" t="n">
        <v>0.47</v>
      </c>
    </row>
    <row r="240">
      <c r="A240" s="78" t="inlineStr">
        <is>
          <t>[나운동]</t>
        </is>
      </c>
      <c r="B240" s="78" t="n">
        <v>130728</v>
      </c>
      <c r="C240" s="78" t="n">
        <v>3</v>
      </c>
      <c r="D240" s="78" t="inlineStr">
        <is>
          <t>군산월드</t>
        </is>
      </c>
      <c r="E240" s="78" t="inlineStr">
        <is>
          <t>1995.09.</t>
        </is>
      </c>
      <c r="F240" s="78" t="n">
        <v>36</v>
      </c>
      <c r="G240" s="78" t="n">
        <v>33.6</v>
      </c>
      <c r="H240" s="78" t="n">
        <v>111.09</v>
      </c>
      <c r="I240" s="78" t="n">
        <v>25.64</v>
      </c>
      <c r="J240" s="78" t="n">
        <v>84.78</v>
      </c>
      <c r="K240" s="78" t="n">
        <v>26</v>
      </c>
      <c r="T240" s="78" t="n">
        <v>3</v>
      </c>
      <c r="U240" s="78" t="n">
        <v>2</v>
      </c>
      <c r="V240" s="78" t="inlineStr">
        <is>
          <t>계단식</t>
        </is>
      </c>
      <c r="W240" s="78" t="n">
        <v>111</v>
      </c>
      <c r="X240" s="78" t="n">
        <v>13</v>
      </c>
      <c r="Y240" s="78" t="n">
        <v>13</v>
      </c>
      <c r="Z240" s="78" t="inlineStr">
        <is>
          <t>https://new.land.naver.com/complexes/130728?tab=detail&amp;rf=Y</t>
        </is>
      </c>
      <c r="AA240" s="78" t="inlineStr">
        <is>
          <t>전라북도 군산시 나운동 854-1</t>
        </is>
      </c>
      <c r="AB240" s="78" t="inlineStr">
        <is>
          <t>전라북도</t>
        </is>
      </c>
      <c r="AC240" s="78" t="inlineStr">
        <is>
          <t>군산시</t>
        </is>
      </c>
      <c r="AD240" s="78" t="inlineStr">
        <is>
          <t>나운동</t>
        </is>
      </c>
      <c r="AG240" s="78" t="inlineStr">
        <is>
          <t>전라북도 군산시 부곡1길 69</t>
        </is>
      </c>
      <c r="AH240" s="78" t="n">
        <v>0</v>
      </c>
      <c r="AI240" s="78" t="n">
        <v>397</v>
      </c>
      <c r="AJ240" s="78" t="n">
        <v>46</v>
      </c>
      <c r="AK240" s="78" t="n">
        <v>17</v>
      </c>
      <c r="AL240" s="78" t="n">
        <v>0.47</v>
      </c>
    </row>
    <row r="241">
      <c r="A241" s="78" t="inlineStr">
        <is>
          <t>[나운동]</t>
        </is>
      </c>
      <c r="B241" s="78" t="n">
        <v>130728</v>
      </c>
      <c r="C241" s="78" t="n">
        <v>4</v>
      </c>
      <c r="D241" s="78" t="inlineStr">
        <is>
          <t>군산월드</t>
        </is>
      </c>
      <c r="E241" s="78" t="inlineStr">
        <is>
          <t>1995.09.</t>
        </is>
      </c>
      <c r="F241" s="78" t="n">
        <v>36</v>
      </c>
      <c r="G241" s="78" t="n">
        <v>56.74</v>
      </c>
      <c r="H241" s="78" t="n">
        <v>187.58</v>
      </c>
      <c r="I241" s="78" t="n">
        <v>43.29</v>
      </c>
      <c r="J241" s="78" t="n">
        <v>143.13</v>
      </c>
      <c r="K241" s="78" t="n">
        <v>6</v>
      </c>
      <c r="T241" s="78" t="n">
        <v>3</v>
      </c>
      <c r="U241" s="78" t="n">
        <v>2</v>
      </c>
      <c r="V241" s="78" t="inlineStr">
        <is>
          <t>계단식</t>
        </is>
      </c>
      <c r="W241" s="78" t="n">
        <v>187</v>
      </c>
      <c r="X241" s="78" t="n">
        <v>13</v>
      </c>
      <c r="Y241" s="78" t="n">
        <v>13</v>
      </c>
      <c r="Z241" s="78" t="inlineStr">
        <is>
          <t>https://new.land.naver.com/complexes/130728?tab=detail&amp;rf=Y</t>
        </is>
      </c>
      <c r="AA241" s="78" t="inlineStr">
        <is>
          <t>전라북도 군산시 나운동 854-1</t>
        </is>
      </c>
      <c r="AB241" s="78" t="inlineStr">
        <is>
          <t>전라북도</t>
        </is>
      </c>
      <c r="AC241" s="78" t="inlineStr">
        <is>
          <t>군산시</t>
        </is>
      </c>
      <c r="AD241" s="78" t="inlineStr">
        <is>
          <t>나운동</t>
        </is>
      </c>
      <c r="AG241" s="78" t="inlineStr">
        <is>
          <t>전라북도 군산시 부곡1길 69</t>
        </is>
      </c>
      <c r="AH241" s="78" t="n">
        <v>0</v>
      </c>
      <c r="AI241" s="78" t="n">
        <v>397</v>
      </c>
      <c r="AJ241" s="78" t="n">
        <v>46</v>
      </c>
      <c r="AK241" s="78" t="n">
        <v>17</v>
      </c>
      <c r="AL241" s="78" t="n">
        <v>0.47</v>
      </c>
    </row>
    <row r="242">
      <c r="A242" s="78" t="inlineStr">
        <is>
          <t>[나운동]</t>
        </is>
      </c>
      <c r="B242" s="78" t="n">
        <v>5016</v>
      </c>
      <c r="C242" s="78" t="n">
        <v>1</v>
      </c>
      <c r="D242" s="78" t="inlineStr">
        <is>
          <t>현대2차</t>
        </is>
      </c>
      <c r="E242" s="78" t="inlineStr">
        <is>
          <t>1987.09.</t>
        </is>
      </c>
      <c r="F242" s="78" t="n">
        <v>100</v>
      </c>
      <c r="G242" s="78" t="n">
        <v>21.1</v>
      </c>
      <c r="H242" s="78" t="n">
        <v>69.77</v>
      </c>
      <c r="I242" s="78" t="n">
        <v>17.58</v>
      </c>
      <c r="J242" s="78" t="n">
        <v>58.14</v>
      </c>
      <c r="K242" s="78" t="n">
        <v>50</v>
      </c>
      <c r="T242" s="78" t="n">
        <v>3</v>
      </c>
      <c r="U242" s="78" t="n">
        <v>1</v>
      </c>
      <c r="V242" s="78" t="inlineStr">
        <is>
          <t>계단식</t>
        </is>
      </c>
      <c r="W242" s="78" t="inlineStr">
        <is>
          <t>69A</t>
        </is>
      </c>
      <c r="X242" s="78" t="n">
        <v>5</v>
      </c>
      <c r="Y242" s="78" t="n">
        <v>5</v>
      </c>
      <c r="Z242" s="78" t="inlineStr">
        <is>
          <t>https://new.land.naver.com/complexes/5016?tab=detail&amp;rf=Y</t>
        </is>
      </c>
      <c r="AA242" s="78" t="inlineStr">
        <is>
          <t>전라북도 군산시 나운동 792-1</t>
        </is>
      </c>
      <c r="AB242" s="78" t="inlineStr">
        <is>
          <t>전라북도</t>
        </is>
      </c>
      <c r="AC242" s="78" t="inlineStr">
        <is>
          <t>군산시</t>
        </is>
      </c>
      <c r="AD242" s="78" t="inlineStr">
        <is>
          <t>나운동</t>
        </is>
      </c>
      <c r="AG242" s="78" t="inlineStr">
        <is>
          <t>전라북도 군산시 신설4길 14</t>
        </is>
      </c>
      <c r="AH242" s="78" t="n">
        <v>0</v>
      </c>
      <c r="AI242" s="78" t="n">
        <v>78</v>
      </c>
      <c r="AJ242" s="78" t="n">
        <v>15</v>
      </c>
      <c r="AK242" s="78" t="n">
        <v>0</v>
      </c>
      <c r="AL242" s="78" t="n">
        <v>0</v>
      </c>
    </row>
    <row r="243">
      <c r="A243" s="78" t="inlineStr">
        <is>
          <t>[나운동]</t>
        </is>
      </c>
      <c r="B243" s="78" t="n">
        <v>5016</v>
      </c>
      <c r="C243" s="78" t="n">
        <v>2</v>
      </c>
      <c r="D243" s="78" t="inlineStr">
        <is>
          <t>현대2차</t>
        </is>
      </c>
      <c r="E243" s="78" t="inlineStr">
        <is>
          <t>1987.09.</t>
        </is>
      </c>
      <c r="F243" s="78" t="n">
        <v>100</v>
      </c>
      <c r="G243" s="78" t="n">
        <v>21.47</v>
      </c>
      <c r="H243" s="78" t="n">
        <v>71</v>
      </c>
      <c r="I243" s="78" t="n">
        <v>18.06</v>
      </c>
      <c r="J243" s="78" t="n">
        <v>59.72</v>
      </c>
      <c r="K243" s="78" t="n">
        <v>50</v>
      </c>
      <c r="T243" s="78" t="n">
        <v>3</v>
      </c>
      <c r="U243" s="78" t="n">
        <v>1</v>
      </c>
      <c r="V243" s="78" t="inlineStr">
        <is>
          <t>계단식</t>
        </is>
      </c>
      <c r="W243" s="78" t="inlineStr">
        <is>
          <t>71B</t>
        </is>
      </c>
      <c r="X243" s="78" t="n">
        <v>5</v>
      </c>
      <c r="Y243" s="78" t="n">
        <v>5</v>
      </c>
      <c r="Z243" s="78" t="inlineStr">
        <is>
          <t>https://new.land.naver.com/complexes/5016?tab=detail&amp;rf=Y</t>
        </is>
      </c>
      <c r="AA243" s="78" t="inlineStr">
        <is>
          <t>전라북도 군산시 나운동 792-1</t>
        </is>
      </c>
      <c r="AB243" s="78" t="inlineStr">
        <is>
          <t>전라북도</t>
        </is>
      </c>
      <c r="AC243" s="78" t="inlineStr">
        <is>
          <t>군산시</t>
        </is>
      </c>
      <c r="AD243" s="78" t="inlineStr">
        <is>
          <t>나운동</t>
        </is>
      </c>
      <c r="AG243" s="78" t="inlineStr">
        <is>
          <t>전라북도 군산시 신설4길 14</t>
        </is>
      </c>
      <c r="AH243" s="78" t="n">
        <v>0</v>
      </c>
      <c r="AI243" s="78" t="n">
        <v>78</v>
      </c>
      <c r="AJ243" s="78" t="n">
        <v>15</v>
      </c>
      <c r="AK243" s="78" t="n">
        <v>0</v>
      </c>
      <c r="AL243" s="78" t="n">
        <v>0</v>
      </c>
    </row>
    <row r="244">
      <c r="A244" s="78" t="inlineStr">
        <is>
          <t>[나운동]</t>
        </is>
      </c>
      <c r="B244" s="78" t="n">
        <v>24067</v>
      </c>
      <c r="C244" s="78" t="n">
        <v>1</v>
      </c>
      <c r="D244" s="78" t="inlineStr">
        <is>
          <t>명성(785-4)</t>
        </is>
      </c>
      <c r="E244" s="78" t="inlineStr">
        <is>
          <t>1989.09.</t>
        </is>
      </c>
      <c r="F244" s="78" t="n">
        <v>65</v>
      </c>
      <c r="G244" s="78" t="n">
        <v>23.18</v>
      </c>
      <c r="H244" s="78" t="n">
        <v>76.66</v>
      </c>
      <c r="I244" s="78" t="n">
        <v>19.81</v>
      </c>
      <c r="J244" s="78" t="n">
        <v>65.48999999999999</v>
      </c>
      <c r="K244" s="78" t="n">
        <v>25</v>
      </c>
      <c r="T244" s="78" t="n">
        <v>2</v>
      </c>
      <c r="U244" s="78" t="n">
        <v>1</v>
      </c>
      <c r="V244" s="78" t="inlineStr">
        <is>
          <t>계단식</t>
        </is>
      </c>
      <c r="W244" s="78" t="n">
        <v>76</v>
      </c>
      <c r="X244" s="78" t="n">
        <v>5</v>
      </c>
      <c r="Y244" s="78" t="n">
        <v>5</v>
      </c>
      <c r="Z244" s="78" t="inlineStr">
        <is>
          <t>https://new.land.naver.com/complexes/24067?tab=detail&amp;rf=Y</t>
        </is>
      </c>
      <c r="AA244" s="78" t="inlineStr">
        <is>
          <t>전라북도 군산시 나운동 785-4</t>
        </is>
      </c>
      <c r="AB244" s="78" t="inlineStr">
        <is>
          <t>전라북도</t>
        </is>
      </c>
      <c r="AC244" s="78" t="inlineStr">
        <is>
          <t>군산시</t>
        </is>
      </c>
      <c r="AD244" s="78" t="inlineStr">
        <is>
          <t>나운동</t>
        </is>
      </c>
      <c r="AG244" s="78" t="inlineStr">
        <is>
          <t>전라북도 군산시 신설2길 30</t>
        </is>
      </c>
      <c r="AH244" s="78" t="n">
        <v>0</v>
      </c>
      <c r="AI244" s="78" t="n">
        <v>0</v>
      </c>
      <c r="AJ244" s="78" t="n">
        <v>0</v>
      </c>
      <c r="AK244" s="78" t="n">
        <v>0</v>
      </c>
      <c r="AL244" s="78" t="n">
        <v>0</v>
      </c>
    </row>
    <row r="245">
      <c r="A245" s="78" t="inlineStr">
        <is>
          <t>[나운동]</t>
        </is>
      </c>
      <c r="B245" s="78" t="n">
        <v>24067</v>
      </c>
      <c r="C245" s="78" t="n">
        <v>2</v>
      </c>
      <c r="D245" s="78" t="inlineStr">
        <is>
          <t>명성(785-4)</t>
        </is>
      </c>
      <c r="E245" s="78" t="inlineStr">
        <is>
          <t>1989.09.</t>
        </is>
      </c>
      <c r="F245" s="78" t="n">
        <v>65</v>
      </c>
      <c r="G245" s="78" t="n">
        <v>26.44</v>
      </c>
      <c r="H245" s="78" t="n">
        <v>87.42</v>
      </c>
      <c r="I245" s="78" t="n">
        <v>23.06</v>
      </c>
      <c r="J245" s="78" t="n">
        <v>76.25</v>
      </c>
      <c r="K245" s="78" t="n">
        <v>15</v>
      </c>
      <c r="T245" s="78" t="n">
        <v>3</v>
      </c>
      <c r="U245" s="78" t="n">
        <v>1</v>
      </c>
      <c r="V245" s="78" t="inlineStr">
        <is>
          <t>계단식</t>
        </is>
      </c>
      <c r="W245" s="78" t="n">
        <v>87</v>
      </c>
      <c r="X245" s="78" t="n">
        <v>5</v>
      </c>
      <c r="Y245" s="78" t="n">
        <v>5</v>
      </c>
      <c r="Z245" s="78" t="inlineStr">
        <is>
          <t>https://new.land.naver.com/complexes/24067?tab=detail&amp;rf=Y</t>
        </is>
      </c>
      <c r="AA245" s="78" t="inlineStr">
        <is>
          <t>전라북도 군산시 나운동 785-4</t>
        </is>
      </c>
      <c r="AB245" s="78" t="inlineStr">
        <is>
          <t>전라북도</t>
        </is>
      </c>
      <c r="AC245" s="78" t="inlineStr">
        <is>
          <t>군산시</t>
        </is>
      </c>
      <c r="AD245" s="78" t="inlineStr">
        <is>
          <t>나운동</t>
        </is>
      </c>
      <c r="AG245" s="78" t="inlineStr">
        <is>
          <t>전라북도 군산시 신설2길 30</t>
        </is>
      </c>
      <c r="AH245" s="78" t="n">
        <v>0</v>
      </c>
      <c r="AI245" s="78" t="n">
        <v>0</v>
      </c>
      <c r="AJ245" s="78" t="n">
        <v>0</v>
      </c>
      <c r="AK245" s="78" t="n">
        <v>0</v>
      </c>
      <c r="AL245" s="78" t="n">
        <v>0</v>
      </c>
    </row>
    <row r="246">
      <c r="A246" s="78" t="inlineStr">
        <is>
          <t>[나운동]</t>
        </is>
      </c>
      <c r="B246" s="78" t="n">
        <v>24067</v>
      </c>
      <c r="C246" s="78" t="n">
        <v>3</v>
      </c>
      <c r="D246" s="78" t="inlineStr">
        <is>
          <t>명성(785-4)</t>
        </is>
      </c>
      <c r="E246" s="78" t="inlineStr">
        <is>
          <t>1989.09.</t>
        </is>
      </c>
      <c r="F246" s="78" t="n">
        <v>65</v>
      </c>
      <c r="G246" s="78" t="n">
        <v>27.04</v>
      </c>
      <c r="H246" s="78" t="n">
        <v>89.42</v>
      </c>
      <c r="I246" s="78" t="n">
        <v>23.55</v>
      </c>
      <c r="J246" s="78" t="n">
        <v>77.86</v>
      </c>
      <c r="K246" s="78" t="n">
        <v>25</v>
      </c>
      <c r="T246" s="78" t="n">
        <v>3</v>
      </c>
      <c r="U246" s="78" t="n">
        <v>1</v>
      </c>
      <c r="V246" s="78" t="inlineStr">
        <is>
          <t>계단식</t>
        </is>
      </c>
      <c r="W246" s="78" t="n">
        <v>89</v>
      </c>
      <c r="X246" s="78" t="n">
        <v>5</v>
      </c>
      <c r="Y246" s="78" t="n">
        <v>5</v>
      </c>
      <c r="Z246" s="78" t="inlineStr">
        <is>
          <t>https://new.land.naver.com/complexes/24067?tab=detail&amp;rf=Y</t>
        </is>
      </c>
      <c r="AA246" s="78" t="inlineStr">
        <is>
          <t>전라북도 군산시 나운동 785-4</t>
        </is>
      </c>
      <c r="AB246" s="78" t="inlineStr">
        <is>
          <t>전라북도</t>
        </is>
      </c>
      <c r="AC246" s="78" t="inlineStr">
        <is>
          <t>군산시</t>
        </is>
      </c>
      <c r="AD246" s="78" t="inlineStr">
        <is>
          <t>나운동</t>
        </is>
      </c>
      <c r="AG246" s="78" t="inlineStr">
        <is>
          <t>전라북도 군산시 신설2길 30</t>
        </is>
      </c>
      <c r="AH246" s="78" t="n">
        <v>0</v>
      </c>
      <c r="AI246" s="78" t="n">
        <v>0</v>
      </c>
      <c r="AJ246" s="78" t="n">
        <v>0</v>
      </c>
      <c r="AK246" s="78" t="n">
        <v>0</v>
      </c>
      <c r="AL246" s="78" t="n">
        <v>0</v>
      </c>
    </row>
    <row r="247">
      <c r="A247" s="78" t="inlineStr">
        <is>
          <t>[대명동]</t>
        </is>
      </c>
      <c r="B247" s="78" t="n">
        <v>115362</v>
      </c>
      <c r="C247" s="78" t="n">
        <v>1</v>
      </c>
      <c r="D247" s="78" t="inlineStr">
        <is>
          <t>현대메트로타워2차</t>
        </is>
      </c>
      <c r="E247" s="78" t="inlineStr">
        <is>
          <t>2016.04.</t>
        </is>
      </c>
      <c r="F247" s="78" t="n">
        <v>942</v>
      </c>
      <c r="G247" s="78" t="n">
        <v>34.89</v>
      </c>
      <c r="H247" s="78" t="n">
        <v>115.34</v>
      </c>
      <c r="I247" s="78" t="n">
        <v>25.69</v>
      </c>
      <c r="J247" s="78" t="n">
        <v>84.93000000000001</v>
      </c>
      <c r="K247" s="78" t="n">
        <v>318</v>
      </c>
      <c r="T247" s="78" t="n">
        <v>3</v>
      </c>
      <c r="U247" s="78" t="n">
        <v>2</v>
      </c>
      <c r="V247" s="78" t="inlineStr">
        <is>
          <t>계단식</t>
        </is>
      </c>
      <c r="W247" s="78" t="inlineStr">
        <is>
          <t>115C</t>
        </is>
      </c>
      <c r="X247" s="78" t="n">
        <v>40</v>
      </c>
      <c r="Y247" s="78" t="n">
        <v>30</v>
      </c>
      <c r="Z247" s="78" t="inlineStr">
        <is>
          <t>https://new.land.naver.com/complexes/115362?tab=detail&amp;rf=Y</t>
        </is>
      </c>
      <c r="AA247" s="78" t="inlineStr">
        <is>
          <t>전라북도 군산시 대명동 403</t>
        </is>
      </c>
      <c r="AB247" s="78" t="inlineStr">
        <is>
          <t>전라북도</t>
        </is>
      </c>
      <c r="AC247" s="78" t="inlineStr">
        <is>
          <t>군산시</t>
        </is>
      </c>
      <c r="AD247" s="78" t="inlineStr">
        <is>
          <t>대명동</t>
        </is>
      </c>
      <c r="AG247" s="78" t="inlineStr">
        <is>
          <t>전라북도 군산시 구암3.1로 30</t>
        </is>
      </c>
      <c r="AH247" s="78" t="n">
        <v>0</v>
      </c>
      <c r="AI247" s="78" t="n">
        <v>422</v>
      </c>
      <c r="AJ247" s="78" t="n">
        <v>71</v>
      </c>
      <c r="AK247" s="78" t="n">
        <v>1206</v>
      </c>
      <c r="AL247" s="78" t="n">
        <v>1.28</v>
      </c>
    </row>
    <row r="248">
      <c r="A248" s="78" t="inlineStr">
        <is>
          <t>[대명동]</t>
        </is>
      </c>
      <c r="B248" s="78" t="n">
        <v>115362</v>
      </c>
      <c r="C248" s="78" t="n">
        <v>2</v>
      </c>
      <c r="D248" s="78" t="inlineStr">
        <is>
          <t>현대메트로타워2차</t>
        </is>
      </c>
      <c r="E248" s="78" t="inlineStr">
        <is>
          <t>2016.04.</t>
        </is>
      </c>
      <c r="F248" s="78" t="n">
        <v>942</v>
      </c>
      <c r="G248" s="78" t="n">
        <v>34.94</v>
      </c>
      <c r="H248" s="78" t="n">
        <v>115.52</v>
      </c>
      <c r="I248" s="78" t="n">
        <v>25.7</v>
      </c>
      <c r="J248" s="78" t="n">
        <v>84.95999999999999</v>
      </c>
      <c r="K248" s="78" t="n">
        <v>316</v>
      </c>
      <c r="T248" s="78" t="n">
        <v>3</v>
      </c>
      <c r="U248" s="78" t="n">
        <v>2</v>
      </c>
      <c r="V248" s="78" t="inlineStr">
        <is>
          <t>계단식</t>
        </is>
      </c>
      <c r="W248" s="78" t="inlineStr">
        <is>
          <t>115B</t>
        </is>
      </c>
      <c r="X248" s="78" t="n">
        <v>40</v>
      </c>
      <c r="Y248" s="78" t="n">
        <v>30</v>
      </c>
      <c r="Z248" s="78" t="inlineStr">
        <is>
          <t>https://new.land.naver.com/complexes/115362?tab=detail&amp;rf=Y</t>
        </is>
      </c>
      <c r="AA248" s="78" t="inlineStr">
        <is>
          <t>전라북도 군산시 대명동 403</t>
        </is>
      </c>
      <c r="AB248" s="78" t="inlineStr">
        <is>
          <t>전라북도</t>
        </is>
      </c>
      <c r="AC248" s="78" t="inlineStr">
        <is>
          <t>군산시</t>
        </is>
      </c>
      <c r="AD248" s="78" t="inlineStr">
        <is>
          <t>대명동</t>
        </is>
      </c>
      <c r="AG248" s="78" t="inlineStr">
        <is>
          <t>전라북도 군산시 구암3.1로 30</t>
        </is>
      </c>
      <c r="AH248" s="78" t="n">
        <v>0</v>
      </c>
      <c r="AI248" s="78" t="n">
        <v>422</v>
      </c>
      <c r="AJ248" s="78" t="n">
        <v>71</v>
      </c>
      <c r="AK248" s="78" t="n">
        <v>1206</v>
      </c>
      <c r="AL248" s="78" t="n">
        <v>1.28</v>
      </c>
    </row>
    <row r="249">
      <c r="A249" s="78" t="inlineStr">
        <is>
          <t>[대명동]</t>
        </is>
      </c>
      <c r="B249" s="78" t="n">
        <v>115362</v>
      </c>
      <c r="C249" s="78" t="n">
        <v>3</v>
      </c>
      <c r="D249" s="78" t="inlineStr">
        <is>
          <t>현대메트로타워2차</t>
        </is>
      </c>
      <c r="E249" s="78" t="inlineStr">
        <is>
          <t>2016.04.</t>
        </is>
      </c>
      <c r="F249" s="78" t="n">
        <v>942</v>
      </c>
      <c r="G249" s="78" t="n">
        <v>34.87</v>
      </c>
      <c r="H249" s="78" t="n">
        <v>115.3</v>
      </c>
      <c r="I249" s="78" t="n">
        <v>25.7</v>
      </c>
      <c r="J249" s="78" t="n">
        <v>84.98</v>
      </c>
      <c r="K249" s="78" t="n">
        <v>308</v>
      </c>
      <c r="T249" s="78" t="n">
        <v>3</v>
      </c>
      <c r="U249" s="78" t="n">
        <v>2</v>
      </c>
      <c r="V249" s="78" t="inlineStr">
        <is>
          <t>계단식</t>
        </is>
      </c>
      <c r="W249" s="78" t="inlineStr">
        <is>
          <t>115A</t>
        </is>
      </c>
      <c r="X249" s="78" t="n">
        <v>40</v>
      </c>
      <c r="Y249" s="78" t="n">
        <v>30</v>
      </c>
      <c r="Z249" s="78" t="inlineStr">
        <is>
          <t>https://new.land.naver.com/complexes/115362?tab=detail&amp;rf=Y</t>
        </is>
      </c>
      <c r="AA249" s="78" t="inlineStr">
        <is>
          <t>전라북도 군산시 대명동 403</t>
        </is>
      </c>
      <c r="AB249" s="78" t="inlineStr">
        <is>
          <t>전라북도</t>
        </is>
      </c>
      <c r="AC249" s="78" t="inlineStr">
        <is>
          <t>군산시</t>
        </is>
      </c>
      <c r="AD249" s="78" t="inlineStr">
        <is>
          <t>대명동</t>
        </is>
      </c>
      <c r="AG249" s="78" t="inlineStr">
        <is>
          <t>전라북도 군산시 구암3.1로 30</t>
        </is>
      </c>
      <c r="AH249" s="78" t="n">
        <v>0</v>
      </c>
      <c r="AI249" s="78" t="n">
        <v>422</v>
      </c>
      <c r="AJ249" s="78" t="n">
        <v>71</v>
      </c>
      <c r="AK249" s="78" t="n">
        <v>1206</v>
      </c>
      <c r="AL249" s="78" t="n">
        <v>1.28</v>
      </c>
    </row>
    <row r="250">
      <c r="A250" s="78" t="inlineStr">
        <is>
          <t>[대명동]</t>
        </is>
      </c>
      <c r="B250" s="78" t="n">
        <v>103553</v>
      </c>
      <c r="C250" s="78" t="n">
        <v>1</v>
      </c>
      <c r="D250" s="78" t="inlineStr">
        <is>
          <t>현대메트로타워</t>
        </is>
      </c>
      <c r="E250" s="78" t="inlineStr">
        <is>
          <t>2011.10.</t>
        </is>
      </c>
      <c r="F250" s="78" t="n">
        <v>614</v>
      </c>
      <c r="G250" s="78" t="n">
        <v>32.89</v>
      </c>
      <c r="H250" s="78" t="n">
        <v>108.74</v>
      </c>
      <c r="I250" s="78" t="n">
        <v>23.06</v>
      </c>
      <c r="J250" s="78" t="n">
        <v>76.26000000000001</v>
      </c>
      <c r="K250" s="78" t="n">
        <v>248</v>
      </c>
      <c r="T250" s="78" t="n">
        <v>3</v>
      </c>
      <c r="U250" s="78" t="n">
        <v>2</v>
      </c>
      <c r="V250" s="78" t="inlineStr">
        <is>
          <t>계단식</t>
        </is>
      </c>
      <c r="W250" s="78" t="n">
        <v>108</v>
      </c>
      <c r="X250" s="78" t="n">
        <v>33</v>
      </c>
      <c r="Y250" s="78" t="n">
        <v>31</v>
      </c>
      <c r="Z250" s="78" t="inlineStr">
        <is>
          <t>https://new.land.naver.com/complexes/103553?tab=detail&amp;rf=Y</t>
        </is>
      </c>
      <c r="AA250" s="78" t="inlineStr">
        <is>
          <t>전라북도 군산시 대명동 385-60</t>
        </is>
      </c>
      <c r="AB250" s="78" t="inlineStr">
        <is>
          <t>전라북도</t>
        </is>
      </c>
      <c r="AC250" s="78" t="inlineStr">
        <is>
          <t>군산시</t>
        </is>
      </c>
      <c r="AD250" s="78" t="inlineStr">
        <is>
          <t>대명동</t>
        </is>
      </c>
      <c r="AG250" s="78" t="inlineStr">
        <is>
          <t>전라북도 군산시 대명길 3</t>
        </is>
      </c>
      <c r="AH250" s="78" t="n">
        <v>0</v>
      </c>
      <c r="AI250" s="78" t="n">
        <v>419</v>
      </c>
      <c r="AJ250" s="78" t="n">
        <v>70</v>
      </c>
      <c r="AK250" s="78" t="n">
        <v>770</v>
      </c>
      <c r="AL250" s="78" t="n">
        <v>1.25</v>
      </c>
    </row>
    <row r="251">
      <c r="A251" s="78" t="inlineStr">
        <is>
          <t>[대명동]</t>
        </is>
      </c>
      <c r="B251" s="78" t="n">
        <v>103553</v>
      </c>
      <c r="C251" s="78" t="n">
        <v>2</v>
      </c>
      <c r="D251" s="78" t="inlineStr">
        <is>
          <t>현대메트로타워</t>
        </is>
      </c>
      <c r="E251" s="78" t="inlineStr">
        <is>
          <t>2011.10.</t>
        </is>
      </c>
      <c r="F251" s="78" t="n">
        <v>614</v>
      </c>
      <c r="G251" s="78" t="n">
        <v>36.44</v>
      </c>
      <c r="H251" s="78" t="n">
        <v>120.47</v>
      </c>
      <c r="I251" s="78" t="n">
        <v>25.69</v>
      </c>
      <c r="J251" s="78" t="n">
        <v>84.93000000000001</v>
      </c>
      <c r="K251" s="78" t="n">
        <v>244</v>
      </c>
      <c r="T251" s="78" t="n">
        <v>3</v>
      </c>
      <c r="U251" s="78" t="n">
        <v>2</v>
      </c>
      <c r="V251" s="78" t="inlineStr">
        <is>
          <t>계단식</t>
        </is>
      </c>
      <c r="W251" s="78" t="n">
        <v>120</v>
      </c>
      <c r="X251" s="78" t="n">
        <v>33</v>
      </c>
      <c r="Y251" s="78" t="n">
        <v>31</v>
      </c>
      <c r="Z251" s="78" t="inlineStr">
        <is>
          <t>https://new.land.naver.com/complexes/103553?tab=detail&amp;rf=Y</t>
        </is>
      </c>
      <c r="AA251" s="78" t="inlineStr">
        <is>
          <t>전라북도 군산시 대명동 385-60</t>
        </is>
      </c>
      <c r="AB251" s="78" t="inlineStr">
        <is>
          <t>전라북도</t>
        </is>
      </c>
      <c r="AC251" s="78" t="inlineStr">
        <is>
          <t>군산시</t>
        </is>
      </c>
      <c r="AD251" s="78" t="inlineStr">
        <is>
          <t>대명동</t>
        </is>
      </c>
      <c r="AG251" s="78" t="inlineStr">
        <is>
          <t>전라북도 군산시 대명길 3</t>
        </is>
      </c>
      <c r="AH251" s="78" t="n">
        <v>0</v>
      </c>
      <c r="AI251" s="78" t="n">
        <v>419</v>
      </c>
      <c r="AJ251" s="78" t="n">
        <v>70</v>
      </c>
      <c r="AK251" s="78" t="n">
        <v>770</v>
      </c>
      <c r="AL251" s="78" t="n">
        <v>1.25</v>
      </c>
    </row>
    <row r="252">
      <c r="A252" s="78" t="inlineStr">
        <is>
          <t>[대명동]</t>
        </is>
      </c>
      <c r="B252" s="78" t="n">
        <v>103553</v>
      </c>
      <c r="C252" s="78" t="n">
        <v>3</v>
      </c>
      <c r="D252" s="78" t="inlineStr">
        <is>
          <t>현대메트로타워</t>
        </is>
      </c>
      <c r="E252" s="78" t="inlineStr">
        <is>
          <t>2011.10.</t>
        </is>
      </c>
      <c r="F252" s="78" t="n">
        <v>614</v>
      </c>
      <c r="G252" s="78" t="n">
        <v>36.51</v>
      </c>
      <c r="H252" s="78" t="n">
        <v>120.7</v>
      </c>
      <c r="I252" s="78" t="n">
        <v>25.69</v>
      </c>
      <c r="J252" s="78" t="n">
        <v>84.93000000000001</v>
      </c>
      <c r="K252" s="78" t="n">
        <v>122</v>
      </c>
      <c r="T252" s="78" t="n">
        <v>3</v>
      </c>
      <c r="U252" s="78" t="n">
        <v>2</v>
      </c>
      <c r="V252" s="78" t="inlineStr">
        <is>
          <t>계단식</t>
        </is>
      </c>
      <c r="W252" s="78" t="n">
        <v>120</v>
      </c>
      <c r="X252" s="78" t="n">
        <v>33</v>
      </c>
      <c r="Y252" s="78" t="n">
        <v>31</v>
      </c>
      <c r="Z252" s="78" t="inlineStr">
        <is>
          <t>https://new.land.naver.com/complexes/103553?tab=detail&amp;rf=Y</t>
        </is>
      </c>
      <c r="AA252" s="78" t="inlineStr">
        <is>
          <t>전라북도 군산시 대명동 385-60</t>
        </is>
      </c>
      <c r="AB252" s="78" t="inlineStr">
        <is>
          <t>전라북도</t>
        </is>
      </c>
      <c r="AC252" s="78" t="inlineStr">
        <is>
          <t>군산시</t>
        </is>
      </c>
      <c r="AD252" s="78" t="inlineStr">
        <is>
          <t>대명동</t>
        </is>
      </c>
      <c r="AG252" s="78" t="inlineStr">
        <is>
          <t>전라북도 군산시 대명길 3</t>
        </is>
      </c>
      <c r="AH252" s="78" t="n">
        <v>0</v>
      </c>
      <c r="AI252" s="78" t="n">
        <v>419</v>
      </c>
      <c r="AJ252" s="78" t="n">
        <v>70</v>
      </c>
      <c r="AK252" s="78" t="n">
        <v>770</v>
      </c>
      <c r="AL252" s="78" t="n">
        <v>1.25</v>
      </c>
    </row>
    <row r="253">
      <c r="A253" s="78" t="inlineStr">
        <is>
          <t>[대명동]</t>
        </is>
      </c>
      <c r="B253" s="78" t="n">
        <v>119697</v>
      </c>
      <c r="C253" s="78" t="n">
        <v>1</v>
      </c>
      <c r="D253" s="78" t="inlineStr">
        <is>
          <t>아이플러스시티(도시형)</t>
        </is>
      </c>
      <c r="E253" s="78" t="inlineStr">
        <is>
          <t>2012.09.</t>
        </is>
      </c>
      <c r="F253" s="78" t="n">
        <v>101</v>
      </c>
      <c r="G253" s="78" t="n">
        <v>9.92</v>
      </c>
      <c r="H253" s="78" t="n">
        <v>32.82</v>
      </c>
      <c r="I253" s="78" t="n">
        <v>8.07</v>
      </c>
      <c r="J253" s="78" t="n">
        <v>26.68</v>
      </c>
      <c r="K253" s="78" t="n">
        <v>1</v>
      </c>
      <c r="T253" s="78" t="n">
        <v>1</v>
      </c>
      <c r="U253" s="78" t="n">
        <v>1</v>
      </c>
      <c r="V253" s="78" t="inlineStr">
        <is>
          <t>계단식</t>
        </is>
      </c>
      <c r="W253" s="78" t="n">
        <v>32</v>
      </c>
      <c r="X253" s="78" t="n">
        <v>10</v>
      </c>
      <c r="Y253" s="78" t="n">
        <v>7</v>
      </c>
      <c r="Z253" s="78" t="inlineStr">
        <is>
          <t>https://new.land.naver.com/complexes/119697?tab=detail&amp;rf=Y</t>
        </is>
      </c>
      <c r="AA253" s="78" t="inlineStr">
        <is>
          <t>전라북도 군산시 대명동 384-87</t>
        </is>
      </c>
      <c r="AB253" s="78" t="inlineStr">
        <is>
          <t>전라북도</t>
        </is>
      </c>
      <c r="AC253" s="78" t="inlineStr">
        <is>
          <t>군산시</t>
        </is>
      </c>
      <c r="AD253" s="78" t="inlineStr">
        <is>
          <t>대명동</t>
        </is>
      </c>
      <c r="AG253" s="78" t="inlineStr">
        <is>
          <t>전라북도 군산시 동팔마길 32</t>
        </is>
      </c>
      <c r="AH253" s="78" t="n">
        <v>0</v>
      </c>
      <c r="AI253" s="78" t="n">
        <v>0</v>
      </c>
      <c r="AJ253" s="78" t="n">
        <v>0</v>
      </c>
      <c r="AK253" s="78" t="n">
        <v>52</v>
      </c>
      <c r="AL253" s="78" t="n">
        <v>0.51</v>
      </c>
    </row>
    <row r="254">
      <c r="A254" s="78" t="inlineStr">
        <is>
          <t>[대명동]</t>
        </is>
      </c>
      <c r="B254" s="78" t="n">
        <v>119697</v>
      </c>
      <c r="C254" s="78" t="n">
        <v>2</v>
      </c>
      <c r="D254" s="78" t="inlineStr">
        <is>
          <t>아이플러스시티(도시형)</t>
        </is>
      </c>
      <c r="E254" s="78" t="inlineStr">
        <is>
          <t>2012.09.</t>
        </is>
      </c>
      <c r="F254" s="78" t="n">
        <v>101</v>
      </c>
      <c r="G254" s="78" t="n">
        <v>18.32</v>
      </c>
      <c r="H254" s="78" t="n">
        <v>60.58</v>
      </c>
      <c r="I254" s="78" t="n">
        <v>14.89</v>
      </c>
      <c r="J254" s="78" t="n">
        <v>49.24</v>
      </c>
      <c r="K254" s="78" t="n">
        <v>1</v>
      </c>
      <c r="T254" s="78" t="n">
        <v>1</v>
      </c>
      <c r="U254" s="78" t="n">
        <v>1</v>
      </c>
      <c r="V254" s="78" t="inlineStr">
        <is>
          <t>계단식</t>
        </is>
      </c>
      <c r="W254" s="78" t="n">
        <v>60</v>
      </c>
      <c r="X254" s="78" t="n">
        <v>10</v>
      </c>
      <c r="Y254" s="78" t="n">
        <v>7</v>
      </c>
      <c r="Z254" s="78" t="inlineStr">
        <is>
          <t>https://new.land.naver.com/complexes/119697?tab=detail&amp;rf=Y</t>
        </is>
      </c>
      <c r="AA254" s="78" t="inlineStr">
        <is>
          <t>전라북도 군산시 대명동 384-87</t>
        </is>
      </c>
      <c r="AB254" s="78" t="inlineStr">
        <is>
          <t>전라북도</t>
        </is>
      </c>
      <c r="AC254" s="78" t="inlineStr">
        <is>
          <t>군산시</t>
        </is>
      </c>
      <c r="AD254" s="78" t="inlineStr">
        <is>
          <t>대명동</t>
        </is>
      </c>
      <c r="AG254" s="78" t="inlineStr">
        <is>
          <t>전라북도 군산시 동팔마길 32</t>
        </is>
      </c>
      <c r="AH254" s="78" t="n">
        <v>0</v>
      </c>
      <c r="AI254" s="78" t="n">
        <v>0</v>
      </c>
      <c r="AJ254" s="78" t="n">
        <v>0</v>
      </c>
      <c r="AK254" s="78" t="n">
        <v>52</v>
      </c>
      <c r="AL254" s="78" t="n">
        <v>0.51</v>
      </c>
    </row>
    <row r="255">
      <c r="A255" s="78" t="inlineStr">
        <is>
          <t>[대명동]</t>
        </is>
      </c>
      <c r="B255" s="78" t="n">
        <v>119697</v>
      </c>
      <c r="C255" s="78" t="n">
        <v>3</v>
      </c>
      <c r="D255" s="78" t="inlineStr">
        <is>
          <t>아이플러스시티(도시형)</t>
        </is>
      </c>
      <c r="E255" s="78" t="inlineStr">
        <is>
          <t>2012.09.</t>
        </is>
      </c>
      <c r="F255" s="78" t="n">
        <v>101</v>
      </c>
      <c r="G255" s="78" t="n">
        <v>18.74</v>
      </c>
      <c r="H255" s="78" t="n">
        <v>61.97</v>
      </c>
      <c r="I255" s="78" t="n">
        <v>15.06</v>
      </c>
      <c r="J255" s="78" t="n">
        <v>49.8</v>
      </c>
      <c r="K255" s="78" t="n">
        <v>9</v>
      </c>
      <c r="T255" s="78" t="n">
        <v>1</v>
      </c>
      <c r="U255" s="78" t="n">
        <v>1</v>
      </c>
      <c r="V255" s="78" t="inlineStr">
        <is>
          <t>계단식</t>
        </is>
      </c>
      <c r="W255" s="78" t="inlineStr">
        <is>
          <t>61C</t>
        </is>
      </c>
      <c r="X255" s="78" t="n">
        <v>10</v>
      </c>
      <c r="Y255" s="78" t="n">
        <v>7</v>
      </c>
      <c r="Z255" s="78" t="inlineStr">
        <is>
          <t>https://new.land.naver.com/complexes/119697?tab=detail&amp;rf=Y</t>
        </is>
      </c>
      <c r="AA255" s="78" t="inlineStr">
        <is>
          <t>전라북도 군산시 대명동 384-87</t>
        </is>
      </c>
      <c r="AB255" s="78" t="inlineStr">
        <is>
          <t>전라북도</t>
        </is>
      </c>
      <c r="AC255" s="78" t="inlineStr">
        <is>
          <t>군산시</t>
        </is>
      </c>
      <c r="AD255" s="78" t="inlineStr">
        <is>
          <t>대명동</t>
        </is>
      </c>
      <c r="AG255" s="78" t="inlineStr">
        <is>
          <t>전라북도 군산시 동팔마길 32</t>
        </is>
      </c>
      <c r="AH255" s="78" t="n">
        <v>0</v>
      </c>
      <c r="AI255" s="78" t="n">
        <v>0</v>
      </c>
      <c r="AJ255" s="78" t="n">
        <v>0</v>
      </c>
      <c r="AK255" s="78" t="n">
        <v>52</v>
      </c>
      <c r="AL255" s="78" t="n">
        <v>0.51</v>
      </c>
    </row>
    <row r="256">
      <c r="A256" s="78" t="inlineStr">
        <is>
          <t>[대명동]</t>
        </is>
      </c>
      <c r="B256" s="78" t="n">
        <v>119697</v>
      </c>
      <c r="C256" s="78" t="n">
        <v>4</v>
      </c>
      <c r="D256" s="78" t="inlineStr">
        <is>
          <t>아이플러스시티(도시형)</t>
        </is>
      </c>
      <c r="E256" s="78" t="inlineStr">
        <is>
          <t>2012.09.</t>
        </is>
      </c>
      <c r="F256" s="78" t="n">
        <v>101</v>
      </c>
      <c r="G256" s="78" t="n">
        <v>18.57</v>
      </c>
      <c r="H256" s="78" t="n">
        <v>61.39</v>
      </c>
      <c r="I256" s="78" t="n">
        <v>15.09</v>
      </c>
      <c r="J256" s="78" t="n">
        <v>49.9</v>
      </c>
      <c r="K256" s="78" t="n">
        <v>7</v>
      </c>
      <c r="T256" s="78" t="n">
        <v>3</v>
      </c>
      <c r="U256" s="78" t="n">
        <v>1</v>
      </c>
      <c r="V256" s="78" t="inlineStr">
        <is>
          <t>계단식</t>
        </is>
      </c>
      <c r="W256" s="78" t="inlineStr">
        <is>
          <t>61I</t>
        </is>
      </c>
      <c r="X256" s="78" t="n">
        <v>10</v>
      </c>
      <c r="Y256" s="78" t="n">
        <v>7</v>
      </c>
      <c r="Z256" s="78" t="inlineStr">
        <is>
          <t>https://new.land.naver.com/complexes/119697?tab=detail&amp;rf=Y</t>
        </is>
      </c>
      <c r="AA256" s="78" t="inlineStr">
        <is>
          <t>전라북도 군산시 대명동 384-87</t>
        </is>
      </c>
      <c r="AB256" s="78" t="inlineStr">
        <is>
          <t>전라북도</t>
        </is>
      </c>
      <c r="AC256" s="78" t="inlineStr">
        <is>
          <t>군산시</t>
        </is>
      </c>
      <c r="AD256" s="78" t="inlineStr">
        <is>
          <t>대명동</t>
        </is>
      </c>
      <c r="AG256" s="78" t="inlineStr">
        <is>
          <t>전라북도 군산시 동팔마길 32</t>
        </is>
      </c>
      <c r="AH256" s="78" t="n">
        <v>0</v>
      </c>
      <c r="AI256" s="78" t="n">
        <v>0</v>
      </c>
      <c r="AJ256" s="78" t="n">
        <v>0</v>
      </c>
      <c r="AK256" s="78" t="n">
        <v>52</v>
      </c>
      <c r="AL256" s="78" t="n">
        <v>0.51</v>
      </c>
    </row>
    <row r="257">
      <c r="A257" s="78" t="inlineStr">
        <is>
          <t>[대명동]</t>
        </is>
      </c>
      <c r="B257" s="78" t="n">
        <v>119697</v>
      </c>
      <c r="C257" s="78" t="n">
        <v>5</v>
      </c>
      <c r="D257" s="78" t="inlineStr">
        <is>
          <t>아이플러스시티(도시형)</t>
        </is>
      </c>
      <c r="E257" s="78" t="inlineStr">
        <is>
          <t>2012.09.</t>
        </is>
      </c>
      <c r="F257" s="78" t="n">
        <v>101</v>
      </c>
      <c r="G257" s="78" t="n">
        <v>18.55</v>
      </c>
      <c r="H257" s="78" t="n">
        <v>61.33</v>
      </c>
      <c r="I257" s="78" t="n">
        <v>15.07</v>
      </c>
      <c r="J257" s="78" t="n">
        <v>49.85</v>
      </c>
      <c r="K257" s="78" t="n">
        <v>6</v>
      </c>
      <c r="T257" s="78" t="n">
        <v>3</v>
      </c>
      <c r="U257" s="78" t="n">
        <v>1</v>
      </c>
      <c r="V257" s="78" t="inlineStr">
        <is>
          <t>계단식</t>
        </is>
      </c>
      <c r="W257" s="78" t="inlineStr">
        <is>
          <t>61E</t>
        </is>
      </c>
      <c r="X257" s="78" t="n">
        <v>10</v>
      </c>
      <c r="Y257" s="78" t="n">
        <v>7</v>
      </c>
      <c r="Z257" s="78" t="inlineStr">
        <is>
          <t>https://new.land.naver.com/complexes/119697?tab=detail&amp;rf=Y</t>
        </is>
      </c>
      <c r="AA257" s="78" t="inlineStr">
        <is>
          <t>전라북도 군산시 대명동 384-87</t>
        </is>
      </c>
      <c r="AB257" s="78" t="inlineStr">
        <is>
          <t>전라북도</t>
        </is>
      </c>
      <c r="AC257" s="78" t="inlineStr">
        <is>
          <t>군산시</t>
        </is>
      </c>
      <c r="AD257" s="78" t="inlineStr">
        <is>
          <t>대명동</t>
        </is>
      </c>
      <c r="AG257" s="78" t="inlineStr">
        <is>
          <t>전라북도 군산시 동팔마길 32</t>
        </is>
      </c>
      <c r="AH257" s="78" t="n">
        <v>0</v>
      </c>
      <c r="AI257" s="78" t="n">
        <v>0</v>
      </c>
      <c r="AJ257" s="78" t="n">
        <v>0</v>
      </c>
      <c r="AK257" s="78" t="n">
        <v>52</v>
      </c>
      <c r="AL257" s="78" t="n">
        <v>0.51</v>
      </c>
    </row>
    <row r="258">
      <c r="A258" s="78" t="inlineStr">
        <is>
          <t>[대명동]</t>
        </is>
      </c>
      <c r="B258" s="78" t="n">
        <v>119697</v>
      </c>
      <c r="C258" s="78" t="n">
        <v>6</v>
      </c>
      <c r="D258" s="78" t="inlineStr">
        <is>
          <t>아이플러스시티(도시형)</t>
        </is>
      </c>
      <c r="E258" s="78" t="inlineStr">
        <is>
          <t>2012.09.</t>
        </is>
      </c>
      <c r="F258" s="78" t="n">
        <v>101</v>
      </c>
      <c r="G258" s="78" t="n">
        <v>18.59</v>
      </c>
      <c r="H258" s="78" t="n">
        <v>61.48</v>
      </c>
      <c r="I258" s="78" t="n">
        <v>15.11</v>
      </c>
      <c r="J258" s="78" t="n">
        <v>49.97</v>
      </c>
      <c r="K258" s="78" t="n">
        <v>6</v>
      </c>
      <c r="T258" s="78" t="n">
        <v>3</v>
      </c>
      <c r="U258" s="78" t="n">
        <v>1</v>
      </c>
      <c r="V258" s="78" t="inlineStr">
        <is>
          <t>계단식</t>
        </is>
      </c>
      <c r="W258" s="78" t="inlineStr">
        <is>
          <t>61M</t>
        </is>
      </c>
      <c r="X258" s="78" t="n">
        <v>10</v>
      </c>
      <c r="Y258" s="78" t="n">
        <v>7</v>
      </c>
      <c r="Z258" s="78" t="inlineStr">
        <is>
          <t>https://new.land.naver.com/complexes/119697?tab=detail&amp;rf=Y</t>
        </is>
      </c>
      <c r="AA258" s="78" t="inlineStr">
        <is>
          <t>전라북도 군산시 대명동 384-87</t>
        </is>
      </c>
      <c r="AB258" s="78" t="inlineStr">
        <is>
          <t>전라북도</t>
        </is>
      </c>
      <c r="AC258" s="78" t="inlineStr">
        <is>
          <t>군산시</t>
        </is>
      </c>
      <c r="AD258" s="78" t="inlineStr">
        <is>
          <t>대명동</t>
        </is>
      </c>
      <c r="AG258" s="78" t="inlineStr">
        <is>
          <t>전라북도 군산시 동팔마길 32</t>
        </is>
      </c>
      <c r="AH258" s="78" t="n">
        <v>0</v>
      </c>
      <c r="AI258" s="78" t="n">
        <v>0</v>
      </c>
      <c r="AJ258" s="78" t="n">
        <v>0</v>
      </c>
      <c r="AK258" s="78" t="n">
        <v>52</v>
      </c>
      <c r="AL258" s="78" t="n">
        <v>0.51</v>
      </c>
    </row>
    <row r="259">
      <c r="A259" s="78" t="inlineStr">
        <is>
          <t>[대명동]</t>
        </is>
      </c>
      <c r="B259" s="78" t="n">
        <v>119697</v>
      </c>
      <c r="C259" s="78" t="n">
        <v>7</v>
      </c>
      <c r="D259" s="78" t="inlineStr">
        <is>
          <t>아이플러스시티(도시형)</t>
        </is>
      </c>
      <c r="E259" s="78" t="inlineStr">
        <is>
          <t>2012.09.</t>
        </is>
      </c>
      <c r="F259" s="78" t="n">
        <v>101</v>
      </c>
      <c r="G259" s="78" t="n">
        <v>18.57</v>
      </c>
      <c r="H259" s="78" t="n">
        <v>61.42</v>
      </c>
      <c r="I259" s="78" t="n">
        <v>15.1</v>
      </c>
      <c r="J259" s="78" t="n">
        <v>49.92</v>
      </c>
      <c r="K259" s="78" t="n">
        <v>2</v>
      </c>
      <c r="T259" s="78" t="n">
        <v>3</v>
      </c>
      <c r="U259" s="78" t="n">
        <v>1</v>
      </c>
      <c r="V259" s="78" t="inlineStr">
        <is>
          <t>계단식</t>
        </is>
      </c>
      <c r="W259" s="78" t="inlineStr">
        <is>
          <t>61J</t>
        </is>
      </c>
      <c r="X259" s="78" t="n">
        <v>10</v>
      </c>
      <c r="Y259" s="78" t="n">
        <v>7</v>
      </c>
      <c r="Z259" s="78" t="inlineStr">
        <is>
          <t>https://new.land.naver.com/complexes/119697?tab=detail&amp;rf=Y</t>
        </is>
      </c>
      <c r="AA259" s="78" t="inlineStr">
        <is>
          <t>전라북도 군산시 대명동 384-87</t>
        </is>
      </c>
      <c r="AB259" s="78" t="inlineStr">
        <is>
          <t>전라북도</t>
        </is>
      </c>
      <c r="AC259" s="78" t="inlineStr">
        <is>
          <t>군산시</t>
        </is>
      </c>
      <c r="AD259" s="78" t="inlineStr">
        <is>
          <t>대명동</t>
        </is>
      </c>
      <c r="AG259" s="78" t="inlineStr">
        <is>
          <t>전라북도 군산시 동팔마길 32</t>
        </is>
      </c>
      <c r="AH259" s="78" t="n">
        <v>0</v>
      </c>
      <c r="AI259" s="78" t="n">
        <v>0</v>
      </c>
      <c r="AJ259" s="78" t="n">
        <v>0</v>
      </c>
      <c r="AK259" s="78" t="n">
        <v>52</v>
      </c>
      <c r="AL259" s="78" t="n">
        <v>0.51</v>
      </c>
    </row>
    <row r="260">
      <c r="A260" s="78" t="inlineStr">
        <is>
          <t>[대명동]</t>
        </is>
      </c>
      <c r="B260" s="78" t="n">
        <v>119697</v>
      </c>
      <c r="C260" s="78" t="n">
        <v>8</v>
      </c>
      <c r="D260" s="78" t="inlineStr">
        <is>
          <t>아이플러스시티(도시형)</t>
        </is>
      </c>
      <c r="E260" s="78" t="inlineStr">
        <is>
          <t>2012.09.</t>
        </is>
      </c>
      <c r="F260" s="78" t="n">
        <v>101</v>
      </c>
      <c r="G260" s="78" t="n">
        <v>18.58</v>
      </c>
      <c r="H260" s="78" t="n">
        <v>61.43</v>
      </c>
      <c r="I260" s="78" t="n">
        <v>15.1</v>
      </c>
      <c r="J260" s="78" t="n">
        <v>49.93</v>
      </c>
      <c r="K260" s="78" t="n">
        <v>1</v>
      </c>
      <c r="T260" s="78" t="n">
        <v>3</v>
      </c>
      <c r="U260" s="78" t="n">
        <v>1</v>
      </c>
      <c r="V260" s="78" t="inlineStr">
        <is>
          <t>계단식</t>
        </is>
      </c>
      <c r="W260" s="78" t="inlineStr">
        <is>
          <t>61K</t>
        </is>
      </c>
      <c r="X260" s="78" t="n">
        <v>10</v>
      </c>
      <c r="Y260" s="78" t="n">
        <v>7</v>
      </c>
      <c r="Z260" s="78" t="inlineStr">
        <is>
          <t>https://new.land.naver.com/complexes/119697?tab=detail&amp;rf=Y</t>
        </is>
      </c>
      <c r="AA260" s="78" t="inlineStr">
        <is>
          <t>전라북도 군산시 대명동 384-87</t>
        </is>
      </c>
      <c r="AB260" s="78" t="inlineStr">
        <is>
          <t>전라북도</t>
        </is>
      </c>
      <c r="AC260" s="78" t="inlineStr">
        <is>
          <t>군산시</t>
        </is>
      </c>
      <c r="AD260" s="78" t="inlineStr">
        <is>
          <t>대명동</t>
        </is>
      </c>
      <c r="AG260" s="78" t="inlineStr">
        <is>
          <t>전라북도 군산시 동팔마길 32</t>
        </is>
      </c>
      <c r="AH260" s="78" t="n">
        <v>0</v>
      </c>
      <c r="AI260" s="78" t="n">
        <v>0</v>
      </c>
      <c r="AJ260" s="78" t="n">
        <v>0</v>
      </c>
      <c r="AK260" s="78" t="n">
        <v>52</v>
      </c>
      <c r="AL260" s="78" t="n">
        <v>0.51</v>
      </c>
    </row>
    <row r="261">
      <c r="A261" s="78" t="inlineStr">
        <is>
          <t>[대명동]</t>
        </is>
      </c>
      <c r="B261" s="78" t="n">
        <v>119697</v>
      </c>
      <c r="C261" s="78" t="n">
        <v>9</v>
      </c>
      <c r="D261" s="78" t="inlineStr">
        <is>
          <t>아이플러스시티(도시형)</t>
        </is>
      </c>
      <c r="E261" s="78" t="inlineStr">
        <is>
          <t>2012.09.</t>
        </is>
      </c>
      <c r="F261" s="78" t="n">
        <v>101</v>
      </c>
      <c r="G261" s="78" t="n">
        <v>18.77</v>
      </c>
      <c r="H261" s="78" t="n">
        <v>62.08</v>
      </c>
      <c r="I261" s="78" t="n">
        <v>15.08</v>
      </c>
      <c r="J261" s="78" t="n">
        <v>49.88</v>
      </c>
      <c r="K261" s="78" t="n">
        <v>9</v>
      </c>
      <c r="T261" s="78" t="n">
        <v>3</v>
      </c>
      <c r="U261" s="78" t="n">
        <v>1</v>
      </c>
      <c r="V261" s="78" t="inlineStr">
        <is>
          <t>계단식</t>
        </is>
      </c>
      <c r="W261" s="78" t="inlineStr">
        <is>
          <t>62H</t>
        </is>
      </c>
      <c r="X261" s="78" t="n">
        <v>10</v>
      </c>
      <c r="Y261" s="78" t="n">
        <v>7</v>
      </c>
      <c r="Z261" s="78" t="inlineStr">
        <is>
          <t>https://new.land.naver.com/complexes/119697?tab=detail&amp;rf=Y</t>
        </is>
      </c>
      <c r="AA261" s="78" t="inlineStr">
        <is>
          <t>전라북도 군산시 대명동 384-87</t>
        </is>
      </c>
      <c r="AB261" s="78" t="inlineStr">
        <is>
          <t>전라북도</t>
        </is>
      </c>
      <c r="AC261" s="78" t="inlineStr">
        <is>
          <t>군산시</t>
        </is>
      </c>
      <c r="AD261" s="78" t="inlineStr">
        <is>
          <t>대명동</t>
        </is>
      </c>
      <c r="AG261" s="78" t="inlineStr">
        <is>
          <t>전라북도 군산시 동팔마길 32</t>
        </is>
      </c>
      <c r="AH261" s="78" t="n">
        <v>0</v>
      </c>
      <c r="AI261" s="78" t="n">
        <v>0</v>
      </c>
      <c r="AJ261" s="78" t="n">
        <v>0</v>
      </c>
      <c r="AK261" s="78" t="n">
        <v>52</v>
      </c>
      <c r="AL261" s="78" t="n">
        <v>0.51</v>
      </c>
    </row>
    <row r="262">
      <c r="A262" s="78" t="inlineStr">
        <is>
          <t>[대명동]</t>
        </is>
      </c>
      <c r="B262" s="78" t="n">
        <v>119697</v>
      </c>
      <c r="C262" s="78" t="n">
        <v>10</v>
      </c>
      <c r="D262" s="78" t="inlineStr">
        <is>
          <t>아이플러스시티(도시형)</t>
        </is>
      </c>
      <c r="E262" s="78" t="inlineStr">
        <is>
          <t>2012.09.</t>
        </is>
      </c>
      <c r="F262" s="78" t="n">
        <v>101</v>
      </c>
      <c r="G262" s="78" t="n">
        <v>18.8</v>
      </c>
      <c r="H262" s="78" t="n">
        <v>62.16</v>
      </c>
      <c r="I262" s="78" t="n">
        <v>15.1</v>
      </c>
      <c r="J262" s="78" t="n">
        <v>49.95</v>
      </c>
      <c r="K262" s="78" t="n">
        <v>8</v>
      </c>
      <c r="T262" s="78" t="n">
        <v>3</v>
      </c>
      <c r="U262" s="78" t="n">
        <v>1</v>
      </c>
      <c r="V262" s="78" t="inlineStr">
        <is>
          <t>계단식</t>
        </is>
      </c>
      <c r="W262" s="78" t="inlineStr">
        <is>
          <t>62L</t>
        </is>
      </c>
      <c r="X262" s="78" t="n">
        <v>10</v>
      </c>
      <c r="Y262" s="78" t="n">
        <v>7</v>
      </c>
      <c r="Z262" s="78" t="inlineStr">
        <is>
          <t>https://new.land.naver.com/complexes/119697?tab=detail&amp;rf=Y</t>
        </is>
      </c>
      <c r="AA262" s="78" t="inlineStr">
        <is>
          <t>전라북도 군산시 대명동 384-87</t>
        </is>
      </c>
      <c r="AB262" s="78" t="inlineStr">
        <is>
          <t>전라북도</t>
        </is>
      </c>
      <c r="AC262" s="78" t="inlineStr">
        <is>
          <t>군산시</t>
        </is>
      </c>
      <c r="AD262" s="78" t="inlineStr">
        <is>
          <t>대명동</t>
        </is>
      </c>
      <c r="AG262" s="78" t="inlineStr">
        <is>
          <t>전라북도 군산시 동팔마길 32</t>
        </is>
      </c>
      <c r="AH262" s="78" t="n">
        <v>0</v>
      </c>
      <c r="AI262" s="78" t="n">
        <v>0</v>
      </c>
      <c r="AJ262" s="78" t="n">
        <v>0</v>
      </c>
      <c r="AK262" s="78" t="n">
        <v>52</v>
      </c>
      <c r="AL262" s="78" t="n">
        <v>0.51</v>
      </c>
    </row>
    <row r="263">
      <c r="A263" s="78" t="inlineStr">
        <is>
          <t>[대명동]</t>
        </is>
      </c>
      <c r="B263" s="78" t="n">
        <v>119697</v>
      </c>
      <c r="C263" s="78" t="n">
        <v>11</v>
      </c>
      <c r="D263" s="78" t="inlineStr">
        <is>
          <t>아이플러스시티(도시형)</t>
        </is>
      </c>
      <c r="E263" s="78" t="inlineStr">
        <is>
          <t>2012.09.</t>
        </is>
      </c>
      <c r="F263" s="78" t="n">
        <v>101</v>
      </c>
      <c r="G263" s="78" t="n">
        <v>18.98</v>
      </c>
      <c r="H263" s="78" t="n">
        <v>62.75</v>
      </c>
      <c r="I263" s="78" t="n">
        <v>14.06</v>
      </c>
      <c r="J263" s="78" t="n">
        <v>46.5</v>
      </c>
      <c r="K263" s="78" t="n">
        <v>1</v>
      </c>
      <c r="T263" s="78" t="n">
        <v>3</v>
      </c>
      <c r="U263" s="78" t="n">
        <v>1</v>
      </c>
      <c r="V263" s="78" t="inlineStr">
        <is>
          <t>계단식</t>
        </is>
      </c>
      <c r="W263" s="78" t="inlineStr">
        <is>
          <t>62D</t>
        </is>
      </c>
      <c r="X263" s="78" t="n">
        <v>10</v>
      </c>
      <c r="Y263" s="78" t="n">
        <v>7</v>
      </c>
      <c r="Z263" s="78" t="inlineStr">
        <is>
          <t>https://new.land.naver.com/complexes/119697?tab=detail&amp;rf=Y</t>
        </is>
      </c>
      <c r="AA263" s="78" t="inlineStr">
        <is>
          <t>전라북도 군산시 대명동 384-87</t>
        </is>
      </c>
      <c r="AB263" s="78" t="inlineStr">
        <is>
          <t>전라북도</t>
        </is>
      </c>
      <c r="AC263" s="78" t="inlineStr">
        <is>
          <t>군산시</t>
        </is>
      </c>
      <c r="AD263" s="78" t="inlineStr">
        <is>
          <t>대명동</t>
        </is>
      </c>
      <c r="AG263" s="78" t="inlineStr">
        <is>
          <t>전라북도 군산시 동팔마길 32</t>
        </is>
      </c>
      <c r="AH263" s="78" t="n">
        <v>0</v>
      </c>
      <c r="AI263" s="78" t="n">
        <v>0</v>
      </c>
      <c r="AJ263" s="78" t="n">
        <v>0</v>
      </c>
      <c r="AK263" s="78" t="n">
        <v>52</v>
      </c>
      <c r="AL263" s="78" t="n">
        <v>0.51</v>
      </c>
    </row>
    <row r="264">
      <c r="A264" s="78" t="inlineStr">
        <is>
          <t>[대명동]</t>
        </is>
      </c>
      <c r="B264" s="78" t="n">
        <v>119697</v>
      </c>
      <c r="C264" s="78" t="n">
        <v>12</v>
      </c>
      <c r="D264" s="78" t="inlineStr">
        <is>
          <t>아이플러스시티(도시형)</t>
        </is>
      </c>
      <c r="E264" s="78" t="inlineStr">
        <is>
          <t>2012.09.</t>
        </is>
      </c>
      <c r="F264" s="78" t="n">
        <v>101</v>
      </c>
      <c r="G264" s="78" t="n">
        <v>19.25</v>
      </c>
      <c r="H264" s="78" t="n">
        <v>63.64</v>
      </c>
      <c r="I264" s="78" t="n">
        <v>15.04</v>
      </c>
      <c r="J264" s="78" t="n">
        <v>49.74</v>
      </c>
      <c r="K264" s="78" t="n">
        <v>9</v>
      </c>
      <c r="T264" s="78" t="n">
        <v>1</v>
      </c>
      <c r="U264" s="78" t="n">
        <v>1</v>
      </c>
      <c r="V264" s="78" t="inlineStr">
        <is>
          <t>계단식</t>
        </is>
      </c>
      <c r="W264" s="78" t="inlineStr">
        <is>
          <t>63B</t>
        </is>
      </c>
      <c r="X264" s="78" t="n">
        <v>10</v>
      </c>
      <c r="Y264" s="78" t="n">
        <v>7</v>
      </c>
      <c r="Z264" s="78" t="inlineStr">
        <is>
          <t>https://new.land.naver.com/complexes/119697?tab=detail&amp;rf=Y</t>
        </is>
      </c>
      <c r="AA264" s="78" t="inlineStr">
        <is>
          <t>전라북도 군산시 대명동 384-87</t>
        </is>
      </c>
      <c r="AB264" s="78" t="inlineStr">
        <is>
          <t>전라북도</t>
        </is>
      </c>
      <c r="AC264" s="78" t="inlineStr">
        <is>
          <t>군산시</t>
        </is>
      </c>
      <c r="AD264" s="78" t="inlineStr">
        <is>
          <t>대명동</t>
        </is>
      </c>
      <c r="AG264" s="78" t="inlineStr">
        <is>
          <t>전라북도 군산시 동팔마길 32</t>
        </is>
      </c>
      <c r="AH264" s="78" t="n">
        <v>0</v>
      </c>
      <c r="AI264" s="78" t="n">
        <v>0</v>
      </c>
      <c r="AJ264" s="78" t="n">
        <v>0</v>
      </c>
      <c r="AK264" s="78" t="n">
        <v>52</v>
      </c>
      <c r="AL264" s="78" t="n">
        <v>0.51</v>
      </c>
    </row>
    <row r="265">
      <c r="A265" s="78" t="inlineStr">
        <is>
          <t>[대명동]</t>
        </is>
      </c>
      <c r="B265" s="78" t="n">
        <v>119697</v>
      </c>
      <c r="C265" s="78" t="n">
        <v>13</v>
      </c>
      <c r="D265" s="78" t="inlineStr">
        <is>
          <t>아이플러스시티(도시형)</t>
        </is>
      </c>
      <c r="E265" s="78" t="inlineStr">
        <is>
          <t>2012.09.</t>
        </is>
      </c>
      <c r="F265" s="78" t="n">
        <v>101</v>
      </c>
      <c r="G265" s="78" t="n">
        <v>19.29</v>
      </c>
      <c r="H265" s="78" t="n">
        <v>63.78</v>
      </c>
      <c r="I265" s="78" t="n">
        <v>15.07</v>
      </c>
      <c r="J265" s="78" t="n">
        <v>49.85</v>
      </c>
      <c r="K265" s="78" t="n">
        <v>9</v>
      </c>
      <c r="T265" s="78" t="n">
        <v>3</v>
      </c>
      <c r="U265" s="78" t="n">
        <v>1</v>
      </c>
      <c r="V265" s="78" t="inlineStr">
        <is>
          <t>계단식</t>
        </is>
      </c>
      <c r="W265" s="78" t="inlineStr">
        <is>
          <t>63F</t>
        </is>
      </c>
      <c r="X265" s="78" t="n">
        <v>10</v>
      </c>
      <c r="Y265" s="78" t="n">
        <v>7</v>
      </c>
      <c r="Z265" s="78" t="inlineStr">
        <is>
          <t>https://new.land.naver.com/complexes/119697?tab=detail&amp;rf=Y</t>
        </is>
      </c>
      <c r="AA265" s="78" t="inlineStr">
        <is>
          <t>전라북도 군산시 대명동 384-87</t>
        </is>
      </c>
      <c r="AB265" s="78" t="inlineStr">
        <is>
          <t>전라북도</t>
        </is>
      </c>
      <c r="AC265" s="78" t="inlineStr">
        <is>
          <t>군산시</t>
        </is>
      </c>
      <c r="AD265" s="78" t="inlineStr">
        <is>
          <t>대명동</t>
        </is>
      </c>
      <c r="AG265" s="78" t="inlineStr">
        <is>
          <t>전라북도 군산시 동팔마길 32</t>
        </is>
      </c>
      <c r="AH265" s="78" t="n">
        <v>0</v>
      </c>
      <c r="AI265" s="78" t="n">
        <v>0</v>
      </c>
      <c r="AJ265" s="78" t="n">
        <v>0</v>
      </c>
      <c r="AK265" s="78" t="n">
        <v>52</v>
      </c>
      <c r="AL265" s="78" t="n">
        <v>0.51</v>
      </c>
    </row>
    <row r="266">
      <c r="A266" s="78" t="inlineStr">
        <is>
          <t>[대명동]</t>
        </is>
      </c>
      <c r="B266" s="78" t="n">
        <v>119697</v>
      </c>
      <c r="C266" s="78" t="n">
        <v>14</v>
      </c>
      <c r="D266" s="78" t="inlineStr">
        <is>
          <t>아이플러스시티(도시형)</t>
        </is>
      </c>
      <c r="E266" s="78" t="inlineStr">
        <is>
          <t>2012.09.</t>
        </is>
      </c>
      <c r="F266" s="78" t="n">
        <v>101</v>
      </c>
      <c r="G266" s="78" t="n">
        <v>19.3</v>
      </c>
      <c r="H266" s="78" t="n">
        <v>63.82</v>
      </c>
      <c r="I266" s="78" t="n">
        <v>15.08</v>
      </c>
      <c r="J266" s="78" t="n">
        <v>49.88</v>
      </c>
      <c r="K266" s="78" t="n">
        <v>9</v>
      </c>
      <c r="T266" s="78" t="n">
        <v>3</v>
      </c>
      <c r="U266" s="78" t="n">
        <v>1</v>
      </c>
      <c r="V266" s="78" t="inlineStr">
        <is>
          <t>계단식</t>
        </is>
      </c>
      <c r="W266" s="78" t="inlineStr">
        <is>
          <t>63G</t>
        </is>
      </c>
      <c r="X266" s="78" t="n">
        <v>10</v>
      </c>
      <c r="Y266" s="78" t="n">
        <v>7</v>
      </c>
      <c r="Z266" s="78" t="inlineStr">
        <is>
          <t>https://new.land.naver.com/complexes/119697?tab=detail&amp;rf=Y</t>
        </is>
      </c>
      <c r="AA266" s="78" t="inlineStr">
        <is>
          <t>전라북도 군산시 대명동 384-87</t>
        </is>
      </c>
      <c r="AB266" s="78" t="inlineStr">
        <is>
          <t>전라북도</t>
        </is>
      </c>
      <c r="AC266" s="78" t="inlineStr">
        <is>
          <t>군산시</t>
        </is>
      </c>
      <c r="AD266" s="78" t="inlineStr">
        <is>
          <t>대명동</t>
        </is>
      </c>
      <c r="AG266" s="78" t="inlineStr">
        <is>
          <t>전라북도 군산시 동팔마길 32</t>
        </is>
      </c>
      <c r="AH266" s="78" t="n">
        <v>0</v>
      </c>
      <c r="AI266" s="78" t="n">
        <v>0</v>
      </c>
      <c r="AJ266" s="78" t="n">
        <v>0</v>
      </c>
      <c r="AK266" s="78" t="n">
        <v>52</v>
      </c>
      <c r="AL266" s="78" t="n">
        <v>0.51</v>
      </c>
    </row>
    <row r="267">
      <c r="A267" s="78" t="inlineStr">
        <is>
          <t>[대명동]</t>
        </is>
      </c>
      <c r="B267" s="78" t="n">
        <v>119697</v>
      </c>
      <c r="C267" s="78" t="n">
        <v>15</v>
      </c>
      <c r="D267" s="78" t="inlineStr">
        <is>
          <t>아이플러스시티(도시형)</t>
        </is>
      </c>
      <c r="E267" s="78" t="inlineStr">
        <is>
          <t>2012.09.</t>
        </is>
      </c>
      <c r="F267" s="78" t="n">
        <v>101</v>
      </c>
      <c r="G267" s="78" t="n">
        <v>19.06</v>
      </c>
      <c r="H267" s="78" t="n">
        <v>63.03</v>
      </c>
      <c r="I267" s="78" t="n">
        <v>14.13</v>
      </c>
      <c r="J267" s="78" t="n">
        <v>46.72</v>
      </c>
      <c r="K267" s="78" t="n">
        <v>1</v>
      </c>
      <c r="T267" s="78" t="n">
        <v>1</v>
      </c>
      <c r="U267" s="78" t="n">
        <v>1</v>
      </c>
      <c r="V267" s="78" t="inlineStr">
        <is>
          <t>계단식</t>
        </is>
      </c>
      <c r="W267" s="78" t="inlineStr">
        <is>
          <t>63A</t>
        </is>
      </c>
      <c r="X267" s="78" t="n">
        <v>10</v>
      </c>
      <c r="Y267" s="78" t="n">
        <v>7</v>
      </c>
      <c r="Z267" s="78" t="inlineStr">
        <is>
          <t>https://new.land.naver.com/complexes/119697?tab=detail&amp;rf=Y</t>
        </is>
      </c>
      <c r="AA267" s="78" t="inlineStr">
        <is>
          <t>전라북도 군산시 대명동 384-87</t>
        </is>
      </c>
      <c r="AB267" s="78" t="inlineStr">
        <is>
          <t>전라북도</t>
        </is>
      </c>
      <c r="AC267" s="78" t="inlineStr">
        <is>
          <t>군산시</t>
        </is>
      </c>
      <c r="AD267" s="78" t="inlineStr">
        <is>
          <t>대명동</t>
        </is>
      </c>
      <c r="AG267" s="78" t="inlineStr">
        <is>
          <t>전라북도 군산시 동팔마길 32</t>
        </is>
      </c>
      <c r="AH267" s="78" t="n">
        <v>0</v>
      </c>
      <c r="AI267" s="78" t="n">
        <v>0</v>
      </c>
      <c r="AJ267" s="78" t="n">
        <v>0</v>
      </c>
      <c r="AK267" s="78" t="n">
        <v>52</v>
      </c>
      <c r="AL267" s="78" t="n">
        <v>0.51</v>
      </c>
    </row>
    <row r="268">
      <c r="A268" s="78" t="inlineStr">
        <is>
          <t>[대명동]</t>
        </is>
      </c>
      <c r="B268" s="78" t="n">
        <v>119697</v>
      </c>
      <c r="C268" s="78" t="n">
        <v>16</v>
      </c>
      <c r="D268" s="78" t="inlineStr">
        <is>
          <t>아이플러스시티(도시형)</t>
        </is>
      </c>
      <c r="E268" s="78" t="inlineStr">
        <is>
          <t>2012.09.</t>
        </is>
      </c>
      <c r="F268" s="78" t="n">
        <v>101</v>
      </c>
      <c r="G268" s="78" t="n">
        <v>19.65</v>
      </c>
      <c r="H268" s="78" t="n">
        <v>64.98</v>
      </c>
      <c r="I268" s="78" t="n">
        <v>14.56</v>
      </c>
      <c r="J268" s="78" t="n">
        <v>48.16</v>
      </c>
      <c r="K268" s="78" t="n">
        <v>1</v>
      </c>
      <c r="T268" s="78" t="n">
        <v>1</v>
      </c>
      <c r="U268" s="78" t="n">
        <v>1</v>
      </c>
      <c r="V268" s="78" t="inlineStr">
        <is>
          <t>계단식</t>
        </is>
      </c>
      <c r="W268" s="78" t="inlineStr">
        <is>
          <t>64A</t>
        </is>
      </c>
      <c r="X268" s="78" t="n">
        <v>10</v>
      </c>
      <c r="Y268" s="78" t="n">
        <v>7</v>
      </c>
      <c r="Z268" s="78" t="inlineStr">
        <is>
          <t>https://new.land.naver.com/complexes/119697?tab=detail&amp;rf=Y</t>
        </is>
      </c>
      <c r="AA268" s="78" t="inlineStr">
        <is>
          <t>전라북도 군산시 대명동 384-87</t>
        </is>
      </c>
      <c r="AB268" s="78" t="inlineStr">
        <is>
          <t>전라북도</t>
        </is>
      </c>
      <c r="AC268" s="78" t="inlineStr">
        <is>
          <t>군산시</t>
        </is>
      </c>
      <c r="AD268" s="78" t="inlineStr">
        <is>
          <t>대명동</t>
        </is>
      </c>
      <c r="AG268" s="78" t="inlineStr">
        <is>
          <t>전라북도 군산시 동팔마길 32</t>
        </is>
      </c>
      <c r="AH268" s="78" t="n">
        <v>0</v>
      </c>
      <c r="AI268" s="78" t="n">
        <v>0</v>
      </c>
      <c r="AJ268" s="78" t="n">
        <v>0</v>
      </c>
      <c r="AK268" s="78" t="n">
        <v>52</v>
      </c>
      <c r="AL268" s="78" t="n">
        <v>0.51</v>
      </c>
    </row>
    <row r="269">
      <c r="A269" s="78" t="inlineStr">
        <is>
          <t>[대명동]</t>
        </is>
      </c>
      <c r="B269" s="78" t="n">
        <v>119697</v>
      </c>
      <c r="C269" s="78" t="n">
        <v>17</v>
      </c>
      <c r="D269" s="78" t="inlineStr">
        <is>
          <t>아이플러스시티(도시형)</t>
        </is>
      </c>
      <c r="E269" s="78" t="inlineStr">
        <is>
          <t>2012.09.</t>
        </is>
      </c>
      <c r="F269" s="78" t="n">
        <v>101</v>
      </c>
      <c r="G269" s="78" t="n">
        <v>20.34</v>
      </c>
      <c r="H269" s="78" t="n">
        <v>67.23999999999999</v>
      </c>
      <c r="I269" s="78" t="n">
        <v>15.07</v>
      </c>
      <c r="J269" s="78" t="n">
        <v>49.84</v>
      </c>
      <c r="K269" s="78" t="n">
        <v>9</v>
      </c>
      <c r="T269" s="78" t="n">
        <v>1</v>
      </c>
      <c r="U269" s="78" t="n">
        <v>1</v>
      </c>
      <c r="V269" s="78" t="inlineStr">
        <is>
          <t>계단식</t>
        </is>
      </c>
      <c r="W269" s="78" t="inlineStr">
        <is>
          <t>67B</t>
        </is>
      </c>
      <c r="X269" s="78" t="n">
        <v>10</v>
      </c>
      <c r="Y269" s="78" t="n">
        <v>7</v>
      </c>
      <c r="Z269" s="78" t="inlineStr">
        <is>
          <t>https://new.land.naver.com/complexes/119697?tab=detail&amp;rf=Y</t>
        </is>
      </c>
      <c r="AA269" s="78" t="inlineStr">
        <is>
          <t>전라북도 군산시 대명동 384-87</t>
        </is>
      </c>
      <c r="AB269" s="78" t="inlineStr">
        <is>
          <t>전라북도</t>
        </is>
      </c>
      <c r="AC269" s="78" t="inlineStr">
        <is>
          <t>군산시</t>
        </is>
      </c>
      <c r="AD269" s="78" t="inlineStr">
        <is>
          <t>대명동</t>
        </is>
      </c>
      <c r="AG269" s="78" t="inlineStr">
        <is>
          <t>전라북도 군산시 동팔마길 32</t>
        </is>
      </c>
      <c r="AH269" s="78" t="n">
        <v>0</v>
      </c>
      <c r="AI269" s="78" t="n">
        <v>0</v>
      </c>
      <c r="AJ269" s="78" t="n">
        <v>0</v>
      </c>
      <c r="AK269" s="78" t="n">
        <v>52</v>
      </c>
      <c r="AL269" s="78" t="n">
        <v>0.51</v>
      </c>
    </row>
    <row r="270">
      <c r="A270" s="78" t="inlineStr">
        <is>
          <t>[대명동]</t>
        </is>
      </c>
      <c r="B270" s="78" t="n">
        <v>119697</v>
      </c>
      <c r="C270" s="78" t="n">
        <v>18</v>
      </c>
      <c r="D270" s="78" t="inlineStr">
        <is>
          <t>아이플러스시티(도시형)</t>
        </is>
      </c>
      <c r="E270" s="78" t="inlineStr">
        <is>
          <t>2012.09.</t>
        </is>
      </c>
      <c r="F270" s="78" t="n">
        <v>101</v>
      </c>
      <c r="G270" s="78" t="n">
        <v>20.31</v>
      </c>
      <c r="H270" s="78" t="n">
        <v>67.15000000000001</v>
      </c>
      <c r="I270" s="78" t="n">
        <v>15.05</v>
      </c>
      <c r="J270" s="78" t="n">
        <v>49.77</v>
      </c>
      <c r="K270" s="78" t="n">
        <v>6</v>
      </c>
      <c r="T270" s="78" t="n">
        <v>3</v>
      </c>
      <c r="U270" s="78" t="n">
        <v>1</v>
      </c>
      <c r="V270" s="78" t="inlineStr">
        <is>
          <t>계단식</t>
        </is>
      </c>
      <c r="W270" s="78" t="inlineStr">
        <is>
          <t>67C</t>
        </is>
      </c>
      <c r="X270" s="78" t="n">
        <v>10</v>
      </c>
      <c r="Y270" s="78" t="n">
        <v>7</v>
      </c>
      <c r="Z270" s="78" t="inlineStr">
        <is>
          <t>https://new.land.naver.com/complexes/119697?tab=detail&amp;rf=Y</t>
        </is>
      </c>
      <c r="AA270" s="78" t="inlineStr">
        <is>
          <t>전라북도 군산시 대명동 384-87</t>
        </is>
      </c>
      <c r="AB270" s="78" t="inlineStr">
        <is>
          <t>전라북도</t>
        </is>
      </c>
      <c r="AC270" s="78" t="inlineStr">
        <is>
          <t>군산시</t>
        </is>
      </c>
      <c r="AD270" s="78" t="inlineStr">
        <is>
          <t>대명동</t>
        </is>
      </c>
      <c r="AG270" s="78" t="inlineStr">
        <is>
          <t>전라북도 군산시 동팔마길 32</t>
        </is>
      </c>
      <c r="AH270" s="78" t="n">
        <v>0</v>
      </c>
      <c r="AI270" s="78" t="n">
        <v>0</v>
      </c>
      <c r="AJ270" s="78" t="n">
        <v>0</v>
      </c>
      <c r="AK270" s="78" t="n">
        <v>52</v>
      </c>
      <c r="AL270" s="78" t="n">
        <v>0.51</v>
      </c>
    </row>
    <row r="271">
      <c r="A271" s="78" t="inlineStr">
        <is>
          <t>[대명동]</t>
        </is>
      </c>
      <c r="B271" s="78" t="n">
        <v>119697</v>
      </c>
      <c r="C271" s="78" t="n">
        <v>19</v>
      </c>
      <c r="D271" s="78" t="inlineStr">
        <is>
          <t>아이플러스시티(도시형)</t>
        </is>
      </c>
      <c r="E271" s="78" t="inlineStr">
        <is>
          <t>2012.09.</t>
        </is>
      </c>
      <c r="F271" s="78" t="n">
        <v>101</v>
      </c>
      <c r="G271" s="78" t="n">
        <v>20.35</v>
      </c>
      <c r="H271" s="78" t="n">
        <v>67.28</v>
      </c>
      <c r="I271" s="78" t="n">
        <v>15.08</v>
      </c>
      <c r="J271" s="78" t="n">
        <v>49.87</v>
      </c>
      <c r="K271" s="78" t="n">
        <v>6</v>
      </c>
      <c r="T271" s="78" t="n">
        <v>3</v>
      </c>
      <c r="U271" s="78" t="n">
        <v>1</v>
      </c>
      <c r="V271" s="78" t="inlineStr">
        <is>
          <t>계단식</t>
        </is>
      </c>
      <c r="W271" s="78" t="inlineStr">
        <is>
          <t>67D</t>
        </is>
      </c>
      <c r="X271" s="78" t="n">
        <v>10</v>
      </c>
      <c r="Y271" s="78" t="n">
        <v>7</v>
      </c>
      <c r="Z271" s="78" t="inlineStr">
        <is>
          <t>https://new.land.naver.com/complexes/119697?tab=detail&amp;rf=Y</t>
        </is>
      </c>
      <c r="AA271" s="78" t="inlineStr">
        <is>
          <t>전라북도 군산시 대명동 384-87</t>
        </is>
      </c>
      <c r="AB271" s="78" t="inlineStr">
        <is>
          <t>전라북도</t>
        </is>
      </c>
      <c r="AC271" s="78" t="inlineStr">
        <is>
          <t>군산시</t>
        </is>
      </c>
      <c r="AD271" s="78" t="inlineStr">
        <is>
          <t>대명동</t>
        </is>
      </c>
      <c r="AG271" s="78" t="inlineStr">
        <is>
          <t>전라북도 군산시 동팔마길 32</t>
        </is>
      </c>
      <c r="AH271" s="78" t="n">
        <v>0</v>
      </c>
      <c r="AI271" s="78" t="n">
        <v>0</v>
      </c>
      <c r="AJ271" s="78" t="n">
        <v>0</v>
      </c>
      <c r="AK271" s="78" t="n">
        <v>52</v>
      </c>
      <c r="AL271" s="78" t="n">
        <v>0.51</v>
      </c>
    </row>
    <row r="272">
      <c r="A272" s="78" t="inlineStr">
        <is>
          <t>[대야면]</t>
        </is>
      </c>
      <c r="B272" s="78" t="n">
        <v>128332</v>
      </c>
      <c r="C272" s="78" t="n">
        <v>1</v>
      </c>
      <c r="D272" s="78" t="inlineStr">
        <is>
          <t>한신타운</t>
        </is>
      </c>
      <c r="E272" s="78" t="inlineStr">
        <is>
          <t>1992.12.</t>
        </is>
      </c>
      <c r="F272" s="78" t="n">
        <v>126</v>
      </c>
      <c r="G272" s="78" t="n">
        <v>20.91</v>
      </c>
      <c r="H272" s="78" t="n">
        <v>69.15000000000001</v>
      </c>
      <c r="I272" s="78" t="n">
        <v>17.9</v>
      </c>
      <c r="J272" s="78" t="n">
        <v>59.19</v>
      </c>
      <c r="K272" s="78" t="n">
        <v>36</v>
      </c>
      <c r="T272" s="78" t="n">
        <v>3</v>
      </c>
      <c r="U272" s="78" t="n">
        <v>1</v>
      </c>
      <c r="V272" s="78" t="inlineStr">
        <is>
          <t>계단식</t>
        </is>
      </c>
      <c r="W272" s="78" t="n">
        <v>69</v>
      </c>
      <c r="X272" s="78" t="n">
        <v>15</v>
      </c>
      <c r="Y272" s="78" t="n">
        <v>10</v>
      </c>
      <c r="Z272" s="78" t="inlineStr">
        <is>
          <t>https://new.land.naver.com/complexes/128332?tab=detail&amp;rf=Y</t>
        </is>
      </c>
      <c r="AA272" s="78" t="inlineStr">
        <is>
          <t>전라북도 군산시 대야면 지경리 699-147</t>
        </is>
      </c>
      <c r="AB272" s="78" t="inlineStr">
        <is>
          <t>전라북도</t>
        </is>
      </c>
      <c r="AC272" s="78" t="inlineStr">
        <is>
          <t>군산시</t>
        </is>
      </c>
      <c r="AD272" s="78" t="inlineStr">
        <is>
          <t>대야면</t>
        </is>
      </c>
      <c r="AG272" s="78" t="inlineStr">
        <is>
          <t>전라북도 군산시 대야관통로 26</t>
        </is>
      </c>
      <c r="AH272" s="78" t="n">
        <v>0</v>
      </c>
      <c r="AI272" s="78" t="n">
        <v>26</v>
      </c>
      <c r="AJ272" s="78" t="n">
        <v>23</v>
      </c>
      <c r="AK272" s="78" t="n">
        <v>64</v>
      </c>
      <c r="AL272" s="78" t="n">
        <v>0.51</v>
      </c>
    </row>
    <row r="273">
      <c r="A273" s="78" t="inlineStr">
        <is>
          <t>[대야면]</t>
        </is>
      </c>
      <c r="B273" s="78" t="n">
        <v>128332</v>
      </c>
      <c r="C273" s="78" t="n">
        <v>2</v>
      </c>
      <c r="D273" s="78" t="inlineStr">
        <is>
          <t>한신타운</t>
        </is>
      </c>
      <c r="E273" s="78" t="inlineStr">
        <is>
          <t>1992.12.</t>
        </is>
      </c>
      <c r="F273" s="78" t="n">
        <v>126</v>
      </c>
      <c r="G273" s="78" t="n">
        <v>21.56</v>
      </c>
      <c r="H273" s="78" t="n">
        <v>71.3</v>
      </c>
      <c r="I273" s="78" t="n">
        <v>18.06</v>
      </c>
      <c r="J273" s="78" t="n">
        <v>59.73</v>
      </c>
      <c r="K273" s="78" t="n">
        <v>15</v>
      </c>
      <c r="T273" s="78" t="n">
        <v>3</v>
      </c>
      <c r="U273" s="78" t="n">
        <v>1</v>
      </c>
      <c r="V273" s="78" t="inlineStr">
        <is>
          <t>계단식</t>
        </is>
      </c>
      <c r="W273" s="78" t="n">
        <v>71</v>
      </c>
      <c r="X273" s="78" t="n">
        <v>15</v>
      </c>
      <c r="Y273" s="78" t="n">
        <v>10</v>
      </c>
      <c r="Z273" s="78" t="inlineStr">
        <is>
          <t>https://new.land.naver.com/complexes/128332?tab=detail&amp;rf=Y</t>
        </is>
      </c>
      <c r="AA273" s="78" t="inlineStr">
        <is>
          <t>전라북도 군산시 대야면 지경리 699-147</t>
        </is>
      </c>
      <c r="AB273" s="78" t="inlineStr">
        <is>
          <t>전라북도</t>
        </is>
      </c>
      <c r="AC273" s="78" t="inlineStr">
        <is>
          <t>군산시</t>
        </is>
      </c>
      <c r="AD273" s="78" t="inlineStr">
        <is>
          <t>대야면</t>
        </is>
      </c>
      <c r="AG273" s="78" t="inlineStr">
        <is>
          <t>전라북도 군산시 대야관통로 26</t>
        </is>
      </c>
      <c r="AH273" s="78" t="n">
        <v>0</v>
      </c>
      <c r="AI273" s="78" t="n">
        <v>26</v>
      </c>
      <c r="AJ273" s="78" t="n">
        <v>23</v>
      </c>
      <c r="AK273" s="78" t="n">
        <v>64</v>
      </c>
      <c r="AL273" s="78" t="n">
        <v>0.51</v>
      </c>
    </row>
    <row r="274">
      <c r="A274" s="78" t="inlineStr">
        <is>
          <t>[대야면]</t>
        </is>
      </c>
      <c r="B274" s="78" t="n">
        <v>128332</v>
      </c>
      <c r="C274" s="78" t="n">
        <v>3</v>
      </c>
      <c r="D274" s="78" t="inlineStr">
        <is>
          <t>한신타운</t>
        </is>
      </c>
      <c r="E274" s="78" t="inlineStr">
        <is>
          <t>1992.12.</t>
        </is>
      </c>
      <c r="F274" s="78" t="n">
        <v>126</v>
      </c>
      <c r="G274" s="78" t="n">
        <v>29.19</v>
      </c>
      <c r="H274" s="78" t="n">
        <v>96.5</v>
      </c>
      <c r="I274" s="78" t="n">
        <v>25.69</v>
      </c>
      <c r="J274" s="78" t="n">
        <v>84.93000000000001</v>
      </c>
      <c r="K274" s="78" t="n">
        <v>75</v>
      </c>
      <c r="T274" s="78" t="n">
        <v>3</v>
      </c>
      <c r="U274" s="78" t="n">
        <v>2</v>
      </c>
      <c r="V274" s="78" t="inlineStr">
        <is>
          <t>계단식</t>
        </is>
      </c>
      <c r="W274" s="78" t="n">
        <v>96</v>
      </c>
      <c r="X274" s="78" t="n">
        <v>15</v>
      </c>
      <c r="Y274" s="78" t="n">
        <v>10</v>
      </c>
      <c r="Z274" s="78" t="inlineStr">
        <is>
          <t>https://new.land.naver.com/complexes/128332?tab=detail&amp;rf=Y</t>
        </is>
      </c>
      <c r="AA274" s="78" t="inlineStr">
        <is>
          <t>전라북도 군산시 대야면 지경리 699-147</t>
        </is>
      </c>
      <c r="AB274" s="78" t="inlineStr">
        <is>
          <t>전라북도</t>
        </is>
      </c>
      <c r="AC274" s="78" t="inlineStr">
        <is>
          <t>군산시</t>
        </is>
      </c>
      <c r="AD274" s="78" t="inlineStr">
        <is>
          <t>대야면</t>
        </is>
      </c>
      <c r="AG274" s="78" t="inlineStr">
        <is>
          <t>전라북도 군산시 대야관통로 26</t>
        </is>
      </c>
      <c r="AH274" s="78" t="n">
        <v>0</v>
      </c>
      <c r="AI274" s="78" t="n">
        <v>26</v>
      </c>
      <c r="AJ274" s="78" t="n">
        <v>23</v>
      </c>
      <c r="AK274" s="78" t="n">
        <v>64</v>
      </c>
      <c r="AL274" s="78" t="n">
        <v>0.51</v>
      </c>
    </row>
    <row r="275">
      <c r="A275" s="78" t="inlineStr">
        <is>
          <t>[대야면]</t>
        </is>
      </c>
      <c r="B275" s="78" t="n">
        <v>116583</v>
      </c>
      <c r="C275" s="78" t="n">
        <v>1</v>
      </c>
      <c r="D275" s="78" t="inlineStr">
        <is>
          <t>대야보라무지개</t>
        </is>
      </c>
      <c r="E275" s="78" t="inlineStr">
        <is>
          <t>2001.09.</t>
        </is>
      </c>
      <c r="F275" s="78" t="n">
        <v>105</v>
      </c>
      <c r="G275" s="78" t="n">
        <v>22.71</v>
      </c>
      <c r="H275" s="78" t="n">
        <v>75.08</v>
      </c>
      <c r="I275" s="78" t="n">
        <v>17.61</v>
      </c>
      <c r="J275" s="78" t="n">
        <v>58.24</v>
      </c>
      <c r="K275" s="78" t="n">
        <v>90</v>
      </c>
      <c r="T275" s="78" t="n">
        <v>3</v>
      </c>
      <c r="U275" s="78" t="n">
        <v>1</v>
      </c>
      <c r="V275" s="78" t="inlineStr">
        <is>
          <t>계단식</t>
        </is>
      </c>
      <c r="W275" s="78" t="n">
        <v>75</v>
      </c>
      <c r="X275" s="78" t="n">
        <v>15</v>
      </c>
      <c r="Y275" s="78" t="n">
        <v>15</v>
      </c>
      <c r="Z275" s="78" t="inlineStr">
        <is>
          <t>https://new.land.naver.com/complexes/116583?tab=detail&amp;rf=Y</t>
        </is>
      </c>
      <c r="AA275" s="78" t="inlineStr">
        <is>
          <t>전라북도 군산시 대야면 산월리 536-2</t>
        </is>
      </c>
      <c r="AB275" s="78" t="inlineStr">
        <is>
          <t>전라북도</t>
        </is>
      </c>
      <c r="AC275" s="78" t="inlineStr">
        <is>
          <t>군산시</t>
        </is>
      </c>
      <c r="AD275" s="78" t="inlineStr">
        <is>
          <t>대야면</t>
        </is>
      </c>
      <c r="AG275" s="78" t="inlineStr">
        <is>
          <t>전라북도 군산시 수림로 7-10</t>
        </is>
      </c>
      <c r="AH275" s="78" t="n">
        <v>0</v>
      </c>
      <c r="AI275" s="78" t="n">
        <v>249</v>
      </c>
      <c r="AJ275" s="78" t="n">
        <v>20</v>
      </c>
      <c r="AK275" s="78" t="n">
        <v>79</v>
      </c>
      <c r="AL275" s="78" t="n">
        <v>0.75</v>
      </c>
    </row>
    <row r="276">
      <c r="A276" s="78" t="inlineStr">
        <is>
          <t>[대야면]</t>
        </is>
      </c>
      <c r="B276" s="78" t="n">
        <v>116583</v>
      </c>
      <c r="C276" s="78" t="n">
        <v>2</v>
      </c>
      <c r="D276" s="78" t="inlineStr">
        <is>
          <t>대야보라무지개</t>
        </is>
      </c>
      <c r="E276" s="78" t="inlineStr">
        <is>
          <t>2001.09.</t>
        </is>
      </c>
      <c r="F276" s="78" t="n">
        <v>105</v>
      </c>
      <c r="G276" s="78" t="n">
        <v>31.66</v>
      </c>
      <c r="H276" s="78" t="n">
        <v>104.68</v>
      </c>
      <c r="I276" s="78" t="n">
        <v>22.76</v>
      </c>
      <c r="J276" s="78" t="n">
        <v>75.26000000000001</v>
      </c>
      <c r="K276" s="78" t="n">
        <v>15</v>
      </c>
      <c r="T276" s="78" t="n">
        <v>3</v>
      </c>
      <c r="U276" s="78" t="n">
        <v>2</v>
      </c>
      <c r="V276" s="78" t="inlineStr">
        <is>
          <t>계단식</t>
        </is>
      </c>
      <c r="W276" s="78" t="n">
        <v>104</v>
      </c>
      <c r="X276" s="78" t="n">
        <v>15</v>
      </c>
      <c r="Y276" s="78" t="n">
        <v>15</v>
      </c>
      <c r="Z276" s="78" t="inlineStr">
        <is>
          <t>https://new.land.naver.com/complexes/116583?tab=detail&amp;rf=Y</t>
        </is>
      </c>
      <c r="AA276" s="78" t="inlineStr">
        <is>
          <t>전라북도 군산시 대야면 산월리 536-2</t>
        </is>
      </c>
      <c r="AB276" s="78" t="inlineStr">
        <is>
          <t>전라북도</t>
        </is>
      </c>
      <c r="AC276" s="78" t="inlineStr">
        <is>
          <t>군산시</t>
        </is>
      </c>
      <c r="AD276" s="78" t="inlineStr">
        <is>
          <t>대야면</t>
        </is>
      </c>
      <c r="AG276" s="78" t="inlineStr">
        <is>
          <t>전라북도 군산시 수림로 7-10</t>
        </is>
      </c>
      <c r="AH276" s="78" t="n">
        <v>0</v>
      </c>
      <c r="AI276" s="78" t="n">
        <v>249</v>
      </c>
      <c r="AJ276" s="78" t="n">
        <v>20</v>
      </c>
      <c r="AK276" s="78" t="n">
        <v>79</v>
      </c>
      <c r="AL276" s="78" t="n">
        <v>0.75</v>
      </c>
    </row>
    <row r="277">
      <c r="A277" s="78" t="inlineStr">
        <is>
          <t>[동흥남동]</t>
        </is>
      </c>
      <c r="B277" s="78" t="n">
        <v>105137</v>
      </c>
      <c r="C277" s="78" t="n">
        <v>1</v>
      </c>
      <c r="D277" s="78" t="inlineStr">
        <is>
          <t>군산동흥남주공</t>
        </is>
      </c>
      <c r="E277" s="78" t="inlineStr">
        <is>
          <t>2006.02.</t>
        </is>
      </c>
      <c r="F277" s="78" t="n">
        <v>318</v>
      </c>
      <c r="G277" s="78" t="n">
        <v>28.71</v>
      </c>
      <c r="H277" s="78" t="n">
        <v>94.91</v>
      </c>
      <c r="I277" s="78" t="n">
        <v>22.78</v>
      </c>
      <c r="J277" s="78" t="n">
        <v>75.31999999999999</v>
      </c>
      <c r="K277" s="78" t="n">
        <v>90</v>
      </c>
      <c r="T277" s="78" t="n">
        <v>3</v>
      </c>
      <c r="U277" s="78" t="n">
        <v>2</v>
      </c>
      <c r="V277" s="78" t="inlineStr">
        <is>
          <t>계단식</t>
        </is>
      </c>
      <c r="W277" s="78" t="n">
        <v>94</v>
      </c>
      <c r="X277" s="78" t="n">
        <v>15</v>
      </c>
      <c r="Y277" s="78" t="n">
        <v>13</v>
      </c>
      <c r="Z277" s="78" t="inlineStr">
        <is>
          <t>https://new.land.naver.com/complexes/105137?tab=detail&amp;rf=Y</t>
        </is>
      </c>
      <c r="AA277" s="78" t="inlineStr">
        <is>
          <t>전라북도 군산시 동흥남동 100</t>
        </is>
      </c>
      <c r="AB277" s="78" t="inlineStr">
        <is>
          <t>전라북도</t>
        </is>
      </c>
      <c r="AC277" s="78" t="inlineStr">
        <is>
          <t>군산시</t>
        </is>
      </c>
      <c r="AD277" s="78" t="inlineStr">
        <is>
          <t>동흥남동</t>
        </is>
      </c>
      <c r="AG277" s="78" t="inlineStr">
        <is>
          <t>전라북도 군산시 동흥남길 9</t>
        </is>
      </c>
      <c r="AH277" s="78" t="n">
        <v>0</v>
      </c>
      <c r="AI277" s="78" t="n">
        <v>141</v>
      </c>
      <c r="AJ277" s="78" t="n">
        <v>13</v>
      </c>
      <c r="AK277" s="78" t="n">
        <v>323</v>
      </c>
      <c r="AL277" s="78" t="n">
        <v>1.02</v>
      </c>
    </row>
    <row r="278">
      <c r="A278" s="78" t="inlineStr">
        <is>
          <t>[동흥남동]</t>
        </is>
      </c>
      <c r="B278" s="78" t="n">
        <v>105137</v>
      </c>
      <c r="C278" s="78" t="n">
        <v>2</v>
      </c>
      <c r="D278" s="78" t="inlineStr">
        <is>
          <t>군산동흥남주공</t>
        </is>
      </c>
      <c r="E278" s="78" t="inlineStr">
        <is>
          <t>2006.02.</t>
        </is>
      </c>
      <c r="F278" s="78" t="n">
        <v>318</v>
      </c>
      <c r="G278" s="78" t="n">
        <v>32.35</v>
      </c>
      <c r="H278" s="78" t="n">
        <v>106.95</v>
      </c>
      <c r="I278" s="78" t="n">
        <v>25.67</v>
      </c>
      <c r="J278" s="78" t="n">
        <v>84.86</v>
      </c>
      <c r="K278" s="78" t="n">
        <v>99</v>
      </c>
      <c r="T278" s="78" t="n">
        <v>3</v>
      </c>
      <c r="U278" s="78" t="n">
        <v>2</v>
      </c>
      <c r="V278" s="78" t="inlineStr">
        <is>
          <t>계단식</t>
        </is>
      </c>
      <c r="W278" s="78" t="inlineStr">
        <is>
          <t>106A</t>
        </is>
      </c>
      <c r="X278" s="78" t="n">
        <v>15</v>
      </c>
      <c r="Y278" s="78" t="n">
        <v>13</v>
      </c>
      <c r="Z278" s="78" t="inlineStr">
        <is>
          <t>https://new.land.naver.com/complexes/105137?tab=detail&amp;rf=Y</t>
        </is>
      </c>
      <c r="AA278" s="78" t="inlineStr">
        <is>
          <t>전라북도 군산시 동흥남동 100</t>
        </is>
      </c>
      <c r="AB278" s="78" t="inlineStr">
        <is>
          <t>전라북도</t>
        </is>
      </c>
      <c r="AC278" s="78" t="inlineStr">
        <is>
          <t>군산시</t>
        </is>
      </c>
      <c r="AD278" s="78" t="inlineStr">
        <is>
          <t>동흥남동</t>
        </is>
      </c>
      <c r="AG278" s="78" t="inlineStr">
        <is>
          <t>전라북도 군산시 동흥남길 9</t>
        </is>
      </c>
      <c r="AH278" s="78" t="n">
        <v>0</v>
      </c>
      <c r="AI278" s="78" t="n">
        <v>141</v>
      </c>
      <c r="AJ278" s="78" t="n">
        <v>13</v>
      </c>
      <c r="AK278" s="78" t="n">
        <v>323</v>
      </c>
      <c r="AL278" s="78" t="n">
        <v>1.02</v>
      </c>
    </row>
    <row r="279">
      <c r="A279" s="78" t="inlineStr">
        <is>
          <t>[동흥남동]</t>
        </is>
      </c>
      <c r="B279" s="78" t="n">
        <v>105137</v>
      </c>
      <c r="C279" s="78" t="n">
        <v>3</v>
      </c>
      <c r="D279" s="78" t="inlineStr">
        <is>
          <t>군산동흥남주공</t>
        </is>
      </c>
      <c r="E279" s="78" t="inlineStr">
        <is>
          <t>2006.02.</t>
        </is>
      </c>
      <c r="F279" s="78" t="n">
        <v>318</v>
      </c>
      <c r="G279" s="78" t="n">
        <v>32.38</v>
      </c>
      <c r="H279" s="78" t="n">
        <v>107.07</v>
      </c>
      <c r="I279" s="78" t="n">
        <v>25.7</v>
      </c>
      <c r="J279" s="78" t="n">
        <v>84.97</v>
      </c>
      <c r="K279" s="78" t="n">
        <v>129</v>
      </c>
      <c r="T279" s="78" t="n">
        <v>3</v>
      </c>
      <c r="U279" s="78" t="n">
        <v>2</v>
      </c>
      <c r="V279" s="78" t="inlineStr">
        <is>
          <t>계단식</t>
        </is>
      </c>
      <c r="W279" s="78" t="inlineStr">
        <is>
          <t>107B</t>
        </is>
      </c>
      <c r="X279" s="78" t="n">
        <v>15</v>
      </c>
      <c r="Y279" s="78" t="n">
        <v>13</v>
      </c>
      <c r="Z279" s="78" t="inlineStr">
        <is>
          <t>https://new.land.naver.com/complexes/105137?tab=detail&amp;rf=Y</t>
        </is>
      </c>
      <c r="AA279" s="78" t="inlineStr">
        <is>
          <t>전라북도 군산시 동흥남동 100</t>
        </is>
      </c>
      <c r="AB279" s="78" t="inlineStr">
        <is>
          <t>전라북도</t>
        </is>
      </c>
      <c r="AC279" s="78" t="inlineStr">
        <is>
          <t>군산시</t>
        </is>
      </c>
      <c r="AD279" s="78" t="inlineStr">
        <is>
          <t>동흥남동</t>
        </is>
      </c>
      <c r="AG279" s="78" t="inlineStr">
        <is>
          <t>전라북도 군산시 동흥남길 9</t>
        </is>
      </c>
      <c r="AH279" s="78" t="n">
        <v>0</v>
      </c>
      <c r="AI279" s="78" t="n">
        <v>141</v>
      </c>
      <c r="AJ279" s="78" t="n">
        <v>13</v>
      </c>
      <c r="AK279" s="78" t="n">
        <v>323</v>
      </c>
      <c r="AL279" s="78" t="n">
        <v>1.02</v>
      </c>
    </row>
    <row r="280">
      <c r="A280" s="78" t="inlineStr">
        <is>
          <t>[동흥남동]</t>
        </is>
      </c>
      <c r="B280" s="78" t="n">
        <v>125193</v>
      </c>
      <c r="C280" s="78" t="n">
        <v>1</v>
      </c>
      <c r="D280" s="78" t="inlineStr">
        <is>
          <t>동영</t>
        </is>
      </c>
      <c r="E280" s="78" t="inlineStr">
        <is>
          <t>1989.06.</t>
        </is>
      </c>
      <c r="F280" s="78" t="n">
        <v>30</v>
      </c>
      <c r="G280" s="78" t="n">
        <v>24.55</v>
      </c>
      <c r="H280" s="78" t="n">
        <v>81.16</v>
      </c>
      <c r="I280" s="78" t="n">
        <v>20.7</v>
      </c>
      <c r="J280" s="78" t="n">
        <v>68.45999999999999</v>
      </c>
      <c r="K280" s="78" t="n">
        <v>5</v>
      </c>
      <c r="T280" s="78" t="n">
        <v>3</v>
      </c>
      <c r="U280" s="78" t="n">
        <v>2</v>
      </c>
      <c r="V280" s="78" t="inlineStr">
        <is>
          <t>계단식</t>
        </is>
      </c>
      <c r="W280" s="78" t="n">
        <v>81</v>
      </c>
      <c r="X280" s="78" t="n">
        <v>5</v>
      </c>
      <c r="Y280" s="78" t="n">
        <v>5</v>
      </c>
      <c r="Z280" s="78" t="inlineStr">
        <is>
          <t>https://new.land.naver.com/complexes/125193?tab=detail&amp;rf=Y</t>
        </is>
      </c>
      <c r="AA280" s="78" t="inlineStr">
        <is>
          <t>전라북도 군산시 동흥남동 95-36</t>
        </is>
      </c>
      <c r="AB280" s="78" t="inlineStr">
        <is>
          <t>전라북도</t>
        </is>
      </c>
      <c r="AC280" s="78" t="inlineStr">
        <is>
          <t>군산시</t>
        </is>
      </c>
      <c r="AD280" s="78" t="inlineStr">
        <is>
          <t>동흥남동</t>
        </is>
      </c>
      <c r="AG280" s="78" t="inlineStr">
        <is>
          <t>전라북도 군산시 흥남2길 49-2</t>
        </is>
      </c>
      <c r="AH280" s="78" t="n">
        <v>0</v>
      </c>
      <c r="AI280" s="78" t="n">
        <v>0</v>
      </c>
      <c r="AJ280" s="78" t="n">
        <v>0</v>
      </c>
      <c r="AK280" s="78" t="n">
        <v>0</v>
      </c>
      <c r="AL280" s="78" t="n">
        <v>0</v>
      </c>
    </row>
    <row r="281">
      <c r="A281" s="78" t="inlineStr">
        <is>
          <t>[동흥남동]</t>
        </is>
      </c>
      <c r="B281" s="78" t="n">
        <v>125193</v>
      </c>
      <c r="C281" s="78" t="n">
        <v>2</v>
      </c>
      <c r="D281" s="78" t="inlineStr">
        <is>
          <t>동영</t>
        </is>
      </c>
      <c r="E281" s="78" t="inlineStr">
        <is>
          <t>1989.06.</t>
        </is>
      </c>
      <c r="F281" s="78" t="n">
        <v>30</v>
      </c>
      <c r="G281" s="78" t="n">
        <v>28.79</v>
      </c>
      <c r="H281" s="78" t="n">
        <v>95.2</v>
      </c>
      <c r="I281" s="78" t="n">
        <v>24.82</v>
      </c>
      <c r="J281" s="78" t="n">
        <v>82.05</v>
      </c>
      <c r="K281" s="78" t="n">
        <v>10</v>
      </c>
      <c r="T281" s="78" t="n">
        <v>3</v>
      </c>
      <c r="U281" s="78" t="n">
        <v>2</v>
      </c>
      <c r="V281" s="78" t="inlineStr">
        <is>
          <t>계단식</t>
        </is>
      </c>
      <c r="W281" s="78" t="inlineStr">
        <is>
          <t>95A</t>
        </is>
      </c>
      <c r="X281" s="78" t="n">
        <v>5</v>
      </c>
      <c r="Y281" s="78" t="n">
        <v>5</v>
      </c>
      <c r="Z281" s="78" t="inlineStr">
        <is>
          <t>https://new.land.naver.com/complexes/125193?tab=detail&amp;rf=Y</t>
        </is>
      </c>
      <c r="AA281" s="78" t="inlineStr">
        <is>
          <t>전라북도 군산시 동흥남동 95-36</t>
        </is>
      </c>
      <c r="AB281" s="78" t="inlineStr">
        <is>
          <t>전라북도</t>
        </is>
      </c>
      <c r="AC281" s="78" t="inlineStr">
        <is>
          <t>군산시</t>
        </is>
      </c>
      <c r="AD281" s="78" t="inlineStr">
        <is>
          <t>동흥남동</t>
        </is>
      </c>
      <c r="AG281" s="78" t="inlineStr">
        <is>
          <t>전라북도 군산시 흥남2길 49-2</t>
        </is>
      </c>
      <c r="AH281" s="78" t="n">
        <v>0</v>
      </c>
      <c r="AI281" s="78" t="n">
        <v>0</v>
      </c>
      <c r="AJ281" s="78" t="n">
        <v>0</v>
      </c>
      <c r="AK281" s="78" t="n">
        <v>0</v>
      </c>
      <c r="AL281" s="78" t="n">
        <v>0</v>
      </c>
    </row>
    <row r="282">
      <c r="A282" s="78" t="inlineStr">
        <is>
          <t>[동흥남동]</t>
        </is>
      </c>
      <c r="B282" s="78" t="n">
        <v>125193</v>
      </c>
      <c r="C282" s="78" t="n">
        <v>3</v>
      </c>
      <c r="D282" s="78" t="inlineStr">
        <is>
          <t>동영</t>
        </is>
      </c>
      <c r="E282" s="78" t="inlineStr">
        <is>
          <t>1989.06.</t>
        </is>
      </c>
      <c r="F282" s="78" t="n">
        <v>30</v>
      </c>
      <c r="G282" s="78" t="n">
        <v>28.93</v>
      </c>
      <c r="H282" s="78" t="n">
        <v>95.64</v>
      </c>
      <c r="I282" s="78" t="n">
        <v>24.95</v>
      </c>
      <c r="J282" s="78" t="n">
        <v>82.48999999999999</v>
      </c>
      <c r="K282" s="78" t="n">
        <v>10</v>
      </c>
      <c r="T282" s="78" t="n">
        <v>3</v>
      </c>
      <c r="U282" s="78" t="n">
        <v>2</v>
      </c>
      <c r="V282" s="78" t="inlineStr">
        <is>
          <t>계단식</t>
        </is>
      </c>
      <c r="W282" s="78" t="inlineStr">
        <is>
          <t>95B</t>
        </is>
      </c>
      <c r="X282" s="78" t="n">
        <v>5</v>
      </c>
      <c r="Y282" s="78" t="n">
        <v>5</v>
      </c>
      <c r="Z282" s="78" t="inlineStr">
        <is>
          <t>https://new.land.naver.com/complexes/125193?tab=detail&amp;rf=Y</t>
        </is>
      </c>
      <c r="AA282" s="78" t="inlineStr">
        <is>
          <t>전라북도 군산시 동흥남동 95-36</t>
        </is>
      </c>
      <c r="AB282" s="78" t="inlineStr">
        <is>
          <t>전라북도</t>
        </is>
      </c>
      <c r="AC282" s="78" t="inlineStr">
        <is>
          <t>군산시</t>
        </is>
      </c>
      <c r="AD282" s="78" t="inlineStr">
        <is>
          <t>동흥남동</t>
        </is>
      </c>
      <c r="AG282" s="78" t="inlineStr">
        <is>
          <t>전라북도 군산시 흥남2길 49-2</t>
        </is>
      </c>
      <c r="AH282" s="78" t="n">
        <v>0</v>
      </c>
      <c r="AI282" s="78" t="n">
        <v>0</v>
      </c>
      <c r="AJ282" s="78" t="n">
        <v>0</v>
      </c>
      <c r="AK282" s="78" t="n">
        <v>0</v>
      </c>
      <c r="AL282" s="78" t="n">
        <v>0</v>
      </c>
    </row>
    <row r="283">
      <c r="A283" s="78" t="inlineStr">
        <is>
          <t>[동흥남동]</t>
        </is>
      </c>
      <c r="B283" s="78" t="n">
        <v>125193</v>
      </c>
      <c r="C283" s="78" t="n">
        <v>4</v>
      </c>
      <c r="D283" s="78" t="inlineStr">
        <is>
          <t>동영</t>
        </is>
      </c>
      <c r="E283" s="78" t="inlineStr">
        <is>
          <t>1989.06.</t>
        </is>
      </c>
      <c r="F283" s="78" t="n">
        <v>30</v>
      </c>
      <c r="G283" s="78" t="n">
        <v>29.12</v>
      </c>
      <c r="H283" s="78" t="n">
        <v>96.28</v>
      </c>
      <c r="I283" s="78" t="n">
        <v>25.28</v>
      </c>
      <c r="J283" s="78" t="n">
        <v>83.58</v>
      </c>
      <c r="K283" s="78" t="n">
        <v>5</v>
      </c>
      <c r="T283" s="78" t="n">
        <v>3</v>
      </c>
      <c r="U283" s="78" t="n">
        <v>2</v>
      </c>
      <c r="V283" s="78" t="inlineStr">
        <is>
          <t>계단식</t>
        </is>
      </c>
      <c r="W283" s="78" t="inlineStr">
        <is>
          <t>96C</t>
        </is>
      </c>
      <c r="X283" s="78" t="n">
        <v>5</v>
      </c>
      <c r="Y283" s="78" t="n">
        <v>5</v>
      </c>
      <c r="Z283" s="78" t="inlineStr">
        <is>
          <t>https://new.land.naver.com/complexes/125193?tab=detail&amp;rf=Y</t>
        </is>
      </c>
      <c r="AA283" s="78" t="inlineStr">
        <is>
          <t>전라북도 군산시 동흥남동 95-36</t>
        </is>
      </c>
      <c r="AB283" s="78" t="inlineStr">
        <is>
          <t>전라북도</t>
        </is>
      </c>
      <c r="AC283" s="78" t="inlineStr">
        <is>
          <t>군산시</t>
        </is>
      </c>
      <c r="AD283" s="78" t="inlineStr">
        <is>
          <t>동흥남동</t>
        </is>
      </c>
      <c r="AG283" s="78" t="inlineStr">
        <is>
          <t>전라북도 군산시 흥남2길 49-2</t>
        </is>
      </c>
      <c r="AH283" s="78" t="n">
        <v>0</v>
      </c>
      <c r="AI283" s="78" t="n">
        <v>0</v>
      </c>
      <c r="AJ283" s="78" t="n">
        <v>0</v>
      </c>
      <c r="AK283" s="78" t="n">
        <v>0</v>
      </c>
      <c r="AL283" s="78" t="n">
        <v>0</v>
      </c>
    </row>
    <row r="284">
      <c r="A284" s="78" t="inlineStr">
        <is>
          <t>[문화동]</t>
        </is>
      </c>
      <c r="B284" s="78" t="n">
        <v>14970</v>
      </c>
      <c r="C284" s="78" t="n">
        <v>1</v>
      </c>
      <c r="D284" s="78" t="inlineStr">
        <is>
          <t>문화</t>
        </is>
      </c>
      <c r="E284" s="78" t="inlineStr">
        <is>
          <t>1981.02.</t>
        </is>
      </c>
      <c r="F284" s="78" t="n">
        <v>100</v>
      </c>
      <c r="G284" s="78" t="n">
        <v>24</v>
      </c>
      <c r="H284" s="78" t="n">
        <v>79.34</v>
      </c>
      <c r="I284" s="78" t="n">
        <v>22.23</v>
      </c>
      <c r="J284" s="78" t="n">
        <v>73.5</v>
      </c>
      <c r="K284" s="78" t="n">
        <v>100</v>
      </c>
      <c r="T284" s="78" t="n">
        <v>3</v>
      </c>
      <c r="U284" s="78" t="n">
        <v>1</v>
      </c>
      <c r="V284" s="78" t="inlineStr">
        <is>
          <t>계단식</t>
        </is>
      </c>
      <c r="W284" s="78" t="n">
        <v>79</v>
      </c>
      <c r="X284" s="78" t="n">
        <v>5</v>
      </c>
      <c r="Y284" s="78" t="n">
        <v>5</v>
      </c>
      <c r="Z284" s="78" t="inlineStr">
        <is>
          <t>https://new.land.naver.com/complexes/14970?tab=detail&amp;rf=Y</t>
        </is>
      </c>
      <c r="AA284" s="78" t="inlineStr">
        <is>
          <t>전라북도 군산시 문화동 769-2</t>
        </is>
      </c>
      <c r="AB284" s="78" t="inlineStr">
        <is>
          <t>전라북도</t>
        </is>
      </c>
      <c r="AC284" s="78" t="inlineStr">
        <is>
          <t>군산시</t>
        </is>
      </c>
      <c r="AD284" s="78" t="inlineStr">
        <is>
          <t>문화동</t>
        </is>
      </c>
      <c r="AG284" s="78" t="inlineStr">
        <is>
          <t>전라북도 군산시 석치안길 7</t>
        </is>
      </c>
      <c r="AH284" s="78" t="n">
        <v>0</v>
      </c>
      <c r="AI284" s="78" t="n">
        <v>131</v>
      </c>
      <c r="AJ284" s="78" t="n">
        <v>26</v>
      </c>
      <c r="AK284" s="78" t="n">
        <v>0</v>
      </c>
      <c r="AL284" s="78" t="n">
        <v>0</v>
      </c>
    </row>
    <row r="285">
      <c r="A285" s="78" t="inlineStr">
        <is>
          <t>[문화동]</t>
        </is>
      </c>
      <c r="B285" s="78" t="n">
        <v>5035</v>
      </c>
      <c r="C285" s="78" t="n">
        <v>1</v>
      </c>
      <c r="D285" s="78" t="inlineStr">
        <is>
          <t>삼성</t>
        </is>
      </c>
      <c r="E285" s="78" t="inlineStr">
        <is>
          <t>1992.08.</t>
        </is>
      </c>
      <c r="F285" s="78" t="n">
        <v>716</v>
      </c>
      <c r="G285" s="78" t="n">
        <v>24.1</v>
      </c>
      <c r="H285" s="78" t="n">
        <v>79.69</v>
      </c>
      <c r="I285" s="78" t="n">
        <v>19.71</v>
      </c>
      <c r="J285" s="78" t="n">
        <v>65.16</v>
      </c>
      <c r="K285" s="78" t="n">
        <v>56</v>
      </c>
      <c r="T285" s="78" t="n">
        <v>3</v>
      </c>
      <c r="U285" s="78" t="n">
        <v>1</v>
      </c>
      <c r="V285" s="78" t="inlineStr">
        <is>
          <t>계단식</t>
        </is>
      </c>
      <c r="W285" s="78" t="n">
        <v>79</v>
      </c>
      <c r="X285" s="78" t="n">
        <v>15</v>
      </c>
      <c r="Y285" s="78" t="n">
        <v>12</v>
      </c>
      <c r="Z285" s="78" t="inlineStr">
        <is>
          <t>https://new.land.naver.com/complexes/5035?tab=detail&amp;rf=Y</t>
        </is>
      </c>
      <c r="AA285" s="78" t="inlineStr">
        <is>
          <t>전라북도 군산시 문화동 26</t>
        </is>
      </c>
      <c r="AB285" s="78" t="inlineStr">
        <is>
          <t>전라북도</t>
        </is>
      </c>
      <c r="AC285" s="78" t="inlineStr">
        <is>
          <t>군산시</t>
        </is>
      </c>
      <c r="AD285" s="78" t="inlineStr">
        <is>
          <t>문화동</t>
        </is>
      </c>
      <c r="AG285" s="78" t="inlineStr">
        <is>
          <t>전라북도 군산시 백토로 93</t>
        </is>
      </c>
      <c r="AH285" s="78" t="n">
        <v>0</v>
      </c>
      <c r="AI285" s="78" t="n">
        <v>0</v>
      </c>
      <c r="AJ285" s="78" t="n">
        <v>0</v>
      </c>
      <c r="AK285" s="78" t="n">
        <v>0</v>
      </c>
      <c r="AL285" s="78" t="n">
        <v>0</v>
      </c>
    </row>
    <row r="286">
      <c r="A286" s="78" t="inlineStr">
        <is>
          <t>[문화동]</t>
        </is>
      </c>
      <c r="B286" s="78" t="n">
        <v>5035</v>
      </c>
      <c r="C286" s="78" t="n">
        <v>2</v>
      </c>
      <c r="D286" s="78" t="inlineStr">
        <is>
          <t>삼성</t>
        </is>
      </c>
      <c r="E286" s="78" t="inlineStr">
        <is>
          <t>1992.08.</t>
        </is>
      </c>
      <c r="F286" s="78" t="n">
        <v>716</v>
      </c>
      <c r="G286" s="78" t="n">
        <v>28.15</v>
      </c>
      <c r="H286" s="78" t="n">
        <v>93.08</v>
      </c>
      <c r="I286" s="78" t="n">
        <v>22.99</v>
      </c>
      <c r="J286" s="78" t="n">
        <v>76.02</v>
      </c>
      <c r="K286" s="78" t="n">
        <v>198</v>
      </c>
      <c r="T286" s="78" t="n">
        <v>3</v>
      </c>
      <c r="U286" s="78" t="n">
        <v>1</v>
      </c>
      <c r="V286" s="78" t="inlineStr">
        <is>
          <t>계단식</t>
        </is>
      </c>
      <c r="W286" s="78" t="n">
        <v>93</v>
      </c>
      <c r="X286" s="78" t="n">
        <v>15</v>
      </c>
      <c r="Y286" s="78" t="n">
        <v>12</v>
      </c>
      <c r="Z286" s="78" t="inlineStr">
        <is>
          <t>https://new.land.naver.com/complexes/5035?tab=detail&amp;rf=Y</t>
        </is>
      </c>
      <c r="AA286" s="78" t="inlineStr">
        <is>
          <t>전라북도 군산시 문화동 26</t>
        </is>
      </c>
      <c r="AB286" s="78" t="inlineStr">
        <is>
          <t>전라북도</t>
        </is>
      </c>
      <c r="AC286" s="78" t="inlineStr">
        <is>
          <t>군산시</t>
        </is>
      </c>
      <c r="AD286" s="78" t="inlineStr">
        <is>
          <t>문화동</t>
        </is>
      </c>
      <c r="AG286" s="78" t="inlineStr">
        <is>
          <t>전라북도 군산시 백토로 93</t>
        </is>
      </c>
      <c r="AH286" s="78" t="n">
        <v>0</v>
      </c>
      <c r="AI286" s="78" t="n">
        <v>0</v>
      </c>
      <c r="AJ286" s="78" t="n">
        <v>0</v>
      </c>
      <c r="AK286" s="78" t="n">
        <v>0</v>
      </c>
      <c r="AL286" s="78" t="n">
        <v>0</v>
      </c>
    </row>
    <row r="287">
      <c r="A287" s="78" t="inlineStr">
        <is>
          <t>[문화동]</t>
        </is>
      </c>
      <c r="B287" s="78" t="n">
        <v>5035</v>
      </c>
      <c r="C287" s="78" t="n">
        <v>3</v>
      </c>
      <c r="D287" s="78" t="inlineStr">
        <is>
          <t>삼성</t>
        </is>
      </c>
      <c r="E287" s="78" t="inlineStr">
        <is>
          <t>1992.08.</t>
        </is>
      </c>
      <c r="F287" s="78" t="n">
        <v>716</v>
      </c>
      <c r="G287" s="78" t="n">
        <v>31.46</v>
      </c>
      <c r="H287" s="78" t="n">
        <v>104.01</v>
      </c>
      <c r="I287" s="78" t="n">
        <v>25.67</v>
      </c>
      <c r="J287" s="78" t="n">
        <v>84.87</v>
      </c>
      <c r="K287" s="78" t="n">
        <v>462</v>
      </c>
      <c r="T287" s="78" t="n">
        <v>3</v>
      </c>
      <c r="U287" s="78" t="n">
        <v>2</v>
      </c>
      <c r="V287" s="78" t="inlineStr">
        <is>
          <t>계단식</t>
        </is>
      </c>
      <c r="W287" s="78" t="n">
        <v>104</v>
      </c>
      <c r="X287" s="78" t="n">
        <v>15</v>
      </c>
      <c r="Y287" s="78" t="n">
        <v>12</v>
      </c>
      <c r="Z287" s="78" t="inlineStr">
        <is>
          <t>https://new.land.naver.com/complexes/5035?tab=detail&amp;rf=Y</t>
        </is>
      </c>
      <c r="AA287" s="78" t="inlineStr">
        <is>
          <t>전라북도 군산시 문화동 26</t>
        </is>
      </c>
      <c r="AB287" s="78" t="inlineStr">
        <is>
          <t>전라북도</t>
        </is>
      </c>
      <c r="AC287" s="78" t="inlineStr">
        <is>
          <t>군산시</t>
        </is>
      </c>
      <c r="AD287" s="78" t="inlineStr">
        <is>
          <t>문화동</t>
        </is>
      </c>
      <c r="AG287" s="78" t="inlineStr">
        <is>
          <t>전라북도 군산시 백토로 93</t>
        </is>
      </c>
      <c r="AH287" s="78" t="n">
        <v>0</v>
      </c>
      <c r="AI287" s="78" t="n">
        <v>0</v>
      </c>
      <c r="AJ287" s="78" t="n">
        <v>0</v>
      </c>
      <c r="AK287" s="78" t="n">
        <v>0</v>
      </c>
      <c r="AL287" s="78" t="n">
        <v>0</v>
      </c>
    </row>
    <row r="288">
      <c r="A288" s="78" t="inlineStr">
        <is>
          <t>[문화동]</t>
        </is>
      </c>
      <c r="B288" s="78" t="n">
        <v>24248</v>
      </c>
      <c r="C288" s="78" t="n">
        <v>1</v>
      </c>
      <c r="D288" s="78" t="inlineStr">
        <is>
          <t>다우미빌</t>
        </is>
      </c>
      <c r="E288" s="78" t="inlineStr">
        <is>
          <t>2002.12.</t>
        </is>
      </c>
      <c r="F288" s="78" t="n">
        <v>90</v>
      </c>
      <c r="G288" s="78" t="n">
        <v>31.19</v>
      </c>
      <c r="H288" s="78" t="n">
        <v>103.11</v>
      </c>
      <c r="I288" s="78" t="n">
        <v>25.7</v>
      </c>
      <c r="J288" s="78" t="n">
        <v>84.95999999999999</v>
      </c>
      <c r="K288" s="78" t="n">
        <v>90</v>
      </c>
      <c r="T288" s="78" t="n">
        <v>3</v>
      </c>
      <c r="U288" s="78" t="n">
        <v>2</v>
      </c>
      <c r="V288" s="78" t="inlineStr">
        <is>
          <t>계단식</t>
        </is>
      </c>
      <c r="W288" s="78" t="n">
        <v>103</v>
      </c>
      <c r="X288" s="78" t="n">
        <v>15</v>
      </c>
      <c r="Y288" s="78" t="n">
        <v>15</v>
      </c>
      <c r="Z288" s="78" t="inlineStr">
        <is>
          <t>https://new.land.naver.com/complexes/24248?tab=detail&amp;rf=Y</t>
        </is>
      </c>
      <c r="AA288" s="78" t="inlineStr">
        <is>
          <t>전라북도 군산시 문화동 904</t>
        </is>
      </c>
      <c r="AB288" s="78" t="inlineStr">
        <is>
          <t>전라북도</t>
        </is>
      </c>
      <c r="AC288" s="78" t="inlineStr">
        <is>
          <t>군산시</t>
        </is>
      </c>
      <c r="AD288" s="78" t="inlineStr">
        <is>
          <t>문화동</t>
        </is>
      </c>
      <c r="AG288" s="78" t="inlineStr">
        <is>
          <t>전라북도 군산시 서흥길 24</t>
        </is>
      </c>
      <c r="AH288" s="78" t="n">
        <v>0</v>
      </c>
      <c r="AI288" s="78" t="n">
        <v>206</v>
      </c>
      <c r="AJ288" s="78" t="n">
        <v>16</v>
      </c>
      <c r="AK288" s="78" t="n">
        <v>93</v>
      </c>
      <c r="AL288" s="78" t="n">
        <v>1.03</v>
      </c>
    </row>
    <row r="289">
      <c r="A289" s="78" t="inlineStr">
        <is>
          <t>[문화동]</t>
        </is>
      </c>
      <c r="B289" s="78" t="n">
        <v>110388</v>
      </c>
      <c r="C289" s="78" t="n">
        <v>1</v>
      </c>
      <c r="D289" s="78" t="inlineStr">
        <is>
          <t>쉘브르타운</t>
        </is>
      </c>
      <c r="E289" s="78" t="inlineStr">
        <is>
          <t>2014.05.</t>
        </is>
      </c>
      <c r="F289" s="78" t="n">
        <v>28</v>
      </c>
      <c r="G289" s="78" t="n">
        <v>25.48</v>
      </c>
      <c r="H289" s="78" t="n">
        <v>84.25</v>
      </c>
      <c r="I289" s="78" t="n">
        <v>18.06</v>
      </c>
      <c r="J289" s="78" t="n">
        <v>59.72</v>
      </c>
      <c r="K289" s="78" t="n">
        <v>21</v>
      </c>
      <c r="T289" s="78" t="n">
        <v>3</v>
      </c>
      <c r="U289" s="78" t="n">
        <v>1</v>
      </c>
      <c r="V289" s="78" t="inlineStr">
        <is>
          <t>계단식</t>
        </is>
      </c>
      <c r="W289" s="78" t="n">
        <v>84</v>
      </c>
      <c r="X289" s="78" t="n">
        <v>8</v>
      </c>
      <c r="Y289" s="78" t="n">
        <v>8</v>
      </c>
      <c r="Z289" s="78" t="inlineStr">
        <is>
          <t>https://new.land.naver.com/complexes/110388?tab=detail&amp;rf=Y</t>
        </is>
      </c>
      <c r="AA289" s="78" t="inlineStr">
        <is>
          <t>전라북도 군산시 문화동 935</t>
        </is>
      </c>
      <c r="AB289" s="78" t="inlineStr">
        <is>
          <t>전라북도</t>
        </is>
      </c>
      <c r="AC289" s="78" t="inlineStr">
        <is>
          <t>군산시</t>
        </is>
      </c>
      <c r="AD289" s="78" t="inlineStr">
        <is>
          <t>문화동</t>
        </is>
      </c>
      <c r="AG289" s="78" t="inlineStr">
        <is>
          <t>전라북도 군산시 문화2길 11</t>
        </is>
      </c>
      <c r="AH289" s="78" t="n">
        <v>0</v>
      </c>
      <c r="AI289" s="78" t="n">
        <v>239</v>
      </c>
      <c r="AJ289" s="78" t="n">
        <v>38</v>
      </c>
      <c r="AK289" s="78" t="n">
        <v>22</v>
      </c>
      <c r="AL289" s="78" t="n">
        <v>0.79</v>
      </c>
    </row>
    <row r="290">
      <c r="A290" s="78" t="inlineStr">
        <is>
          <t>[문화동]</t>
        </is>
      </c>
      <c r="B290" s="78" t="n">
        <v>110388</v>
      </c>
      <c r="C290" s="78" t="n">
        <v>2</v>
      </c>
      <c r="D290" s="78" t="inlineStr">
        <is>
          <t>쉘브르타운</t>
        </is>
      </c>
      <c r="E290" s="78" t="inlineStr">
        <is>
          <t>2014.05.</t>
        </is>
      </c>
      <c r="F290" s="78" t="n">
        <v>28</v>
      </c>
      <c r="G290" s="78" t="n">
        <v>26.22</v>
      </c>
      <c r="H290" s="78" t="n">
        <v>86.69</v>
      </c>
      <c r="I290" s="78" t="n">
        <v>18.58</v>
      </c>
      <c r="J290" s="78" t="n">
        <v>61.45</v>
      </c>
      <c r="K290" s="78" t="n">
        <v>7</v>
      </c>
      <c r="T290" s="78" t="n">
        <v>3</v>
      </c>
      <c r="U290" s="78" t="n">
        <v>1</v>
      </c>
      <c r="V290" s="78" t="inlineStr">
        <is>
          <t>계단식</t>
        </is>
      </c>
      <c r="W290" s="78" t="n">
        <v>86</v>
      </c>
      <c r="X290" s="78" t="n">
        <v>8</v>
      </c>
      <c r="Y290" s="78" t="n">
        <v>8</v>
      </c>
      <c r="Z290" s="78" t="inlineStr">
        <is>
          <t>https://new.land.naver.com/complexes/110388?tab=detail&amp;rf=Y</t>
        </is>
      </c>
      <c r="AA290" s="78" t="inlineStr">
        <is>
          <t>전라북도 군산시 문화동 935</t>
        </is>
      </c>
      <c r="AB290" s="78" t="inlineStr">
        <is>
          <t>전라북도</t>
        </is>
      </c>
      <c r="AC290" s="78" t="inlineStr">
        <is>
          <t>군산시</t>
        </is>
      </c>
      <c r="AD290" s="78" t="inlineStr">
        <is>
          <t>문화동</t>
        </is>
      </c>
      <c r="AG290" s="78" t="inlineStr">
        <is>
          <t>전라북도 군산시 문화2길 11</t>
        </is>
      </c>
      <c r="AH290" s="78" t="n">
        <v>0</v>
      </c>
      <c r="AI290" s="78" t="n">
        <v>239</v>
      </c>
      <c r="AJ290" s="78" t="n">
        <v>38</v>
      </c>
      <c r="AK290" s="78" t="n">
        <v>22</v>
      </c>
      <c r="AL290" s="78" t="n">
        <v>0.79</v>
      </c>
    </row>
    <row r="291">
      <c r="A291" s="78" t="inlineStr">
        <is>
          <t>[미룡동]</t>
        </is>
      </c>
      <c r="B291" s="78" t="n">
        <v>104842</v>
      </c>
      <c r="C291" s="78" t="n">
        <v>1</v>
      </c>
      <c r="D291" s="78" t="inlineStr">
        <is>
          <t>미룡대명1차</t>
        </is>
      </c>
      <c r="E291" s="78" t="inlineStr">
        <is>
          <t>1998.06.</t>
        </is>
      </c>
      <c r="F291" s="78" t="n">
        <v>498</v>
      </c>
      <c r="G291" s="78" t="n">
        <v>16.3</v>
      </c>
      <c r="H291" s="78" t="n">
        <v>53.9</v>
      </c>
      <c r="I291" s="78" t="n">
        <v>12.08</v>
      </c>
      <c r="J291" s="78" t="n">
        <v>39.96</v>
      </c>
      <c r="K291" s="78" t="n">
        <v>498</v>
      </c>
      <c r="T291" s="78" t="n">
        <v>2</v>
      </c>
      <c r="U291" s="78" t="n">
        <v>1</v>
      </c>
      <c r="V291" s="78" t="inlineStr">
        <is>
          <t>계단식</t>
        </is>
      </c>
      <c r="W291" s="78" t="n">
        <v>53</v>
      </c>
      <c r="X291" s="78" t="n">
        <v>18</v>
      </c>
      <c r="Y291" s="78" t="n">
        <v>13</v>
      </c>
      <c r="Z291" s="78" t="inlineStr">
        <is>
          <t>https://new.land.naver.com/complexes/104842?tab=detail&amp;rf=Y</t>
        </is>
      </c>
      <c r="AA291" s="78" t="inlineStr">
        <is>
          <t>전라북도 군산시 미룡동 858</t>
        </is>
      </c>
      <c r="AB291" s="78" t="inlineStr">
        <is>
          <t>전라북도</t>
        </is>
      </c>
      <c r="AC291" s="78" t="inlineStr">
        <is>
          <t>군산시</t>
        </is>
      </c>
      <c r="AD291" s="78" t="inlineStr">
        <is>
          <t>미룡동</t>
        </is>
      </c>
      <c r="AG291" s="78" t="inlineStr">
        <is>
          <t>전라북도 군산시 칠성4길 20</t>
        </is>
      </c>
      <c r="AH291" s="78" t="n">
        <v>0</v>
      </c>
      <c r="AI291" s="78" t="n">
        <v>0</v>
      </c>
      <c r="AJ291" s="78" t="n">
        <v>0</v>
      </c>
      <c r="AK291" s="78" t="n">
        <v>0</v>
      </c>
      <c r="AL291" s="78" t="n">
        <v>0</v>
      </c>
    </row>
    <row r="292">
      <c r="A292" s="78" t="inlineStr">
        <is>
          <t>[미룡동]</t>
        </is>
      </c>
      <c r="B292" s="78" t="n">
        <v>27505</v>
      </c>
      <c r="C292" s="78" t="n">
        <v>1</v>
      </c>
      <c r="D292" s="78" t="inlineStr">
        <is>
          <t>금광베네스타</t>
        </is>
      </c>
      <c r="E292" s="78" t="inlineStr">
        <is>
          <t>2008.12.</t>
        </is>
      </c>
      <c r="F292" s="78" t="n">
        <v>950</v>
      </c>
      <c r="G292" s="78" t="n">
        <v>33.35</v>
      </c>
      <c r="H292" s="78" t="n">
        <v>110.25</v>
      </c>
      <c r="I292" s="78" t="n">
        <v>25.61</v>
      </c>
      <c r="J292" s="78" t="n">
        <v>84.67</v>
      </c>
      <c r="K292" s="78" t="n">
        <v>120</v>
      </c>
      <c r="T292" s="78" t="n">
        <v>3</v>
      </c>
      <c r="U292" s="78" t="n">
        <v>2</v>
      </c>
      <c r="V292" s="78" t="inlineStr">
        <is>
          <t>복도식</t>
        </is>
      </c>
      <c r="W292" s="78" t="inlineStr">
        <is>
          <t>110A</t>
        </is>
      </c>
      <c r="X292" s="78" t="n">
        <v>20</v>
      </c>
      <c r="Y292" s="78" t="n">
        <v>20</v>
      </c>
      <c r="Z292" s="78" t="inlineStr">
        <is>
          <t>https://new.land.naver.com/complexes/27505?tab=detail&amp;rf=Y</t>
        </is>
      </c>
      <c r="AA292" s="78" t="inlineStr">
        <is>
          <t>전라북도 군산시 미룡동 71</t>
        </is>
      </c>
      <c r="AB292" s="78" t="inlineStr">
        <is>
          <t>전라북도</t>
        </is>
      </c>
      <c r="AC292" s="78" t="inlineStr">
        <is>
          <t>군산시</t>
        </is>
      </c>
      <c r="AD292" s="78" t="inlineStr">
        <is>
          <t>미룡동</t>
        </is>
      </c>
      <c r="AG292" s="78" t="inlineStr">
        <is>
          <t>전라북도 군산시 용둔길 12</t>
        </is>
      </c>
      <c r="AH292" s="78" t="n">
        <v>0</v>
      </c>
      <c r="AI292" s="78" t="n">
        <v>249</v>
      </c>
      <c r="AJ292" s="78" t="n">
        <v>15</v>
      </c>
      <c r="AK292" s="78" t="n">
        <v>1618</v>
      </c>
      <c r="AL292" s="78" t="n">
        <v>1.7</v>
      </c>
    </row>
    <row r="293">
      <c r="A293" s="78" t="inlineStr">
        <is>
          <t>[미룡동]</t>
        </is>
      </c>
      <c r="B293" s="78" t="n">
        <v>27505</v>
      </c>
      <c r="C293" s="78" t="n">
        <v>2</v>
      </c>
      <c r="D293" s="78" t="inlineStr">
        <is>
          <t>금광베네스타</t>
        </is>
      </c>
      <c r="E293" s="78" t="inlineStr">
        <is>
          <t>2008.12.</t>
        </is>
      </c>
      <c r="F293" s="78" t="n">
        <v>950</v>
      </c>
      <c r="G293" s="78" t="n">
        <v>33.41</v>
      </c>
      <c r="H293" s="78" t="n">
        <v>110.45</v>
      </c>
      <c r="I293" s="78" t="n">
        <v>25.66</v>
      </c>
      <c r="J293" s="78" t="n">
        <v>84.83</v>
      </c>
      <c r="K293" s="78" t="n">
        <v>39</v>
      </c>
      <c r="T293" s="78" t="n">
        <v>3</v>
      </c>
      <c r="U293" s="78" t="n">
        <v>2</v>
      </c>
      <c r="V293" s="78" t="inlineStr">
        <is>
          <t>복도식</t>
        </is>
      </c>
      <c r="W293" s="78" t="inlineStr">
        <is>
          <t>110B</t>
        </is>
      </c>
      <c r="X293" s="78" t="n">
        <v>20</v>
      </c>
      <c r="Y293" s="78" t="n">
        <v>20</v>
      </c>
      <c r="Z293" s="78" t="inlineStr">
        <is>
          <t>https://new.land.naver.com/complexes/27505?tab=detail&amp;rf=Y</t>
        </is>
      </c>
      <c r="AA293" s="78" t="inlineStr">
        <is>
          <t>전라북도 군산시 미룡동 71</t>
        </is>
      </c>
      <c r="AB293" s="78" t="inlineStr">
        <is>
          <t>전라북도</t>
        </is>
      </c>
      <c r="AC293" s="78" t="inlineStr">
        <is>
          <t>군산시</t>
        </is>
      </c>
      <c r="AD293" s="78" t="inlineStr">
        <is>
          <t>미룡동</t>
        </is>
      </c>
      <c r="AG293" s="78" t="inlineStr">
        <is>
          <t>전라북도 군산시 용둔길 12</t>
        </is>
      </c>
      <c r="AH293" s="78" t="n">
        <v>0</v>
      </c>
      <c r="AI293" s="78" t="n">
        <v>249</v>
      </c>
      <c r="AJ293" s="78" t="n">
        <v>15</v>
      </c>
      <c r="AK293" s="78" t="n">
        <v>1618</v>
      </c>
      <c r="AL293" s="78" t="n">
        <v>1.7</v>
      </c>
    </row>
    <row r="294">
      <c r="A294" s="78" t="inlineStr">
        <is>
          <t>[미룡동]</t>
        </is>
      </c>
      <c r="B294" s="78" t="n">
        <v>27505</v>
      </c>
      <c r="C294" s="78" t="n">
        <v>3</v>
      </c>
      <c r="D294" s="78" t="inlineStr">
        <is>
          <t>금광베네스타</t>
        </is>
      </c>
      <c r="E294" s="78" t="inlineStr">
        <is>
          <t>2008.12.</t>
        </is>
      </c>
      <c r="F294" s="78" t="n">
        <v>950</v>
      </c>
      <c r="G294" s="78" t="n">
        <v>33.78</v>
      </c>
      <c r="H294" s="78" t="n">
        <v>111.67</v>
      </c>
      <c r="I294" s="78" t="n">
        <v>25.69</v>
      </c>
      <c r="J294" s="78" t="n">
        <v>84.95</v>
      </c>
      <c r="K294" s="78" t="n">
        <v>40</v>
      </c>
      <c r="T294" s="78" t="n">
        <v>3</v>
      </c>
      <c r="U294" s="78" t="n">
        <v>2</v>
      </c>
      <c r="V294" s="78" t="inlineStr">
        <is>
          <t>복도식</t>
        </is>
      </c>
      <c r="W294" s="78" t="inlineStr">
        <is>
          <t>111C</t>
        </is>
      </c>
      <c r="X294" s="78" t="n">
        <v>20</v>
      </c>
      <c r="Y294" s="78" t="n">
        <v>20</v>
      </c>
      <c r="Z294" s="78" t="inlineStr">
        <is>
          <t>https://new.land.naver.com/complexes/27505?tab=detail&amp;rf=Y</t>
        </is>
      </c>
      <c r="AA294" s="78" t="inlineStr">
        <is>
          <t>전라북도 군산시 미룡동 71</t>
        </is>
      </c>
      <c r="AB294" s="78" t="inlineStr">
        <is>
          <t>전라북도</t>
        </is>
      </c>
      <c r="AC294" s="78" t="inlineStr">
        <is>
          <t>군산시</t>
        </is>
      </c>
      <c r="AD294" s="78" t="inlineStr">
        <is>
          <t>미룡동</t>
        </is>
      </c>
      <c r="AG294" s="78" t="inlineStr">
        <is>
          <t>전라북도 군산시 용둔길 12</t>
        </is>
      </c>
      <c r="AH294" s="78" t="n">
        <v>0</v>
      </c>
      <c r="AI294" s="78" t="n">
        <v>249</v>
      </c>
      <c r="AJ294" s="78" t="n">
        <v>15</v>
      </c>
      <c r="AK294" s="78" t="n">
        <v>1618</v>
      </c>
      <c r="AL294" s="78" t="n">
        <v>1.7</v>
      </c>
    </row>
    <row r="295">
      <c r="A295" s="78" t="inlineStr">
        <is>
          <t>[미룡동]</t>
        </is>
      </c>
      <c r="B295" s="78" t="n">
        <v>27505</v>
      </c>
      <c r="C295" s="78" t="n">
        <v>4</v>
      </c>
      <c r="D295" s="78" t="inlineStr">
        <is>
          <t>금광베네스타</t>
        </is>
      </c>
      <c r="E295" s="78" t="inlineStr">
        <is>
          <t>2008.12.</t>
        </is>
      </c>
      <c r="F295" s="78" t="n">
        <v>950</v>
      </c>
      <c r="G295" s="78" t="n">
        <v>44.31</v>
      </c>
      <c r="H295" s="78" t="n">
        <v>146.48</v>
      </c>
      <c r="I295" s="78" t="n">
        <v>34.33</v>
      </c>
      <c r="J295" s="78" t="n">
        <v>113.52</v>
      </c>
      <c r="K295" s="78" t="n">
        <v>114</v>
      </c>
      <c r="T295" s="78" t="n">
        <v>3</v>
      </c>
      <c r="U295" s="78" t="n">
        <v>2</v>
      </c>
      <c r="V295" s="78" t="inlineStr">
        <is>
          <t>복도식</t>
        </is>
      </c>
      <c r="W295" s="78" t="n">
        <v>146</v>
      </c>
      <c r="X295" s="78" t="n">
        <v>20</v>
      </c>
      <c r="Y295" s="78" t="n">
        <v>20</v>
      </c>
      <c r="Z295" s="78" t="inlineStr">
        <is>
          <t>https://new.land.naver.com/complexes/27505?tab=detail&amp;rf=Y</t>
        </is>
      </c>
      <c r="AA295" s="78" t="inlineStr">
        <is>
          <t>전라북도 군산시 미룡동 71</t>
        </is>
      </c>
      <c r="AB295" s="78" t="inlineStr">
        <is>
          <t>전라북도</t>
        </is>
      </c>
      <c r="AC295" s="78" t="inlineStr">
        <is>
          <t>군산시</t>
        </is>
      </c>
      <c r="AD295" s="78" t="inlineStr">
        <is>
          <t>미룡동</t>
        </is>
      </c>
      <c r="AG295" s="78" t="inlineStr">
        <is>
          <t>전라북도 군산시 용둔길 12</t>
        </is>
      </c>
      <c r="AH295" s="78" t="n">
        <v>0</v>
      </c>
      <c r="AI295" s="78" t="n">
        <v>249</v>
      </c>
      <c r="AJ295" s="78" t="n">
        <v>15</v>
      </c>
      <c r="AK295" s="78" t="n">
        <v>1618</v>
      </c>
      <c r="AL295" s="78" t="n">
        <v>1.7</v>
      </c>
    </row>
    <row r="296">
      <c r="A296" s="78" t="inlineStr">
        <is>
          <t>[미룡동]</t>
        </is>
      </c>
      <c r="B296" s="78" t="n">
        <v>27505</v>
      </c>
      <c r="C296" s="78" t="n">
        <v>5</v>
      </c>
      <c r="D296" s="78" t="inlineStr">
        <is>
          <t>금광베네스타</t>
        </is>
      </c>
      <c r="E296" s="78" t="inlineStr">
        <is>
          <t>2008.12.</t>
        </is>
      </c>
      <c r="F296" s="78" t="n">
        <v>950</v>
      </c>
      <c r="G296" s="78" t="n">
        <v>48.4</v>
      </c>
      <c r="H296" s="78" t="n">
        <v>160.02</v>
      </c>
      <c r="I296" s="78" t="n">
        <v>39.57</v>
      </c>
      <c r="J296" s="78" t="n">
        <v>130.82</v>
      </c>
      <c r="K296" s="78" t="n">
        <v>320</v>
      </c>
      <c r="T296" s="78" t="n">
        <v>4</v>
      </c>
      <c r="U296" s="78" t="n">
        <v>2</v>
      </c>
      <c r="V296" s="78" t="inlineStr">
        <is>
          <t>복도식</t>
        </is>
      </c>
      <c r="W296" s="78" t="inlineStr">
        <is>
          <t>160A</t>
        </is>
      </c>
      <c r="X296" s="78" t="n">
        <v>20</v>
      </c>
      <c r="Y296" s="78" t="n">
        <v>20</v>
      </c>
      <c r="Z296" s="78" t="inlineStr">
        <is>
          <t>https://new.land.naver.com/complexes/27505?tab=detail&amp;rf=Y</t>
        </is>
      </c>
      <c r="AA296" s="78" t="inlineStr">
        <is>
          <t>전라북도 군산시 미룡동 71</t>
        </is>
      </c>
      <c r="AB296" s="78" t="inlineStr">
        <is>
          <t>전라북도</t>
        </is>
      </c>
      <c r="AC296" s="78" t="inlineStr">
        <is>
          <t>군산시</t>
        </is>
      </c>
      <c r="AD296" s="78" t="inlineStr">
        <is>
          <t>미룡동</t>
        </is>
      </c>
      <c r="AG296" s="78" t="inlineStr">
        <is>
          <t>전라북도 군산시 용둔길 12</t>
        </is>
      </c>
      <c r="AH296" s="78" t="n">
        <v>0</v>
      </c>
      <c r="AI296" s="78" t="n">
        <v>249</v>
      </c>
      <c r="AJ296" s="78" t="n">
        <v>15</v>
      </c>
      <c r="AK296" s="78" t="n">
        <v>1618</v>
      </c>
      <c r="AL296" s="78" t="n">
        <v>1.7</v>
      </c>
    </row>
    <row r="297">
      <c r="A297" s="78" t="inlineStr">
        <is>
          <t>[미룡동]</t>
        </is>
      </c>
      <c r="B297" s="78" t="n">
        <v>27505</v>
      </c>
      <c r="C297" s="78" t="n">
        <v>6</v>
      </c>
      <c r="D297" s="78" t="inlineStr">
        <is>
          <t>금광베네스타</t>
        </is>
      </c>
      <c r="E297" s="78" t="inlineStr">
        <is>
          <t>2008.12.</t>
        </is>
      </c>
      <c r="F297" s="78" t="n">
        <v>950</v>
      </c>
      <c r="G297" s="78" t="n">
        <v>48.4</v>
      </c>
      <c r="H297" s="78" t="n">
        <v>160.02</v>
      </c>
      <c r="I297" s="78" t="n">
        <v>39.57</v>
      </c>
      <c r="J297" s="78" t="n">
        <v>130.82</v>
      </c>
      <c r="K297" s="78" t="n">
        <v>78</v>
      </c>
      <c r="T297" s="78" t="n">
        <v>4</v>
      </c>
      <c r="U297" s="78" t="n">
        <v>2</v>
      </c>
      <c r="V297" s="78" t="inlineStr">
        <is>
          <t>복도식</t>
        </is>
      </c>
      <c r="W297" s="78" t="inlineStr">
        <is>
          <t>160B</t>
        </is>
      </c>
      <c r="X297" s="78" t="n">
        <v>20</v>
      </c>
      <c r="Y297" s="78" t="n">
        <v>20</v>
      </c>
      <c r="Z297" s="78" t="inlineStr">
        <is>
          <t>https://new.land.naver.com/complexes/27505?tab=detail&amp;rf=Y</t>
        </is>
      </c>
      <c r="AA297" s="78" t="inlineStr">
        <is>
          <t>전라북도 군산시 미룡동 71</t>
        </is>
      </c>
      <c r="AB297" s="78" t="inlineStr">
        <is>
          <t>전라북도</t>
        </is>
      </c>
      <c r="AC297" s="78" t="inlineStr">
        <is>
          <t>군산시</t>
        </is>
      </c>
      <c r="AD297" s="78" t="inlineStr">
        <is>
          <t>미룡동</t>
        </is>
      </c>
      <c r="AG297" s="78" t="inlineStr">
        <is>
          <t>전라북도 군산시 용둔길 12</t>
        </is>
      </c>
      <c r="AH297" s="78" t="n">
        <v>0</v>
      </c>
      <c r="AI297" s="78" t="n">
        <v>249</v>
      </c>
      <c r="AJ297" s="78" t="n">
        <v>15</v>
      </c>
      <c r="AK297" s="78" t="n">
        <v>1618</v>
      </c>
      <c r="AL297" s="78" t="n">
        <v>1.7</v>
      </c>
    </row>
    <row r="298">
      <c r="A298" s="78" t="inlineStr">
        <is>
          <t>[미룡동]</t>
        </is>
      </c>
      <c r="B298" s="78" t="n">
        <v>27505</v>
      </c>
      <c r="C298" s="78" t="n">
        <v>7</v>
      </c>
      <c r="D298" s="78" t="inlineStr">
        <is>
          <t>금광베네스타</t>
        </is>
      </c>
      <c r="E298" s="78" t="inlineStr">
        <is>
          <t>2008.12.</t>
        </is>
      </c>
      <c r="F298" s="78" t="n">
        <v>950</v>
      </c>
      <c r="G298" s="78" t="n">
        <v>53.43</v>
      </c>
      <c r="H298" s="78" t="n">
        <v>176.63</v>
      </c>
      <c r="I298" s="78" t="n">
        <v>42.27</v>
      </c>
      <c r="J298" s="78" t="n">
        <v>139.76</v>
      </c>
      <c r="K298" s="78" t="n">
        <v>160</v>
      </c>
      <c r="T298" s="78" t="n">
        <v>4</v>
      </c>
      <c r="U298" s="78" t="n">
        <v>2</v>
      </c>
      <c r="V298" s="78" t="inlineStr">
        <is>
          <t>복도식</t>
        </is>
      </c>
      <c r="W298" s="78" t="n">
        <v>176</v>
      </c>
      <c r="X298" s="78" t="n">
        <v>20</v>
      </c>
      <c r="Y298" s="78" t="n">
        <v>20</v>
      </c>
      <c r="Z298" s="78" t="inlineStr">
        <is>
          <t>https://new.land.naver.com/complexes/27505?tab=detail&amp;rf=Y</t>
        </is>
      </c>
      <c r="AA298" s="78" t="inlineStr">
        <is>
          <t>전라북도 군산시 미룡동 71</t>
        </is>
      </c>
      <c r="AB298" s="78" t="inlineStr">
        <is>
          <t>전라북도</t>
        </is>
      </c>
      <c r="AC298" s="78" t="inlineStr">
        <is>
          <t>군산시</t>
        </is>
      </c>
      <c r="AD298" s="78" t="inlineStr">
        <is>
          <t>미룡동</t>
        </is>
      </c>
      <c r="AG298" s="78" t="inlineStr">
        <is>
          <t>전라북도 군산시 용둔길 12</t>
        </is>
      </c>
      <c r="AH298" s="78" t="n">
        <v>0</v>
      </c>
      <c r="AI298" s="78" t="n">
        <v>249</v>
      </c>
      <c r="AJ298" s="78" t="n">
        <v>15</v>
      </c>
      <c r="AK298" s="78" t="n">
        <v>1618</v>
      </c>
      <c r="AL298" s="78" t="n">
        <v>1.7</v>
      </c>
    </row>
    <row r="299">
      <c r="A299" s="78" t="inlineStr">
        <is>
          <t>[미룡동]</t>
        </is>
      </c>
      <c r="B299" s="78" t="n">
        <v>27505</v>
      </c>
      <c r="C299" s="78" t="n">
        <v>8</v>
      </c>
      <c r="D299" s="78" t="inlineStr">
        <is>
          <t>금광베네스타</t>
        </is>
      </c>
      <c r="E299" s="78" t="inlineStr">
        <is>
          <t>2008.12.</t>
        </is>
      </c>
      <c r="F299" s="78" t="n">
        <v>950</v>
      </c>
      <c r="G299" s="78" t="n">
        <v>61.46</v>
      </c>
      <c r="H299" s="78" t="n">
        <v>203.19</v>
      </c>
      <c r="I299" s="78" t="n">
        <v>52.07</v>
      </c>
      <c r="J299" s="78" t="n">
        <v>172.15</v>
      </c>
      <c r="K299" s="78" t="n">
        <v>40</v>
      </c>
      <c r="T299" s="78" t="n">
        <v>4</v>
      </c>
      <c r="U299" s="78" t="n">
        <v>2</v>
      </c>
      <c r="V299" s="78" t="inlineStr">
        <is>
          <t>복도식</t>
        </is>
      </c>
      <c r="W299" s="78" t="inlineStr">
        <is>
          <t>203B</t>
        </is>
      </c>
      <c r="X299" s="78" t="n">
        <v>20</v>
      </c>
      <c r="Y299" s="78" t="n">
        <v>20</v>
      </c>
      <c r="Z299" s="78" t="inlineStr">
        <is>
          <t>https://new.land.naver.com/complexes/27505?tab=detail&amp;rf=Y</t>
        </is>
      </c>
      <c r="AA299" s="78" t="inlineStr">
        <is>
          <t>전라북도 군산시 미룡동 71</t>
        </is>
      </c>
      <c r="AB299" s="78" t="inlineStr">
        <is>
          <t>전라북도</t>
        </is>
      </c>
      <c r="AC299" s="78" t="inlineStr">
        <is>
          <t>군산시</t>
        </is>
      </c>
      <c r="AD299" s="78" t="inlineStr">
        <is>
          <t>미룡동</t>
        </is>
      </c>
      <c r="AG299" s="78" t="inlineStr">
        <is>
          <t>전라북도 군산시 용둔길 12</t>
        </is>
      </c>
      <c r="AH299" s="78" t="n">
        <v>0</v>
      </c>
      <c r="AI299" s="78" t="n">
        <v>249</v>
      </c>
      <c r="AJ299" s="78" t="n">
        <v>15</v>
      </c>
      <c r="AK299" s="78" t="n">
        <v>1618</v>
      </c>
      <c r="AL299" s="78" t="n">
        <v>1.7</v>
      </c>
    </row>
    <row r="300">
      <c r="A300" s="78" t="inlineStr">
        <is>
          <t>[미룡동]</t>
        </is>
      </c>
      <c r="B300" s="78" t="n">
        <v>27505</v>
      </c>
      <c r="C300" s="78" t="n">
        <v>9</v>
      </c>
      <c r="D300" s="78" t="inlineStr">
        <is>
          <t>금광베네스타</t>
        </is>
      </c>
      <c r="E300" s="78" t="inlineStr">
        <is>
          <t>2008.12.</t>
        </is>
      </c>
      <c r="F300" s="78" t="n">
        <v>950</v>
      </c>
      <c r="G300" s="78" t="n">
        <v>61.97</v>
      </c>
      <c r="H300" s="78" t="n">
        <v>204.86</v>
      </c>
      <c r="I300" s="78" t="n">
        <v>51.63</v>
      </c>
      <c r="J300" s="78" t="n">
        <v>170.7</v>
      </c>
      <c r="K300" s="78" t="n">
        <v>39</v>
      </c>
      <c r="T300" s="78" t="n">
        <v>5</v>
      </c>
      <c r="U300" s="78" t="n">
        <v>2</v>
      </c>
      <c r="V300" s="78" t="inlineStr">
        <is>
          <t>복도식</t>
        </is>
      </c>
      <c r="W300" s="78" t="inlineStr">
        <is>
          <t>204A</t>
        </is>
      </c>
      <c r="X300" s="78" t="n">
        <v>20</v>
      </c>
      <c r="Y300" s="78" t="n">
        <v>20</v>
      </c>
      <c r="Z300" s="78" t="inlineStr">
        <is>
          <t>https://new.land.naver.com/complexes/27505?tab=detail&amp;rf=Y</t>
        </is>
      </c>
      <c r="AA300" s="78" t="inlineStr">
        <is>
          <t>전라북도 군산시 미룡동 71</t>
        </is>
      </c>
      <c r="AB300" s="78" t="inlineStr">
        <is>
          <t>전라북도</t>
        </is>
      </c>
      <c r="AC300" s="78" t="inlineStr">
        <is>
          <t>군산시</t>
        </is>
      </c>
      <c r="AD300" s="78" t="inlineStr">
        <is>
          <t>미룡동</t>
        </is>
      </c>
      <c r="AG300" s="78" t="inlineStr">
        <is>
          <t>전라북도 군산시 용둔길 12</t>
        </is>
      </c>
      <c r="AH300" s="78" t="n">
        <v>0</v>
      </c>
      <c r="AI300" s="78" t="n">
        <v>249</v>
      </c>
      <c r="AJ300" s="78" t="n">
        <v>15</v>
      </c>
      <c r="AK300" s="78" t="n">
        <v>1618</v>
      </c>
      <c r="AL300" s="78" t="n">
        <v>1.7</v>
      </c>
    </row>
    <row r="301">
      <c r="A301" s="78" t="inlineStr">
        <is>
          <t>[미룡동]</t>
        </is>
      </c>
      <c r="B301" s="78" t="n">
        <v>109106</v>
      </c>
      <c r="C301" s="78" t="n">
        <v>1</v>
      </c>
      <c r="D301" s="78" t="inlineStr">
        <is>
          <t>미룡대명3차</t>
        </is>
      </c>
      <c r="E301" s="78" t="inlineStr">
        <is>
          <t>2002.05.</t>
        </is>
      </c>
      <c r="F301" s="78" t="n">
        <v>188</v>
      </c>
      <c r="G301" s="78" t="n">
        <v>16.71</v>
      </c>
      <c r="H301" s="78" t="n">
        <v>55.25</v>
      </c>
      <c r="I301" s="78" t="n">
        <v>11.73</v>
      </c>
      <c r="J301" s="78" t="n">
        <v>38.79</v>
      </c>
      <c r="K301" s="78" t="n">
        <v>188</v>
      </c>
      <c r="T301" s="78" t="n">
        <v>2</v>
      </c>
      <c r="U301" s="78" t="n">
        <v>1</v>
      </c>
      <c r="V301" s="78" t="inlineStr">
        <is>
          <t>계단식</t>
        </is>
      </c>
      <c r="W301" s="78" t="n">
        <v>55</v>
      </c>
      <c r="X301" s="78" t="n">
        <v>18</v>
      </c>
      <c r="Y301" s="78" t="n">
        <v>9</v>
      </c>
      <c r="Z301" s="78" t="inlineStr">
        <is>
          <t>https://new.land.naver.com/complexes/109106?tab=detail&amp;rf=Y</t>
        </is>
      </c>
      <c r="AA301" s="78" t="inlineStr">
        <is>
          <t>전라북도 군산시 미룡동 854</t>
        </is>
      </c>
      <c r="AB301" s="78" t="inlineStr">
        <is>
          <t>전라북도</t>
        </is>
      </c>
      <c r="AC301" s="78" t="inlineStr">
        <is>
          <t>군산시</t>
        </is>
      </c>
      <c r="AD301" s="78" t="inlineStr">
        <is>
          <t>미룡동</t>
        </is>
      </c>
      <c r="AG301" s="78" t="inlineStr">
        <is>
          <t>전라북도 군산시 칠성3길 22</t>
        </is>
      </c>
      <c r="AH301" s="78" t="n">
        <v>0</v>
      </c>
      <c r="AI301" s="78" t="n">
        <v>204</v>
      </c>
      <c r="AJ301" s="78" t="n">
        <v>13</v>
      </c>
      <c r="AK301" s="78" t="n">
        <v>133</v>
      </c>
      <c r="AL301" s="78" t="n">
        <v>0.71</v>
      </c>
    </row>
    <row r="302">
      <c r="A302" s="78" t="inlineStr">
        <is>
          <t>[미룡동]</t>
        </is>
      </c>
      <c r="B302" s="78" t="n">
        <v>27504</v>
      </c>
      <c r="C302" s="78" t="n">
        <v>1</v>
      </c>
      <c r="D302" s="78" t="inlineStr">
        <is>
          <t>은파롯데캐슬</t>
        </is>
      </c>
      <c r="E302" s="78" t="inlineStr">
        <is>
          <t>2007.09.</t>
        </is>
      </c>
      <c r="F302" s="78" t="n">
        <v>307</v>
      </c>
      <c r="G302" s="78" t="n">
        <v>33.2</v>
      </c>
      <c r="H302" s="78" t="n">
        <v>109.78</v>
      </c>
      <c r="I302" s="78" t="n">
        <v>25.69</v>
      </c>
      <c r="J302" s="78" t="n">
        <v>84.95</v>
      </c>
      <c r="K302" s="78" t="n">
        <v>50</v>
      </c>
      <c r="T302" s="78" t="n">
        <v>3</v>
      </c>
      <c r="U302" s="78" t="n">
        <v>2</v>
      </c>
      <c r="V302" s="78" t="inlineStr">
        <is>
          <t>복도식</t>
        </is>
      </c>
      <c r="W302" s="78" t="n">
        <v>109</v>
      </c>
      <c r="X302" s="78" t="n">
        <v>15</v>
      </c>
      <c r="Y302" s="78" t="n">
        <v>9</v>
      </c>
      <c r="Z302" s="78" t="inlineStr">
        <is>
          <t>https://new.land.naver.com/complexes/27504?tab=detail&amp;rf=Y</t>
        </is>
      </c>
      <c r="AA302" s="78" t="inlineStr">
        <is>
          <t>전라북도 군산시 미룡동 59-118</t>
        </is>
      </c>
      <c r="AB302" s="78" t="inlineStr">
        <is>
          <t>전라북도</t>
        </is>
      </c>
      <c r="AC302" s="78" t="inlineStr">
        <is>
          <t>군산시</t>
        </is>
      </c>
      <c r="AD302" s="78" t="inlineStr">
        <is>
          <t>미룡동</t>
        </is>
      </c>
      <c r="AG302" s="78" t="inlineStr">
        <is>
          <t>전라북도 군산시 미룡로 63</t>
        </is>
      </c>
      <c r="AH302" s="78" t="n">
        <v>0</v>
      </c>
      <c r="AI302" s="78" t="n">
        <v>244</v>
      </c>
      <c r="AJ302" s="78" t="n">
        <v>59</v>
      </c>
      <c r="AK302" s="78" t="n">
        <v>450</v>
      </c>
      <c r="AL302" s="78" t="n">
        <v>1.47</v>
      </c>
    </row>
    <row r="303">
      <c r="A303" s="78" t="inlineStr">
        <is>
          <t>[미룡동]</t>
        </is>
      </c>
      <c r="B303" s="78" t="n">
        <v>27504</v>
      </c>
      <c r="C303" s="78" t="n">
        <v>2</v>
      </c>
      <c r="D303" s="78" t="inlineStr">
        <is>
          <t>은파롯데캐슬</t>
        </is>
      </c>
      <c r="E303" s="78" t="inlineStr">
        <is>
          <t>2007.09.</t>
        </is>
      </c>
      <c r="F303" s="78" t="n">
        <v>307</v>
      </c>
      <c r="G303" s="78" t="n">
        <v>39.3</v>
      </c>
      <c r="H303" s="78" t="n">
        <v>129.92</v>
      </c>
      <c r="I303" s="78" t="n">
        <v>31.1</v>
      </c>
      <c r="J303" s="78" t="n">
        <v>102.83</v>
      </c>
      <c r="K303" s="78" t="n">
        <v>52</v>
      </c>
      <c r="T303" s="78" t="n">
        <v>3</v>
      </c>
      <c r="U303" s="78" t="n">
        <v>2</v>
      </c>
      <c r="V303" s="78" t="inlineStr">
        <is>
          <t>복도식</t>
        </is>
      </c>
      <c r="W303" s="78" t="inlineStr">
        <is>
          <t>129B</t>
        </is>
      </c>
      <c r="X303" s="78" t="n">
        <v>15</v>
      </c>
      <c r="Y303" s="78" t="n">
        <v>9</v>
      </c>
      <c r="Z303" s="78" t="inlineStr">
        <is>
          <t>https://new.land.naver.com/complexes/27504?tab=detail&amp;rf=Y</t>
        </is>
      </c>
      <c r="AA303" s="78" t="inlineStr">
        <is>
          <t>전라북도 군산시 미룡동 59-118</t>
        </is>
      </c>
      <c r="AB303" s="78" t="inlineStr">
        <is>
          <t>전라북도</t>
        </is>
      </c>
      <c r="AC303" s="78" t="inlineStr">
        <is>
          <t>군산시</t>
        </is>
      </c>
      <c r="AD303" s="78" t="inlineStr">
        <is>
          <t>미룡동</t>
        </is>
      </c>
      <c r="AG303" s="78" t="inlineStr">
        <is>
          <t>전라북도 군산시 미룡로 63</t>
        </is>
      </c>
      <c r="AH303" s="78" t="n">
        <v>0</v>
      </c>
      <c r="AI303" s="78" t="n">
        <v>244</v>
      </c>
      <c r="AJ303" s="78" t="n">
        <v>59</v>
      </c>
      <c r="AK303" s="78" t="n">
        <v>450</v>
      </c>
      <c r="AL303" s="78" t="n">
        <v>1.47</v>
      </c>
    </row>
    <row r="304">
      <c r="A304" s="78" t="inlineStr">
        <is>
          <t>[미룡동]</t>
        </is>
      </c>
      <c r="B304" s="78" t="n">
        <v>27504</v>
      </c>
      <c r="C304" s="78" t="n">
        <v>3</v>
      </c>
      <c r="D304" s="78" t="inlineStr">
        <is>
          <t>은파롯데캐슬</t>
        </is>
      </c>
      <c r="E304" s="78" t="inlineStr">
        <is>
          <t>2007.09.</t>
        </is>
      </c>
      <c r="F304" s="78" t="n">
        <v>307</v>
      </c>
      <c r="G304" s="78" t="n">
        <v>39.76</v>
      </c>
      <c r="H304" s="78" t="n">
        <v>131.47</v>
      </c>
      <c r="I304" s="78" t="n">
        <v>31.63</v>
      </c>
      <c r="J304" s="78" t="n">
        <v>104.59</v>
      </c>
      <c r="K304" s="78" t="n">
        <v>79</v>
      </c>
      <c r="T304" s="78" t="n">
        <v>3</v>
      </c>
      <c r="U304" s="78" t="n">
        <v>2</v>
      </c>
      <c r="V304" s="78" t="inlineStr">
        <is>
          <t>복도식</t>
        </is>
      </c>
      <c r="W304" s="78" t="inlineStr">
        <is>
          <t>131A</t>
        </is>
      </c>
      <c r="X304" s="78" t="n">
        <v>15</v>
      </c>
      <c r="Y304" s="78" t="n">
        <v>9</v>
      </c>
      <c r="Z304" s="78" t="inlineStr">
        <is>
          <t>https://new.land.naver.com/complexes/27504?tab=detail&amp;rf=Y</t>
        </is>
      </c>
      <c r="AA304" s="78" t="inlineStr">
        <is>
          <t>전라북도 군산시 미룡동 59-118</t>
        </is>
      </c>
      <c r="AB304" s="78" t="inlineStr">
        <is>
          <t>전라북도</t>
        </is>
      </c>
      <c r="AC304" s="78" t="inlineStr">
        <is>
          <t>군산시</t>
        </is>
      </c>
      <c r="AD304" s="78" t="inlineStr">
        <is>
          <t>미룡동</t>
        </is>
      </c>
      <c r="AG304" s="78" t="inlineStr">
        <is>
          <t>전라북도 군산시 미룡로 63</t>
        </is>
      </c>
      <c r="AH304" s="78" t="n">
        <v>0</v>
      </c>
      <c r="AI304" s="78" t="n">
        <v>244</v>
      </c>
      <c r="AJ304" s="78" t="n">
        <v>59</v>
      </c>
      <c r="AK304" s="78" t="n">
        <v>450</v>
      </c>
      <c r="AL304" s="78" t="n">
        <v>1.47</v>
      </c>
    </row>
    <row r="305">
      <c r="A305" s="78" t="inlineStr">
        <is>
          <t>[미룡동]</t>
        </is>
      </c>
      <c r="B305" s="78" t="n">
        <v>27504</v>
      </c>
      <c r="C305" s="78" t="n">
        <v>4</v>
      </c>
      <c r="D305" s="78" t="inlineStr">
        <is>
          <t>은파롯데캐슬</t>
        </is>
      </c>
      <c r="E305" s="78" t="inlineStr">
        <is>
          <t>2007.09.</t>
        </is>
      </c>
      <c r="F305" s="78" t="n">
        <v>307</v>
      </c>
      <c r="G305" s="78" t="n">
        <v>47.88</v>
      </c>
      <c r="H305" s="78" t="n">
        <v>158.31</v>
      </c>
      <c r="I305" s="78" t="n">
        <v>38.48</v>
      </c>
      <c r="J305" s="78" t="n">
        <v>127.22</v>
      </c>
      <c r="K305" s="78" t="n">
        <v>77</v>
      </c>
      <c r="T305" s="78" t="n">
        <v>4</v>
      </c>
      <c r="U305" s="78" t="n">
        <v>2</v>
      </c>
      <c r="V305" s="78" t="inlineStr">
        <is>
          <t>복도식</t>
        </is>
      </c>
      <c r="W305" s="78" t="inlineStr">
        <is>
          <t>158B</t>
        </is>
      </c>
      <c r="X305" s="78" t="n">
        <v>15</v>
      </c>
      <c r="Y305" s="78" t="n">
        <v>9</v>
      </c>
      <c r="Z305" s="78" t="inlineStr">
        <is>
          <t>https://new.land.naver.com/complexes/27504?tab=detail&amp;rf=Y</t>
        </is>
      </c>
      <c r="AA305" s="78" t="inlineStr">
        <is>
          <t>전라북도 군산시 미룡동 59-118</t>
        </is>
      </c>
      <c r="AB305" s="78" t="inlineStr">
        <is>
          <t>전라북도</t>
        </is>
      </c>
      <c r="AC305" s="78" t="inlineStr">
        <is>
          <t>군산시</t>
        </is>
      </c>
      <c r="AD305" s="78" t="inlineStr">
        <is>
          <t>미룡동</t>
        </is>
      </c>
      <c r="AG305" s="78" t="inlineStr">
        <is>
          <t>전라북도 군산시 미룡로 63</t>
        </is>
      </c>
      <c r="AH305" s="78" t="n">
        <v>0</v>
      </c>
      <c r="AI305" s="78" t="n">
        <v>244</v>
      </c>
      <c r="AJ305" s="78" t="n">
        <v>59</v>
      </c>
      <c r="AK305" s="78" t="n">
        <v>450</v>
      </c>
      <c r="AL305" s="78" t="n">
        <v>1.47</v>
      </c>
    </row>
    <row r="306">
      <c r="A306" s="78" t="inlineStr">
        <is>
          <t>[미룡동]</t>
        </is>
      </c>
      <c r="B306" s="78" t="n">
        <v>27504</v>
      </c>
      <c r="C306" s="78" t="n">
        <v>5</v>
      </c>
      <c r="D306" s="78" t="inlineStr">
        <is>
          <t>은파롯데캐슬</t>
        </is>
      </c>
      <c r="E306" s="78" t="inlineStr">
        <is>
          <t>2007.09.</t>
        </is>
      </c>
      <c r="F306" s="78" t="n">
        <v>307</v>
      </c>
      <c r="G306" s="78" t="n">
        <v>47.87</v>
      </c>
      <c r="H306" s="78" t="n">
        <v>158.25</v>
      </c>
      <c r="I306" s="78" t="n">
        <v>38.05</v>
      </c>
      <c r="J306" s="78" t="n">
        <v>125.79</v>
      </c>
      <c r="K306" s="78" t="n">
        <v>22</v>
      </c>
      <c r="T306" s="78" t="n">
        <v>4</v>
      </c>
      <c r="U306" s="78" t="n">
        <v>2</v>
      </c>
      <c r="V306" s="78" t="inlineStr">
        <is>
          <t>복도식</t>
        </is>
      </c>
      <c r="W306" s="78" t="inlineStr">
        <is>
          <t>158A</t>
        </is>
      </c>
      <c r="X306" s="78" t="n">
        <v>15</v>
      </c>
      <c r="Y306" s="78" t="n">
        <v>9</v>
      </c>
      <c r="Z306" s="78" t="inlineStr">
        <is>
          <t>https://new.land.naver.com/complexes/27504?tab=detail&amp;rf=Y</t>
        </is>
      </c>
      <c r="AA306" s="78" t="inlineStr">
        <is>
          <t>전라북도 군산시 미룡동 59-118</t>
        </is>
      </c>
      <c r="AB306" s="78" t="inlineStr">
        <is>
          <t>전라북도</t>
        </is>
      </c>
      <c r="AC306" s="78" t="inlineStr">
        <is>
          <t>군산시</t>
        </is>
      </c>
      <c r="AD306" s="78" t="inlineStr">
        <is>
          <t>미룡동</t>
        </is>
      </c>
      <c r="AG306" s="78" t="inlineStr">
        <is>
          <t>전라북도 군산시 미룡로 63</t>
        </is>
      </c>
      <c r="AH306" s="78" t="n">
        <v>0</v>
      </c>
      <c r="AI306" s="78" t="n">
        <v>244</v>
      </c>
      <c r="AJ306" s="78" t="n">
        <v>59</v>
      </c>
      <c r="AK306" s="78" t="n">
        <v>450</v>
      </c>
      <c r="AL306" s="78" t="n">
        <v>1.47</v>
      </c>
    </row>
    <row r="307">
      <c r="A307" s="78" t="inlineStr">
        <is>
          <t>[미룡동]</t>
        </is>
      </c>
      <c r="B307" s="78" t="n">
        <v>27504</v>
      </c>
      <c r="C307" s="78" t="n">
        <v>6</v>
      </c>
      <c r="D307" s="78" t="inlineStr">
        <is>
          <t>은파롯데캐슬</t>
        </is>
      </c>
      <c r="E307" s="78" t="inlineStr">
        <is>
          <t>2007.09.</t>
        </is>
      </c>
      <c r="F307" s="78" t="n">
        <v>307</v>
      </c>
      <c r="G307" s="78" t="n">
        <v>57.3</v>
      </c>
      <c r="H307" s="78" t="n">
        <v>189.45</v>
      </c>
      <c r="I307" s="78" t="n">
        <v>45.22</v>
      </c>
      <c r="J307" s="78" t="n">
        <v>149.51</v>
      </c>
      <c r="K307" s="78" t="n">
        <v>26</v>
      </c>
      <c r="T307" s="78" t="n">
        <v>4</v>
      </c>
      <c r="U307" s="78" t="n">
        <v>2</v>
      </c>
      <c r="V307" s="78" t="inlineStr">
        <is>
          <t>복도식</t>
        </is>
      </c>
      <c r="W307" s="78" t="n">
        <v>189</v>
      </c>
      <c r="X307" s="78" t="n">
        <v>15</v>
      </c>
      <c r="Y307" s="78" t="n">
        <v>9</v>
      </c>
      <c r="Z307" s="78" t="inlineStr">
        <is>
          <t>https://new.land.naver.com/complexes/27504?tab=detail&amp;rf=Y</t>
        </is>
      </c>
      <c r="AA307" s="78" t="inlineStr">
        <is>
          <t>전라북도 군산시 미룡동 59-118</t>
        </is>
      </c>
      <c r="AB307" s="78" t="inlineStr">
        <is>
          <t>전라북도</t>
        </is>
      </c>
      <c r="AC307" s="78" t="inlineStr">
        <is>
          <t>군산시</t>
        </is>
      </c>
      <c r="AD307" s="78" t="inlineStr">
        <is>
          <t>미룡동</t>
        </is>
      </c>
      <c r="AG307" s="78" t="inlineStr">
        <is>
          <t>전라북도 군산시 미룡로 63</t>
        </is>
      </c>
      <c r="AH307" s="78" t="n">
        <v>0</v>
      </c>
      <c r="AI307" s="78" t="n">
        <v>244</v>
      </c>
      <c r="AJ307" s="78" t="n">
        <v>59</v>
      </c>
      <c r="AK307" s="78" t="n">
        <v>450</v>
      </c>
      <c r="AL307" s="78" t="n">
        <v>1.47</v>
      </c>
    </row>
    <row r="308">
      <c r="A308" s="78" t="inlineStr">
        <is>
          <t>[미룡동]</t>
        </is>
      </c>
      <c r="B308" s="78" t="n">
        <v>27504</v>
      </c>
      <c r="C308" s="78" t="n">
        <v>7</v>
      </c>
      <c r="D308" s="78" t="inlineStr">
        <is>
          <t>은파롯데캐슬</t>
        </is>
      </c>
      <c r="E308" s="78" t="inlineStr">
        <is>
          <t>2007.09.</t>
        </is>
      </c>
      <c r="F308" s="78" t="n">
        <v>307</v>
      </c>
      <c r="G308" s="78" t="n">
        <v>72.98999999999999</v>
      </c>
      <c r="H308" s="78" t="n">
        <v>241.31</v>
      </c>
      <c r="I308" s="78" t="n">
        <v>58.89</v>
      </c>
      <c r="J308" s="78" t="n">
        <v>194.71</v>
      </c>
      <c r="K308" s="78" t="n">
        <v>1</v>
      </c>
      <c r="T308" s="78" t="n">
        <v>4</v>
      </c>
      <c r="U308" s="78" t="n">
        <v>2</v>
      </c>
      <c r="V308" s="78" t="inlineStr">
        <is>
          <t>복도식</t>
        </is>
      </c>
      <c r="W308" s="78" t="n">
        <v>241</v>
      </c>
      <c r="X308" s="78" t="n">
        <v>15</v>
      </c>
      <c r="Y308" s="78" t="n">
        <v>9</v>
      </c>
      <c r="Z308" s="78" t="inlineStr">
        <is>
          <t>https://new.land.naver.com/complexes/27504?tab=detail&amp;rf=Y</t>
        </is>
      </c>
      <c r="AA308" s="78" t="inlineStr">
        <is>
          <t>전라북도 군산시 미룡동 59-118</t>
        </is>
      </c>
      <c r="AB308" s="78" t="inlineStr">
        <is>
          <t>전라북도</t>
        </is>
      </c>
      <c r="AC308" s="78" t="inlineStr">
        <is>
          <t>군산시</t>
        </is>
      </c>
      <c r="AD308" s="78" t="inlineStr">
        <is>
          <t>미룡동</t>
        </is>
      </c>
      <c r="AG308" s="78" t="inlineStr">
        <is>
          <t>전라북도 군산시 미룡로 63</t>
        </is>
      </c>
      <c r="AH308" s="78" t="n">
        <v>0</v>
      </c>
      <c r="AI308" s="78" t="n">
        <v>244</v>
      </c>
      <c r="AJ308" s="78" t="n">
        <v>59</v>
      </c>
      <c r="AK308" s="78" t="n">
        <v>450</v>
      </c>
      <c r="AL308" s="78" t="n">
        <v>1.47</v>
      </c>
    </row>
    <row r="309">
      <c r="A309" s="78" t="inlineStr">
        <is>
          <t>[미룡동]</t>
        </is>
      </c>
      <c r="B309" s="78" t="n">
        <v>128348</v>
      </c>
      <c r="C309" s="78" t="n">
        <v>1</v>
      </c>
      <c r="D309" s="78" t="inlineStr">
        <is>
          <t>위즈홈(도시형)</t>
        </is>
      </c>
      <c r="E309" s="78" t="inlineStr">
        <is>
          <t>2017.05.</t>
        </is>
      </c>
      <c r="F309" s="78" t="n">
        <v>23</v>
      </c>
      <c r="G309" s="78" t="n">
        <v>10.18</v>
      </c>
      <c r="H309" s="78" t="n">
        <v>33.68</v>
      </c>
      <c r="I309" s="78" t="n">
        <v>7.48</v>
      </c>
      <c r="J309" s="78" t="n">
        <v>24.75</v>
      </c>
      <c r="K309" s="78" t="n">
        <v>1</v>
      </c>
      <c r="T309" s="78" t="n">
        <v>1</v>
      </c>
      <c r="U309" s="78" t="n">
        <v>1</v>
      </c>
      <c r="V309" s="78" t="inlineStr">
        <is>
          <t>계단식</t>
        </is>
      </c>
      <c r="W309" s="78" t="n">
        <v>33</v>
      </c>
      <c r="X309" s="78" t="n">
        <v>6</v>
      </c>
      <c r="Y309" s="78" t="n">
        <v>4</v>
      </c>
      <c r="Z309" s="78" t="inlineStr">
        <is>
          <t>https://new.land.naver.com/complexes/128348?tab=detail&amp;rf=Y</t>
        </is>
      </c>
      <c r="AA309" s="78" t="inlineStr">
        <is>
          <t>전라북도 군산시 미룡동 842-5</t>
        </is>
      </c>
      <c r="AB309" s="78" t="inlineStr">
        <is>
          <t>전라북도</t>
        </is>
      </c>
      <c r="AC309" s="78" t="inlineStr">
        <is>
          <t>군산시</t>
        </is>
      </c>
      <c r="AD309" s="78" t="inlineStr">
        <is>
          <t>미룡동</t>
        </is>
      </c>
      <c r="AG309" s="78" t="inlineStr">
        <is>
          <t>전라북도 군산시 칠성2길 48</t>
        </is>
      </c>
      <c r="AH309" s="78" t="n">
        <v>0</v>
      </c>
      <c r="AI309" s="78" t="n">
        <v>189</v>
      </c>
      <c r="AJ309" s="78" t="n">
        <v>46</v>
      </c>
      <c r="AK309" s="78" t="n">
        <v>15</v>
      </c>
      <c r="AL309" s="78" t="n">
        <v>0.65</v>
      </c>
    </row>
    <row r="310">
      <c r="A310" s="78" t="inlineStr">
        <is>
          <t>[미룡동]</t>
        </is>
      </c>
      <c r="B310" s="78" t="n">
        <v>128348</v>
      </c>
      <c r="C310" s="78" t="n">
        <v>2</v>
      </c>
      <c r="D310" s="78" t="inlineStr">
        <is>
          <t>위즈홈(도시형)</t>
        </is>
      </c>
      <c r="E310" s="78" t="inlineStr">
        <is>
          <t>2017.05.</t>
        </is>
      </c>
      <c r="F310" s="78" t="n">
        <v>23</v>
      </c>
      <c r="G310" s="78" t="n">
        <v>12.7</v>
      </c>
      <c r="H310" s="78" t="n">
        <v>42</v>
      </c>
      <c r="I310" s="78" t="n">
        <v>9.33</v>
      </c>
      <c r="J310" s="78" t="n">
        <v>30.87</v>
      </c>
      <c r="K310" s="78" t="n">
        <v>2</v>
      </c>
      <c r="T310" s="78" t="n">
        <v>1</v>
      </c>
      <c r="U310" s="78" t="n">
        <v>1</v>
      </c>
      <c r="V310" s="78" t="inlineStr">
        <is>
          <t>계단식</t>
        </is>
      </c>
      <c r="W310" s="78" t="n">
        <v>42</v>
      </c>
      <c r="X310" s="78" t="n">
        <v>6</v>
      </c>
      <c r="Y310" s="78" t="n">
        <v>4</v>
      </c>
      <c r="Z310" s="78" t="inlineStr">
        <is>
          <t>https://new.land.naver.com/complexes/128348?tab=detail&amp;rf=Y</t>
        </is>
      </c>
      <c r="AA310" s="78" t="inlineStr">
        <is>
          <t>전라북도 군산시 미룡동 842-5</t>
        </is>
      </c>
      <c r="AB310" s="78" t="inlineStr">
        <is>
          <t>전라북도</t>
        </is>
      </c>
      <c r="AC310" s="78" t="inlineStr">
        <is>
          <t>군산시</t>
        </is>
      </c>
      <c r="AD310" s="78" t="inlineStr">
        <is>
          <t>미룡동</t>
        </is>
      </c>
      <c r="AG310" s="78" t="inlineStr">
        <is>
          <t>전라북도 군산시 칠성2길 48</t>
        </is>
      </c>
      <c r="AH310" s="78" t="n">
        <v>0</v>
      </c>
      <c r="AI310" s="78" t="n">
        <v>189</v>
      </c>
      <c r="AJ310" s="78" t="n">
        <v>46</v>
      </c>
      <c r="AK310" s="78" t="n">
        <v>15</v>
      </c>
      <c r="AL310" s="78" t="n">
        <v>0.65</v>
      </c>
    </row>
    <row r="311">
      <c r="A311" s="78" t="inlineStr">
        <is>
          <t>[미룡동]</t>
        </is>
      </c>
      <c r="B311" s="78" t="n">
        <v>128348</v>
      </c>
      <c r="C311" s="78" t="n">
        <v>3</v>
      </c>
      <c r="D311" s="78" t="inlineStr">
        <is>
          <t>위즈홈(도시형)</t>
        </is>
      </c>
      <c r="E311" s="78" t="inlineStr">
        <is>
          <t>2017.05.</t>
        </is>
      </c>
      <c r="F311" s="78" t="n">
        <v>23</v>
      </c>
      <c r="G311" s="78" t="n">
        <v>14.46</v>
      </c>
      <c r="H311" s="78" t="n">
        <v>47.82</v>
      </c>
      <c r="I311" s="78" t="n">
        <v>10.63</v>
      </c>
      <c r="J311" s="78" t="n">
        <v>35.15</v>
      </c>
      <c r="K311" s="78" t="n">
        <v>5</v>
      </c>
      <c r="T311" s="78" t="n">
        <v>1</v>
      </c>
      <c r="U311" s="78" t="n">
        <v>1</v>
      </c>
      <c r="V311" s="78" t="inlineStr">
        <is>
          <t>계단식</t>
        </is>
      </c>
      <c r="W311" s="78" t="n">
        <v>47</v>
      </c>
      <c r="X311" s="78" t="n">
        <v>6</v>
      </c>
      <c r="Y311" s="78" t="n">
        <v>4</v>
      </c>
      <c r="Z311" s="78" t="inlineStr">
        <is>
          <t>https://new.land.naver.com/complexes/128348?tab=detail&amp;rf=Y</t>
        </is>
      </c>
      <c r="AA311" s="78" t="inlineStr">
        <is>
          <t>전라북도 군산시 미룡동 842-5</t>
        </is>
      </c>
      <c r="AB311" s="78" t="inlineStr">
        <is>
          <t>전라북도</t>
        </is>
      </c>
      <c r="AC311" s="78" t="inlineStr">
        <is>
          <t>군산시</t>
        </is>
      </c>
      <c r="AD311" s="78" t="inlineStr">
        <is>
          <t>미룡동</t>
        </is>
      </c>
      <c r="AG311" s="78" t="inlineStr">
        <is>
          <t>전라북도 군산시 칠성2길 48</t>
        </is>
      </c>
      <c r="AH311" s="78" t="n">
        <v>0</v>
      </c>
      <c r="AI311" s="78" t="n">
        <v>189</v>
      </c>
      <c r="AJ311" s="78" t="n">
        <v>46</v>
      </c>
      <c r="AK311" s="78" t="n">
        <v>15</v>
      </c>
      <c r="AL311" s="78" t="n">
        <v>0.65</v>
      </c>
    </row>
    <row r="312">
      <c r="A312" s="78" t="inlineStr">
        <is>
          <t>[미룡동]</t>
        </is>
      </c>
      <c r="B312" s="78" t="n">
        <v>128348</v>
      </c>
      <c r="C312" s="78" t="n">
        <v>4</v>
      </c>
      <c r="D312" s="78" t="inlineStr">
        <is>
          <t>위즈홈(도시형)</t>
        </is>
      </c>
      <c r="E312" s="78" t="inlineStr">
        <is>
          <t>2017.05.</t>
        </is>
      </c>
      <c r="F312" s="78" t="n">
        <v>23</v>
      </c>
      <c r="G312" s="78" t="n">
        <v>16.19</v>
      </c>
      <c r="H312" s="78" t="n">
        <v>53.54</v>
      </c>
      <c r="I312" s="78" t="n">
        <v>11.9</v>
      </c>
      <c r="J312" s="78" t="n">
        <v>39.36</v>
      </c>
      <c r="K312" s="78" t="n">
        <v>5</v>
      </c>
      <c r="T312" s="78" t="n">
        <v>1</v>
      </c>
      <c r="U312" s="78" t="n">
        <v>1</v>
      </c>
      <c r="V312" s="78" t="inlineStr">
        <is>
          <t>계단식</t>
        </is>
      </c>
      <c r="W312" s="78" t="n">
        <v>53</v>
      </c>
      <c r="X312" s="78" t="n">
        <v>6</v>
      </c>
      <c r="Y312" s="78" t="n">
        <v>4</v>
      </c>
      <c r="Z312" s="78" t="inlineStr">
        <is>
          <t>https://new.land.naver.com/complexes/128348?tab=detail&amp;rf=Y</t>
        </is>
      </c>
      <c r="AA312" s="78" t="inlineStr">
        <is>
          <t>전라북도 군산시 미룡동 842-5</t>
        </is>
      </c>
      <c r="AB312" s="78" t="inlineStr">
        <is>
          <t>전라북도</t>
        </is>
      </c>
      <c r="AC312" s="78" t="inlineStr">
        <is>
          <t>군산시</t>
        </is>
      </c>
      <c r="AD312" s="78" t="inlineStr">
        <is>
          <t>미룡동</t>
        </is>
      </c>
      <c r="AG312" s="78" t="inlineStr">
        <is>
          <t>전라북도 군산시 칠성2길 48</t>
        </is>
      </c>
      <c r="AH312" s="78" t="n">
        <v>0</v>
      </c>
      <c r="AI312" s="78" t="n">
        <v>189</v>
      </c>
      <c r="AJ312" s="78" t="n">
        <v>46</v>
      </c>
      <c r="AK312" s="78" t="n">
        <v>15</v>
      </c>
      <c r="AL312" s="78" t="n">
        <v>0.65</v>
      </c>
    </row>
    <row r="313">
      <c r="A313" s="78" t="inlineStr">
        <is>
          <t>[미룡동]</t>
        </is>
      </c>
      <c r="B313" s="78" t="n">
        <v>128348</v>
      </c>
      <c r="C313" s="78" t="n">
        <v>5</v>
      </c>
      <c r="D313" s="78" t="inlineStr">
        <is>
          <t>위즈홈(도시형)</t>
        </is>
      </c>
      <c r="E313" s="78" t="inlineStr">
        <is>
          <t>2017.05.</t>
        </is>
      </c>
      <c r="F313" s="78" t="n">
        <v>23</v>
      </c>
      <c r="G313" s="78" t="n">
        <v>17.88</v>
      </c>
      <c r="H313" s="78" t="n">
        <v>59.14</v>
      </c>
      <c r="I313" s="78" t="n">
        <v>13.14</v>
      </c>
      <c r="J313" s="78" t="n">
        <v>43.47</v>
      </c>
      <c r="K313" s="78" t="n">
        <v>10</v>
      </c>
      <c r="T313" s="78" t="n">
        <v>2</v>
      </c>
      <c r="U313" s="78" t="n">
        <v>1</v>
      </c>
      <c r="V313" s="78" t="inlineStr">
        <is>
          <t>계단식</t>
        </is>
      </c>
      <c r="W313" s="78" t="n">
        <v>59</v>
      </c>
      <c r="X313" s="78" t="n">
        <v>6</v>
      </c>
      <c r="Y313" s="78" t="n">
        <v>4</v>
      </c>
      <c r="Z313" s="78" t="inlineStr">
        <is>
          <t>https://new.land.naver.com/complexes/128348?tab=detail&amp;rf=Y</t>
        </is>
      </c>
      <c r="AA313" s="78" t="inlineStr">
        <is>
          <t>전라북도 군산시 미룡동 842-5</t>
        </is>
      </c>
      <c r="AB313" s="78" t="inlineStr">
        <is>
          <t>전라북도</t>
        </is>
      </c>
      <c r="AC313" s="78" t="inlineStr">
        <is>
          <t>군산시</t>
        </is>
      </c>
      <c r="AD313" s="78" t="inlineStr">
        <is>
          <t>미룡동</t>
        </is>
      </c>
      <c r="AG313" s="78" t="inlineStr">
        <is>
          <t>전라북도 군산시 칠성2길 48</t>
        </is>
      </c>
      <c r="AH313" s="78" t="n">
        <v>0</v>
      </c>
      <c r="AI313" s="78" t="n">
        <v>189</v>
      </c>
      <c r="AJ313" s="78" t="n">
        <v>46</v>
      </c>
      <c r="AK313" s="78" t="n">
        <v>15</v>
      </c>
      <c r="AL313" s="78" t="n">
        <v>0.65</v>
      </c>
    </row>
    <row r="314">
      <c r="A314" s="78" t="inlineStr">
        <is>
          <t>[미룡동]</t>
        </is>
      </c>
      <c r="B314" s="78" t="n">
        <v>27131</v>
      </c>
      <c r="C314" s="78" t="n">
        <v>1</v>
      </c>
      <c r="D314" s="78" t="inlineStr">
        <is>
          <t>미룡주공3단지</t>
        </is>
      </c>
      <c r="E314" s="78" t="inlineStr">
        <is>
          <t>2001.06.</t>
        </is>
      </c>
      <c r="F314" s="78" t="n">
        <v>1460</v>
      </c>
      <c r="G314" s="78" t="n">
        <v>19.43</v>
      </c>
      <c r="H314" s="78" t="n">
        <v>64.26000000000001</v>
      </c>
      <c r="I314" s="78" t="n">
        <v>14.82</v>
      </c>
      <c r="J314" s="78" t="n">
        <v>49.01</v>
      </c>
      <c r="K314" s="78" t="n">
        <v>36</v>
      </c>
      <c r="T314" s="78" t="n">
        <v>2</v>
      </c>
      <c r="U314" s="78" t="n">
        <v>1</v>
      </c>
      <c r="V314" s="78" t="inlineStr">
        <is>
          <t>계단식</t>
        </is>
      </c>
      <c r="W314" s="78" t="inlineStr">
        <is>
          <t>64A</t>
        </is>
      </c>
      <c r="X314" s="78" t="n">
        <v>20</v>
      </c>
      <c r="Y314" s="78" t="n">
        <v>15</v>
      </c>
      <c r="Z314" s="78" t="inlineStr">
        <is>
          <t>https://new.land.naver.com/complexes/27131?tab=detail&amp;rf=Y</t>
        </is>
      </c>
      <c r="AA314" s="78" t="inlineStr">
        <is>
          <t>전라북도 군산시 미룡동 900-1</t>
        </is>
      </c>
      <c r="AB314" s="78" t="inlineStr">
        <is>
          <t>전라북도</t>
        </is>
      </c>
      <c r="AC314" s="78" t="inlineStr">
        <is>
          <t>군산시</t>
        </is>
      </c>
      <c r="AD314" s="78" t="inlineStr">
        <is>
          <t>미룡동</t>
        </is>
      </c>
      <c r="AG314" s="78" t="inlineStr">
        <is>
          <t>전라북도 군산시 미룡로 42</t>
        </is>
      </c>
      <c r="AH314" s="78" t="n">
        <v>0</v>
      </c>
      <c r="AI314" s="78" t="n">
        <v>201</v>
      </c>
      <c r="AJ314" s="78" t="n">
        <v>15</v>
      </c>
      <c r="AK314" s="78" t="n">
        <v>1319</v>
      </c>
      <c r="AL314" s="78" t="n">
        <v>0.9</v>
      </c>
    </row>
    <row r="315">
      <c r="A315" s="78" t="inlineStr">
        <is>
          <t>[미룡동]</t>
        </is>
      </c>
      <c r="B315" s="78" t="n">
        <v>27131</v>
      </c>
      <c r="C315" s="78" t="n">
        <v>2</v>
      </c>
      <c r="D315" s="78" t="inlineStr">
        <is>
          <t>미룡주공3단지</t>
        </is>
      </c>
      <c r="E315" s="78" t="inlineStr">
        <is>
          <t>2001.06.</t>
        </is>
      </c>
      <c r="F315" s="78" t="n">
        <v>1460</v>
      </c>
      <c r="G315" s="78" t="n">
        <v>19.77</v>
      </c>
      <c r="H315" s="78" t="n">
        <v>65.37</v>
      </c>
      <c r="I315" s="78" t="n">
        <v>15.08</v>
      </c>
      <c r="J315" s="78" t="n">
        <v>49.86</v>
      </c>
      <c r="K315" s="78" t="n">
        <v>529</v>
      </c>
      <c r="T315" s="78" t="n">
        <v>2</v>
      </c>
      <c r="U315" s="78" t="n">
        <v>1</v>
      </c>
      <c r="V315" s="78" t="inlineStr">
        <is>
          <t>계단식</t>
        </is>
      </c>
      <c r="W315" s="78" t="inlineStr">
        <is>
          <t>65C</t>
        </is>
      </c>
      <c r="X315" s="78" t="n">
        <v>20</v>
      </c>
      <c r="Y315" s="78" t="n">
        <v>15</v>
      </c>
      <c r="Z315" s="78" t="inlineStr">
        <is>
          <t>https://new.land.naver.com/complexes/27131?tab=detail&amp;rf=Y</t>
        </is>
      </c>
      <c r="AA315" s="78" t="inlineStr">
        <is>
          <t>전라북도 군산시 미룡동 900-1</t>
        </is>
      </c>
      <c r="AB315" s="78" t="inlineStr">
        <is>
          <t>전라북도</t>
        </is>
      </c>
      <c r="AC315" s="78" t="inlineStr">
        <is>
          <t>군산시</t>
        </is>
      </c>
      <c r="AD315" s="78" t="inlineStr">
        <is>
          <t>미룡동</t>
        </is>
      </c>
      <c r="AG315" s="78" t="inlineStr">
        <is>
          <t>전라북도 군산시 미룡로 42</t>
        </is>
      </c>
      <c r="AH315" s="78" t="n">
        <v>0</v>
      </c>
      <c r="AI315" s="78" t="n">
        <v>201</v>
      </c>
      <c r="AJ315" s="78" t="n">
        <v>15</v>
      </c>
      <c r="AK315" s="78" t="n">
        <v>1319</v>
      </c>
      <c r="AL315" s="78" t="n">
        <v>0.9</v>
      </c>
    </row>
    <row r="316">
      <c r="A316" s="78" t="inlineStr">
        <is>
          <t>[미룡동]</t>
        </is>
      </c>
      <c r="B316" s="78" t="n">
        <v>27131</v>
      </c>
      <c r="C316" s="78" t="n">
        <v>3</v>
      </c>
      <c r="D316" s="78" t="inlineStr">
        <is>
          <t>미룡주공3단지</t>
        </is>
      </c>
      <c r="E316" s="78" t="inlineStr">
        <is>
          <t>2001.06.</t>
        </is>
      </c>
      <c r="F316" s="78" t="n">
        <v>1460</v>
      </c>
      <c r="G316" s="78" t="n">
        <v>19.66</v>
      </c>
      <c r="H316" s="78" t="n">
        <v>65.01000000000001</v>
      </c>
      <c r="I316" s="78" t="n">
        <v>14.99</v>
      </c>
      <c r="J316" s="78" t="n">
        <v>49.58</v>
      </c>
      <c r="K316" s="78" t="n">
        <v>55</v>
      </c>
      <c r="T316" s="78" t="n">
        <v>2</v>
      </c>
      <c r="U316" s="78" t="n">
        <v>1</v>
      </c>
      <c r="V316" s="78" t="inlineStr">
        <is>
          <t>계단식</t>
        </is>
      </c>
      <c r="W316" s="78" t="inlineStr">
        <is>
          <t>65B</t>
        </is>
      </c>
      <c r="X316" s="78" t="n">
        <v>20</v>
      </c>
      <c r="Y316" s="78" t="n">
        <v>15</v>
      </c>
      <c r="Z316" s="78" t="inlineStr">
        <is>
          <t>https://new.land.naver.com/complexes/27131?tab=detail&amp;rf=Y</t>
        </is>
      </c>
      <c r="AA316" s="78" t="inlineStr">
        <is>
          <t>전라북도 군산시 미룡동 900-1</t>
        </is>
      </c>
      <c r="AB316" s="78" t="inlineStr">
        <is>
          <t>전라북도</t>
        </is>
      </c>
      <c r="AC316" s="78" t="inlineStr">
        <is>
          <t>군산시</t>
        </is>
      </c>
      <c r="AD316" s="78" t="inlineStr">
        <is>
          <t>미룡동</t>
        </is>
      </c>
      <c r="AG316" s="78" t="inlineStr">
        <is>
          <t>전라북도 군산시 미룡로 42</t>
        </is>
      </c>
      <c r="AH316" s="78" t="n">
        <v>0</v>
      </c>
      <c r="AI316" s="78" t="n">
        <v>201</v>
      </c>
      <c r="AJ316" s="78" t="n">
        <v>15</v>
      </c>
      <c r="AK316" s="78" t="n">
        <v>1319</v>
      </c>
      <c r="AL316" s="78" t="n">
        <v>0.9</v>
      </c>
    </row>
    <row r="317">
      <c r="A317" s="78" t="inlineStr">
        <is>
          <t>[미룡동]</t>
        </is>
      </c>
      <c r="B317" s="78" t="n">
        <v>27131</v>
      </c>
      <c r="C317" s="78" t="n">
        <v>4</v>
      </c>
      <c r="D317" s="78" t="inlineStr">
        <is>
          <t>미룡주공3단지</t>
        </is>
      </c>
      <c r="E317" s="78" t="inlineStr">
        <is>
          <t>2001.06.</t>
        </is>
      </c>
      <c r="F317" s="78" t="n">
        <v>1460</v>
      </c>
      <c r="G317" s="78" t="n">
        <v>23.56</v>
      </c>
      <c r="H317" s="78" t="n">
        <v>77.91</v>
      </c>
      <c r="I317" s="78" t="n">
        <v>17.97</v>
      </c>
      <c r="J317" s="78" t="n">
        <v>59.42</v>
      </c>
      <c r="K317" s="78" t="n">
        <v>759</v>
      </c>
      <c r="T317" s="78" t="n">
        <v>3</v>
      </c>
      <c r="U317" s="78" t="n">
        <v>1</v>
      </c>
      <c r="V317" s="78" t="inlineStr">
        <is>
          <t>계단식</t>
        </is>
      </c>
      <c r="W317" s="78" t="inlineStr">
        <is>
          <t>77A</t>
        </is>
      </c>
      <c r="X317" s="78" t="n">
        <v>20</v>
      </c>
      <c r="Y317" s="78" t="n">
        <v>15</v>
      </c>
      <c r="Z317" s="78" t="inlineStr">
        <is>
          <t>https://new.land.naver.com/complexes/27131?tab=detail&amp;rf=Y</t>
        </is>
      </c>
      <c r="AA317" s="78" t="inlineStr">
        <is>
          <t>전라북도 군산시 미룡동 900-1</t>
        </is>
      </c>
      <c r="AB317" s="78" t="inlineStr">
        <is>
          <t>전라북도</t>
        </is>
      </c>
      <c r="AC317" s="78" t="inlineStr">
        <is>
          <t>군산시</t>
        </is>
      </c>
      <c r="AD317" s="78" t="inlineStr">
        <is>
          <t>미룡동</t>
        </is>
      </c>
      <c r="AG317" s="78" t="inlineStr">
        <is>
          <t>전라북도 군산시 미룡로 42</t>
        </is>
      </c>
      <c r="AH317" s="78" t="n">
        <v>0</v>
      </c>
      <c r="AI317" s="78" t="n">
        <v>201</v>
      </c>
      <c r="AJ317" s="78" t="n">
        <v>15</v>
      </c>
      <c r="AK317" s="78" t="n">
        <v>1319</v>
      </c>
      <c r="AL317" s="78" t="n">
        <v>0.9</v>
      </c>
    </row>
    <row r="318">
      <c r="A318" s="78" t="inlineStr">
        <is>
          <t>[미룡동]</t>
        </is>
      </c>
      <c r="B318" s="78" t="n">
        <v>27131</v>
      </c>
      <c r="C318" s="78" t="n">
        <v>5</v>
      </c>
      <c r="D318" s="78" t="inlineStr">
        <is>
          <t>미룡주공3단지</t>
        </is>
      </c>
      <c r="E318" s="78" t="inlineStr">
        <is>
          <t>2001.06.</t>
        </is>
      </c>
      <c r="F318" s="78" t="n">
        <v>1460</v>
      </c>
      <c r="G318" s="78" t="n">
        <v>23.48</v>
      </c>
      <c r="H318" s="78" t="n">
        <v>77.63</v>
      </c>
      <c r="I318" s="78" t="n">
        <v>17.91</v>
      </c>
      <c r="J318" s="78" t="n">
        <v>59.21</v>
      </c>
      <c r="K318" s="78" t="n">
        <v>81</v>
      </c>
      <c r="T318" s="78" t="n">
        <v>3</v>
      </c>
      <c r="U318" s="78" t="n">
        <v>1</v>
      </c>
      <c r="V318" s="78" t="inlineStr">
        <is>
          <t>계단식</t>
        </is>
      </c>
      <c r="W318" s="78" t="inlineStr">
        <is>
          <t>77B</t>
        </is>
      </c>
      <c r="X318" s="78" t="n">
        <v>20</v>
      </c>
      <c r="Y318" s="78" t="n">
        <v>15</v>
      </c>
      <c r="Z318" s="78" t="inlineStr">
        <is>
          <t>https://new.land.naver.com/complexes/27131?tab=detail&amp;rf=Y</t>
        </is>
      </c>
      <c r="AA318" s="78" t="inlineStr">
        <is>
          <t>전라북도 군산시 미룡동 900-1</t>
        </is>
      </c>
      <c r="AB318" s="78" t="inlineStr">
        <is>
          <t>전라북도</t>
        </is>
      </c>
      <c r="AC318" s="78" t="inlineStr">
        <is>
          <t>군산시</t>
        </is>
      </c>
      <c r="AD318" s="78" t="inlineStr">
        <is>
          <t>미룡동</t>
        </is>
      </c>
      <c r="AG318" s="78" t="inlineStr">
        <is>
          <t>전라북도 군산시 미룡로 42</t>
        </is>
      </c>
      <c r="AH318" s="78" t="n">
        <v>0</v>
      </c>
      <c r="AI318" s="78" t="n">
        <v>201</v>
      </c>
      <c r="AJ318" s="78" t="n">
        <v>15</v>
      </c>
      <c r="AK318" s="78" t="n">
        <v>1319</v>
      </c>
      <c r="AL318" s="78" t="n">
        <v>0.9</v>
      </c>
    </row>
    <row r="319">
      <c r="A319" s="78" t="inlineStr">
        <is>
          <t>[미룡동]</t>
        </is>
      </c>
      <c r="B319" s="78" t="n">
        <v>114910</v>
      </c>
      <c r="C319" s="78" t="n">
        <v>1</v>
      </c>
      <c r="D319" s="78" t="inlineStr">
        <is>
          <t>산북부향하나로3차</t>
        </is>
      </c>
      <c r="E319" s="78" t="inlineStr">
        <is>
          <t>1998.04.</t>
        </is>
      </c>
      <c r="F319" s="78" t="n">
        <v>346</v>
      </c>
      <c r="G319" s="78" t="n">
        <v>13.68</v>
      </c>
      <c r="H319" s="78" t="n">
        <v>45.24</v>
      </c>
      <c r="I319" s="78" t="n">
        <v>9.92</v>
      </c>
      <c r="J319" s="78" t="n">
        <v>32.81</v>
      </c>
      <c r="K319" s="78" t="n">
        <v>12</v>
      </c>
      <c r="T319" s="78" t="n">
        <v>2</v>
      </c>
      <c r="U319" s="78" t="n">
        <v>1</v>
      </c>
      <c r="V319" s="78" t="inlineStr">
        <is>
          <t>계단식</t>
        </is>
      </c>
      <c r="W319" s="78" t="n">
        <v>45</v>
      </c>
      <c r="X319" s="78" t="n">
        <v>15</v>
      </c>
      <c r="Y319" s="78" t="n">
        <v>9</v>
      </c>
      <c r="Z319" s="78" t="inlineStr">
        <is>
          <t>https://new.land.naver.com/complexes/114910?tab=detail&amp;rf=Y</t>
        </is>
      </c>
      <c r="AA319" s="78" t="inlineStr">
        <is>
          <t>전라북도 군산시 미룡동 852</t>
        </is>
      </c>
      <c r="AB319" s="78" t="inlineStr">
        <is>
          <t>전라북도</t>
        </is>
      </c>
      <c r="AC319" s="78" t="inlineStr">
        <is>
          <t>군산시</t>
        </is>
      </c>
      <c r="AD319" s="78" t="inlineStr">
        <is>
          <t>미룡동</t>
        </is>
      </c>
      <c r="AG319" s="78" t="inlineStr">
        <is>
          <t>전라북도 군산시 칠성5길 30</t>
        </is>
      </c>
      <c r="AH319" s="78" t="n">
        <v>0</v>
      </c>
      <c r="AI319" s="78" t="n">
        <v>369</v>
      </c>
      <c r="AJ319" s="78" t="n">
        <v>34</v>
      </c>
      <c r="AK319" s="78" t="n">
        <v>207</v>
      </c>
      <c r="AL319" s="78" t="n">
        <v>0.6</v>
      </c>
    </row>
    <row r="320">
      <c r="A320" s="78" t="inlineStr">
        <is>
          <t>[미룡동]</t>
        </is>
      </c>
      <c r="B320" s="78" t="n">
        <v>114910</v>
      </c>
      <c r="C320" s="78" t="n">
        <v>2</v>
      </c>
      <c r="D320" s="78" t="inlineStr">
        <is>
          <t>산북부향하나로3차</t>
        </is>
      </c>
      <c r="E320" s="78" t="inlineStr">
        <is>
          <t>1998.04.</t>
        </is>
      </c>
      <c r="F320" s="78" t="n">
        <v>346</v>
      </c>
      <c r="G320" s="78" t="n">
        <v>16.66</v>
      </c>
      <c r="H320" s="78" t="n">
        <v>55.08</v>
      </c>
      <c r="I320" s="78" t="n">
        <v>12.08</v>
      </c>
      <c r="J320" s="78" t="n">
        <v>39.95</v>
      </c>
      <c r="K320" s="78" t="n">
        <v>334</v>
      </c>
      <c r="T320" s="78" t="n">
        <v>2</v>
      </c>
      <c r="U320" s="78" t="n">
        <v>1</v>
      </c>
      <c r="V320" s="78" t="inlineStr">
        <is>
          <t>계단식</t>
        </is>
      </c>
      <c r="W320" s="78" t="n">
        <v>55</v>
      </c>
      <c r="X320" s="78" t="n">
        <v>15</v>
      </c>
      <c r="Y320" s="78" t="n">
        <v>9</v>
      </c>
      <c r="Z320" s="78" t="inlineStr">
        <is>
          <t>https://new.land.naver.com/complexes/114910?tab=detail&amp;rf=Y</t>
        </is>
      </c>
      <c r="AA320" s="78" t="inlineStr">
        <is>
          <t>전라북도 군산시 미룡동 852</t>
        </is>
      </c>
      <c r="AB320" s="78" t="inlineStr">
        <is>
          <t>전라북도</t>
        </is>
      </c>
      <c r="AC320" s="78" t="inlineStr">
        <is>
          <t>군산시</t>
        </is>
      </c>
      <c r="AD320" s="78" t="inlineStr">
        <is>
          <t>미룡동</t>
        </is>
      </c>
      <c r="AG320" s="78" t="inlineStr">
        <is>
          <t>전라북도 군산시 칠성5길 30</t>
        </is>
      </c>
      <c r="AH320" s="78" t="n">
        <v>0</v>
      </c>
      <c r="AI320" s="78" t="n">
        <v>369</v>
      </c>
      <c r="AJ320" s="78" t="n">
        <v>34</v>
      </c>
      <c r="AK320" s="78" t="n">
        <v>207</v>
      </c>
      <c r="AL320" s="78" t="n">
        <v>0.6</v>
      </c>
    </row>
    <row r="321">
      <c r="A321" s="78" t="inlineStr">
        <is>
          <t>[미룡동]</t>
        </is>
      </c>
      <c r="B321" s="78" t="n">
        <v>27503</v>
      </c>
      <c r="C321" s="78" t="n">
        <v>1</v>
      </c>
      <c r="D321" s="78" t="inlineStr">
        <is>
          <t>은파리젠시빌파크</t>
        </is>
      </c>
      <c r="E321" s="78" t="inlineStr">
        <is>
          <t>2007.02.</t>
        </is>
      </c>
      <c r="F321" s="78" t="n">
        <v>317</v>
      </c>
      <c r="G321" s="78" t="n">
        <v>35.04</v>
      </c>
      <c r="H321" s="78" t="n">
        <v>115.85</v>
      </c>
      <c r="I321" s="78" t="n">
        <v>25.67</v>
      </c>
      <c r="J321" s="78" t="n">
        <v>84.86</v>
      </c>
      <c r="K321" s="78" t="n">
        <v>233</v>
      </c>
      <c r="T321" s="78" t="n">
        <v>3</v>
      </c>
      <c r="U321" s="78" t="n">
        <v>2</v>
      </c>
      <c r="V321" s="78" t="inlineStr">
        <is>
          <t>계단식</t>
        </is>
      </c>
      <c r="W321" s="78" t="n">
        <v>115</v>
      </c>
      <c r="X321" s="78" t="n">
        <v>15</v>
      </c>
      <c r="Y321" s="78" t="n">
        <v>15</v>
      </c>
      <c r="Z321" s="78" t="inlineStr">
        <is>
          <t>https://new.land.naver.com/complexes/27503?tab=detail&amp;rf=Y</t>
        </is>
      </c>
      <c r="AA321" s="78" t="inlineStr">
        <is>
          <t>전라북도 군산시 미룡동 59-59</t>
        </is>
      </c>
      <c r="AB321" s="78" t="inlineStr">
        <is>
          <t>전라북도</t>
        </is>
      </c>
      <c r="AC321" s="78" t="inlineStr">
        <is>
          <t>군산시</t>
        </is>
      </c>
      <c r="AD321" s="78" t="inlineStr">
        <is>
          <t>미룡동</t>
        </is>
      </c>
      <c r="AG321" s="78" t="inlineStr">
        <is>
          <t>전라북도 군산시 미룡로 64</t>
        </is>
      </c>
      <c r="AH321" s="78" t="n">
        <v>0</v>
      </c>
      <c r="AI321" s="78" t="n">
        <v>238</v>
      </c>
      <c r="AJ321" s="78" t="n">
        <v>35</v>
      </c>
      <c r="AK321" s="78" t="n">
        <v>388</v>
      </c>
      <c r="AL321" s="78" t="n">
        <v>1.22</v>
      </c>
    </row>
    <row r="322">
      <c r="A322" s="78" t="inlineStr">
        <is>
          <t>[미룡동]</t>
        </is>
      </c>
      <c r="B322" s="78" t="n">
        <v>27503</v>
      </c>
      <c r="C322" s="78" t="n">
        <v>2</v>
      </c>
      <c r="D322" s="78" t="inlineStr">
        <is>
          <t>은파리젠시빌파크</t>
        </is>
      </c>
      <c r="E322" s="78" t="inlineStr">
        <is>
          <t>2007.02.</t>
        </is>
      </c>
      <c r="F322" s="78" t="n">
        <v>317</v>
      </c>
      <c r="G322" s="78" t="n">
        <v>48.31</v>
      </c>
      <c r="H322" s="78" t="n">
        <v>159.72</v>
      </c>
      <c r="I322" s="78" t="n">
        <v>40.05</v>
      </c>
      <c r="J322" s="78" t="n">
        <v>132.41</v>
      </c>
      <c r="K322" s="78" t="n">
        <v>84</v>
      </c>
      <c r="T322" s="78" t="n">
        <v>4</v>
      </c>
      <c r="U322" s="78" t="n">
        <v>2</v>
      </c>
      <c r="V322" s="78" t="inlineStr">
        <is>
          <t>계단식</t>
        </is>
      </c>
      <c r="W322" s="78" t="n">
        <v>159</v>
      </c>
      <c r="X322" s="78" t="n">
        <v>15</v>
      </c>
      <c r="Y322" s="78" t="n">
        <v>15</v>
      </c>
      <c r="Z322" s="78" t="inlineStr">
        <is>
          <t>https://new.land.naver.com/complexes/27503?tab=detail&amp;rf=Y</t>
        </is>
      </c>
      <c r="AA322" s="78" t="inlineStr">
        <is>
          <t>전라북도 군산시 미룡동 59-59</t>
        </is>
      </c>
      <c r="AB322" s="78" t="inlineStr">
        <is>
          <t>전라북도</t>
        </is>
      </c>
      <c r="AC322" s="78" t="inlineStr">
        <is>
          <t>군산시</t>
        </is>
      </c>
      <c r="AD322" s="78" t="inlineStr">
        <is>
          <t>미룡동</t>
        </is>
      </c>
      <c r="AG322" s="78" t="inlineStr">
        <is>
          <t>전라북도 군산시 미룡로 64</t>
        </is>
      </c>
      <c r="AH322" s="78" t="n">
        <v>0</v>
      </c>
      <c r="AI322" s="78" t="n">
        <v>238</v>
      </c>
      <c r="AJ322" s="78" t="n">
        <v>35</v>
      </c>
      <c r="AK322" s="78" t="n">
        <v>388</v>
      </c>
      <c r="AL322" s="78" t="n">
        <v>1.22</v>
      </c>
    </row>
    <row r="323">
      <c r="A323" s="78" t="inlineStr">
        <is>
          <t>[미룡동]</t>
        </is>
      </c>
      <c r="B323" s="78" t="n">
        <v>104840</v>
      </c>
      <c r="C323" s="78" t="n">
        <v>1</v>
      </c>
      <c r="D323" s="78" t="inlineStr">
        <is>
          <t>미룡대명2차</t>
        </is>
      </c>
      <c r="E323" s="78" t="inlineStr">
        <is>
          <t>2002.05.</t>
        </is>
      </c>
      <c r="F323" s="78" t="n">
        <v>276</v>
      </c>
      <c r="G323" s="78" t="n">
        <v>20.84</v>
      </c>
      <c r="H323" s="78" t="n">
        <v>68.92</v>
      </c>
      <c r="I323" s="78" t="n">
        <v>14.79</v>
      </c>
      <c r="J323" s="78" t="n">
        <v>48.91</v>
      </c>
      <c r="K323" s="78" t="n">
        <v>78</v>
      </c>
      <c r="T323" s="78" t="n">
        <v>2</v>
      </c>
      <c r="U323" s="78" t="n">
        <v>1</v>
      </c>
      <c r="V323" s="78" t="inlineStr">
        <is>
          <t>계단식</t>
        </is>
      </c>
      <c r="W323" s="78" t="inlineStr">
        <is>
          <t>68B</t>
        </is>
      </c>
      <c r="X323" s="78" t="n">
        <v>18</v>
      </c>
      <c r="Y323" s="78" t="n">
        <v>13</v>
      </c>
      <c r="Z323" s="78" t="inlineStr">
        <is>
          <t>https://new.land.naver.com/complexes/104840?tab=detail&amp;rf=Y</t>
        </is>
      </c>
      <c r="AA323" s="78" t="inlineStr">
        <is>
          <t>전라북도 군산시 미룡동 857</t>
        </is>
      </c>
      <c r="AB323" s="78" t="inlineStr">
        <is>
          <t>전라북도</t>
        </is>
      </c>
      <c r="AC323" s="78" t="inlineStr">
        <is>
          <t>군산시</t>
        </is>
      </c>
      <c r="AD323" s="78" t="inlineStr">
        <is>
          <t>미룡동</t>
        </is>
      </c>
      <c r="AG323" s="78" t="inlineStr">
        <is>
          <t>전라북도 군산시 칠성3길 8</t>
        </is>
      </c>
      <c r="AH323" s="78" t="n">
        <v>0</v>
      </c>
      <c r="AI323" s="78" t="n">
        <v>0</v>
      </c>
      <c r="AJ323" s="78" t="n">
        <v>0</v>
      </c>
      <c r="AK323" s="78" t="n">
        <v>0</v>
      </c>
      <c r="AL323" s="78" t="n">
        <v>0</v>
      </c>
    </row>
    <row r="324">
      <c r="A324" s="78" t="inlineStr">
        <is>
          <t>[미룡동]</t>
        </is>
      </c>
      <c r="B324" s="78" t="n">
        <v>104840</v>
      </c>
      <c r="C324" s="78" t="n">
        <v>2</v>
      </c>
      <c r="D324" s="78" t="inlineStr">
        <is>
          <t>미룡대명2차</t>
        </is>
      </c>
      <c r="E324" s="78" t="inlineStr">
        <is>
          <t>2002.05.</t>
        </is>
      </c>
      <c r="F324" s="78" t="n">
        <v>276</v>
      </c>
      <c r="G324" s="78" t="n">
        <v>20.94</v>
      </c>
      <c r="H324" s="78" t="n">
        <v>69.25</v>
      </c>
      <c r="I324" s="78" t="n">
        <v>14.86</v>
      </c>
      <c r="J324" s="78" t="n">
        <v>49.14</v>
      </c>
      <c r="K324" s="78" t="n">
        <v>198</v>
      </c>
      <c r="T324" s="78" t="n">
        <v>2</v>
      </c>
      <c r="U324" s="78" t="n">
        <v>1</v>
      </c>
      <c r="V324" s="78" t="inlineStr">
        <is>
          <t>계단식</t>
        </is>
      </c>
      <c r="W324" s="78" t="inlineStr">
        <is>
          <t>69A</t>
        </is>
      </c>
      <c r="X324" s="78" t="n">
        <v>18</v>
      </c>
      <c r="Y324" s="78" t="n">
        <v>13</v>
      </c>
      <c r="Z324" s="78" t="inlineStr">
        <is>
          <t>https://new.land.naver.com/complexes/104840?tab=detail&amp;rf=Y</t>
        </is>
      </c>
      <c r="AA324" s="78" t="inlineStr">
        <is>
          <t>전라북도 군산시 미룡동 857</t>
        </is>
      </c>
      <c r="AB324" s="78" t="inlineStr">
        <is>
          <t>전라북도</t>
        </is>
      </c>
      <c r="AC324" s="78" t="inlineStr">
        <is>
          <t>군산시</t>
        </is>
      </c>
      <c r="AD324" s="78" t="inlineStr">
        <is>
          <t>미룡동</t>
        </is>
      </c>
      <c r="AG324" s="78" t="inlineStr">
        <is>
          <t>전라북도 군산시 칠성3길 8</t>
        </is>
      </c>
      <c r="AH324" s="78" t="n">
        <v>0</v>
      </c>
      <c r="AI324" s="78" t="n">
        <v>0</v>
      </c>
      <c r="AJ324" s="78" t="n">
        <v>0</v>
      </c>
      <c r="AK324" s="78" t="n">
        <v>0</v>
      </c>
      <c r="AL324" s="78" t="n">
        <v>0</v>
      </c>
    </row>
    <row r="325">
      <c r="A325" s="78" t="inlineStr">
        <is>
          <t>[미룡동]</t>
        </is>
      </c>
      <c r="B325" s="78" t="n">
        <v>126472</v>
      </c>
      <c r="C325" s="78" t="n">
        <v>1</v>
      </c>
      <c r="D325" s="78" t="inlineStr">
        <is>
          <t>해강솔비앙미룡시티2차(도시형)</t>
        </is>
      </c>
      <c r="E325" s="78" t="inlineStr">
        <is>
          <t>2018.12.</t>
        </is>
      </c>
      <c r="F325" s="78" t="n">
        <v>16</v>
      </c>
      <c r="G325" s="78" t="n">
        <v>26.21</v>
      </c>
      <c r="H325" s="78" t="n">
        <v>86.66</v>
      </c>
      <c r="I325" s="78" t="n">
        <v>22.65</v>
      </c>
      <c r="J325" s="78" t="n">
        <v>74.90000000000001</v>
      </c>
      <c r="K325" s="78" t="n">
        <v>16</v>
      </c>
      <c r="T325" s="78" t="n">
        <v>3</v>
      </c>
      <c r="U325" s="78" t="n">
        <v>2</v>
      </c>
      <c r="V325" s="78" t="inlineStr">
        <is>
          <t>계단식</t>
        </is>
      </c>
      <c r="W325" s="78" t="n">
        <v>86</v>
      </c>
      <c r="X325" s="78" t="n">
        <v>5</v>
      </c>
      <c r="Y325" s="78" t="n">
        <v>5</v>
      </c>
      <c r="Z325" s="78" t="inlineStr">
        <is>
          <t>https://new.land.naver.com/complexes/126472?tab=detail&amp;rf=Y</t>
        </is>
      </c>
      <c r="AA325" s="78" t="inlineStr">
        <is>
          <t>전라북도 군산시 미룡동 860-2</t>
        </is>
      </c>
      <c r="AB325" s="78" t="inlineStr">
        <is>
          <t>전라북도</t>
        </is>
      </c>
      <c r="AC325" s="78" t="inlineStr">
        <is>
          <t>군산시</t>
        </is>
      </c>
      <c r="AD325" s="78" t="inlineStr">
        <is>
          <t>미룡동</t>
        </is>
      </c>
      <c r="AG325" s="78" t="inlineStr">
        <is>
          <t>전라북도 군산시 칠성5길 10</t>
        </is>
      </c>
      <c r="AH325" s="78" t="n">
        <v>0</v>
      </c>
      <c r="AI325" s="78" t="n">
        <v>214</v>
      </c>
      <c r="AJ325" s="78" t="n">
        <v>20</v>
      </c>
      <c r="AK325" s="78" t="n">
        <v>16</v>
      </c>
      <c r="AL325" s="78" t="n">
        <v>1</v>
      </c>
    </row>
    <row r="326">
      <c r="A326" s="78" t="inlineStr">
        <is>
          <t>[미룡동]</t>
        </is>
      </c>
      <c r="B326" s="78" t="n">
        <v>16988</v>
      </c>
      <c r="C326" s="78" t="n">
        <v>1</v>
      </c>
      <c r="D326" s="78" t="inlineStr">
        <is>
          <t>미룡주공2단지</t>
        </is>
      </c>
      <c r="E326" s="78" t="inlineStr">
        <is>
          <t>2001.03.</t>
        </is>
      </c>
      <c r="F326" s="78" t="n">
        <v>874</v>
      </c>
      <c r="G326" s="78" t="n">
        <v>20.66</v>
      </c>
      <c r="H326" s="78" t="n">
        <v>68.3</v>
      </c>
      <c r="I326" s="78" t="n">
        <v>15.2</v>
      </c>
      <c r="J326" s="78" t="n">
        <v>50.28</v>
      </c>
      <c r="K326" s="78" t="n">
        <v>288</v>
      </c>
      <c r="T326" s="78" t="n">
        <v>2</v>
      </c>
      <c r="U326" s="78" t="n">
        <v>1</v>
      </c>
      <c r="V326" s="78" t="inlineStr">
        <is>
          <t>복도식</t>
        </is>
      </c>
      <c r="W326" s="78" t="inlineStr">
        <is>
          <t>68A</t>
        </is>
      </c>
      <c r="X326" s="78" t="n">
        <v>20</v>
      </c>
      <c r="Y326" s="78" t="n">
        <v>15</v>
      </c>
      <c r="Z326" s="78" t="inlineStr">
        <is>
          <t>https://new.land.naver.com/complexes/16988?tab=detail&amp;rf=Y</t>
        </is>
      </c>
      <c r="AA326" s="78" t="inlineStr">
        <is>
          <t>전라북도 군산시 미룡동 896-1</t>
        </is>
      </c>
      <c r="AB326" s="78" t="inlineStr">
        <is>
          <t>전라북도</t>
        </is>
      </c>
      <c r="AC326" s="78" t="inlineStr">
        <is>
          <t>군산시</t>
        </is>
      </c>
      <c r="AD326" s="78" t="inlineStr">
        <is>
          <t>미룡동</t>
        </is>
      </c>
      <c r="AG326" s="78" t="inlineStr">
        <is>
          <t>전라북도 군산시 미룡로 41</t>
        </is>
      </c>
      <c r="AH326" s="78" t="n">
        <v>0</v>
      </c>
      <c r="AI326" s="78" t="n">
        <v>209</v>
      </c>
      <c r="AJ326" s="78" t="n">
        <v>17</v>
      </c>
      <c r="AK326" s="78" t="n">
        <v>782</v>
      </c>
      <c r="AL326" s="78" t="n">
        <v>0.89</v>
      </c>
    </row>
    <row r="327">
      <c r="A327" s="78" t="inlineStr">
        <is>
          <t>[미룡동]</t>
        </is>
      </c>
      <c r="B327" s="78" t="n">
        <v>16988</v>
      </c>
      <c r="C327" s="78" t="n">
        <v>2</v>
      </c>
      <c r="D327" s="78" t="inlineStr">
        <is>
          <t>미룡주공2단지</t>
        </is>
      </c>
      <c r="E327" s="78" t="inlineStr">
        <is>
          <t>2001.03.</t>
        </is>
      </c>
      <c r="F327" s="78" t="n">
        <v>874</v>
      </c>
      <c r="G327" s="78" t="n">
        <v>21.34</v>
      </c>
      <c r="H327" s="78" t="n">
        <v>70.55</v>
      </c>
      <c r="I327" s="78" t="n">
        <v>15.71</v>
      </c>
      <c r="J327" s="78" t="n">
        <v>51.94</v>
      </c>
      <c r="K327" s="78" t="n">
        <v>4</v>
      </c>
      <c r="T327" s="78" t="n">
        <v>2</v>
      </c>
      <c r="U327" s="78" t="n">
        <v>1</v>
      </c>
      <c r="V327" s="78" t="inlineStr">
        <is>
          <t>계단식</t>
        </is>
      </c>
      <c r="W327" s="78" t="inlineStr">
        <is>
          <t>70B</t>
        </is>
      </c>
      <c r="X327" s="78" t="n">
        <v>20</v>
      </c>
      <c r="Y327" s="78" t="n">
        <v>15</v>
      </c>
      <c r="Z327" s="78" t="inlineStr">
        <is>
          <t>https://new.land.naver.com/complexes/16988?tab=detail&amp;rf=Y</t>
        </is>
      </c>
      <c r="AA327" s="78" t="inlineStr">
        <is>
          <t>전라북도 군산시 미룡동 896-1</t>
        </is>
      </c>
      <c r="AB327" s="78" t="inlineStr">
        <is>
          <t>전라북도</t>
        </is>
      </c>
      <c r="AC327" s="78" t="inlineStr">
        <is>
          <t>군산시</t>
        </is>
      </c>
      <c r="AD327" s="78" t="inlineStr">
        <is>
          <t>미룡동</t>
        </is>
      </c>
      <c r="AG327" s="78" t="inlineStr">
        <is>
          <t>전라북도 군산시 미룡로 41</t>
        </is>
      </c>
      <c r="AH327" s="78" t="n">
        <v>0</v>
      </c>
      <c r="AI327" s="78" t="n">
        <v>209</v>
      </c>
      <c r="AJ327" s="78" t="n">
        <v>17</v>
      </c>
      <c r="AK327" s="78" t="n">
        <v>782</v>
      </c>
      <c r="AL327" s="78" t="n">
        <v>0.89</v>
      </c>
    </row>
    <row r="328">
      <c r="A328" s="78" t="inlineStr">
        <is>
          <t>[미룡동]</t>
        </is>
      </c>
      <c r="B328" s="78" t="n">
        <v>16988</v>
      </c>
      <c r="C328" s="78" t="n">
        <v>3</v>
      </c>
      <c r="D328" s="78" t="inlineStr">
        <is>
          <t>미룡주공2단지</t>
        </is>
      </c>
      <c r="E328" s="78" t="inlineStr">
        <is>
          <t>2001.03.</t>
        </is>
      </c>
      <c r="F328" s="78" t="n">
        <v>874</v>
      </c>
      <c r="G328" s="78" t="n">
        <v>24.4</v>
      </c>
      <c r="H328" s="78" t="n">
        <v>80.67</v>
      </c>
      <c r="I328" s="78" t="n">
        <v>17.96</v>
      </c>
      <c r="J328" s="78" t="n">
        <v>59.39</v>
      </c>
      <c r="K328" s="78" t="n">
        <v>267</v>
      </c>
      <c r="T328" s="78" t="n">
        <v>3</v>
      </c>
      <c r="U328" s="78" t="n">
        <v>1</v>
      </c>
      <c r="V328" s="78" t="inlineStr">
        <is>
          <t>계단식</t>
        </is>
      </c>
      <c r="W328" s="78" t="inlineStr">
        <is>
          <t>80B</t>
        </is>
      </c>
      <c r="X328" s="78" t="n">
        <v>20</v>
      </c>
      <c r="Y328" s="78" t="n">
        <v>15</v>
      </c>
      <c r="Z328" s="78" t="inlineStr">
        <is>
          <t>https://new.land.naver.com/complexes/16988?tab=detail&amp;rf=Y</t>
        </is>
      </c>
      <c r="AA328" s="78" t="inlineStr">
        <is>
          <t>전라북도 군산시 미룡동 896-1</t>
        </is>
      </c>
      <c r="AB328" s="78" t="inlineStr">
        <is>
          <t>전라북도</t>
        </is>
      </c>
      <c r="AC328" s="78" t="inlineStr">
        <is>
          <t>군산시</t>
        </is>
      </c>
      <c r="AD328" s="78" t="inlineStr">
        <is>
          <t>미룡동</t>
        </is>
      </c>
      <c r="AG328" s="78" t="inlineStr">
        <is>
          <t>전라북도 군산시 미룡로 41</t>
        </is>
      </c>
      <c r="AH328" s="78" t="n">
        <v>0</v>
      </c>
      <c r="AI328" s="78" t="n">
        <v>209</v>
      </c>
      <c r="AJ328" s="78" t="n">
        <v>17</v>
      </c>
      <c r="AK328" s="78" t="n">
        <v>782</v>
      </c>
      <c r="AL328" s="78" t="n">
        <v>0.89</v>
      </c>
    </row>
    <row r="329">
      <c r="A329" s="78" t="inlineStr">
        <is>
          <t>[미룡동]</t>
        </is>
      </c>
      <c r="B329" s="78" t="n">
        <v>16988</v>
      </c>
      <c r="C329" s="78" t="n">
        <v>4</v>
      </c>
      <c r="D329" s="78" t="inlineStr">
        <is>
          <t>미룡주공2단지</t>
        </is>
      </c>
      <c r="E329" s="78" t="inlineStr">
        <is>
          <t>2001.03.</t>
        </is>
      </c>
      <c r="F329" s="78" t="n">
        <v>874</v>
      </c>
      <c r="G329" s="78" t="n">
        <v>24.41</v>
      </c>
      <c r="H329" s="78" t="n">
        <v>80.7</v>
      </c>
      <c r="I329" s="78" t="n">
        <v>17.97</v>
      </c>
      <c r="J329" s="78" t="n">
        <v>59.41</v>
      </c>
      <c r="K329" s="78" t="n">
        <v>76</v>
      </c>
      <c r="T329" s="78" t="n">
        <v>3</v>
      </c>
      <c r="U329" s="78" t="n">
        <v>1</v>
      </c>
      <c r="V329" s="78" t="inlineStr">
        <is>
          <t>계단식</t>
        </is>
      </c>
      <c r="W329" s="78" t="inlineStr">
        <is>
          <t>80C</t>
        </is>
      </c>
      <c r="X329" s="78" t="n">
        <v>20</v>
      </c>
      <c r="Y329" s="78" t="n">
        <v>15</v>
      </c>
      <c r="Z329" s="78" t="inlineStr">
        <is>
          <t>https://new.land.naver.com/complexes/16988?tab=detail&amp;rf=Y</t>
        </is>
      </c>
      <c r="AA329" s="78" t="inlineStr">
        <is>
          <t>전라북도 군산시 미룡동 896-1</t>
        </is>
      </c>
      <c r="AB329" s="78" t="inlineStr">
        <is>
          <t>전라북도</t>
        </is>
      </c>
      <c r="AC329" s="78" t="inlineStr">
        <is>
          <t>군산시</t>
        </is>
      </c>
      <c r="AD329" s="78" t="inlineStr">
        <is>
          <t>미룡동</t>
        </is>
      </c>
      <c r="AG329" s="78" t="inlineStr">
        <is>
          <t>전라북도 군산시 미룡로 41</t>
        </is>
      </c>
      <c r="AH329" s="78" t="n">
        <v>0</v>
      </c>
      <c r="AI329" s="78" t="n">
        <v>209</v>
      </c>
      <c r="AJ329" s="78" t="n">
        <v>17</v>
      </c>
      <c r="AK329" s="78" t="n">
        <v>782</v>
      </c>
      <c r="AL329" s="78" t="n">
        <v>0.89</v>
      </c>
    </row>
    <row r="330">
      <c r="A330" s="78" t="inlineStr">
        <is>
          <t>[미룡동]</t>
        </is>
      </c>
      <c r="B330" s="78" t="n">
        <v>16988</v>
      </c>
      <c r="C330" s="78" t="n">
        <v>5</v>
      </c>
      <c r="D330" s="78" t="inlineStr">
        <is>
          <t>미룡주공2단지</t>
        </is>
      </c>
      <c r="E330" s="78" t="inlineStr">
        <is>
          <t>2001.03.</t>
        </is>
      </c>
      <c r="F330" s="78" t="n">
        <v>874</v>
      </c>
      <c r="G330" s="78" t="n">
        <v>24.38</v>
      </c>
      <c r="H330" s="78" t="n">
        <v>80.61</v>
      </c>
      <c r="I330" s="78" t="n">
        <v>17.95</v>
      </c>
      <c r="J330" s="78" t="n">
        <v>59.34</v>
      </c>
      <c r="K330" s="78" t="n">
        <v>15</v>
      </c>
      <c r="T330" s="78" t="n">
        <v>3</v>
      </c>
      <c r="U330" s="78" t="n">
        <v>1</v>
      </c>
      <c r="V330" s="78" t="inlineStr">
        <is>
          <t>계단식</t>
        </is>
      </c>
      <c r="W330" s="78" t="inlineStr">
        <is>
          <t>80A</t>
        </is>
      </c>
      <c r="X330" s="78" t="n">
        <v>20</v>
      </c>
      <c r="Y330" s="78" t="n">
        <v>15</v>
      </c>
      <c r="Z330" s="78" t="inlineStr">
        <is>
          <t>https://new.land.naver.com/complexes/16988?tab=detail&amp;rf=Y</t>
        </is>
      </c>
      <c r="AA330" s="78" t="inlineStr">
        <is>
          <t>전라북도 군산시 미룡동 896-1</t>
        </is>
      </c>
      <c r="AB330" s="78" t="inlineStr">
        <is>
          <t>전라북도</t>
        </is>
      </c>
      <c r="AC330" s="78" t="inlineStr">
        <is>
          <t>군산시</t>
        </is>
      </c>
      <c r="AD330" s="78" t="inlineStr">
        <is>
          <t>미룡동</t>
        </is>
      </c>
      <c r="AG330" s="78" t="inlineStr">
        <is>
          <t>전라북도 군산시 미룡로 41</t>
        </is>
      </c>
      <c r="AH330" s="78" t="n">
        <v>0</v>
      </c>
      <c r="AI330" s="78" t="n">
        <v>209</v>
      </c>
      <c r="AJ330" s="78" t="n">
        <v>17</v>
      </c>
      <c r="AK330" s="78" t="n">
        <v>782</v>
      </c>
      <c r="AL330" s="78" t="n">
        <v>0.89</v>
      </c>
    </row>
    <row r="331">
      <c r="A331" s="78" t="inlineStr">
        <is>
          <t>[미룡동]</t>
        </is>
      </c>
      <c r="B331" s="78" t="n">
        <v>16988</v>
      </c>
      <c r="C331" s="78" t="n">
        <v>6</v>
      </c>
      <c r="D331" s="78" t="inlineStr">
        <is>
          <t>미룡주공2단지</t>
        </is>
      </c>
      <c r="E331" s="78" t="inlineStr">
        <is>
          <t>2001.03.</t>
        </is>
      </c>
      <c r="F331" s="78" t="n">
        <v>874</v>
      </c>
      <c r="G331" s="78" t="n">
        <v>34.65</v>
      </c>
      <c r="H331" s="78" t="n">
        <v>114.57</v>
      </c>
      <c r="I331" s="78" t="n">
        <v>25.51</v>
      </c>
      <c r="J331" s="78" t="n">
        <v>84.34</v>
      </c>
      <c r="K331" s="78" t="n">
        <v>224</v>
      </c>
      <c r="T331" s="78" t="n">
        <v>3</v>
      </c>
      <c r="U331" s="78" t="n">
        <v>1</v>
      </c>
      <c r="V331" s="78" t="inlineStr">
        <is>
          <t>계단식</t>
        </is>
      </c>
      <c r="W331" s="78" t="n">
        <v>114</v>
      </c>
      <c r="X331" s="78" t="n">
        <v>20</v>
      </c>
      <c r="Y331" s="78" t="n">
        <v>15</v>
      </c>
      <c r="Z331" s="78" t="inlineStr">
        <is>
          <t>https://new.land.naver.com/complexes/16988?tab=detail&amp;rf=Y</t>
        </is>
      </c>
      <c r="AA331" s="78" t="inlineStr">
        <is>
          <t>전라북도 군산시 미룡동 896-1</t>
        </is>
      </c>
      <c r="AB331" s="78" t="inlineStr">
        <is>
          <t>전라북도</t>
        </is>
      </c>
      <c r="AC331" s="78" t="inlineStr">
        <is>
          <t>군산시</t>
        </is>
      </c>
      <c r="AD331" s="78" t="inlineStr">
        <is>
          <t>미룡동</t>
        </is>
      </c>
      <c r="AG331" s="78" t="inlineStr">
        <is>
          <t>전라북도 군산시 미룡로 41</t>
        </is>
      </c>
      <c r="AH331" s="78" t="n">
        <v>0</v>
      </c>
      <c r="AI331" s="78" t="n">
        <v>209</v>
      </c>
      <c r="AJ331" s="78" t="n">
        <v>17</v>
      </c>
      <c r="AK331" s="78" t="n">
        <v>782</v>
      </c>
      <c r="AL331" s="78" t="n">
        <v>0.89</v>
      </c>
    </row>
    <row r="332">
      <c r="A332" s="78" t="inlineStr">
        <is>
          <t>[미장동]</t>
        </is>
      </c>
      <c r="B332" s="78" t="n">
        <v>27527</v>
      </c>
      <c r="C332" s="78" t="n">
        <v>1</v>
      </c>
      <c r="D332" s="78" t="inlineStr">
        <is>
          <t>파인빌2차</t>
        </is>
      </c>
      <c r="E332" s="78" t="inlineStr">
        <is>
          <t>2006.06.</t>
        </is>
      </c>
      <c r="F332" s="78" t="n">
        <v>351</v>
      </c>
      <c r="G332" s="78" t="n">
        <v>24.36</v>
      </c>
      <c r="H332" s="78" t="n">
        <v>80.55</v>
      </c>
      <c r="I332" s="78" t="n">
        <v>18.12</v>
      </c>
      <c r="J332" s="78" t="n">
        <v>59.93</v>
      </c>
      <c r="K332" s="78" t="n">
        <v>149</v>
      </c>
      <c r="T332" s="78" t="n">
        <v>3</v>
      </c>
      <c r="U332" s="78" t="n">
        <v>2</v>
      </c>
      <c r="V332" s="78" t="inlineStr">
        <is>
          <t>계단식</t>
        </is>
      </c>
      <c r="W332" s="78" t="n">
        <v>80</v>
      </c>
      <c r="X332" s="78" t="n">
        <v>15</v>
      </c>
      <c r="Y332" s="78" t="n">
        <v>14</v>
      </c>
      <c r="Z332" s="78" t="inlineStr">
        <is>
          <t>https://new.land.naver.com/complexes/27527?tab=detail&amp;rf=Y</t>
        </is>
      </c>
      <c r="AA332" s="78" t="inlineStr">
        <is>
          <t>전라북도 군산시 미장동 51-1</t>
        </is>
      </c>
      <c r="AB332" s="78" t="inlineStr">
        <is>
          <t>전라북도</t>
        </is>
      </c>
      <c r="AC332" s="78" t="inlineStr">
        <is>
          <t>군산시</t>
        </is>
      </c>
      <c r="AD332" s="78" t="inlineStr">
        <is>
          <t>미장동</t>
        </is>
      </c>
      <c r="AG332" s="78" t="inlineStr">
        <is>
          <t>전라북도 군산시 미장안길 55</t>
        </is>
      </c>
      <c r="AH332" s="78" t="n">
        <v>0</v>
      </c>
      <c r="AI332" s="78" t="n">
        <v>226</v>
      </c>
      <c r="AJ332" s="78" t="n">
        <v>20</v>
      </c>
      <c r="AK332" s="78" t="n">
        <v>386</v>
      </c>
      <c r="AL332" s="78" t="n">
        <v>1.1</v>
      </c>
    </row>
    <row r="333">
      <c r="A333" s="78" t="inlineStr">
        <is>
          <t>[미장동]</t>
        </is>
      </c>
      <c r="B333" s="78" t="n">
        <v>27527</v>
      </c>
      <c r="C333" s="78" t="n">
        <v>2</v>
      </c>
      <c r="D333" s="78" t="inlineStr">
        <is>
          <t>파인빌2차</t>
        </is>
      </c>
      <c r="E333" s="78" t="inlineStr">
        <is>
          <t>2006.06.</t>
        </is>
      </c>
      <c r="F333" s="78" t="n">
        <v>351</v>
      </c>
      <c r="G333" s="78" t="n">
        <v>36.26</v>
      </c>
      <c r="H333" s="78" t="n">
        <v>119.87</v>
      </c>
      <c r="I333" s="78" t="n">
        <v>25.7</v>
      </c>
      <c r="J333" s="78" t="n">
        <v>84.98</v>
      </c>
      <c r="K333" s="78" t="n">
        <v>202</v>
      </c>
      <c r="T333" s="78" t="n">
        <v>3</v>
      </c>
      <c r="U333" s="78" t="n">
        <v>2</v>
      </c>
      <c r="V333" s="78" t="inlineStr">
        <is>
          <t>복도식</t>
        </is>
      </c>
      <c r="W333" s="78" t="n">
        <v>119</v>
      </c>
      <c r="X333" s="78" t="n">
        <v>15</v>
      </c>
      <c r="Y333" s="78" t="n">
        <v>14</v>
      </c>
      <c r="Z333" s="78" t="inlineStr">
        <is>
          <t>https://new.land.naver.com/complexes/27527?tab=detail&amp;rf=Y</t>
        </is>
      </c>
      <c r="AA333" s="78" t="inlineStr">
        <is>
          <t>전라북도 군산시 미장동 51-1</t>
        </is>
      </c>
      <c r="AB333" s="78" t="inlineStr">
        <is>
          <t>전라북도</t>
        </is>
      </c>
      <c r="AC333" s="78" t="inlineStr">
        <is>
          <t>군산시</t>
        </is>
      </c>
      <c r="AD333" s="78" t="inlineStr">
        <is>
          <t>미장동</t>
        </is>
      </c>
      <c r="AG333" s="78" t="inlineStr">
        <is>
          <t>전라북도 군산시 미장안길 55</t>
        </is>
      </c>
      <c r="AH333" s="78" t="n">
        <v>0</v>
      </c>
      <c r="AI333" s="78" t="n">
        <v>226</v>
      </c>
      <c r="AJ333" s="78" t="n">
        <v>20</v>
      </c>
      <c r="AK333" s="78" t="n">
        <v>386</v>
      </c>
      <c r="AL333" s="78" t="n">
        <v>1.1</v>
      </c>
    </row>
    <row r="334">
      <c r="A334" s="78" t="inlineStr">
        <is>
          <t>[미장동]</t>
        </is>
      </c>
      <c r="B334" s="78" t="n">
        <v>27526</v>
      </c>
      <c r="C334" s="78" t="n">
        <v>1</v>
      </c>
      <c r="D334" s="78" t="inlineStr">
        <is>
          <t>파인빌1차</t>
        </is>
      </c>
      <c r="E334" s="78" t="inlineStr">
        <is>
          <t>2004.11.</t>
        </is>
      </c>
      <c r="F334" s="78" t="n">
        <v>499</v>
      </c>
      <c r="G334" s="78" t="n">
        <v>24.22</v>
      </c>
      <c r="H334" s="78" t="n">
        <v>80.09</v>
      </c>
      <c r="I334" s="78" t="n">
        <v>18.14</v>
      </c>
      <c r="J334" s="78" t="n">
        <v>59.97</v>
      </c>
      <c r="K334" s="78" t="n">
        <v>139</v>
      </c>
      <c r="T334" s="78" t="n">
        <v>3</v>
      </c>
      <c r="U334" s="78" t="n">
        <v>1</v>
      </c>
      <c r="V334" s="78" t="inlineStr">
        <is>
          <t>계단식</t>
        </is>
      </c>
      <c r="W334" s="78" t="n">
        <v>80</v>
      </c>
      <c r="X334" s="78" t="n">
        <v>15</v>
      </c>
      <c r="Y334" s="78" t="n">
        <v>14</v>
      </c>
      <c r="Z334" s="78" t="inlineStr">
        <is>
          <t>https://new.land.naver.com/complexes/27526?tab=detail&amp;rf=Y</t>
        </is>
      </c>
      <c r="AA334" s="78" t="inlineStr">
        <is>
          <t>전라북도 군산시 미장동 53-1</t>
        </is>
      </c>
      <c r="AB334" s="78" t="inlineStr">
        <is>
          <t>전라북도</t>
        </is>
      </c>
      <c r="AC334" s="78" t="inlineStr">
        <is>
          <t>군산시</t>
        </is>
      </c>
      <c r="AD334" s="78" t="inlineStr">
        <is>
          <t>미장동</t>
        </is>
      </c>
      <c r="AG334" s="78" t="inlineStr">
        <is>
          <t>전라북도 군산시 문화로 208-8</t>
        </is>
      </c>
      <c r="AH334" s="78" t="n">
        <v>0</v>
      </c>
      <c r="AI334" s="78" t="n">
        <v>229</v>
      </c>
      <c r="AJ334" s="78" t="n">
        <v>20</v>
      </c>
      <c r="AK334" s="78" t="n">
        <v>510</v>
      </c>
      <c r="AL334" s="78" t="n">
        <v>1.02</v>
      </c>
    </row>
    <row r="335">
      <c r="A335" s="78" t="inlineStr">
        <is>
          <t>[미장동]</t>
        </is>
      </c>
      <c r="B335" s="78" t="n">
        <v>27526</v>
      </c>
      <c r="C335" s="78" t="n">
        <v>2</v>
      </c>
      <c r="D335" s="78" t="inlineStr">
        <is>
          <t>파인빌1차</t>
        </is>
      </c>
      <c r="E335" s="78" t="inlineStr">
        <is>
          <t>2004.11.</t>
        </is>
      </c>
      <c r="F335" s="78" t="n">
        <v>499</v>
      </c>
      <c r="G335" s="78" t="n">
        <v>33.53</v>
      </c>
      <c r="H335" s="78" t="n">
        <v>110.85</v>
      </c>
      <c r="I335" s="78" t="n">
        <v>25.7</v>
      </c>
      <c r="J335" s="78" t="n">
        <v>84.98999999999999</v>
      </c>
      <c r="K335" s="78" t="n">
        <v>360</v>
      </c>
      <c r="T335" s="78" t="n">
        <v>3</v>
      </c>
      <c r="U335" s="78" t="n">
        <v>2</v>
      </c>
      <c r="V335" s="78" t="inlineStr">
        <is>
          <t>계단식</t>
        </is>
      </c>
      <c r="W335" s="78" t="n">
        <v>110</v>
      </c>
      <c r="X335" s="78" t="n">
        <v>15</v>
      </c>
      <c r="Y335" s="78" t="n">
        <v>14</v>
      </c>
      <c r="Z335" s="78" t="inlineStr">
        <is>
          <t>https://new.land.naver.com/complexes/27526?tab=detail&amp;rf=Y</t>
        </is>
      </c>
      <c r="AA335" s="78" t="inlineStr">
        <is>
          <t>전라북도 군산시 미장동 53-1</t>
        </is>
      </c>
      <c r="AB335" s="78" t="inlineStr">
        <is>
          <t>전라북도</t>
        </is>
      </c>
      <c r="AC335" s="78" t="inlineStr">
        <is>
          <t>군산시</t>
        </is>
      </c>
      <c r="AD335" s="78" t="inlineStr">
        <is>
          <t>미장동</t>
        </is>
      </c>
      <c r="AG335" s="78" t="inlineStr">
        <is>
          <t>전라북도 군산시 문화로 208-8</t>
        </is>
      </c>
      <c r="AH335" s="78" t="n">
        <v>0</v>
      </c>
      <c r="AI335" s="78" t="n">
        <v>229</v>
      </c>
      <c r="AJ335" s="78" t="n">
        <v>20</v>
      </c>
      <c r="AK335" s="78" t="n">
        <v>510</v>
      </c>
      <c r="AL335" s="78" t="n">
        <v>1.02</v>
      </c>
    </row>
    <row r="336">
      <c r="A336" s="78" t="inlineStr">
        <is>
          <t>[미장동]</t>
        </is>
      </c>
      <c r="B336" s="78" t="n">
        <v>110132</v>
      </c>
      <c r="C336" s="78" t="n">
        <v>1</v>
      </c>
      <c r="D336" s="78" t="inlineStr">
        <is>
          <t>군산미장2차아이파크</t>
        </is>
      </c>
      <c r="E336" s="78" t="inlineStr">
        <is>
          <t>2017.06.</t>
        </is>
      </c>
      <c r="F336" s="78" t="n">
        <v>540</v>
      </c>
      <c r="G336" s="78" t="n">
        <v>30.2</v>
      </c>
      <c r="H336" s="78" t="n">
        <v>99.84</v>
      </c>
      <c r="I336" s="78" t="n">
        <v>22.68</v>
      </c>
      <c r="J336" s="78" t="n">
        <v>74.98</v>
      </c>
      <c r="K336" s="78" t="n">
        <v>72</v>
      </c>
      <c r="T336" s="78" t="n">
        <v>3</v>
      </c>
      <c r="U336" s="78" t="n">
        <v>2</v>
      </c>
      <c r="V336" s="78" t="inlineStr">
        <is>
          <t>계단식</t>
        </is>
      </c>
      <c r="W336" s="78" t="inlineStr">
        <is>
          <t>99C</t>
        </is>
      </c>
      <c r="X336" s="78" t="n">
        <v>25</v>
      </c>
      <c r="Y336" s="78" t="n">
        <v>16</v>
      </c>
      <c r="Z336" s="78" t="inlineStr">
        <is>
          <t>https://new.land.naver.com/complexes/110132?tab=detail&amp;rf=Y</t>
        </is>
      </c>
      <c r="AA336" s="78" t="inlineStr">
        <is>
          <t>전라북도 군산시 미장동 484</t>
        </is>
      </c>
      <c r="AB336" s="78" t="inlineStr">
        <is>
          <t>전라북도</t>
        </is>
      </c>
      <c r="AC336" s="78" t="inlineStr">
        <is>
          <t>군산시</t>
        </is>
      </c>
      <c r="AD336" s="78" t="inlineStr">
        <is>
          <t>미장동</t>
        </is>
      </c>
      <c r="AG336" s="78" t="inlineStr">
        <is>
          <t>전라북도 군산시 미장안길 45</t>
        </is>
      </c>
      <c r="AH336" s="78" t="n">
        <v>0</v>
      </c>
      <c r="AI336" s="78" t="n">
        <v>0</v>
      </c>
      <c r="AJ336" s="78" t="n">
        <v>0</v>
      </c>
      <c r="AK336" s="78" t="n">
        <v>712</v>
      </c>
      <c r="AL336" s="78" t="n">
        <v>1.32</v>
      </c>
    </row>
    <row r="337">
      <c r="A337" s="78" t="inlineStr">
        <is>
          <t>[미장동]</t>
        </is>
      </c>
      <c r="B337" s="78" t="n">
        <v>110132</v>
      </c>
      <c r="C337" s="78" t="n">
        <v>2</v>
      </c>
      <c r="D337" s="78" t="inlineStr">
        <is>
          <t>군산미장2차아이파크</t>
        </is>
      </c>
      <c r="E337" s="78" t="inlineStr">
        <is>
          <t>2017.06.</t>
        </is>
      </c>
      <c r="F337" s="78" t="n">
        <v>540</v>
      </c>
      <c r="G337" s="78" t="n">
        <v>30.24</v>
      </c>
      <c r="H337" s="78" t="n">
        <v>99.98999999999999</v>
      </c>
      <c r="I337" s="78" t="n">
        <v>22.67</v>
      </c>
      <c r="J337" s="78" t="n">
        <v>74.97</v>
      </c>
      <c r="K337" s="78" t="n">
        <v>49</v>
      </c>
      <c r="T337" s="78" t="n">
        <v>3</v>
      </c>
      <c r="U337" s="78" t="n">
        <v>2</v>
      </c>
      <c r="V337" s="78" t="inlineStr">
        <is>
          <t>계단식</t>
        </is>
      </c>
      <c r="W337" s="78" t="inlineStr">
        <is>
          <t>99D</t>
        </is>
      </c>
      <c r="X337" s="78" t="n">
        <v>25</v>
      </c>
      <c r="Y337" s="78" t="n">
        <v>16</v>
      </c>
      <c r="Z337" s="78" t="inlineStr">
        <is>
          <t>https://new.land.naver.com/complexes/110132?tab=detail&amp;rf=Y</t>
        </is>
      </c>
      <c r="AA337" s="78" t="inlineStr">
        <is>
          <t>전라북도 군산시 미장동 484</t>
        </is>
      </c>
      <c r="AB337" s="78" t="inlineStr">
        <is>
          <t>전라북도</t>
        </is>
      </c>
      <c r="AC337" s="78" t="inlineStr">
        <is>
          <t>군산시</t>
        </is>
      </c>
      <c r="AD337" s="78" t="inlineStr">
        <is>
          <t>미장동</t>
        </is>
      </c>
      <c r="AG337" s="78" t="inlineStr">
        <is>
          <t>전라북도 군산시 미장안길 45</t>
        </is>
      </c>
      <c r="AH337" s="78" t="n">
        <v>0</v>
      </c>
      <c r="AI337" s="78" t="n">
        <v>0</v>
      </c>
      <c r="AJ337" s="78" t="n">
        <v>0</v>
      </c>
      <c r="AK337" s="78" t="n">
        <v>712</v>
      </c>
      <c r="AL337" s="78" t="n">
        <v>1.32</v>
      </c>
    </row>
    <row r="338">
      <c r="A338" s="78" t="inlineStr">
        <is>
          <t>[미장동]</t>
        </is>
      </c>
      <c r="B338" s="78" t="n">
        <v>110132</v>
      </c>
      <c r="C338" s="78" t="n">
        <v>3</v>
      </c>
      <c r="D338" s="78" t="inlineStr">
        <is>
          <t>군산미장2차아이파크</t>
        </is>
      </c>
      <c r="E338" s="78" t="inlineStr">
        <is>
          <t>2017.06.</t>
        </is>
      </c>
      <c r="F338" s="78" t="n">
        <v>540</v>
      </c>
      <c r="G338" s="78" t="n">
        <v>30.4</v>
      </c>
      <c r="H338" s="78" t="n">
        <v>100.52</v>
      </c>
      <c r="I338" s="78" t="n">
        <v>22.68</v>
      </c>
      <c r="J338" s="78" t="n">
        <v>74.98999999999999</v>
      </c>
      <c r="K338" s="78" t="n">
        <v>188</v>
      </c>
      <c r="T338" s="78" t="n">
        <v>3</v>
      </c>
      <c r="U338" s="78" t="n">
        <v>2</v>
      </c>
      <c r="V338" s="78" t="inlineStr">
        <is>
          <t>계단식</t>
        </is>
      </c>
      <c r="W338" s="78" t="inlineStr">
        <is>
          <t>100A</t>
        </is>
      </c>
      <c r="X338" s="78" t="n">
        <v>25</v>
      </c>
      <c r="Y338" s="78" t="n">
        <v>16</v>
      </c>
      <c r="Z338" s="78" t="inlineStr">
        <is>
          <t>https://new.land.naver.com/complexes/110132?tab=detail&amp;rf=Y</t>
        </is>
      </c>
      <c r="AA338" s="78" t="inlineStr">
        <is>
          <t>전라북도 군산시 미장동 484</t>
        </is>
      </c>
      <c r="AB338" s="78" t="inlineStr">
        <is>
          <t>전라북도</t>
        </is>
      </c>
      <c r="AC338" s="78" t="inlineStr">
        <is>
          <t>군산시</t>
        </is>
      </c>
      <c r="AD338" s="78" t="inlineStr">
        <is>
          <t>미장동</t>
        </is>
      </c>
      <c r="AG338" s="78" t="inlineStr">
        <is>
          <t>전라북도 군산시 미장안길 45</t>
        </is>
      </c>
      <c r="AH338" s="78" t="n">
        <v>0</v>
      </c>
      <c r="AI338" s="78" t="n">
        <v>0</v>
      </c>
      <c r="AJ338" s="78" t="n">
        <v>0</v>
      </c>
      <c r="AK338" s="78" t="n">
        <v>712</v>
      </c>
      <c r="AL338" s="78" t="n">
        <v>1.32</v>
      </c>
    </row>
    <row r="339">
      <c r="A339" s="78" t="inlineStr">
        <is>
          <t>[미장동]</t>
        </is>
      </c>
      <c r="B339" s="78" t="n">
        <v>110132</v>
      </c>
      <c r="C339" s="78" t="n">
        <v>4</v>
      </c>
      <c r="D339" s="78" t="inlineStr">
        <is>
          <t>군산미장2차아이파크</t>
        </is>
      </c>
      <c r="E339" s="78" t="inlineStr">
        <is>
          <t>2017.06.</t>
        </is>
      </c>
      <c r="F339" s="78" t="n">
        <v>540</v>
      </c>
      <c r="G339" s="78" t="n">
        <v>30.25</v>
      </c>
      <c r="H339" s="78" t="n">
        <v>100.01</v>
      </c>
      <c r="I339" s="78" t="n">
        <v>22.68</v>
      </c>
      <c r="J339" s="78" t="n">
        <v>74.98</v>
      </c>
      <c r="K339" s="78" t="n">
        <v>50</v>
      </c>
      <c r="T339" s="78" t="n">
        <v>3</v>
      </c>
      <c r="U339" s="78" t="n">
        <v>2</v>
      </c>
      <c r="V339" s="78" t="inlineStr">
        <is>
          <t>계단식</t>
        </is>
      </c>
      <c r="W339" s="78" t="inlineStr">
        <is>
          <t>100E</t>
        </is>
      </c>
      <c r="X339" s="78" t="n">
        <v>25</v>
      </c>
      <c r="Y339" s="78" t="n">
        <v>16</v>
      </c>
      <c r="Z339" s="78" t="inlineStr">
        <is>
          <t>https://new.land.naver.com/complexes/110132?tab=detail&amp;rf=Y</t>
        </is>
      </c>
      <c r="AA339" s="78" t="inlineStr">
        <is>
          <t>전라북도 군산시 미장동 484</t>
        </is>
      </c>
      <c r="AB339" s="78" t="inlineStr">
        <is>
          <t>전라북도</t>
        </is>
      </c>
      <c r="AC339" s="78" t="inlineStr">
        <is>
          <t>군산시</t>
        </is>
      </c>
      <c r="AD339" s="78" t="inlineStr">
        <is>
          <t>미장동</t>
        </is>
      </c>
      <c r="AG339" s="78" t="inlineStr">
        <is>
          <t>전라북도 군산시 미장안길 45</t>
        </is>
      </c>
      <c r="AH339" s="78" t="n">
        <v>0</v>
      </c>
      <c r="AI339" s="78" t="n">
        <v>0</v>
      </c>
      <c r="AJ339" s="78" t="n">
        <v>0</v>
      </c>
      <c r="AK339" s="78" t="n">
        <v>712</v>
      </c>
      <c r="AL339" s="78" t="n">
        <v>1.32</v>
      </c>
    </row>
    <row r="340">
      <c r="A340" s="78" t="inlineStr">
        <is>
          <t>[미장동]</t>
        </is>
      </c>
      <c r="B340" s="78" t="n">
        <v>110132</v>
      </c>
      <c r="C340" s="78" t="n">
        <v>5</v>
      </c>
      <c r="D340" s="78" t="inlineStr">
        <is>
          <t>군산미장2차아이파크</t>
        </is>
      </c>
      <c r="E340" s="78" t="inlineStr">
        <is>
          <t>2017.06.</t>
        </is>
      </c>
      <c r="F340" s="78" t="n">
        <v>540</v>
      </c>
      <c r="G340" s="78" t="n">
        <v>30.48</v>
      </c>
      <c r="H340" s="78" t="n">
        <v>100.77</v>
      </c>
      <c r="I340" s="78" t="n">
        <v>22.68</v>
      </c>
      <c r="J340" s="78" t="n">
        <v>74.98999999999999</v>
      </c>
      <c r="K340" s="78" t="n">
        <v>15</v>
      </c>
      <c r="T340" s="78" t="n">
        <v>3</v>
      </c>
      <c r="U340" s="78" t="n">
        <v>2</v>
      </c>
      <c r="V340" s="78" t="inlineStr">
        <is>
          <t>계단식</t>
        </is>
      </c>
      <c r="W340" s="78" t="inlineStr">
        <is>
          <t>100B</t>
        </is>
      </c>
      <c r="X340" s="78" t="n">
        <v>25</v>
      </c>
      <c r="Y340" s="78" t="n">
        <v>16</v>
      </c>
      <c r="Z340" s="78" t="inlineStr">
        <is>
          <t>https://new.land.naver.com/complexes/110132?tab=detail&amp;rf=Y</t>
        </is>
      </c>
      <c r="AA340" s="78" t="inlineStr">
        <is>
          <t>전라북도 군산시 미장동 484</t>
        </is>
      </c>
      <c r="AB340" s="78" t="inlineStr">
        <is>
          <t>전라북도</t>
        </is>
      </c>
      <c r="AC340" s="78" t="inlineStr">
        <is>
          <t>군산시</t>
        </is>
      </c>
      <c r="AD340" s="78" t="inlineStr">
        <is>
          <t>미장동</t>
        </is>
      </c>
      <c r="AG340" s="78" t="inlineStr">
        <is>
          <t>전라북도 군산시 미장안길 45</t>
        </is>
      </c>
      <c r="AH340" s="78" t="n">
        <v>0</v>
      </c>
      <c r="AI340" s="78" t="n">
        <v>0</v>
      </c>
      <c r="AJ340" s="78" t="n">
        <v>0</v>
      </c>
      <c r="AK340" s="78" t="n">
        <v>712</v>
      </c>
      <c r="AL340" s="78" t="n">
        <v>1.32</v>
      </c>
    </row>
    <row r="341">
      <c r="A341" s="78" t="inlineStr">
        <is>
          <t>[미장동]</t>
        </is>
      </c>
      <c r="B341" s="78" t="n">
        <v>110132</v>
      </c>
      <c r="C341" s="78" t="n">
        <v>6</v>
      </c>
      <c r="D341" s="78" t="inlineStr">
        <is>
          <t>군산미장2차아이파크</t>
        </is>
      </c>
      <c r="E341" s="78" t="inlineStr">
        <is>
          <t>2017.06.</t>
        </is>
      </c>
      <c r="F341" s="78" t="n">
        <v>540</v>
      </c>
      <c r="G341" s="78" t="n">
        <v>39.45</v>
      </c>
      <c r="H341" s="78" t="n">
        <v>130.44</v>
      </c>
      <c r="I341" s="78" t="n">
        <v>30.78</v>
      </c>
      <c r="J341" s="78" t="n">
        <v>101.78</v>
      </c>
      <c r="K341" s="78" t="n">
        <v>166</v>
      </c>
      <c r="T341" s="78" t="n">
        <v>3</v>
      </c>
      <c r="U341" s="78" t="n">
        <v>2</v>
      </c>
      <c r="V341" s="78" t="inlineStr">
        <is>
          <t>계단식</t>
        </is>
      </c>
      <c r="W341" s="78" t="n">
        <v>130</v>
      </c>
      <c r="X341" s="78" t="n">
        <v>25</v>
      </c>
      <c r="Y341" s="78" t="n">
        <v>16</v>
      </c>
      <c r="Z341" s="78" t="inlineStr">
        <is>
          <t>https://new.land.naver.com/complexes/110132?tab=detail&amp;rf=Y</t>
        </is>
      </c>
      <c r="AA341" s="78" t="inlineStr">
        <is>
          <t>전라북도 군산시 미장동 484</t>
        </is>
      </c>
      <c r="AB341" s="78" t="inlineStr">
        <is>
          <t>전라북도</t>
        </is>
      </c>
      <c r="AC341" s="78" t="inlineStr">
        <is>
          <t>군산시</t>
        </is>
      </c>
      <c r="AD341" s="78" t="inlineStr">
        <is>
          <t>미장동</t>
        </is>
      </c>
      <c r="AG341" s="78" t="inlineStr">
        <is>
          <t>전라북도 군산시 미장안길 45</t>
        </is>
      </c>
      <c r="AH341" s="78" t="n">
        <v>0</v>
      </c>
      <c r="AI341" s="78" t="n">
        <v>0</v>
      </c>
      <c r="AJ341" s="78" t="n">
        <v>0</v>
      </c>
      <c r="AK341" s="78" t="n">
        <v>712</v>
      </c>
      <c r="AL341" s="78" t="n">
        <v>1.32</v>
      </c>
    </row>
    <row r="342">
      <c r="A342" s="78" t="inlineStr">
        <is>
          <t>[미장동]</t>
        </is>
      </c>
      <c r="B342" s="78" t="n">
        <v>106162</v>
      </c>
      <c r="C342" s="78" t="n">
        <v>1</v>
      </c>
      <c r="D342" s="78" t="inlineStr">
        <is>
          <t>군산미장아이파크</t>
        </is>
      </c>
      <c r="E342" s="78" t="inlineStr">
        <is>
          <t>2015.01.</t>
        </is>
      </c>
      <c r="F342" s="78" t="n">
        <v>1078</v>
      </c>
      <c r="G342" s="78" t="n">
        <v>24.29</v>
      </c>
      <c r="H342" s="78" t="n">
        <v>80.33</v>
      </c>
      <c r="I342" s="78" t="n">
        <v>18.14</v>
      </c>
      <c r="J342" s="78" t="n">
        <v>59.99</v>
      </c>
      <c r="K342" s="78" t="n">
        <v>141</v>
      </c>
      <c r="T342" s="78" t="n">
        <v>3</v>
      </c>
      <c r="U342" s="78" t="n">
        <v>2</v>
      </c>
      <c r="V342" s="78" t="inlineStr">
        <is>
          <t>계단식</t>
        </is>
      </c>
      <c r="W342" s="78" t="n">
        <v>80</v>
      </c>
      <c r="X342" s="78" t="n">
        <v>25</v>
      </c>
      <c r="Y342" s="78" t="n">
        <v>12</v>
      </c>
      <c r="Z342" s="78" t="inlineStr">
        <is>
          <t>https://new.land.naver.com/complexes/106162?tab=detail&amp;rf=Y</t>
        </is>
      </c>
      <c r="AA342" s="78" t="inlineStr">
        <is>
          <t>전라북도 군산시 미장동 542</t>
        </is>
      </c>
      <c r="AB342" s="78" t="inlineStr">
        <is>
          <t>전라북도</t>
        </is>
      </c>
      <c r="AC342" s="78" t="inlineStr">
        <is>
          <t>군산시</t>
        </is>
      </c>
      <c r="AD342" s="78" t="inlineStr">
        <is>
          <t>미장동</t>
        </is>
      </c>
      <c r="AG342" s="78" t="inlineStr">
        <is>
          <t>전라북도 군산시 미장남로 10</t>
        </is>
      </c>
      <c r="AH342" s="78" t="n">
        <v>0</v>
      </c>
      <c r="AI342" s="78" t="n">
        <v>249</v>
      </c>
      <c r="AJ342" s="78" t="n">
        <v>20</v>
      </c>
      <c r="AK342" s="78" t="n">
        <v>1299</v>
      </c>
      <c r="AL342" s="78" t="n">
        <v>1.21</v>
      </c>
    </row>
    <row r="343">
      <c r="A343" s="78" t="inlineStr">
        <is>
          <t>[미장동]</t>
        </is>
      </c>
      <c r="B343" s="78" t="n">
        <v>106162</v>
      </c>
      <c r="C343" s="78" t="n">
        <v>2</v>
      </c>
      <c r="D343" s="78" t="inlineStr">
        <is>
          <t>군산미장아이파크</t>
        </is>
      </c>
      <c r="E343" s="78" t="inlineStr">
        <is>
          <t>2015.01.</t>
        </is>
      </c>
      <c r="F343" s="78" t="n">
        <v>1078</v>
      </c>
      <c r="G343" s="78" t="n">
        <v>33.66</v>
      </c>
      <c r="H343" s="78" t="n">
        <v>111.3</v>
      </c>
      <c r="I343" s="78" t="n">
        <v>25.7</v>
      </c>
      <c r="J343" s="78" t="n">
        <v>84.98999999999999</v>
      </c>
      <c r="K343" s="78" t="n">
        <v>435</v>
      </c>
      <c r="T343" s="78" t="n">
        <v>3</v>
      </c>
      <c r="U343" s="78" t="n">
        <v>2</v>
      </c>
      <c r="V343" s="78" t="inlineStr">
        <is>
          <t>계단식</t>
        </is>
      </c>
      <c r="W343" s="78" t="inlineStr">
        <is>
          <t>111A</t>
        </is>
      </c>
      <c r="X343" s="78" t="n">
        <v>25</v>
      </c>
      <c r="Y343" s="78" t="n">
        <v>12</v>
      </c>
      <c r="Z343" s="78" t="inlineStr">
        <is>
          <t>https://new.land.naver.com/complexes/106162?tab=detail&amp;rf=Y</t>
        </is>
      </c>
      <c r="AA343" s="78" t="inlineStr">
        <is>
          <t>전라북도 군산시 미장동 542</t>
        </is>
      </c>
      <c r="AB343" s="78" t="inlineStr">
        <is>
          <t>전라북도</t>
        </is>
      </c>
      <c r="AC343" s="78" t="inlineStr">
        <is>
          <t>군산시</t>
        </is>
      </c>
      <c r="AD343" s="78" t="inlineStr">
        <is>
          <t>미장동</t>
        </is>
      </c>
      <c r="AG343" s="78" t="inlineStr">
        <is>
          <t>전라북도 군산시 미장남로 10</t>
        </is>
      </c>
      <c r="AH343" s="78" t="n">
        <v>0</v>
      </c>
      <c r="AI343" s="78" t="n">
        <v>249</v>
      </c>
      <c r="AJ343" s="78" t="n">
        <v>20</v>
      </c>
      <c r="AK343" s="78" t="n">
        <v>1299</v>
      </c>
      <c r="AL343" s="78" t="n">
        <v>1.21</v>
      </c>
    </row>
    <row r="344">
      <c r="A344" s="78" t="inlineStr">
        <is>
          <t>[미장동]</t>
        </is>
      </c>
      <c r="B344" s="78" t="n">
        <v>106162</v>
      </c>
      <c r="C344" s="78" t="n">
        <v>3</v>
      </c>
      <c r="D344" s="78" t="inlineStr">
        <is>
          <t>군산미장아이파크</t>
        </is>
      </c>
      <c r="E344" s="78" t="inlineStr">
        <is>
          <t>2015.01.</t>
        </is>
      </c>
      <c r="F344" s="78" t="n">
        <v>1078</v>
      </c>
      <c r="G344" s="78" t="n">
        <v>33.67</v>
      </c>
      <c r="H344" s="78" t="n">
        <v>111.31</v>
      </c>
      <c r="I344" s="78" t="n">
        <v>25.7</v>
      </c>
      <c r="J344" s="78" t="n">
        <v>84.98999999999999</v>
      </c>
      <c r="K344" s="78" t="n">
        <v>40</v>
      </c>
      <c r="T344" s="78" t="n">
        <v>3</v>
      </c>
      <c r="U344" s="78" t="n">
        <v>2</v>
      </c>
      <c r="V344" s="78" t="inlineStr">
        <is>
          <t>계단식</t>
        </is>
      </c>
      <c r="W344" s="78" t="inlineStr">
        <is>
          <t>111E</t>
        </is>
      </c>
      <c r="X344" s="78" t="n">
        <v>25</v>
      </c>
      <c r="Y344" s="78" t="n">
        <v>12</v>
      </c>
      <c r="Z344" s="78" t="inlineStr">
        <is>
          <t>https://new.land.naver.com/complexes/106162?tab=detail&amp;rf=Y</t>
        </is>
      </c>
      <c r="AA344" s="78" t="inlineStr">
        <is>
          <t>전라북도 군산시 미장동 542</t>
        </is>
      </c>
      <c r="AB344" s="78" t="inlineStr">
        <is>
          <t>전라북도</t>
        </is>
      </c>
      <c r="AC344" s="78" t="inlineStr">
        <is>
          <t>군산시</t>
        </is>
      </c>
      <c r="AD344" s="78" t="inlineStr">
        <is>
          <t>미장동</t>
        </is>
      </c>
      <c r="AG344" s="78" t="inlineStr">
        <is>
          <t>전라북도 군산시 미장남로 10</t>
        </is>
      </c>
      <c r="AH344" s="78" t="n">
        <v>0</v>
      </c>
      <c r="AI344" s="78" t="n">
        <v>249</v>
      </c>
      <c r="AJ344" s="78" t="n">
        <v>20</v>
      </c>
      <c r="AK344" s="78" t="n">
        <v>1299</v>
      </c>
      <c r="AL344" s="78" t="n">
        <v>1.21</v>
      </c>
    </row>
    <row r="345">
      <c r="A345" s="78" t="inlineStr">
        <is>
          <t>[미장동]</t>
        </is>
      </c>
      <c r="B345" s="78" t="n">
        <v>106162</v>
      </c>
      <c r="C345" s="78" t="n">
        <v>4</v>
      </c>
      <c r="D345" s="78" t="inlineStr">
        <is>
          <t>군산미장아이파크</t>
        </is>
      </c>
      <c r="E345" s="78" t="inlineStr">
        <is>
          <t>2015.01.</t>
        </is>
      </c>
      <c r="F345" s="78" t="n">
        <v>1078</v>
      </c>
      <c r="G345" s="78" t="n">
        <v>34.17</v>
      </c>
      <c r="H345" s="78" t="n">
        <v>112.98</v>
      </c>
      <c r="I345" s="78" t="n">
        <v>25.7</v>
      </c>
      <c r="J345" s="78" t="n">
        <v>84.98</v>
      </c>
      <c r="K345" s="78" t="n">
        <v>200</v>
      </c>
      <c r="T345" s="78" t="n">
        <v>3</v>
      </c>
      <c r="U345" s="78" t="n">
        <v>2</v>
      </c>
      <c r="V345" s="78" t="inlineStr">
        <is>
          <t>계단식</t>
        </is>
      </c>
      <c r="W345" s="78" t="inlineStr">
        <is>
          <t>112B</t>
        </is>
      </c>
      <c r="X345" s="78" t="n">
        <v>25</v>
      </c>
      <c r="Y345" s="78" t="n">
        <v>12</v>
      </c>
      <c r="Z345" s="78" t="inlineStr">
        <is>
          <t>https://new.land.naver.com/complexes/106162?tab=detail&amp;rf=Y</t>
        </is>
      </c>
      <c r="AA345" s="78" t="inlineStr">
        <is>
          <t>전라북도 군산시 미장동 542</t>
        </is>
      </c>
      <c r="AB345" s="78" t="inlineStr">
        <is>
          <t>전라북도</t>
        </is>
      </c>
      <c r="AC345" s="78" t="inlineStr">
        <is>
          <t>군산시</t>
        </is>
      </c>
      <c r="AD345" s="78" t="inlineStr">
        <is>
          <t>미장동</t>
        </is>
      </c>
      <c r="AG345" s="78" t="inlineStr">
        <is>
          <t>전라북도 군산시 미장남로 10</t>
        </is>
      </c>
      <c r="AH345" s="78" t="n">
        <v>0</v>
      </c>
      <c r="AI345" s="78" t="n">
        <v>249</v>
      </c>
      <c r="AJ345" s="78" t="n">
        <v>20</v>
      </c>
      <c r="AK345" s="78" t="n">
        <v>1299</v>
      </c>
      <c r="AL345" s="78" t="n">
        <v>1.21</v>
      </c>
    </row>
    <row r="346">
      <c r="A346" s="78" t="inlineStr">
        <is>
          <t>[미장동]</t>
        </is>
      </c>
      <c r="B346" s="78" t="n">
        <v>106162</v>
      </c>
      <c r="C346" s="78" t="n">
        <v>5</v>
      </c>
      <c r="D346" s="78" t="inlineStr">
        <is>
          <t>군산미장아이파크</t>
        </is>
      </c>
      <c r="E346" s="78" t="inlineStr">
        <is>
          <t>2015.01.</t>
        </is>
      </c>
      <c r="F346" s="78" t="n">
        <v>1078</v>
      </c>
      <c r="G346" s="78" t="n">
        <v>33.94</v>
      </c>
      <c r="H346" s="78" t="n">
        <v>112.21</v>
      </c>
      <c r="I346" s="78" t="n">
        <v>25.7</v>
      </c>
      <c r="J346" s="78" t="n">
        <v>84.98</v>
      </c>
      <c r="K346" s="78" t="n">
        <v>134</v>
      </c>
      <c r="T346" s="78" t="n">
        <v>3</v>
      </c>
      <c r="U346" s="78" t="n">
        <v>2</v>
      </c>
      <c r="V346" s="78" t="inlineStr">
        <is>
          <t>계단식</t>
        </is>
      </c>
      <c r="W346" s="78" t="inlineStr">
        <is>
          <t>112C</t>
        </is>
      </c>
      <c r="X346" s="78" t="n">
        <v>25</v>
      </c>
      <c r="Y346" s="78" t="n">
        <v>12</v>
      </c>
      <c r="Z346" s="78" t="inlineStr">
        <is>
          <t>https://new.land.naver.com/complexes/106162?tab=detail&amp;rf=Y</t>
        </is>
      </c>
      <c r="AA346" s="78" t="inlineStr">
        <is>
          <t>전라북도 군산시 미장동 542</t>
        </is>
      </c>
      <c r="AB346" s="78" t="inlineStr">
        <is>
          <t>전라북도</t>
        </is>
      </c>
      <c r="AC346" s="78" t="inlineStr">
        <is>
          <t>군산시</t>
        </is>
      </c>
      <c r="AD346" s="78" t="inlineStr">
        <is>
          <t>미장동</t>
        </is>
      </c>
      <c r="AG346" s="78" t="inlineStr">
        <is>
          <t>전라북도 군산시 미장남로 10</t>
        </is>
      </c>
      <c r="AH346" s="78" t="n">
        <v>0</v>
      </c>
      <c r="AI346" s="78" t="n">
        <v>249</v>
      </c>
      <c r="AJ346" s="78" t="n">
        <v>20</v>
      </c>
      <c r="AK346" s="78" t="n">
        <v>1299</v>
      </c>
      <c r="AL346" s="78" t="n">
        <v>1.21</v>
      </c>
    </row>
    <row r="347">
      <c r="A347" s="78" t="inlineStr">
        <is>
          <t>[미장동]</t>
        </is>
      </c>
      <c r="B347" s="78" t="n">
        <v>106162</v>
      </c>
      <c r="C347" s="78" t="n">
        <v>6</v>
      </c>
      <c r="D347" s="78" t="inlineStr">
        <is>
          <t>군산미장아이파크</t>
        </is>
      </c>
      <c r="E347" s="78" t="inlineStr">
        <is>
          <t>2015.01.</t>
        </is>
      </c>
      <c r="F347" s="78" t="n">
        <v>1078</v>
      </c>
      <c r="G347" s="78" t="n">
        <v>34.05</v>
      </c>
      <c r="H347" s="78" t="n">
        <v>112.58</v>
      </c>
      <c r="I347" s="78" t="n">
        <v>25.7</v>
      </c>
      <c r="J347" s="78" t="n">
        <v>84.97</v>
      </c>
      <c r="K347" s="78" t="n">
        <v>54</v>
      </c>
      <c r="T347" s="78" t="n">
        <v>3</v>
      </c>
      <c r="U347" s="78" t="n">
        <v>2</v>
      </c>
      <c r="V347" s="78" t="inlineStr">
        <is>
          <t>계단식</t>
        </is>
      </c>
      <c r="W347" s="78" t="inlineStr">
        <is>
          <t>112D</t>
        </is>
      </c>
      <c r="X347" s="78" t="n">
        <v>25</v>
      </c>
      <c r="Y347" s="78" t="n">
        <v>12</v>
      </c>
      <c r="Z347" s="78" t="inlineStr">
        <is>
          <t>https://new.land.naver.com/complexes/106162?tab=detail&amp;rf=Y</t>
        </is>
      </c>
      <c r="AA347" s="78" t="inlineStr">
        <is>
          <t>전라북도 군산시 미장동 542</t>
        </is>
      </c>
      <c r="AB347" s="78" t="inlineStr">
        <is>
          <t>전라북도</t>
        </is>
      </c>
      <c r="AC347" s="78" t="inlineStr">
        <is>
          <t>군산시</t>
        </is>
      </c>
      <c r="AD347" s="78" t="inlineStr">
        <is>
          <t>미장동</t>
        </is>
      </c>
      <c r="AG347" s="78" t="inlineStr">
        <is>
          <t>전라북도 군산시 미장남로 10</t>
        </is>
      </c>
      <c r="AH347" s="78" t="n">
        <v>0</v>
      </c>
      <c r="AI347" s="78" t="n">
        <v>249</v>
      </c>
      <c r="AJ347" s="78" t="n">
        <v>20</v>
      </c>
      <c r="AK347" s="78" t="n">
        <v>1299</v>
      </c>
      <c r="AL347" s="78" t="n">
        <v>1.21</v>
      </c>
    </row>
    <row r="348">
      <c r="A348" s="78" t="inlineStr">
        <is>
          <t>[미장동]</t>
        </is>
      </c>
      <c r="B348" s="78" t="n">
        <v>106162</v>
      </c>
      <c r="C348" s="78" t="n">
        <v>7</v>
      </c>
      <c r="D348" s="78" t="inlineStr">
        <is>
          <t>군산미장아이파크</t>
        </is>
      </c>
      <c r="E348" s="78" t="inlineStr">
        <is>
          <t>2015.01.</t>
        </is>
      </c>
      <c r="F348" s="78" t="n">
        <v>1078</v>
      </c>
      <c r="G348" s="78" t="n">
        <v>39.84</v>
      </c>
      <c r="H348" s="78" t="n">
        <v>131.73</v>
      </c>
      <c r="I348" s="78" t="n">
        <v>30.38</v>
      </c>
      <c r="J348" s="78" t="n">
        <v>100.43</v>
      </c>
      <c r="K348" s="78" t="n">
        <v>74</v>
      </c>
      <c r="T348" s="78" t="n">
        <v>4</v>
      </c>
      <c r="U348" s="78" t="n">
        <v>2</v>
      </c>
      <c r="V348" s="78" t="inlineStr">
        <is>
          <t>계단식</t>
        </is>
      </c>
      <c r="W348" s="78" t="n">
        <v>131</v>
      </c>
      <c r="X348" s="78" t="n">
        <v>25</v>
      </c>
      <c r="Y348" s="78" t="n">
        <v>12</v>
      </c>
      <c r="Z348" s="78" t="inlineStr">
        <is>
          <t>https://new.land.naver.com/complexes/106162?tab=detail&amp;rf=Y</t>
        </is>
      </c>
      <c r="AA348" s="78" t="inlineStr">
        <is>
          <t>전라북도 군산시 미장동 542</t>
        </is>
      </c>
      <c r="AB348" s="78" t="inlineStr">
        <is>
          <t>전라북도</t>
        </is>
      </c>
      <c r="AC348" s="78" t="inlineStr">
        <is>
          <t>군산시</t>
        </is>
      </c>
      <c r="AD348" s="78" t="inlineStr">
        <is>
          <t>미장동</t>
        </is>
      </c>
      <c r="AG348" s="78" t="inlineStr">
        <is>
          <t>전라북도 군산시 미장남로 10</t>
        </is>
      </c>
      <c r="AH348" s="78" t="n">
        <v>0</v>
      </c>
      <c r="AI348" s="78" t="n">
        <v>249</v>
      </c>
      <c r="AJ348" s="78" t="n">
        <v>20</v>
      </c>
      <c r="AK348" s="78" t="n">
        <v>1299</v>
      </c>
      <c r="AL348" s="78" t="n">
        <v>1.21</v>
      </c>
    </row>
    <row r="349">
      <c r="A349" s="78" t="inlineStr">
        <is>
          <t>[미장동]</t>
        </is>
      </c>
      <c r="B349" s="78" t="n">
        <v>27793</v>
      </c>
      <c r="C349" s="78" t="n">
        <v>1</v>
      </c>
      <c r="D349" s="78" t="inlineStr">
        <is>
          <t>미장코아루</t>
        </is>
      </c>
      <c r="E349" s="78" t="inlineStr">
        <is>
          <t>2007.06.</t>
        </is>
      </c>
      <c r="F349" s="78" t="n">
        <v>354</v>
      </c>
      <c r="G349" s="78" t="n">
        <v>48.65</v>
      </c>
      <c r="H349" s="78" t="n">
        <v>160.84</v>
      </c>
      <c r="I349" s="78" t="n">
        <v>39.07</v>
      </c>
      <c r="J349" s="78" t="n">
        <v>129.19</v>
      </c>
      <c r="K349" s="78" t="n">
        <v>174</v>
      </c>
      <c r="T349" s="78" t="n">
        <v>4</v>
      </c>
      <c r="U349" s="78" t="n">
        <v>2</v>
      </c>
      <c r="V349" s="78" t="inlineStr">
        <is>
          <t>계단식</t>
        </is>
      </c>
      <c r="W349" s="78" t="n">
        <v>160</v>
      </c>
      <c r="X349" s="78" t="n">
        <v>15</v>
      </c>
      <c r="Y349" s="78" t="n">
        <v>14</v>
      </c>
      <c r="Z349" s="78" t="inlineStr">
        <is>
          <t>https://new.land.naver.com/complexes/27793?tab=detail&amp;rf=Y</t>
        </is>
      </c>
      <c r="AA349" s="78" t="inlineStr">
        <is>
          <t>전라북도 군산시 미장동 55-5</t>
        </is>
      </c>
      <c r="AB349" s="78" t="inlineStr">
        <is>
          <t>전라북도</t>
        </is>
      </c>
      <c r="AC349" s="78" t="inlineStr">
        <is>
          <t>군산시</t>
        </is>
      </c>
      <c r="AD349" s="78" t="inlineStr">
        <is>
          <t>미장동</t>
        </is>
      </c>
      <c r="AG349" s="78" t="inlineStr">
        <is>
          <t>전라북도 군산시 미장안길 42</t>
        </is>
      </c>
      <c r="AH349" s="78" t="n">
        <v>0</v>
      </c>
      <c r="AI349" s="78" t="n">
        <v>214</v>
      </c>
      <c r="AJ349" s="78" t="n">
        <v>18</v>
      </c>
      <c r="AK349" s="78" t="n">
        <v>706</v>
      </c>
      <c r="AL349" s="78" t="n">
        <v>1.99</v>
      </c>
    </row>
    <row r="350">
      <c r="A350" s="78" t="inlineStr">
        <is>
          <t>[미장동]</t>
        </is>
      </c>
      <c r="B350" s="78" t="n">
        <v>27793</v>
      </c>
      <c r="C350" s="78" t="n">
        <v>2</v>
      </c>
      <c r="D350" s="78" t="inlineStr">
        <is>
          <t>미장코아루</t>
        </is>
      </c>
      <c r="E350" s="78" t="inlineStr">
        <is>
          <t>2007.06.</t>
        </is>
      </c>
      <c r="F350" s="78" t="n">
        <v>354</v>
      </c>
      <c r="G350" s="78" t="n">
        <v>56.16</v>
      </c>
      <c r="H350" s="78" t="n">
        <v>185.67</v>
      </c>
      <c r="I350" s="78" t="n">
        <v>46.17</v>
      </c>
      <c r="J350" s="78" t="n">
        <v>152.66</v>
      </c>
      <c r="K350" s="78" t="n">
        <v>120</v>
      </c>
      <c r="T350" s="78" t="n">
        <v>4</v>
      </c>
      <c r="U350" s="78" t="n">
        <v>2</v>
      </c>
      <c r="V350" s="78" t="inlineStr">
        <is>
          <t>계단식</t>
        </is>
      </c>
      <c r="W350" s="78" t="n">
        <v>185</v>
      </c>
      <c r="X350" s="78" t="n">
        <v>15</v>
      </c>
      <c r="Y350" s="78" t="n">
        <v>14</v>
      </c>
      <c r="Z350" s="78" t="inlineStr">
        <is>
          <t>https://new.land.naver.com/complexes/27793?tab=detail&amp;rf=Y</t>
        </is>
      </c>
      <c r="AA350" s="78" t="inlineStr">
        <is>
          <t>전라북도 군산시 미장동 55-5</t>
        </is>
      </c>
      <c r="AB350" s="78" t="inlineStr">
        <is>
          <t>전라북도</t>
        </is>
      </c>
      <c r="AC350" s="78" t="inlineStr">
        <is>
          <t>군산시</t>
        </is>
      </c>
      <c r="AD350" s="78" t="inlineStr">
        <is>
          <t>미장동</t>
        </is>
      </c>
      <c r="AG350" s="78" t="inlineStr">
        <is>
          <t>전라북도 군산시 미장안길 42</t>
        </is>
      </c>
      <c r="AH350" s="78" t="n">
        <v>0</v>
      </c>
      <c r="AI350" s="78" t="n">
        <v>214</v>
      </c>
      <c r="AJ350" s="78" t="n">
        <v>18</v>
      </c>
      <c r="AK350" s="78" t="n">
        <v>706</v>
      </c>
      <c r="AL350" s="78" t="n">
        <v>1.99</v>
      </c>
    </row>
    <row r="351">
      <c r="A351" s="78" t="inlineStr">
        <is>
          <t>[미장동]</t>
        </is>
      </c>
      <c r="B351" s="78" t="n">
        <v>27793</v>
      </c>
      <c r="C351" s="78" t="n">
        <v>3</v>
      </c>
      <c r="D351" s="78" t="inlineStr">
        <is>
          <t>미장코아루</t>
        </is>
      </c>
      <c r="E351" s="78" t="inlineStr">
        <is>
          <t>2007.06.</t>
        </is>
      </c>
      <c r="F351" s="78" t="n">
        <v>354</v>
      </c>
      <c r="G351" s="78" t="n">
        <v>65.26000000000001</v>
      </c>
      <c r="H351" s="78" t="n">
        <v>215.75</v>
      </c>
      <c r="I351" s="78" t="n">
        <v>54.78</v>
      </c>
      <c r="J351" s="78" t="n">
        <v>181.1</v>
      </c>
      <c r="K351" s="78" t="n">
        <v>60</v>
      </c>
      <c r="T351" s="78" t="n">
        <v>5</v>
      </c>
      <c r="U351" s="78" t="n">
        <v>2</v>
      </c>
      <c r="V351" s="78" t="inlineStr">
        <is>
          <t>계단식</t>
        </is>
      </c>
      <c r="W351" s="78" t="n">
        <v>215</v>
      </c>
      <c r="X351" s="78" t="n">
        <v>15</v>
      </c>
      <c r="Y351" s="78" t="n">
        <v>14</v>
      </c>
      <c r="Z351" s="78" t="inlineStr">
        <is>
          <t>https://new.land.naver.com/complexes/27793?tab=detail&amp;rf=Y</t>
        </is>
      </c>
      <c r="AA351" s="78" t="inlineStr">
        <is>
          <t>전라북도 군산시 미장동 55-5</t>
        </is>
      </c>
      <c r="AB351" s="78" t="inlineStr">
        <is>
          <t>전라북도</t>
        </is>
      </c>
      <c r="AC351" s="78" t="inlineStr">
        <is>
          <t>군산시</t>
        </is>
      </c>
      <c r="AD351" s="78" t="inlineStr">
        <is>
          <t>미장동</t>
        </is>
      </c>
      <c r="AG351" s="78" t="inlineStr">
        <is>
          <t>전라북도 군산시 미장안길 42</t>
        </is>
      </c>
      <c r="AH351" s="78" t="n">
        <v>0</v>
      </c>
      <c r="AI351" s="78" t="n">
        <v>214</v>
      </c>
      <c r="AJ351" s="78" t="n">
        <v>18</v>
      </c>
      <c r="AK351" s="78" t="n">
        <v>706</v>
      </c>
      <c r="AL351" s="78" t="n">
        <v>1.99</v>
      </c>
    </row>
    <row r="352">
      <c r="A352" s="78" t="inlineStr">
        <is>
          <t>[미장동]</t>
        </is>
      </c>
      <c r="B352" s="78" t="n">
        <v>27794</v>
      </c>
      <c r="C352" s="78" t="n">
        <v>1</v>
      </c>
      <c r="D352" s="78" t="inlineStr">
        <is>
          <t>예그린</t>
        </is>
      </c>
      <c r="E352" s="78" t="inlineStr">
        <is>
          <t>1992.06.</t>
        </is>
      </c>
      <c r="F352" s="78" t="n">
        <v>198</v>
      </c>
      <c r="G352" s="78" t="n">
        <v>22.95</v>
      </c>
      <c r="H352" s="78" t="n">
        <v>75.90000000000001</v>
      </c>
      <c r="I352" s="78" t="n">
        <v>18.14</v>
      </c>
      <c r="J352" s="78" t="n">
        <v>59.97</v>
      </c>
      <c r="K352" s="78" t="n">
        <v>72</v>
      </c>
      <c r="T352" s="78" t="n">
        <v>3</v>
      </c>
      <c r="U352" s="78" t="n">
        <v>1</v>
      </c>
      <c r="V352" s="78" t="inlineStr">
        <is>
          <t>계단식</t>
        </is>
      </c>
      <c r="W352" s="78" t="inlineStr">
        <is>
          <t>75B</t>
        </is>
      </c>
      <c r="X352" s="78" t="n">
        <v>15</v>
      </c>
      <c r="Y352" s="78" t="n">
        <v>6</v>
      </c>
      <c r="Z352" s="78" t="inlineStr">
        <is>
          <t>https://new.land.naver.com/complexes/27794?tab=detail&amp;rf=Y</t>
        </is>
      </c>
      <c r="AA352" s="78" t="inlineStr">
        <is>
          <t>전라북도 군산시 미장동 52-1</t>
        </is>
      </c>
      <c r="AB352" s="78" t="inlineStr">
        <is>
          <t>전라북도</t>
        </is>
      </c>
      <c r="AC352" s="78" t="inlineStr">
        <is>
          <t>군산시</t>
        </is>
      </c>
      <c r="AD352" s="78" t="inlineStr">
        <is>
          <t>미장동</t>
        </is>
      </c>
      <c r="AG352" s="78" t="inlineStr">
        <is>
          <t>전라북도 군산시 문화로 205</t>
        </is>
      </c>
      <c r="AH352" s="78" t="n">
        <v>0</v>
      </c>
      <c r="AI352" s="78" t="n">
        <v>0</v>
      </c>
      <c r="AJ352" s="78" t="n">
        <v>0</v>
      </c>
      <c r="AK352" s="78" t="n">
        <v>0</v>
      </c>
      <c r="AL352" s="78" t="n">
        <v>0</v>
      </c>
    </row>
    <row r="353">
      <c r="A353" s="78" t="inlineStr">
        <is>
          <t>[미장동]</t>
        </is>
      </c>
      <c r="B353" s="78" t="n">
        <v>27794</v>
      </c>
      <c r="C353" s="78" t="n">
        <v>2</v>
      </c>
      <c r="D353" s="78" t="inlineStr">
        <is>
          <t>예그린</t>
        </is>
      </c>
      <c r="E353" s="78" t="inlineStr">
        <is>
          <t>1992.06.</t>
        </is>
      </c>
      <c r="F353" s="78" t="n">
        <v>198</v>
      </c>
      <c r="G353" s="78" t="n">
        <v>23.64</v>
      </c>
      <c r="H353" s="78" t="n">
        <v>78.18000000000001</v>
      </c>
      <c r="I353" s="78" t="n">
        <v>18.13</v>
      </c>
      <c r="J353" s="78" t="n">
        <v>59.94</v>
      </c>
      <c r="K353" s="78" t="n">
        <v>126</v>
      </c>
      <c r="T353" s="78" t="n">
        <v>3</v>
      </c>
      <c r="U353" s="78" t="n">
        <v>1</v>
      </c>
      <c r="V353" s="78" t="inlineStr">
        <is>
          <t>계단식</t>
        </is>
      </c>
      <c r="W353" s="78" t="inlineStr">
        <is>
          <t>78A</t>
        </is>
      </c>
      <c r="X353" s="78" t="n">
        <v>15</v>
      </c>
      <c r="Y353" s="78" t="n">
        <v>6</v>
      </c>
      <c r="Z353" s="78" t="inlineStr">
        <is>
          <t>https://new.land.naver.com/complexes/27794?tab=detail&amp;rf=Y</t>
        </is>
      </c>
      <c r="AA353" s="78" t="inlineStr">
        <is>
          <t>전라북도 군산시 미장동 52-1</t>
        </is>
      </c>
      <c r="AB353" s="78" t="inlineStr">
        <is>
          <t>전라북도</t>
        </is>
      </c>
      <c r="AC353" s="78" t="inlineStr">
        <is>
          <t>군산시</t>
        </is>
      </c>
      <c r="AD353" s="78" t="inlineStr">
        <is>
          <t>미장동</t>
        </is>
      </c>
      <c r="AG353" s="78" t="inlineStr">
        <is>
          <t>전라북도 군산시 문화로 205</t>
        </is>
      </c>
      <c r="AH353" s="78" t="n">
        <v>0</v>
      </c>
      <c r="AI353" s="78" t="n">
        <v>0</v>
      </c>
      <c r="AJ353" s="78" t="n">
        <v>0</v>
      </c>
      <c r="AK353" s="78" t="n">
        <v>0</v>
      </c>
      <c r="AL353" s="78" t="n">
        <v>0</v>
      </c>
    </row>
    <row r="354">
      <c r="A354" s="78" t="inlineStr">
        <is>
          <t>[미장동]</t>
        </is>
      </c>
      <c r="B354" s="78" t="n">
        <v>27010</v>
      </c>
      <c r="C354" s="78" t="n">
        <v>1</v>
      </c>
      <c r="D354" s="78" t="inlineStr">
        <is>
          <t>수송공원삼성쉐르빌</t>
        </is>
      </c>
      <c r="E354" s="78" t="inlineStr">
        <is>
          <t>2009.12.</t>
        </is>
      </c>
      <c r="F354" s="78" t="n">
        <v>654</v>
      </c>
      <c r="G354" s="78" t="n">
        <v>34.19</v>
      </c>
      <c r="H354" s="78" t="n">
        <v>113.03</v>
      </c>
      <c r="I354" s="78" t="n">
        <v>25.53</v>
      </c>
      <c r="J354" s="78" t="n">
        <v>84.40000000000001</v>
      </c>
      <c r="K354" s="78" t="n">
        <v>205</v>
      </c>
      <c r="T354" s="78" t="n">
        <v>3</v>
      </c>
      <c r="U354" s="78" t="n">
        <v>2</v>
      </c>
      <c r="V354" s="78" t="inlineStr">
        <is>
          <t>계단식</t>
        </is>
      </c>
      <c r="W354" s="78" t="inlineStr">
        <is>
          <t>113A</t>
        </is>
      </c>
      <c r="X354" s="78" t="n">
        <v>15</v>
      </c>
      <c r="Y354" s="78" t="n">
        <v>10</v>
      </c>
      <c r="Z354" s="78" t="inlineStr">
        <is>
          <t>https://new.land.naver.com/complexes/27010?tab=detail&amp;rf=Y</t>
        </is>
      </c>
      <c r="AA354" s="78" t="inlineStr">
        <is>
          <t>전라북도 군산시 미장동 473</t>
        </is>
      </c>
      <c r="AB354" s="78" t="inlineStr">
        <is>
          <t>전라북도</t>
        </is>
      </c>
      <c r="AC354" s="78" t="inlineStr">
        <is>
          <t>군산시</t>
        </is>
      </c>
      <c r="AD354" s="78" t="inlineStr">
        <is>
          <t>미장동</t>
        </is>
      </c>
      <c r="AG354" s="78" t="inlineStr">
        <is>
          <t>전라북도 군산시 경포천로 66</t>
        </is>
      </c>
      <c r="AH354" s="78" t="n">
        <v>0</v>
      </c>
      <c r="AI354" s="78" t="n">
        <v>238</v>
      </c>
      <c r="AJ354" s="78" t="n">
        <v>24</v>
      </c>
      <c r="AK354" s="78" t="n">
        <v>974</v>
      </c>
      <c r="AL354" s="78" t="n">
        <v>1.49</v>
      </c>
    </row>
    <row r="355">
      <c r="A355" s="78" t="inlineStr">
        <is>
          <t>[미장동]</t>
        </is>
      </c>
      <c r="B355" s="78" t="n">
        <v>27010</v>
      </c>
      <c r="C355" s="78" t="n">
        <v>2</v>
      </c>
      <c r="D355" s="78" t="inlineStr">
        <is>
          <t>수송공원삼성쉐르빌</t>
        </is>
      </c>
      <c r="E355" s="78" t="inlineStr">
        <is>
          <t>2009.12.</t>
        </is>
      </c>
      <c r="F355" s="78" t="n">
        <v>654</v>
      </c>
      <c r="G355" s="78" t="n">
        <v>34.88</v>
      </c>
      <c r="H355" s="78" t="n">
        <v>115.31</v>
      </c>
      <c r="I355" s="78" t="n">
        <v>25.67</v>
      </c>
      <c r="J355" s="78" t="n">
        <v>84.86</v>
      </c>
      <c r="K355" s="78" t="n">
        <v>60</v>
      </c>
      <c r="T355" s="78" t="n">
        <v>3</v>
      </c>
      <c r="U355" s="78" t="n">
        <v>2</v>
      </c>
      <c r="V355" s="78" t="inlineStr">
        <is>
          <t>계단식</t>
        </is>
      </c>
      <c r="W355" s="78" t="inlineStr">
        <is>
          <t>115B</t>
        </is>
      </c>
      <c r="X355" s="78" t="n">
        <v>15</v>
      </c>
      <c r="Y355" s="78" t="n">
        <v>10</v>
      </c>
      <c r="Z355" s="78" t="inlineStr">
        <is>
          <t>https://new.land.naver.com/complexes/27010?tab=detail&amp;rf=Y</t>
        </is>
      </c>
      <c r="AA355" s="78" t="inlineStr">
        <is>
          <t>전라북도 군산시 미장동 473</t>
        </is>
      </c>
      <c r="AB355" s="78" t="inlineStr">
        <is>
          <t>전라북도</t>
        </is>
      </c>
      <c r="AC355" s="78" t="inlineStr">
        <is>
          <t>군산시</t>
        </is>
      </c>
      <c r="AD355" s="78" t="inlineStr">
        <is>
          <t>미장동</t>
        </is>
      </c>
      <c r="AG355" s="78" t="inlineStr">
        <is>
          <t>전라북도 군산시 경포천로 66</t>
        </is>
      </c>
      <c r="AH355" s="78" t="n">
        <v>0</v>
      </c>
      <c r="AI355" s="78" t="n">
        <v>238</v>
      </c>
      <c r="AJ355" s="78" t="n">
        <v>24</v>
      </c>
      <c r="AK355" s="78" t="n">
        <v>974</v>
      </c>
      <c r="AL355" s="78" t="n">
        <v>1.49</v>
      </c>
    </row>
    <row r="356">
      <c r="A356" s="78" t="inlineStr">
        <is>
          <t>[미장동]</t>
        </is>
      </c>
      <c r="B356" s="78" t="n">
        <v>27010</v>
      </c>
      <c r="C356" s="78" t="n">
        <v>3</v>
      </c>
      <c r="D356" s="78" t="inlineStr">
        <is>
          <t>수송공원삼성쉐르빌</t>
        </is>
      </c>
      <c r="E356" s="78" t="inlineStr">
        <is>
          <t>2009.12.</t>
        </is>
      </c>
      <c r="F356" s="78" t="n">
        <v>654</v>
      </c>
      <c r="G356" s="78" t="n">
        <v>40.92</v>
      </c>
      <c r="H356" s="78" t="n">
        <v>135.3</v>
      </c>
      <c r="I356" s="78" t="n">
        <v>31.4</v>
      </c>
      <c r="J356" s="78" t="n">
        <v>103.82</v>
      </c>
      <c r="K356" s="78" t="n">
        <v>163</v>
      </c>
      <c r="T356" s="78" t="n">
        <v>3</v>
      </c>
      <c r="U356" s="78" t="n">
        <v>2</v>
      </c>
      <c r="V356" s="78" t="inlineStr">
        <is>
          <t>계단식</t>
        </is>
      </c>
      <c r="W356" s="78" t="inlineStr">
        <is>
          <t>135A</t>
        </is>
      </c>
      <c r="X356" s="78" t="n">
        <v>15</v>
      </c>
      <c r="Y356" s="78" t="n">
        <v>10</v>
      </c>
      <c r="Z356" s="78" t="inlineStr">
        <is>
          <t>https://new.land.naver.com/complexes/27010?tab=detail&amp;rf=Y</t>
        </is>
      </c>
      <c r="AA356" s="78" t="inlineStr">
        <is>
          <t>전라북도 군산시 미장동 473</t>
        </is>
      </c>
      <c r="AB356" s="78" t="inlineStr">
        <is>
          <t>전라북도</t>
        </is>
      </c>
      <c r="AC356" s="78" t="inlineStr">
        <is>
          <t>군산시</t>
        </is>
      </c>
      <c r="AD356" s="78" t="inlineStr">
        <is>
          <t>미장동</t>
        </is>
      </c>
      <c r="AG356" s="78" t="inlineStr">
        <is>
          <t>전라북도 군산시 경포천로 66</t>
        </is>
      </c>
      <c r="AH356" s="78" t="n">
        <v>0</v>
      </c>
      <c r="AI356" s="78" t="n">
        <v>238</v>
      </c>
      <c r="AJ356" s="78" t="n">
        <v>24</v>
      </c>
      <c r="AK356" s="78" t="n">
        <v>974</v>
      </c>
      <c r="AL356" s="78" t="n">
        <v>1.49</v>
      </c>
    </row>
    <row r="357">
      <c r="A357" s="78" t="inlineStr">
        <is>
          <t>[미장동]</t>
        </is>
      </c>
      <c r="B357" s="78" t="n">
        <v>27010</v>
      </c>
      <c r="C357" s="78" t="n">
        <v>4</v>
      </c>
      <c r="D357" s="78" t="inlineStr">
        <is>
          <t>수송공원삼성쉐르빌</t>
        </is>
      </c>
      <c r="E357" s="78" t="inlineStr">
        <is>
          <t>2009.12.</t>
        </is>
      </c>
      <c r="F357" s="78" t="n">
        <v>654</v>
      </c>
      <c r="G357" s="78" t="n">
        <v>40.89</v>
      </c>
      <c r="H357" s="78" t="n">
        <v>135.18</v>
      </c>
      <c r="I357" s="78" t="n">
        <v>31.5</v>
      </c>
      <c r="J357" s="78" t="n">
        <v>104.16</v>
      </c>
      <c r="K357" s="78" t="n">
        <v>113</v>
      </c>
      <c r="T357" s="78" t="n">
        <v>3</v>
      </c>
      <c r="U357" s="78" t="n">
        <v>2</v>
      </c>
      <c r="V357" s="78" t="inlineStr">
        <is>
          <t>계단식</t>
        </is>
      </c>
      <c r="W357" s="78" t="inlineStr">
        <is>
          <t>135B</t>
        </is>
      </c>
      <c r="X357" s="78" t="n">
        <v>15</v>
      </c>
      <c r="Y357" s="78" t="n">
        <v>10</v>
      </c>
      <c r="Z357" s="78" t="inlineStr">
        <is>
          <t>https://new.land.naver.com/complexes/27010?tab=detail&amp;rf=Y</t>
        </is>
      </c>
      <c r="AA357" s="78" t="inlineStr">
        <is>
          <t>전라북도 군산시 미장동 473</t>
        </is>
      </c>
      <c r="AB357" s="78" t="inlineStr">
        <is>
          <t>전라북도</t>
        </is>
      </c>
      <c r="AC357" s="78" t="inlineStr">
        <is>
          <t>군산시</t>
        </is>
      </c>
      <c r="AD357" s="78" t="inlineStr">
        <is>
          <t>미장동</t>
        </is>
      </c>
      <c r="AG357" s="78" t="inlineStr">
        <is>
          <t>전라북도 군산시 경포천로 66</t>
        </is>
      </c>
      <c r="AH357" s="78" t="n">
        <v>0</v>
      </c>
      <c r="AI357" s="78" t="n">
        <v>238</v>
      </c>
      <c r="AJ357" s="78" t="n">
        <v>24</v>
      </c>
      <c r="AK357" s="78" t="n">
        <v>974</v>
      </c>
      <c r="AL357" s="78" t="n">
        <v>1.49</v>
      </c>
    </row>
    <row r="358">
      <c r="A358" s="78" t="inlineStr">
        <is>
          <t>[미장동]</t>
        </is>
      </c>
      <c r="B358" s="78" t="n">
        <v>27010</v>
      </c>
      <c r="C358" s="78" t="n">
        <v>5</v>
      </c>
      <c r="D358" s="78" t="inlineStr">
        <is>
          <t>수송공원삼성쉐르빌</t>
        </is>
      </c>
      <c r="E358" s="78" t="inlineStr">
        <is>
          <t>2009.12.</t>
        </is>
      </c>
      <c r="F358" s="78" t="n">
        <v>654</v>
      </c>
      <c r="G358" s="78" t="n">
        <v>45.97</v>
      </c>
      <c r="H358" s="78" t="n">
        <v>151.97</v>
      </c>
      <c r="I358" s="78" t="n">
        <v>36.69</v>
      </c>
      <c r="J358" s="78" t="n">
        <v>121.3</v>
      </c>
      <c r="K358" s="78" t="n">
        <v>52</v>
      </c>
      <c r="T358" s="78" t="n">
        <v>4</v>
      </c>
      <c r="U358" s="78" t="n">
        <v>2</v>
      </c>
      <c r="V358" s="78" t="inlineStr">
        <is>
          <t>계단식</t>
        </is>
      </c>
      <c r="W358" s="78" t="n">
        <v>151</v>
      </c>
      <c r="X358" s="78" t="n">
        <v>15</v>
      </c>
      <c r="Y358" s="78" t="n">
        <v>10</v>
      </c>
      <c r="Z358" s="78" t="inlineStr">
        <is>
          <t>https://new.land.naver.com/complexes/27010?tab=detail&amp;rf=Y</t>
        </is>
      </c>
      <c r="AA358" s="78" t="inlineStr">
        <is>
          <t>전라북도 군산시 미장동 473</t>
        </is>
      </c>
      <c r="AB358" s="78" t="inlineStr">
        <is>
          <t>전라북도</t>
        </is>
      </c>
      <c r="AC358" s="78" t="inlineStr">
        <is>
          <t>군산시</t>
        </is>
      </c>
      <c r="AD358" s="78" t="inlineStr">
        <is>
          <t>미장동</t>
        </is>
      </c>
      <c r="AG358" s="78" t="inlineStr">
        <is>
          <t>전라북도 군산시 경포천로 66</t>
        </is>
      </c>
      <c r="AH358" s="78" t="n">
        <v>0</v>
      </c>
      <c r="AI358" s="78" t="n">
        <v>238</v>
      </c>
      <c r="AJ358" s="78" t="n">
        <v>24</v>
      </c>
      <c r="AK358" s="78" t="n">
        <v>974</v>
      </c>
      <c r="AL358" s="78" t="n">
        <v>1.49</v>
      </c>
    </row>
    <row r="359">
      <c r="A359" s="78" t="inlineStr">
        <is>
          <t>[미장동]</t>
        </is>
      </c>
      <c r="B359" s="78" t="n">
        <v>27010</v>
      </c>
      <c r="C359" s="78" t="n">
        <v>6</v>
      </c>
      <c r="D359" s="78" t="inlineStr">
        <is>
          <t>수송공원삼성쉐르빌</t>
        </is>
      </c>
      <c r="E359" s="78" t="inlineStr">
        <is>
          <t>2009.12.</t>
        </is>
      </c>
      <c r="F359" s="78" t="n">
        <v>654</v>
      </c>
      <c r="G359" s="78" t="n">
        <v>54.98</v>
      </c>
      <c r="H359" s="78" t="n">
        <v>181.77</v>
      </c>
      <c r="I359" s="78" t="n">
        <v>45.34</v>
      </c>
      <c r="J359" s="78" t="n">
        <v>149.9</v>
      </c>
      <c r="K359" s="78" t="n">
        <v>57</v>
      </c>
      <c r="T359" s="78" t="n">
        <v>4</v>
      </c>
      <c r="U359" s="78" t="n">
        <v>2</v>
      </c>
      <c r="V359" s="78" t="inlineStr">
        <is>
          <t>계단식</t>
        </is>
      </c>
      <c r="W359" s="78" t="n">
        <v>181</v>
      </c>
      <c r="X359" s="78" t="n">
        <v>15</v>
      </c>
      <c r="Y359" s="78" t="n">
        <v>10</v>
      </c>
      <c r="Z359" s="78" t="inlineStr">
        <is>
          <t>https://new.land.naver.com/complexes/27010?tab=detail&amp;rf=Y</t>
        </is>
      </c>
      <c r="AA359" s="78" t="inlineStr">
        <is>
          <t>전라북도 군산시 미장동 473</t>
        </is>
      </c>
      <c r="AB359" s="78" t="inlineStr">
        <is>
          <t>전라북도</t>
        </is>
      </c>
      <c r="AC359" s="78" t="inlineStr">
        <is>
          <t>군산시</t>
        </is>
      </c>
      <c r="AD359" s="78" t="inlineStr">
        <is>
          <t>미장동</t>
        </is>
      </c>
      <c r="AG359" s="78" t="inlineStr">
        <is>
          <t>전라북도 군산시 경포천로 66</t>
        </is>
      </c>
      <c r="AH359" s="78" t="n">
        <v>0</v>
      </c>
      <c r="AI359" s="78" t="n">
        <v>238</v>
      </c>
      <c r="AJ359" s="78" t="n">
        <v>24</v>
      </c>
      <c r="AK359" s="78" t="n">
        <v>974</v>
      </c>
      <c r="AL359" s="78" t="n">
        <v>1.49</v>
      </c>
    </row>
    <row r="360">
      <c r="A360" s="78" t="inlineStr">
        <is>
          <t>[미장동]</t>
        </is>
      </c>
      <c r="B360" s="78" t="n">
        <v>27010</v>
      </c>
      <c r="C360" s="78" t="n">
        <v>7</v>
      </c>
      <c r="D360" s="78" t="inlineStr">
        <is>
          <t>수송공원삼성쉐르빌</t>
        </is>
      </c>
      <c r="E360" s="78" t="inlineStr">
        <is>
          <t>2009.12.</t>
        </is>
      </c>
      <c r="F360" s="78" t="n">
        <v>654</v>
      </c>
      <c r="G360" s="78" t="n">
        <v>63.27</v>
      </c>
      <c r="H360" s="78" t="n">
        <v>209.16</v>
      </c>
      <c r="I360" s="78" t="n">
        <v>48.43</v>
      </c>
      <c r="J360" s="78" t="n">
        <v>160.13</v>
      </c>
      <c r="K360" s="78" t="n">
        <v>4</v>
      </c>
      <c r="T360" s="78" t="n">
        <v>5</v>
      </c>
      <c r="U360" s="78" t="n">
        <v>2</v>
      </c>
      <c r="V360" s="78" t="inlineStr">
        <is>
          <t>계단식</t>
        </is>
      </c>
      <c r="W360" s="78" t="n">
        <v>209</v>
      </c>
      <c r="X360" s="78" t="n">
        <v>15</v>
      </c>
      <c r="Y360" s="78" t="n">
        <v>10</v>
      </c>
      <c r="Z360" s="78" t="inlineStr">
        <is>
          <t>https://new.land.naver.com/complexes/27010?tab=detail&amp;rf=Y</t>
        </is>
      </c>
      <c r="AA360" s="78" t="inlineStr">
        <is>
          <t>전라북도 군산시 미장동 473</t>
        </is>
      </c>
      <c r="AB360" s="78" t="inlineStr">
        <is>
          <t>전라북도</t>
        </is>
      </c>
      <c r="AC360" s="78" t="inlineStr">
        <is>
          <t>군산시</t>
        </is>
      </c>
      <c r="AD360" s="78" t="inlineStr">
        <is>
          <t>미장동</t>
        </is>
      </c>
      <c r="AG360" s="78" t="inlineStr">
        <is>
          <t>전라북도 군산시 경포천로 66</t>
        </is>
      </c>
      <c r="AH360" s="78" t="n">
        <v>0</v>
      </c>
      <c r="AI360" s="78" t="n">
        <v>238</v>
      </c>
      <c r="AJ360" s="78" t="n">
        <v>24</v>
      </c>
      <c r="AK360" s="78" t="n">
        <v>974</v>
      </c>
      <c r="AL360" s="78" t="n">
        <v>1.49</v>
      </c>
    </row>
    <row r="361">
      <c r="A361" s="78" t="inlineStr">
        <is>
          <t>[미장동]</t>
        </is>
      </c>
      <c r="B361" s="78" t="n">
        <v>112656</v>
      </c>
      <c r="C361" s="78" t="n">
        <v>1</v>
      </c>
      <c r="D361" s="78" t="inlineStr">
        <is>
          <t>미장대원칸타빌</t>
        </is>
      </c>
      <c r="E361" s="78" t="inlineStr">
        <is>
          <t>2018.06.</t>
        </is>
      </c>
      <c r="F361" s="78" t="n">
        <v>805</v>
      </c>
      <c r="G361" s="78" t="n">
        <v>24.29</v>
      </c>
      <c r="H361" s="78" t="n">
        <v>80.33</v>
      </c>
      <c r="I361" s="78" t="n">
        <v>18.12</v>
      </c>
      <c r="J361" s="78" t="n">
        <v>59.93</v>
      </c>
      <c r="K361" s="78" t="n">
        <v>78</v>
      </c>
      <c r="T361" s="78" t="n">
        <v>3</v>
      </c>
      <c r="U361" s="78" t="n">
        <v>1</v>
      </c>
      <c r="V361" s="78" t="inlineStr">
        <is>
          <t>계단식</t>
        </is>
      </c>
      <c r="W361" s="78" t="n">
        <v>80</v>
      </c>
      <c r="X361" s="78" t="n">
        <v>25</v>
      </c>
      <c r="Y361" s="78" t="n">
        <v>16</v>
      </c>
      <c r="Z361" s="78" t="inlineStr">
        <is>
          <t>https://new.land.naver.com/complexes/112656?tab=detail&amp;rf=Y</t>
        </is>
      </c>
      <c r="AA361" s="78" t="inlineStr">
        <is>
          <t>전라북도 군산시 미장동 558</t>
        </is>
      </c>
      <c r="AB361" s="78" t="inlineStr">
        <is>
          <t>전라북도</t>
        </is>
      </c>
      <c r="AC361" s="78" t="inlineStr">
        <is>
          <t>군산시</t>
        </is>
      </c>
      <c r="AD361" s="78" t="inlineStr">
        <is>
          <t>미장동</t>
        </is>
      </c>
      <c r="AG361" s="78" t="inlineStr">
        <is>
          <t>전라북도 군산시 미장남로 100</t>
        </is>
      </c>
      <c r="AH361" s="78" t="n">
        <v>0</v>
      </c>
      <c r="AI361" s="78" t="n">
        <v>248</v>
      </c>
      <c r="AJ361" s="78" t="n">
        <v>23</v>
      </c>
      <c r="AK361" s="78" t="n">
        <v>1008</v>
      </c>
      <c r="AL361" s="78" t="n">
        <v>1.25</v>
      </c>
    </row>
    <row r="362">
      <c r="A362" s="78" t="inlineStr">
        <is>
          <t>[미장동]</t>
        </is>
      </c>
      <c r="B362" s="78" t="n">
        <v>112656</v>
      </c>
      <c r="C362" s="78" t="n">
        <v>2</v>
      </c>
      <c r="D362" s="78" t="inlineStr">
        <is>
          <t>미장대원칸타빌</t>
        </is>
      </c>
      <c r="E362" s="78" t="inlineStr">
        <is>
          <t>2018.06.</t>
        </is>
      </c>
      <c r="F362" s="78" t="n">
        <v>805</v>
      </c>
      <c r="G362" s="78" t="n">
        <v>26.59</v>
      </c>
      <c r="H362" s="78" t="n">
        <v>87.91</v>
      </c>
      <c r="I362" s="78" t="n">
        <v>19.93</v>
      </c>
      <c r="J362" s="78" t="n">
        <v>65.90000000000001</v>
      </c>
      <c r="K362" s="78" t="n">
        <v>47</v>
      </c>
      <c r="T362" s="78" t="n">
        <v>3</v>
      </c>
      <c r="U362" s="78" t="n">
        <v>2</v>
      </c>
      <c r="V362" s="78" t="inlineStr">
        <is>
          <t>계단식</t>
        </is>
      </c>
      <c r="W362" s="78" t="inlineStr">
        <is>
          <t>87B</t>
        </is>
      </c>
      <c r="X362" s="78" t="n">
        <v>25</v>
      </c>
      <c r="Y362" s="78" t="n">
        <v>16</v>
      </c>
      <c r="Z362" s="78" t="inlineStr">
        <is>
          <t>https://new.land.naver.com/complexes/112656?tab=detail&amp;rf=Y</t>
        </is>
      </c>
      <c r="AA362" s="78" t="inlineStr">
        <is>
          <t>전라북도 군산시 미장동 558</t>
        </is>
      </c>
      <c r="AB362" s="78" t="inlineStr">
        <is>
          <t>전라북도</t>
        </is>
      </c>
      <c r="AC362" s="78" t="inlineStr">
        <is>
          <t>군산시</t>
        </is>
      </c>
      <c r="AD362" s="78" t="inlineStr">
        <is>
          <t>미장동</t>
        </is>
      </c>
      <c r="AG362" s="78" t="inlineStr">
        <is>
          <t>전라북도 군산시 미장남로 100</t>
        </is>
      </c>
      <c r="AH362" s="78" t="n">
        <v>0</v>
      </c>
      <c r="AI362" s="78" t="n">
        <v>248</v>
      </c>
      <c r="AJ362" s="78" t="n">
        <v>23</v>
      </c>
      <c r="AK362" s="78" t="n">
        <v>1008</v>
      </c>
      <c r="AL362" s="78" t="n">
        <v>1.25</v>
      </c>
    </row>
    <row r="363">
      <c r="A363" s="78" t="inlineStr">
        <is>
          <t>[미장동]</t>
        </is>
      </c>
      <c r="B363" s="78" t="n">
        <v>112656</v>
      </c>
      <c r="C363" s="78" t="n">
        <v>3</v>
      </c>
      <c r="D363" s="78" t="inlineStr">
        <is>
          <t>미장대원칸타빌</t>
        </is>
      </c>
      <c r="E363" s="78" t="inlineStr">
        <is>
          <t>2018.06.</t>
        </is>
      </c>
      <c r="F363" s="78" t="n">
        <v>805</v>
      </c>
      <c r="G363" s="78" t="n">
        <v>26.81</v>
      </c>
      <c r="H363" s="78" t="n">
        <v>88.66</v>
      </c>
      <c r="I363" s="78" t="n">
        <v>19.94</v>
      </c>
      <c r="J363" s="78" t="n">
        <v>65.93000000000001</v>
      </c>
      <c r="K363" s="78" t="n">
        <v>44</v>
      </c>
      <c r="T363" s="78" t="n">
        <v>3</v>
      </c>
      <c r="U363" s="78" t="n">
        <v>2</v>
      </c>
      <c r="V363" s="78" t="inlineStr">
        <is>
          <t>계단식</t>
        </is>
      </c>
      <c r="W363" s="78" t="inlineStr">
        <is>
          <t>88A</t>
        </is>
      </c>
      <c r="X363" s="78" t="n">
        <v>25</v>
      </c>
      <c r="Y363" s="78" t="n">
        <v>16</v>
      </c>
      <c r="Z363" s="78" t="inlineStr">
        <is>
          <t>https://new.land.naver.com/complexes/112656?tab=detail&amp;rf=Y</t>
        </is>
      </c>
      <c r="AA363" s="78" t="inlineStr">
        <is>
          <t>전라북도 군산시 미장동 558</t>
        </is>
      </c>
      <c r="AB363" s="78" t="inlineStr">
        <is>
          <t>전라북도</t>
        </is>
      </c>
      <c r="AC363" s="78" t="inlineStr">
        <is>
          <t>군산시</t>
        </is>
      </c>
      <c r="AD363" s="78" t="inlineStr">
        <is>
          <t>미장동</t>
        </is>
      </c>
      <c r="AG363" s="78" t="inlineStr">
        <is>
          <t>전라북도 군산시 미장남로 100</t>
        </is>
      </c>
      <c r="AH363" s="78" t="n">
        <v>0</v>
      </c>
      <c r="AI363" s="78" t="n">
        <v>248</v>
      </c>
      <c r="AJ363" s="78" t="n">
        <v>23</v>
      </c>
      <c r="AK363" s="78" t="n">
        <v>1008</v>
      </c>
      <c r="AL363" s="78" t="n">
        <v>1.25</v>
      </c>
    </row>
    <row r="364">
      <c r="A364" s="78" t="inlineStr">
        <is>
          <t>[미장동]</t>
        </is>
      </c>
      <c r="B364" s="78" t="n">
        <v>112656</v>
      </c>
      <c r="C364" s="78" t="n">
        <v>4</v>
      </c>
      <c r="D364" s="78" t="inlineStr">
        <is>
          <t>미장대원칸타빌</t>
        </is>
      </c>
      <c r="E364" s="78" t="inlineStr">
        <is>
          <t>2018.06.</t>
        </is>
      </c>
      <c r="F364" s="78" t="n">
        <v>805</v>
      </c>
      <c r="G364" s="78" t="n">
        <v>30.23</v>
      </c>
      <c r="H364" s="78" t="n">
        <v>99.95999999999999</v>
      </c>
      <c r="I364" s="78" t="n">
        <v>22.66</v>
      </c>
      <c r="J364" s="78" t="n">
        <v>74.91</v>
      </c>
      <c r="K364" s="78" t="n">
        <v>186</v>
      </c>
      <c r="T364" s="78" t="n">
        <v>3</v>
      </c>
      <c r="U364" s="78" t="n">
        <v>2</v>
      </c>
      <c r="V364" s="78" t="inlineStr">
        <is>
          <t>계단식</t>
        </is>
      </c>
      <c r="W364" s="78" t="inlineStr">
        <is>
          <t>99A</t>
        </is>
      </c>
      <c r="X364" s="78" t="n">
        <v>25</v>
      </c>
      <c r="Y364" s="78" t="n">
        <v>16</v>
      </c>
      <c r="Z364" s="78" t="inlineStr">
        <is>
          <t>https://new.land.naver.com/complexes/112656?tab=detail&amp;rf=Y</t>
        </is>
      </c>
      <c r="AA364" s="78" t="inlineStr">
        <is>
          <t>전라북도 군산시 미장동 558</t>
        </is>
      </c>
      <c r="AB364" s="78" t="inlineStr">
        <is>
          <t>전라북도</t>
        </is>
      </c>
      <c r="AC364" s="78" t="inlineStr">
        <is>
          <t>군산시</t>
        </is>
      </c>
      <c r="AD364" s="78" t="inlineStr">
        <is>
          <t>미장동</t>
        </is>
      </c>
      <c r="AG364" s="78" t="inlineStr">
        <is>
          <t>전라북도 군산시 미장남로 100</t>
        </is>
      </c>
      <c r="AH364" s="78" t="n">
        <v>0</v>
      </c>
      <c r="AI364" s="78" t="n">
        <v>248</v>
      </c>
      <c r="AJ364" s="78" t="n">
        <v>23</v>
      </c>
      <c r="AK364" s="78" t="n">
        <v>1008</v>
      </c>
      <c r="AL364" s="78" t="n">
        <v>1.25</v>
      </c>
    </row>
    <row r="365">
      <c r="A365" s="78" t="inlineStr">
        <is>
          <t>[미장동]</t>
        </is>
      </c>
      <c r="B365" s="78" t="n">
        <v>112656</v>
      </c>
      <c r="C365" s="78" t="n">
        <v>5</v>
      </c>
      <c r="D365" s="78" t="inlineStr">
        <is>
          <t>미장대원칸타빌</t>
        </is>
      </c>
      <c r="E365" s="78" t="inlineStr">
        <is>
          <t>2018.06.</t>
        </is>
      </c>
      <c r="F365" s="78" t="n">
        <v>805</v>
      </c>
      <c r="G365" s="78" t="n">
        <v>30.15</v>
      </c>
      <c r="H365" s="78" t="n">
        <v>99.67</v>
      </c>
      <c r="I365" s="78" t="n">
        <v>22.65</v>
      </c>
      <c r="J365" s="78" t="n">
        <v>74.90000000000001</v>
      </c>
      <c r="K365" s="78" t="n">
        <v>18</v>
      </c>
      <c r="T365" s="78" t="n">
        <v>3</v>
      </c>
      <c r="U365" s="78" t="n">
        <v>2</v>
      </c>
      <c r="V365" s="78" t="inlineStr">
        <is>
          <t>계단식</t>
        </is>
      </c>
      <c r="W365" s="78" t="inlineStr">
        <is>
          <t>99D</t>
        </is>
      </c>
      <c r="X365" s="78" t="n">
        <v>25</v>
      </c>
      <c r="Y365" s="78" t="n">
        <v>16</v>
      </c>
      <c r="Z365" s="78" t="inlineStr">
        <is>
          <t>https://new.land.naver.com/complexes/112656?tab=detail&amp;rf=Y</t>
        </is>
      </c>
      <c r="AA365" s="78" t="inlineStr">
        <is>
          <t>전라북도 군산시 미장동 558</t>
        </is>
      </c>
      <c r="AB365" s="78" t="inlineStr">
        <is>
          <t>전라북도</t>
        </is>
      </c>
      <c r="AC365" s="78" t="inlineStr">
        <is>
          <t>군산시</t>
        </is>
      </c>
      <c r="AD365" s="78" t="inlineStr">
        <is>
          <t>미장동</t>
        </is>
      </c>
      <c r="AG365" s="78" t="inlineStr">
        <is>
          <t>전라북도 군산시 미장남로 100</t>
        </is>
      </c>
      <c r="AH365" s="78" t="n">
        <v>0</v>
      </c>
      <c r="AI365" s="78" t="n">
        <v>248</v>
      </c>
      <c r="AJ365" s="78" t="n">
        <v>23</v>
      </c>
      <c r="AK365" s="78" t="n">
        <v>1008</v>
      </c>
      <c r="AL365" s="78" t="n">
        <v>1.25</v>
      </c>
    </row>
    <row r="366">
      <c r="A366" s="78" t="inlineStr">
        <is>
          <t>[미장동]</t>
        </is>
      </c>
      <c r="B366" s="78" t="n">
        <v>112656</v>
      </c>
      <c r="C366" s="78" t="n">
        <v>6</v>
      </c>
      <c r="D366" s="78" t="inlineStr">
        <is>
          <t>미장대원칸타빌</t>
        </is>
      </c>
      <c r="E366" s="78" t="inlineStr">
        <is>
          <t>2018.06.</t>
        </is>
      </c>
      <c r="F366" s="78" t="n">
        <v>805</v>
      </c>
      <c r="G366" s="78" t="n">
        <v>30.37</v>
      </c>
      <c r="H366" s="78" t="n">
        <v>100.4</v>
      </c>
      <c r="I366" s="78" t="n">
        <v>22.65</v>
      </c>
      <c r="J366" s="78" t="n">
        <v>74.88</v>
      </c>
      <c r="K366" s="78" t="n">
        <v>44</v>
      </c>
      <c r="T366" s="78" t="n">
        <v>3</v>
      </c>
      <c r="U366" s="78" t="n">
        <v>2</v>
      </c>
      <c r="V366" s="78" t="inlineStr">
        <is>
          <t>계단식</t>
        </is>
      </c>
      <c r="W366" s="78" t="inlineStr">
        <is>
          <t>100C</t>
        </is>
      </c>
      <c r="X366" s="78" t="n">
        <v>25</v>
      </c>
      <c r="Y366" s="78" t="n">
        <v>16</v>
      </c>
      <c r="Z366" s="78" t="inlineStr">
        <is>
          <t>https://new.land.naver.com/complexes/112656?tab=detail&amp;rf=Y</t>
        </is>
      </c>
      <c r="AA366" s="78" t="inlineStr">
        <is>
          <t>전라북도 군산시 미장동 558</t>
        </is>
      </c>
      <c r="AB366" s="78" t="inlineStr">
        <is>
          <t>전라북도</t>
        </is>
      </c>
      <c r="AC366" s="78" t="inlineStr">
        <is>
          <t>군산시</t>
        </is>
      </c>
      <c r="AD366" s="78" t="inlineStr">
        <is>
          <t>미장동</t>
        </is>
      </c>
      <c r="AG366" s="78" t="inlineStr">
        <is>
          <t>전라북도 군산시 미장남로 100</t>
        </is>
      </c>
      <c r="AH366" s="78" t="n">
        <v>0</v>
      </c>
      <c r="AI366" s="78" t="n">
        <v>248</v>
      </c>
      <c r="AJ366" s="78" t="n">
        <v>23</v>
      </c>
      <c r="AK366" s="78" t="n">
        <v>1008</v>
      </c>
      <c r="AL366" s="78" t="n">
        <v>1.25</v>
      </c>
    </row>
    <row r="367">
      <c r="A367" s="78" t="inlineStr">
        <is>
          <t>[미장동]</t>
        </is>
      </c>
      <c r="B367" s="78" t="n">
        <v>112656</v>
      </c>
      <c r="C367" s="78" t="n">
        <v>7</v>
      </c>
      <c r="D367" s="78" t="inlineStr">
        <is>
          <t>미장대원칸타빌</t>
        </is>
      </c>
      <c r="E367" s="78" t="inlineStr">
        <is>
          <t>2018.06.</t>
        </is>
      </c>
      <c r="F367" s="78" t="n">
        <v>805</v>
      </c>
      <c r="G367" s="78" t="n">
        <v>30.29</v>
      </c>
      <c r="H367" s="78" t="n">
        <v>100.14</v>
      </c>
      <c r="I367" s="78" t="n">
        <v>22.68</v>
      </c>
      <c r="J367" s="78" t="n">
        <v>74.98999999999999</v>
      </c>
      <c r="K367" s="78" t="n">
        <v>40</v>
      </c>
      <c r="T367" s="78" t="n">
        <v>3</v>
      </c>
      <c r="U367" s="78" t="n">
        <v>2</v>
      </c>
      <c r="V367" s="78" t="inlineStr">
        <is>
          <t>계단식</t>
        </is>
      </c>
      <c r="W367" s="78" t="inlineStr">
        <is>
          <t>100B</t>
        </is>
      </c>
      <c r="X367" s="78" t="n">
        <v>25</v>
      </c>
      <c r="Y367" s="78" t="n">
        <v>16</v>
      </c>
      <c r="Z367" s="78" t="inlineStr">
        <is>
          <t>https://new.land.naver.com/complexes/112656?tab=detail&amp;rf=Y</t>
        </is>
      </c>
      <c r="AA367" s="78" t="inlineStr">
        <is>
          <t>전라북도 군산시 미장동 558</t>
        </is>
      </c>
      <c r="AB367" s="78" t="inlineStr">
        <is>
          <t>전라북도</t>
        </is>
      </c>
      <c r="AC367" s="78" t="inlineStr">
        <is>
          <t>군산시</t>
        </is>
      </c>
      <c r="AD367" s="78" t="inlineStr">
        <is>
          <t>미장동</t>
        </is>
      </c>
      <c r="AG367" s="78" t="inlineStr">
        <is>
          <t>전라북도 군산시 미장남로 100</t>
        </is>
      </c>
      <c r="AH367" s="78" t="n">
        <v>0</v>
      </c>
      <c r="AI367" s="78" t="n">
        <v>248</v>
      </c>
      <c r="AJ367" s="78" t="n">
        <v>23</v>
      </c>
      <c r="AK367" s="78" t="n">
        <v>1008</v>
      </c>
      <c r="AL367" s="78" t="n">
        <v>1.25</v>
      </c>
    </row>
    <row r="368">
      <c r="A368" s="78" t="inlineStr">
        <is>
          <t>[미장동]</t>
        </is>
      </c>
      <c r="B368" s="78" t="n">
        <v>112656</v>
      </c>
      <c r="C368" s="78" t="n">
        <v>8</v>
      </c>
      <c r="D368" s="78" t="inlineStr">
        <is>
          <t>미장대원칸타빌</t>
        </is>
      </c>
      <c r="E368" s="78" t="inlineStr">
        <is>
          <t>2018.06.</t>
        </is>
      </c>
      <c r="F368" s="78" t="n">
        <v>805</v>
      </c>
      <c r="G368" s="78" t="n">
        <v>33.98</v>
      </c>
      <c r="H368" s="78" t="n">
        <v>112.36</v>
      </c>
      <c r="I368" s="78" t="n">
        <v>25.67</v>
      </c>
      <c r="J368" s="78" t="n">
        <v>84.86</v>
      </c>
      <c r="K368" s="78" t="n">
        <v>274</v>
      </c>
      <c r="T368" s="78" t="n">
        <v>4</v>
      </c>
      <c r="U368" s="78" t="n">
        <v>2</v>
      </c>
      <c r="V368" s="78" t="inlineStr">
        <is>
          <t>계단식</t>
        </is>
      </c>
      <c r="W368" s="78" t="n">
        <v>112</v>
      </c>
      <c r="X368" s="78" t="n">
        <v>25</v>
      </c>
      <c r="Y368" s="78" t="n">
        <v>16</v>
      </c>
      <c r="Z368" s="78" t="inlineStr">
        <is>
          <t>https://new.land.naver.com/complexes/112656?tab=detail&amp;rf=Y</t>
        </is>
      </c>
      <c r="AA368" s="78" t="inlineStr">
        <is>
          <t>전라북도 군산시 미장동 558</t>
        </is>
      </c>
      <c r="AB368" s="78" t="inlineStr">
        <is>
          <t>전라북도</t>
        </is>
      </c>
      <c r="AC368" s="78" t="inlineStr">
        <is>
          <t>군산시</t>
        </is>
      </c>
      <c r="AD368" s="78" t="inlineStr">
        <is>
          <t>미장동</t>
        </is>
      </c>
      <c r="AG368" s="78" t="inlineStr">
        <is>
          <t>전라북도 군산시 미장남로 100</t>
        </is>
      </c>
      <c r="AH368" s="78" t="n">
        <v>0</v>
      </c>
      <c r="AI368" s="78" t="n">
        <v>248</v>
      </c>
      <c r="AJ368" s="78" t="n">
        <v>23</v>
      </c>
      <c r="AK368" s="78" t="n">
        <v>1008</v>
      </c>
      <c r="AL368" s="78" t="n">
        <v>1.25</v>
      </c>
    </row>
    <row r="369">
      <c r="A369" s="78" t="inlineStr">
        <is>
          <t>[미장동]</t>
        </is>
      </c>
      <c r="B369" s="78" t="n">
        <v>112656</v>
      </c>
      <c r="C369" s="78" t="n">
        <v>9</v>
      </c>
      <c r="D369" s="78" t="inlineStr">
        <is>
          <t>미장대원칸타빌</t>
        </is>
      </c>
      <c r="E369" s="78" t="inlineStr">
        <is>
          <t>2018.06.</t>
        </is>
      </c>
      <c r="F369" s="78" t="n">
        <v>805</v>
      </c>
      <c r="G369" s="78" t="n">
        <v>40.74</v>
      </c>
      <c r="H369" s="78" t="n">
        <v>134.7</v>
      </c>
      <c r="I369" s="78" t="n">
        <v>30.8</v>
      </c>
      <c r="J369" s="78" t="n">
        <v>101.84</v>
      </c>
      <c r="K369" s="78" t="n">
        <v>70</v>
      </c>
      <c r="T369" s="78" t="n">
        <v>4</v>
      </c>
      <c r="U369" s="78" t="n">
        <v>2</v>
      </c>
      <c r="V369" s="78" t="inlineStr">
        <is>
          <t>계단식</t>
        </is>
      </c>
      <c r="W369" s="78" t="n">
        <v>134</v>
      </c>
      <c r="X369" s="78" t="n">
        <v>25</v>
      </c>
      <c r="Y369" s="78" t="n">
        <v>16</v>
      </c>
      <c r="Z369" s="78" t="inlineStr">
        <is>
          <t>https://new.land.naver.com/complexes/112656?tab=detail&amp;rf=Y</t>
        </is>
      </c>
      <c r="AA369" s="78" t="inlineStr">
        <is>
          <t>전라북도 군산시 미장동 558</t>
        </is>
      </c>
      <c r="AB369" s="78" t="inlineStr">
        <is>
          <t>전라북도</t>
        </is>
      </c>
      <c r="AC369" s="78" t="inlineStr">
        <is>
          <t>군산시</t>
        </is>
      </c>
      <c r="AD369" s="78" t="inlineStr">
        <is>
          <t>미장동</t>
        </is>
      </c>
      <c r="AG369" s="78" t="inlineStr">
        <is>
          <t>전라북도 군산시 미장남로 100</t>
        </is>
      </c>
      <c r="AH369" s="78" t="n">
        <v>0</v>
      </c>
      <c r="AI369" s="78" t="n">
        <v>248</v>
      </c>
      <c r="AJ369" s="78" t="n">
        <v>23</v>
      </c>
      <c r="AK369" s="78" t="n">
        <v>1008</v>
      </c>
      <c r="AL369" s="78" t="n">
        <v>1.25</v>
      </c>
    </row>
    <row r="370">
      <c r="A370" s="78" t="inlineStr">
        <is>
          <t>[미장동]</t>
        </is>
      </c>
      <c r="B370" s="78" t="n">
        <v>112656</v>
      </c>
      <c r="C370" s="78" t="n">
        <v>10</v>
      </c>
      <c r="D370" s="78" t="inlineStr">
        <is>
          <t>미장대원칸타빌</t>
        </is>
      </c>
      <c r="E370" s="78" t="inlineStr">
        <is>
          <t>2018.06.</t>
        </is>
      </c>
      <c r="F370" s="78" t="n">
        <v>805</v>
      </c>
      <c r="G370" s="78" t="n">
        <v>52.7</v>
      </c>
      <c r="H370" s="78" t="n">
        <v>174.24</v>
      </c>
      <c r="I370" s="78" t="n">
        <v>38.92</v>
      </c>
      <c r="J370" s="78" t="n">
        <v>128.68</v>
      </c>
      <c r="K370" s="78" t="n">
        <v>4</v>
      </c>
      <c r="T370" s="78" t="n">
        <v>4</v>
      </c>
      <c r="U370" s="78" t="n">
        <v>2</v>
      </c>
      <c r="V370" s="78" t="inlineStr">
        <is>
          <t>계단식</t>
        </is>
      </c>
      <c r="W370" s="78" t="n">
        <v>174</v>
      </c>
      <c r="X370" s="78" t="n">
        <v>25</v>
      </c>
      <c r="Y370" s="78" t="n">
        <v>16</v>
      </c>
      <c r="Z370" s="78" t="inlineStr">
        <is>
          <t>https://new.land.naver.com/complexes/112656?tab=detail&amp;rf=Y</t>
        </is>
      </c>
      <c r="AA370" s="78" t="inlineStr">
        <is>
          <t>전라북도 군산시 미장동 558</t>
        </is>
      </c>
      <c r="AB370" s="78" t="inlineStr">
        <is>
          <t>전라북도</t>
        </is>
      </c>
      <c r="AC370" s="78" t="inlineStr">
        <is>
          <t>군산시</t>
        </is>
      </c>
      <c r="AD370" s="78" t="inlineStr">
        <is>
          <t>미장동</t>
        </is>
      </c>
      <c r="AG370" s="78" t="inlineStr">
        <is>
          <t>전라북도 군산시 미장남로 100</t>
        </is>
      </c>
      <c r="AH370" s="78" t="n">
        <v>0</v>
      </c>
      <c r="AI370" s="78" t="n">
        <v>248</v>
      </c>
      <c r="AJ370" s="78" t="n">
        <v>23</v>
      </c>
      <c r="AK370" s="78" t="n">
        <v>1008</v>
      </c>
      <c r="AL370" s="78" t="n">
        <v>1.25</v>
      </c>
    </row>
    <row r="371">
      <c r="A371" s="78" t="inlineStr">
        <is>
          <t>[사정동]</t>
        </is>
      </c>
      <c r="B371" s="78" t="n">
        <v>5042</v>
      </c>
      <c r="C371" s="78" t="n">
        <v>1</v>
      </c>
      <c r="D371" s="78" t="inlineStr">
        <is>
          <t>금호타운2단지</t>
        </is>
      </c>
      <c r="E371" s="78" t="inlineStr">
        <is>
          <t>1996.11.</t>
        </is>
      </c>
      <c r="F371" s="78" t="n">
        <v>358</v>
      </c>
      <c r="G371" s="78" t="n">
        <v>23.05</v>
      </c>
      <c r="H371" s="78" t="n">
        <v>76.22</v>
      </c>
      <c r="I371" s="78" t="n">
        <v>18.02</v>
      </c>
      <c r="J371" s="78" t="n">
        <v>59.58</v>
      </c>
      <c r="K371" s="78" t="n">
        <v>150</v>
      </c>
      <c r="T371" s="78" t="n">
        <v>3</v>
      </c>
      <c r="U371" s="78" t="n">
        <v>1</v>
      </c>
      <c r="V371" s="78" t="inlineStr">
        <is>
          <t>계단식</t>
        </is>
      </c>
      <c r="W371" s="78" t="n">
        <v>76</v>
      </c>
      <c r="X371" s="78" t="n">
        <v>15</v>
      </c>
      <c r="Y371" s="78" t="n">
        <v>14</v>
      </c>
      <c r="Z371" s="78" t="inlineStr">
        <is>
          <t>https://new.land.naver.com/complexes/5042?tab=detail&amp;rf=Y</t>
        </is>
      </c>
      <c r="AA371" s="78" t="inlineStr">
        <is>
          <t>전라북도 군산시 사정동 100</t>
        </is>
      </c>
      <c r="AB371" s="78" t="inlineStr">
        <is>
          <t>전라북도</t>
        </is>
      </c>
      <c r="AC371" s="78" t="inlineStr">
        <is>
          <t>군산시</t>
        </is>
      </c>
      <c r="AD371" s="78" t="inlineStr">
        <is>
          <t>사정동</t>
        </is>
      </c>
      <c r="AG371" s="78" t="inlineStr">
        <is>
          <t>전라북도 군산시 두란뜸2길 8</t>
        </is>
      </c>
      <c r="AH371" s="78" t="n">
        <v>0</v>
      </c>
      <c r="AI371" s="78" t="n">
        <v>175</v>
      </c>
      <c r="AJ371" s="78" t="n">
        <v>18</v>
      </c>
      <c r="AK371" s="78" t="n">
        <v>332</v>
      </c>
      <c r="AL371" s="78" t="n">
        <v>0.93</v>
      </c>
    </row>
    <row r="372">
      <c r="A372" s="78" t="inlineStr">
        <is>
          <t>[사정동]</t>
        </is>
      </c>
      <c r="B372" s="78" t="n">
        <v>5042</v>
      </c>
      <c r="C372" s="78" t="n">
        <v>2</v>
      </c>
      <c r="D372" s="78" t="inlineStr">
        <is>
          <t>금호타운2단지</t>
        </is>
      </c>
      <c r="E372" s="78" t="inlineStr">
        <is>
          <t>1996.11.</t>
        </is>
      </c>
      <c r="F372" s="78" t="n">
        <v>358</v>
      </c>
      <c r="G372" s="78" t="n">
        <v>31.15</v>
      </c>
      <c r="H372" s="78" t="n">
        <v>102.98</v>
      </c>
      <c r="I372" s="78" t="n">
        <v>25.59</v>
      </c>
      <c r="J372" s="78" t="n">
        <v>84.59999999999999</v>
      </c>
      <c r="K372" s="78" t="n">
        <v>208</v>
      </c>
      <c r="T372" s="78" t="n">
        <v>3</v>
      </c>
      <c r="U372" s="78" t="n">
        <v>2</v>
      </c>
      <c r="V372" s="78" t="inlineStr">
        <is>
          <t>계단식</t>
        </is>
      </c>
      <c r="W372" s="78" t="n">
        <v>102</v>
      </c>
      <c r="X372" s="78" t="n">
        <v>15</v>
      </c>
      <c r="Y372" s="78" t="n">
        <v>14</v>
      </c>
      <c r="Z372" s="78" t="inlineStr">
        <is>
          <t>https://new.land.naver.com/complexes/5042?tab=detail&amp;rf=Y</t>
        </is>
      </c>
      <c r="AA372" s="78" t="inlineStr">
        <is>
          <t>전라북도 군산시 사정동 100</t>
        </is>
      </c>
      <c r="AB372" s="78" t="inlineStr">
        <is>
          <t>전라북도</t>
        </is>
      </c>
      <c r="AC372" s="78" t="inlineStr">
        <is>
          <t>군산시</t>
        </is>
      </c>
      <c r="AD372" s="78" t="inlineStr">
        <is>
          <t>사정동</t>
        </is>
      </c>
      <c r="AG372" s="78" t="inlineStr">
        <is>
          <t>전라북도 군산시 두란뜸2길 8</t>
        </is>
      </c>
      <c r="AH372" s="78" t="n">
        <v>0</v>
      </c>
      <c r="AI372" s="78" t="n">
        <v>175</v>
      </c>
      <c r="AJ372" s="78" t="n">
        <v>18</v>
      </c>
      <c r="AK372" s="78" t="n">
        <v>332</v>
      </c>
      <c r="AL372" s="78" t="n">
        <v>0.93</v>
      </c>
    </row>
    <row r="373">
      <c r="A373" s="78" t="inlineStr">
        <is>
          <t>[사정동]</t>
        </is>
      </c>
      <c r="B373" s="78" t="n">
        <v>5036</v>
      </c>
      <c r="C373" s="78" t="n">
        <v>1</v>
      </c>
      <c r="D373" s="78" t="inlineStr">
        <is>
          <t>금호타운1단지</t>
        </is>
      </c>
      <c r="E373" s="78" t="inlineStr">
        <is>
          <t>1993.02.</t>
        </is>
      </c>
      <c r="F373" s="78" t="n">
        <v>342</v>
      </c>
      <c r="G373" s="78" t="n">
        <v>27.02</v>
      </c>
      <c r="H373" s="78" t="n">
        <v>89.34999999999999</v>
      </c>
      <c r="I373" s="78" t="n">
        <v>22.1</v>
      </c>
      <c r="J373" s="78" t="n">
        <v>73.09</v>
      </c>
      <c r="K373" s="78" t="n">
        <v>138</v>
      </c>
      <c r="T373" s="78" t="n">
        <v>3</v>
      </c>
      <c r="U373" s="78" t="n">
        <v>2</v>
      </c>
      <c r="V373" s="78" t="inlineStr">
        <is>
          <t>계단식</t>
        </is>
      </c>
      <c r="W373" s="78" t="n">
        <v>89</v>
      </c>
      <c r="X373" s="78" t="n">
        <v>13</v>
      </c>
      <c r="Y373" s="78" t="n">
        <v>10</v>
      </c>
      <c r="Z373" s="78" t="inlineStr">
        <is>
          <t>https://new.land.naver.com/complexes/5036?tab=detail&amp;rf=Y</t>
        </is>
      </c>
      <c r="AA373" s="78" t="inlineStr">
        <is>
          <t>전라북도 군산시 사정동 421</t>
        </is>
      </c>
      <c r="AB373" s="78" t="inlineStr">
        <is>
          <t>전라북도</t>
        </is>
      </c>
      <c r="AC373" s="78" t="inlineStr">
        <is>
          <t>군산시</t>
        </is>
      </c>
      <c r="AD373" s="78" t="inlineStr">
        <is>
          <t>사정동</t>
        </is>
      </c>
      <c r="AG373" s="78" t="inlineStr">
        <is>
          <t>전라북도 군산시 내사길 43</t>
        </is>
      </c>
      <c r="AH373" s="78" t="n">
        <v>0</v>
      </c>
      <c r="AI373" s="78" t="n">
        <v>0</v>
      </c>
      <c r="AJ373" s="78" t="n">
        <v>0</v>
      </c>
      <c r="AK373" s="78" t="n">
        <v>342</v>
      </c>
      <c r="AL373" s="78" t="n">
        <v>1</v>
      </c>
    </row>
    <row r="374">
      <c r="A374" s="78" t="inlineStr">
        <is>
          <t>[사정동]</t>
        </is>
      </c>
      <c r="B374" s="78" t="n">
        <v>5036</v>
      </c>
      <c r="C374" s="78" t="n">
        <v>2</v>
      </c>
      <c r="D374" s="78" t="inlineStr">
        <is>
          <t>금호타운1단지</t>
        </is>
      </c>
      <c r="E374" s="78" t="inlineStr">
        <is>
          <t>1993.02.</t>
        </is>
      </c>
      <c r="F374" s="78" t="n">
        <v>342</v>
      </c>
      <c r="G374" s="78" t="n">
        <v>30.85</v>
      </c>
      <c r="H374" s="78" t="n">
        <v>102</v>
      </c>
      <c r="I374" s="78" t="n">
        <v>25.64</v>
      </c>
      <c r="J374" s="78" t="n">
        <v>84.79000000000001</v>
      </c>
      <c r="K374" s="78" t="n">
        <v>204</v>
      </c>
      <c r="T374" s="78" t="n">
        <v>3</v>
      </c>
      <c r="U374" s="78" t="n">
        <v>2</v>
      </c>
      <c r="V374" s="78" t="inlineStr">
        <is>
          <t>계단식</t>
        </is>
      </c>
      <c r="W374" s="78" t="n">
        <v>102</v>
      </c>
      <c r="X374" s="78" t="n">
        <v>13</v>
      </c>
      <c r="Y374" s="78" t="n">
        <v>10</v>
      </c>
      <c r="Z374" s="78" t="inlineStr">
        <is>
          <t>https://new.land.naver.com/complexes/5036?tab=detail&amp;rf=Y</t>
        </is>
      </c>
      <c r="AA374" s="78" t="inlineStr">
        <is>
          <t>전라북도 군산시 사정동 421</t>
        </is>
      </c>
      <c r="AB374" s="78" t="inlineStr">
        <is>
          <t>전라북도</t>
        </is>
      </c>
      <c r="AC374" s="78" t="inlineStr">
        <is>
          <t>군산시</t>
        </is>
      </c>
      <c r="AD374" s="78" t="inlineStr">
        <is>
          <t>사정동</t>
        </is>
      </c>
      <c r="AG374" s="78" t="inlineStr">
        <is>
          <t>전라북도 군산시 내사길 43</t>
        </is>
      </c>
      <c r="AH374" s="78" t="n">
        <v>0</v>
      </c>
      <c r="AI374" s="78" t="n">
        <v>0</v>
      </c>
      <c r="AJ374" s="78" t="n">
        <v>0</v>
      </c>
      <c r="AK374" s="78" t="n">
        <v>342</v>
      </c>
      <c r="AL374" s="78" t="n">
        <v>1</v>
      </c>
    </row>
    <row r="375">
      <c r="A375" s="78" t="inlineStr">
        <is>
          <t>[사정동]</t>
        </is>
      </c>
      <c r="B375" s="78" t="n">
        <v>125020</v>
      </c>
      <c r="C375" s="78" t="n">
        <v>1</v>
      </c>
      <c r="D375" s="78" t="inlineStr">
        <is>
          <t>자연애</t>
        </is>
      </c>
      <c r="E375" s="78" t="inlineStr">
        <is>
          <t>2014.04.</t>
        </is>
      </c>
      <c r="F375" s="78" t="n">
        <v>19</v>
      </c>
      <c r="G375" s="78" t="n">
        <v>31.76</v>
      </c>
      <c r="H375" s="78" t="n">
        <v>105</v>
      </c>
      <c r="I375" s="78" t="n">
        <v>24.34</v>
      </c>
      <c r="J375" s="78" t="n">
        <v>80.47</v>
      </c>
      <c r="K375" s="78" t="n">
        <v>19</v>
      </c>
      <c r="T375" s="78" t="n">
        <v>3</v>
      </c>
      <c r="U375" s="78" t="n">
        <v>2</v>
      </c>
      <c r="V375" s="78" t="inlineStr">
        <is>
          <t>계단식</t>
        </is>
      </c>
      <c r="W375" s="78" t="n">
        <v>105</v>
      </c>
      <c r="X375" s="78" t="n">
        <v>8</v>
      </c>
      <c r="Y375" s="78" t="n">
        <v>7</v>
      </c>
      <c r="Z375" s="78" t="inlineStr">
        <is>
          <t>https://new.land.naver.com/complexes/125020?tab=detail&amp;rf=Y</t>
        </is>
      </c>
      <c r="AA375" s="78" t="inlineStr">
        <is>
          <t>전라북도 군산시 사정동 488-1</t>
        </is>
      </c>
      <c r="AB375" s="78" t="inlineStr">
        <is>
          <t>전라북도</t>
        </is>
      </c>
      <c r="AC375" s="78" t="inlineStr">
        <is>
          <t>군산시</t>
        </is>
      </c>
      <c r="AD375" s="78" t="inlineStr">
        <is>
          <t>사정동</t>
        </is>
      </c>
      <c r="AG375" s="78" t="inlineStr">
        <is>
          <t>전라북도 군산시 경기장로 36-12</t>
        </is>
      </c>
      <c r="AH375" s="78" t="n">
        <v>0</v>
      </c>
      <c r="AI375" s="78" t="n">
        <v>127</v>
      </c>
      <c r="AJ375" s="78" t="n">
        <v>24</v>
      </c>
      <c r="AK375" s="78" t="n">
        <v>22</v>
      </c>
      <c r="AL375" s="78" t="n">
        <v>1.16</v>
      </c>
    </row>
    <row r="376">
      <c r="A376" s="78" t="inlineStr">
        <is>
          <t>[산북동]</t>
        </is>
      </c>
      <c r="B376" s="78" t="n">
        <v>5044</v>
      </c>
      <c r="C376" s="78" t="n">
        <v>1</v>
      </c>
      <c r="D376" s="78" t="inlineStr">
        <is>
          <t>시영1단지</t>
        </is>
      </c>
      <c r="E376" s="78" t="inlineStr">
        <is>
          <t>1990.12.</t>
        </is>
      </c>
      <c r="F376" s="78" t="n">
        <v>280</v>
      </c>
      <c r="G376" s="78" t="n">
        <v>13.27</v>
      </c>
      <c r="H376" s="78" t="n">
        <v>43.87</v>
      </c>
      <c r="I376" s="78" t="n">
        <v>10.39</v>
      </c>
      <c r="J376" s="78" t="n">
        <v>34.38</v>
      </c>
      <c r="K376" s="78" t="n">
        <v>40</v>
      </c>
      <c r="T376" s="78" t="n">
        <v>2</v>
      </c>
      <c r="U376" s="78" t="n">
        <v>1</v>
      </c>
      <c r="V376" s="78" t="inlineStr">
        <is>
          <t>계단식</t>
        </is>
      </c>
      <c r="W376" s="78" t="inlineStr">
        <is>
          <t>43A</t>
        </is>
      </c>
      <c r="X376" s="78" t="n">
        <v>5</v>
      </c>
      <c r="Y376" s="78" t="n">
        <v>5</v>
      </c>
      <c r="Z376" s="78" t="inlineStr">
        <is>
          <t>https://new.land.naver.com/complexes/5044?tab=detail&amp;rf=Y</t>
        </is>
      </c>
      <c r="AA376" s="78" t="inlineStr">
        <is>
          <t>전라북도 군산시 산북동 3551-1</t>
        </is>
      </c>
      <c r="AB376" s="78" t="inlineStr">
        <is>
          <t>전라북도</t>
        </is>
      </c>
      <c r="AC376" s="78" t="inlineStr">
        <is>
          <t>군산시</t>
        </is>
      </c>
      <c r="AD376" s="78" t="inlineStr">
        <is>
          <t>산북동</t>
        </is>
      </c>
      <c r="AG376" s="78" t="inlineStr">
        <is>
          <t>전라북도 군산시 칠성안1길 16</t>
        </is>
      </c>
      <c r="AH376" s="78" t="n">
        <v>0</v>
      </c>
      <c r="AI376" s="78" t="n">
        <v>0</v>
      </c>
      <c r="AJ376" s="78" t="n">
        <v>0</v>
      </c>
      <c r="AK376" s="78" t="n">
        <v>0</v>
      </c>
      <c r="AL376" s="78" t="n">
        <v>0</v>
      </c>
    </row>
    <row r="377">
      <c r="A377" s="78" t="inlineStr">
        <is>
          <t>[산북동]</t>
        </is>
      </c>
      <c r="B377" s="78" t="n">
        <v>5044</v>
      </c>
      <c r="C377" s="78" t="n">
        <v>2</v>
      </c>
      <c r="D377" s="78" t="inlineStr">
        <is>
          <t>시영1단지</t>
        </is>
      </c>
      <c r="E377" s="78" t="inlineStr">
        <is>
          <t>1990.12.</t>
        </is>
      </c>
      <c r="F377" s="78" t="n">
        <v>280</v>
      </c>
      <c r="G377" s="78" t="n">
        <v>13.35</v>
      </c>
      <c r="H377" s="78" t="n">
        <v>44.14</v>
      </c>
      <c r="I377" s="78" t="n">
        <v>10.48</v>
      </c>
      <c r="J377" s="78" t="n">
        <v>34.65</v>
      </c>
      <c r="K377" s="78" t="n">
        <v>40</v>
      </c>
      <c r="T377" s="78" t="n">
        <v>2</v>
      </c>
      <c r="U377" s="78" t="n">
        <v>1</v>
      </c>
      <c r="V377" s="78" t="inlineStr">
        <is>
          <t>계단식</t>
        </is>
      </c>
      <c r="W377" s="78" t="inlineStr">
        <is>
          <t>44B</t>
        </is>
      </c>
      <c r="X377" s="78" t="n">
        <v>5</v>
      </c>
      <c r="Y377" s="78" t="n">
        <v>5</v>
      </c>
      <c r="Z377" s="78" t="inlineStr">
        <is>
          <t>https://new.land.naver.com/complexes/5044?tab=detail&amp;rf=Y</t>
        </is>
      </c>
      <c r="AA377" s="78" t="inlineStr">
        <is>
          <t>전라북도 군산시 산북동 3551-1</t>
        </is>
      </c>
      <c r="AB377" s="78" t="inlineStr">
        <is>
          <t>전라북도</t>
        </is>
      </c>
      <c r="AC377" s="78" t="inlineStr">
        <is>
          <t>군산시</t>
        </is>
      </c>
      <c r="AD377" s="78" t="inlineStr">
        <is>
          <t>산북동</t>
        </is>
      </c>
      <c r="AG377" s="78" t="inlineStr">
        <is>
          <t>전라북도 군산시 칠성안1길 16</t>
        </is>
      </c>
      <c r="AH377" s="78" t="n">
        <v>0</v>
      </c>
      <c r="AI377" s="78" t="n">
        <v>0</v>
      </c>
      <c r="AJ377" s="78" t="n">
        <v>0</v>
      </c>
      <c r="AK377" s="78" t="n">
        <v>0</v>
      </c>
      <c r="AL377" s="78" t="n">
        <v>0</v>
      </c>
    </row>
    <row r="378">
      <c r="A378" s="78" t="inlineStr">
        <is>
          <t>[산북동]</t>
        </is>
      </c>
      <c r="B378" s="78" t="n">
        <v>5044</v>
      </c>
      <c r="C378" s="78" t="n">
        <v>3</v>
      </c>
      <c r="D378" s="78" t="inlineStr">
        <is>
          <t>시영1단지</t>
        </is>
      </c>
      <c r="E378" s="78" t="inlineStr">
        <is>
          <t>1990.12.</t>
        </is>
      </c>
      <c r="F378" s="78" t="n">
        <v>280</v>
      </c>
      <c r="G378" s="78" t="n">
        <v>16.16</v>
      </c>
      <c r="H378" s="78" t="n">
        <v>53.43</v>
      </c>
      <c r="I378" s="78" t="n">
        <v>13.16</v>
      </c>
      <c r="J378" s="78" t="n">
        <v>43.52</v>
      </c>
      <c r="K378" s="78" t="n">
        <v>150</v>
      </c>
      <c r="T378" s="78" t="n">
        <v>3</v>
      </c>
      <c r="U378" s="78" t="n">
        <v>1</v>
      </c>
      <c r="V378" s="78" t="inlineStr">
        <is>
          <t>계단식</t>
        </is>
      </c>
      <c r="W378" s="78" t="inlineStr">
        <is>
          <t>53A</t>
        </is>
      </c>
      <c r="X378" s="78" t="n">
        <v>5</v>
      </c>
      <c r="Y378" s="78" t="n">
        <v>5</v>
      </c>
      <c r="Z378" s="78" t="inlineStr">
        <is>
          <t>https://new.land.naver.com/complexes/5044?tab=detail&amp;rf=Y</t>
        </is>
      </c>
      <c r="AA378" s="78" t="inlineStr">
        <is>
          <t>전라북도 군산시 산북동 3551-1</t>
        </is>
      </c>
      <c r="AB378" s="78" t="inlineStr">
        <is>
          <t>전라북도</t>
        </is>
      </c>
      <c r="AC378" s="78" t="inlineStr">
        <is>
          <t>군산시</t>
        </is>
      </c>
      <c r="AD378" s="78" t="inlineStr">
        <is>
          <t>산북동</t>
        </is>
      </c>
      <c r="AG378" s="78" t="inlineStr">
        <is>
          <t>전라북도 군산시 칠성안1길 16</t>
        </is>
      </c>
      <c r="AH378" s="78" t="n">
        <v>0</v>
      </c>
      <c r="AI378" s="78" t="n">
        <v>0</v>
      </c>
      <c r="AJ378" s="78" t="n">
        <v>0</v>
      </c>
      <c r="AK378" s="78" t="n">
        <v>0</v>
      </c>
      <c r="AL378" s="78" t="n">
        <v>0</v>
      </c>
    </row>
    <row r="379">
      <c r="A379" s="78" t="inlineStr">
        <is>
          <t>[산북동]</t>
        </is>
      </c>
      <c r="B379" s="78" t="n">
        <v>5044</v>
      </c>
      <c r="C379" s="78" t="n">
        <v>4</v>
      </c>
      <c r="D379" s="78" t="inlineStr">
        <is>
          <t>시영1단지</t>
        </is>
      </c>
      <c r="E379" s="78" t="inlineStr">
        <is>
          <t>1990.12.</t>
        </is>
      </c>
      <c r="F379" s="78" t="n">
        <v>280</v>
      </c>
      <c r="G379" s="78" t="n">
        <v>16.34</v>
      </c>
      <c r="H379" s="78" t="n">
        <v>54.03</v>
      </c>
      <c r="I379" s="78" t="n">
        <v>13.34</v>
      </c>
      <c r="J379" s="78" t="n">
        <v>44.12</v>
      </c>
      <c r="K379" s="78" t="n">
        <v>50</v>
      </c>
      <c r="T379" s="78" t="n">
        <v>3</v>
      </c>
      <c r="U379" s="78" t="n">
        <v>1</v>
      </c>
      <c r="V379" s="78" t="inlineStr">
        <is>
          <t>계단식</t>
        </is>
      </c>
      <c r="W379" s="78" t="inlineStr">
        <is>
          <t>54B</t>
        </is>
      </c>
      <c r="X379" s="78" t="n">
        <v>5</v>
      </c>
      <c r="Y379" s="78" t="n">
        <v>5</v>
      </c>
      <c r="Z379" s="78" t="inlineStr">
        <is>
          <t>https://new.land.naver.com/complexes/5044?tab=detail&amp;rf=Y</t>
        </is>
      </c>
      <c r="AA379" s="78" t="inlineStr">
        <is>
          <t>전라북도 군산시 산북동 3551-1</t>
        </is>
      </c>
      <c r="AB379" s="78" t="inlineStr">
        <is>
          <t>전라북도</t>
        </is>
      </c>
      <c r="AC379" s="78" t="inlineStr">
        <is>
          <t>군산시</t>
        </is>
      </c>
      <c r="AD379" s="78" t="inlineStr">
        <is>
          <t>산북동</t>
        </is>
      </c>
      <c r="AG379" s="78" t="inlineStr">
        <is>
          <t>전라북도 군산시 칠성안1길 16</t>
        </is>
      </c>
      <c r="AH379" s="78" t="n">
        <v>0</v>
      </c>
      <c r="AI379" s="78" t="n">
        <v>0</v>
      </c>
      <c r="AJ379" s="78" t="n">
        <v>0</v>
      </c>
      <c r="AK379" s="78" t="n">
        <v>0</v>
      </c>
      <c r="AL379" s="78" t="n">
        <v>0</v>
      </c>
    </row>
    <row r="380">
      <c r="A380" s="78" t="inlineStr">
        <is>
          <t>[산북동]</t>
        </is>
      </c>
      <c r="B380" s="78" t="n">
        <v>144163</v>
      </c>
      <c r="C380" s="78" t="n">
        <v>1</v>
      </c>
      <c r="D380" s="78" t="inlineStr">
        <is>
          <t>하나리움시티2차</t>
        </is>
      </c>
      <c r="E380" s="78" t="inlineStr">
        <is>
          <t>2014.12.</t>
        </is>
      </c>
      <c r="F380" s="78" t="n">
        <v>175</v>
      </c>
      <c r="G380" s="78" t="n">
        <v>26.99</v>
      </c>
      <c r="H380" s="78" t="n">
        <v>89.25</v>
      </c>
      <c r="I380" s="78" t="n">
        <v>18.14</v>
      </c>
      <c r="J380" s="78" t="n">
        <v>59.98</v>
      </c>
      <c r="K380" s="78" t="n">
        <v>146</v>
      </c>
      <c r="T380" s="78" t="n">
        <v>3</v>
      </c>
      <c r="U380" s="78" t="n">
        <v>2</v>
      </c>
      <c r="V380" s="78" t="inlineStr">
        <is>
          <t>계단식</t>
        </is>
      </c>
      <c r="W380" s="78" t="inlineStr">
        <is>
          <t>89A</t>
        </is>
      </c>
      <c r="X380" s="78" t="n">
        <v>18</v>
      </c>
      <c r="Y380" s="78" t="n">
        <v>9</v>
      </c>
      <c r="Z380" s="78" t="inlineStr">
        <is>
          <t>https://new.land.naver.com/complexes/144163?tab=detail&amp;rf=Y</t>
        </is>
      </c>
      <c r="AA380" s="78" t="inlineStr">
        <is>
          <t>전라북도 군산시 산북동 3646</t>
        </is>
      </c>
      <c r="AB380" s="78" t="inlineStr">
        <is>
          <t>전라북도</t>
        </is>
      </c>
      <c r="AC380" s="78" t="inlineStr">
        <is>
          <t>군산시</t>
        </is>
      </c>
      <c r="AD380" s="78" t="inlineStr">
        <is>
          <t>산북동</t>
        </is>
      </c>
      <c r="AG380" s="78" t="inlineStr">
        <is>
          <t>전라북도 군산시 원산북2길 6</t>
        </is>
      </c>
      <c r="AH380" s="78" t="n">
        <v>0</v>
      </c>
      <c r="AI380" s="78" t="n">
        <v>170</v>
      </c>
      <c r="AJ380" s="78" t="n">
        <v>19</v>
      </c>
      <c r="AK380" s="78" t="n">
        <v>182</v>
      </c>
      <c r="AL380" s="78" t="n">
        <v>1.04</v>
      </c>
    </row>
    <row r="381">
      <c r="A381" s="78" t="inlineStr">
        <is>
          <t>[산북동]</t>
        </is>
      </c>
      <c r="B381" s="78" t="n">
        <v>144163</v>
      </c>
      <c r="C381" s="78" t="n">
        <v>2</v>
      </c>
      <c r="D381" s="78" t="inlineStr">
        <is>
          <t>하나리움시티2차</t>
        </is>
      </c>
      <c r="E381" s="78" t="inlineStr">
        <is>
          <t>2014.12.</t>
        </is>
      </c>
      <c r="F381" s="78" t="n">
        <v>175</v>
      </c>
      <c r="G381" s="78" t="n">
        <v>27.13</v>
      </c>
      <c r="H381" s="78" t="n">
        <v>89.70999999999999</v>
      </c>
      <c r="I381" s="78" t="n">
        <v>18.14</v>
      </c>
      <c r="J381" s="78" t="n">
        <v>59.98</v>
      </c>
      <c r="K381" s="78" t="n">
        <v>29</v>
      </c>
      <c r="T381" s="78" t="n">
        <v>3</v>
      </c>
      <c r="U381" s="78" t="n">
        <v>2</v>
      </c>
      <c r="V381" s="78" t="inlineStr">
        <is>
          <t>계단식</t>
        </is>
      </c>
      <c r="W381" s="78" t="inlineStr">
        <is>
          <t>89B</t>
        </is>
      </c>
      <c r="X381" s="78" t="n">
        <v>18</v>
      </c>
      <c r="Y381" s="78" t="n">
        <v>9</v>
      </c>
      <c r="Z381" s="78" t="inlineStr">
        <is>
          <t>https://new.land.naver.com/complexes/144163?tab=detail&amp;rf=Y</t>
        </is>
      </c>
      <c r="AA381" s="78" t="inlineStr">
        <is>
          <t>전라북도 군산시 산북동 3646</t>
        </is>
      </c>
      <c r="AB381" s="78" t="inlineStr">
        <is>
          <t>전라북도</t>
        </is>
      </c>
      <c r="AC381" s="78" t="inlineStr">
        <is>
          <t>군산시</t>
        </is>
      </c>
      <c r="AD381" s="78" t="inlineStr">
        <is>
          <t>산북동</t>
        </is>
      </c>
      <c r="AG381" s="78" t="inlineStr">
        <is>
          <t>전라북도 군산시 원산북2길 6</t>
        </is>
      </c>
      <c r="AH381" s="78" t="n">
        <v>0</v>
      </c>
      <c r="AI381" s="78" t="n">
        <v>170</v>
      </c>
      <c r="AJ381" s="78" t="n">
        <v>19</v>
      </c>
      <c r="AK381" s="78" t="n">
        <v>182</v>
      </c>
      <c r="AL381" s="78" t="n">
        <v>1.04</v>
      </c>
    </row>
    <row r="382">
      <c r="A382" s="78" t="inlineStr">
        <is>
          <t>[산북동]</t>
        </is>
      </c>
      <c r="B382" s="78" t="n">
        <v>107967</v>
      </c>
      <c r="C382" s="78" t="n">
        <v>1</v>
      </c>
      <c r="D382" s="78" t="inlineStr">
        <is>
          <t>산북대명1차</t>
        </is>
      </c>
      <c r="E382" s="78" t="inlineStr">
        <is>
          <t>1997.09.</t>
        </is>
      </c>
      <c r="F382" s="78" t="n">
        <v>225</v>
      </c>
      <c r="G382" s="78" t="n">
        <v>16.96</v>
      </c>
      <c r="H382" s="78" t="n">
        <v>56.08</v>
      </c>
      <c r="I382" s="78" t="n">
        <v>12.08</v>
      </c>
      <c r="J382" s="78" t="n">
        <v>39.96</v>
      </c>
      <c r="K382" s="78" t="n">
        <v>225</v>
      </c>
      <c r="T382" s="78" t="n">
        <v>2</v>
      </c>
      <c r="U382" s="78" t="n">
        <v>1</v>
      </c>
      <c r="V382" s="78" t="inlineStr">
        <is>
          <t>복도식</t>
        </is>
      </c>
      <c r="W382" s="78" t="n">
        <v>56</v>
      </c>
      <c r="X382" s="78" t="n">
        <v>17</v>
      </c>
      <c r="Y382" s="78" t="n">
        <v>9</v>
      </c>
      <c r="Z382" s="78" t="inlineStr">
        <is>
          <t>https://new.land.naver.com/complexes/107967?tab=detail&amp;rf=Y</t>
        </is>
      </c>
      <c r="AA382" s="78" t="inlineStr">
        <is>
          <t>전라북도 군산시 산북동 3579-1</t>
        </is>
      </c>
      <c r="AB382" s="78" t="inlineStr">
        <is>
          <t>전라북도</t>
        </is>
      </c>
      <c r="AC382" s="78" t="inlineStr">
        <is>
          <t>군산시</t>
        </is>
      </c>
      <c r="AD382" s="78" t="inlineStr">
        <is>
          <t>산북동</t>
        </is>
      </c>
      <c r="AG382" s="78" t="inlineStr">
        <is>
          <t>전라북도 군산시 원산북2길 35</t>
        </is>
      </c>
      <c r="AH382" s="78" t="n">
        <v>0</v>
      </c>
      <c r="AI382" s="78" t="n">
        <v>298</v>
      </c>
      <c r="AJ382" s="78" t="n">
        <v>26</v>
      </c>
      <c r="AK382" s="78" t="n">
        <v>137</v>
      </c>
      <c r="AL382" s="78" t="n">
        <v>0.61</v>
      </c>
    </row>
    <row r="383">
      <c r="A383" s="78" t="inlineStr">
        <is>
          <t>[산북동]</t>
        </is>
      </c>
      <c r="B383" s="78" t="n">
        <v>5045</v>
      </c>
      <c r="C383" s="78" t="n">
        <v>1</v>
      </c>
      <c r="D383" s="78" t="inlineStr">
        <is>
          <t>시영2단지</t>
        </is>
      </c>
      <c r="E383" s="78" t="inlineStr">
        <is>
          <t>1991.11.</t>
        </is>
      </c>
      <c r="F383" s="78" t="n">
        <v>200</v>
      </c>
      <c r="G383" s="78" t="n">
        <v>13.47</v>
      </c>
      <c r="H383" s="78" t="n">
        <v>44.54</v>
      </c>
      <c r="I383" s="78" t="n">
        <v>10.7</v>
      </c>
      <c r="J383" s="78" t="n">
        <v>35.4</v>
      </c>
      <c r="K383" s="78" t="n">
        <v>100</v>
      </c>
      <c r="T383" s="78" t="n">
        <v>2</v>
      </c>
      <c r="U383" s="78" t="n">
        <v>1</v>
      </c>
      <c r="V383" s="78" t="inlineStr">
        <is>
          <t>계단식</t>
        </is>
      </c>
      <c r="W383" s="78" t="n">
        <v>44</v>
      </c>
      <c r="X383" s="78" t="n">
        <v>13</v>
      </c>
      <c r="Y383" s="78" t="n">
        <v>5</v>
      </c>
      <c r="Z383" s="78" t="inlineStr">
        <is>
          <t>https://new.land.naver.com/complexes/5045?tab=detail&amp;rf=Y</t>
        </is>
      </c>
      <c r="AA383" s="78" t="inlineStr">
        <is>
          <t>전라북도 군산시 산북동 3551</t>
        </is>
      </c>
      <c r="AB383" s="78" t="inlineStr">
        <is>
          <t>전라북도</t>
        </is>
      </c>
      <c r="AC383" s="78" t="inlineStr">
        <is>
          <t>군산시</t>
        </is>
      </c>
      <c r="AD383" s="78" t="inlineStr">
        <is>
          <t>산북동</t>
        </is>
      </c>
      <c r="AG383" s="78" t="inlineStr">
        <is>
          <t>전라북도 군산시 산북로 162</t>
        </is>
      </c>
      <c r="AH383" s="78" t="n">
        <v>0</v>
      </c>
      <c r="AI383" s="78" t="n">
        <v>0</v>
      </c>
      <c r="AJ383" s="78" t="n">
        <v>0</v>
      </c>
      <c r="AK383" s="78" t="n">
        <v>0</v>
      </c>
      <c r="AL383" s="78" t="n">
        <v>0</v>
      </c>
    </row>
    <row r="384">
      <c r="A384" s="78" t="inlineStr">
        <is>
          <t>[산북동]</t>
        </is>
      </c>
      <c r="B384" s="78" t="n">
        <v>5045</v>
      </c>
      <c r="C384" s="78" t="n">
        <v>2</v>
      </c>
      <c r="D384" s="78" t="inlineStr">
        <is>
          <t>시영2단지</t>
        </is>
      </c>
      <c r="E384" s="78" t="inlineStr">
        <is>
          <t>1991.11.</t>
        </is>
      </c>
      <c r="F384" s="78" t="n">
        <v>200</v>
      </c>
      <c r="G384" s="78" t="n">
        <v>18.12</v>
      </c>
      <c r="H384" s="78" t="n">
        <v>59.91</v>
      </c>
      <c r="I384" s="78" t="n">
        <v>14.67</v>
      </c>
      <c r="J384" s="78" t="n">
        <v>48.52</v>
      </c>
      <c r="K384" s="78" t="n">
        <v>100</v>
      </c>
      <c r="T384" s="78" t="n">
        <v>3</v>
      </c>
      <c r="U384" s="78" t="n">
        <v>1</v>
      </c>
      <c r="V384" s="78" t="inlineStr">
        <is>
          <t>계단식</t>
        </is>
      </c>
      <c r="W384" s="78" t="n">
        <v>59</v>
      </c>
      <c r="X384" s="78" t="n">
        <v>13</v>
      </c>
      <c r="Y384" s="78" t="n">
        <v>5</v>
      </c>
      <c r="Z384" s="78" t="inlineStr">
        <is>
          <t>https://new.land.naver.com/complexes/5045?tab=detail&amp;rf=Y</t>
        </is>
      </c>
      <c r="AA384" s="78" t="inlineStr">
        <is>
          <t>전라북도 군산시 산북동 3551</t>
        </is>
      </c>
      <c r="AB384" s="78" t="inlineStr">
        <is>
          <t>전라북도</t>
        </is>
      </c>
      <c r="AC384" s="78" t="inlineStr">
        <is>
          <t>군산시</t>
        </is>
      </c>
      <c r="AD384" s="78" t="inlineStr">
        <is>
          <t>산북동</t>
        </is>
      </c>
      <c r="AG384" s="78" t="inlineStr">
        <is>
          <t>전라북도 군산시 산북로 162</t>
        </is>
      </c>
      <c r="AH384" s="78" t="n">
        <v>0</v>
      </c>
      <c r="AI384" s="78" t="n">
        <v>0</v>
      </c>
      <c r="AJ384" s="78" t="n">
        <v>0</v>
      </c>
      <c r="AK384" s="78" t="n">
        <v>0</v>
      </c>
      <c r="AL384" s="78" t="n">
        <v>0</v>
      </c>
    </row>
    <row r="385">
      <c r="A385" s="78" t="inlineStr">
        <is>
          <t>[산북동]</t>
        </is>
      </c>
      <c r="B385" s="78" t="n">
        <v>143519</v>
      </c>
      <c r="C385" s="78" t="n">
        <v>1</v>
      </c>
      <c r="D385" s="78" t="inlineStr">
        <is>
          <t>성일맨션(3537-4)</t>
        </is>
      </c>
      <c r="E385" s="78" t="inlineStr">
        <is>
          <t>1996.08.</t>
        </is>
      </c>
      <c r="F385" s="78" t="n">
        <v>19</v>
      </c>
      <c r="G385" s="78" t="n">
        <v>37.1</v>
      </c>
      <c r="H385" s="78" t="n">
        <v>122.65</v>
      </c>
      <c r="I385" s="78" t="n">
        <v>31.9</v>
      </c>
      <c r="J385" s="78" t="n">
        <v>105.48</v>
      </c>
      <c r="K385" s="78" t="n">
        <v>15</v>
      </c>
      <c r="T385" s="78" t="n">
        <v>3</v>
      </c>
      <c r="U385" s="78" t="n">
        <v>2</v>
      </c>
      <c r="V385" s="78" t="inlineStr">
        <is>
          <t>계단식</t>
        </is>
      </c>
      <c r="W385" s="78" t="inlineStr">
        <is>
          <t>122B</t>
        </is>
      </c>
      <c r="X385" s="78" t="n">
        <v>5</v>
      </c>
      <c r="Y385" s="78" t="n">
        <v>4</v>
      </c>
      <c r="Z385" s="78" t="inlineStr">
        <is>
          <t>https://new.land.naver.com/complexes/143519?tab=detail&amp;rf=Y</t>
        </is>
      </c>
      <c r="AA385" s="78" t="inlineStr">
        <is>
          <t>전라북도 군산시 산북동 3537-4</t>
        </is>
      </c>
      <c r="AB385" s="78" t="inlineStr">
        <is>
          <t>전라북도</t>
        </is>
      </c>
      <c r="AC385" s="78" t="inlineStr">
        <is>
          <t>군산시</t>
        </is>
      </c>
      <c r="AD385" s="78" t="inlineStr">
        <is>
          <t>산북동</t>
        </is>
      </c>
      <c r="AG385" s="78" t="inlineStr">
        <is>
          <t>전라북도 군산시 칠성안1길 49</t>
        </is>
      </c>
      <c r="AH385" s="78" t="n">
        <v>0</v>
      </c>
      <c r="AI385" s="78" t="n">
        <v>170</v>
      </c>
      <c r="AJ385" s="78" t="n">
        <v>39</v>
      </c>
      <c r="AK385" s="78" t="n">
        <v>16</v>
      </c>
      <c r="AL385" s="78" t="n">
        <v>0.84</v>
      </c>
    </row>
    <row r="386">
      <c r="A386" s="78" t="inlineStr">
        <is>
          <t>[산북동]</t>
        </is>
      </c>
      <c r="B386" s="78" t="n">
        <v>143519</v>
      </c>
      <c r="C386" s="78" t="n">
        <v>2</v>
      </c>
      <c r="D386" s="78" t="inlineStr">
        <is>
          <t>성일맨션(3537-4)</t>
        </is>
      </c>
      <c r="E386" s="78" t="inlineStr">
        <is>
          <t>1996.08.</t>
        </is>
      </c>
      <c r="F386" s="78" t="n">
        <v>19</v>
      </c>
      <c r="G386" s="78" t="n">
        <v>37.09</v>
      </c>
      <c r="H386" s="78" t="n">
        <v>122.64</v>
      </c>
      <c r="I386" s="78" t="n">
        <v>31.9</v>
      </c>
      <c r="J386" s="78" t="n">
        <v>105.48</v>
      </c>
      <c r="K386" s="78" t="n">
        <v>4</v>
      </c>
      <c r="T386" s="78" t="n">
        <v>3</v>
      </c>
      <c r="U386" s="78" t="n">
        <v>2</v>
      </c>
      <c r="V386" s="78" t="inlineStr">
        <is>
          <t>계단식</t>
        </is>
      </c>
      <c r="W386" s="78" t="inlineStr">
        <is>
          <t>122A</t>
        </is>
      </c>
      <c r="X386" s="78" t="n">
        <v>5</v>
      </c>
      <c r="Y386" s="78" t="n">
        <v>4</v>
      </c>
      <c r="Z386" s="78" t="inlineStr">
        <is>
          <t>https://new.land.naver.com/complexes/143519?tab=detail&amp;rf=Y</t>
        </is>
      </c>
      <c r="AA386" s="78" t="inlineStr">
        <is>
          <t>전라북도 군산시 산북동 3537-4</t>
        </is>
      </c>
      <c r="AB386" s="78" t="inlineStr">
        <is>
          <t>전라북도</t>
        </is>
      </c>
      <c r="AC386" s="78" t="inlineStr">
        <is>
          <t>군산시</t>
        </is>
      </c>
      <c r="AD386" s="78" t="inlineStr">
        <is>
          <t>산북동</t>
        </is>
      </c>
      <c r="AG386" s="78" t="inlineStr">
        <is>
          <t>전라북도 군산시 칠성안1길 49</t>
        </is>
      </c>
      <c r="AH386" s="78" t="n">
        <v>0</v>
      </c>
      <c r="AI386" s="78" t="n">
        <v>170</v>
      </c>
      <c r="AJ386" s="78" t="n">
        <v>39</v>
      </c>
      <c r="AK386" s="78" t="n">
        <v>16</v>
      </c>
      <c r="AL386" s="78" t="n">
        <v>0.84</v>
      </c>
    </row>
    <row r="387">
      <c r="A387" s="78" t="inlineStr">
        <is>
          <t>[산북동]</t>
        </is>
      </c>
      <c r="B387" s="78" t="n">
        <v>5046</v>
      </c>
      <c r="C387" s="78" t="n">
        <v>1</v>
      </c>
      <c r="D387" s="78" t="inlineStr">
        <is>
          <t>코오롱</t>
        </is>
      </c>
      <c r="E387" s="78" t="inlineStr">
        <is>
          <t>1994.11.</t>
        </is>
      </c>
      <c r="F387" s="78" t="n">
        <v>380</v>
      </c>
      <c r="G387" s="78" t="n">
        <v>22.95</v>
      </c>
      <c r="H387" s="78" t="n">
        <v>75.90000000000001</v>
      </c>
      <c r="I387" s="78" t="n">
        <v>17.95</v>
      </c>
      <c r="J387" s="78" t="n">
        <v>59.35</v>
      </c>
      <c r="K387" s="78" t="n">
        <v>254</v>
      </c>
      <c r="T387" s="78" t="n">
        <v>3</v>
      </c>
      <c r="U387" s="78" t="n">
        <v>1</v>
      </c>
      <c r="V387" s="78" t="inlineStr">
        <is>
          <t>계단식</t>
        </is>
      </c>
      <c r="W387" s="78" t="n">
        <v>75</v>
      </c>
      <c r="X387" s="78" t="n">
        <v>14</v>
      </c>
      <c r="Y387" s="78" t="n">
        <v>9</v>
      </c>
      <c r="Z387" s="78" t="inlineStr">
        <is>
          <t>https://new.land.naver.com/complexes/5046?tab=detail&amp;rf=Y</t>
        </is>
      </c>
      <c r="AA387" s="78" t="inlineStr">
        <is>
          <t>전라북도 군산시 산북동 3538</t>
        </is>
      </c>
      <c r="AB387" s="78" t="inlineStr">
        <is>
          <t>전라북도</t>
        </is>
      </c>
      <c r="AC387" s="78" t="inlineStr">
        <is>
          <t>군산시</t>
        </is>
      </c>
      <c r="AD387" s="78" t="inlineStr">
        <is>
          <t>산북동</t>
        </is>
      </c>
      <c r="AG387" s="78" t="inlineStr">
        <is>
          <t>전라북도 군산시 소룡안3길 24</t>
        </is>
      </c>
      <c r="AH387" s="78" t="n">
        <v>0</v>
      </c>
      <c r="AI387" s="78" t="n">
        <v>217</v>
      </c>
      <c r="AJ387" s="78" t="n">
        <v>92</v>
      </c>
      <c r="AK387" s="78" t="n">
        <v>380</v>
      </c>
      <c r="AL387" s="78" t="n">
        <v>1</v>
      </c>
    </row>
    <row r="388">
      <c r="A388" s="78" t="inlineStr">
        <is>
          <t>[산북동]</t>
        </is>
      </c>
      <c r="B388" s="78" t="n">
        <v>5046</v>
      </c>
      <c r="C388" s="78" t="n">
        <v>2</v>
      </c>
      <c r="D388" s="78" t="inlineStr">
        <is>
          <t>코오롱</t>
        </is>
      </c>
      <c r="E388" s="78" t="inlineStr">
        <is>
          <t>1994.11.</t>
        </is>
      </c>
      <c r="F388" s="78" t="n">
        <v>380</v>
      </c>
      <c r="G388" s="78" t="n">
        <v>31.11</v>
      </c>
      <c r="H388" s="78" t="n">
        <v>102.85</v>
      </c>
      <c r="I388" s="78" t="n">
        <v>25.54</v>
      </c>
      <c r="J388" s="78" t="n">
        <v>84.45999999999999</v>
      </c>
      <c r="K388" s="78" t="n">
        <v>126</v>
      </c>
      <c r="T388" s="78" t="n">
        <v>3</v>
      </c>
      <c r="U388" s="78" t="n">
        <v>2</v>
      </c>
      <c r="V388" s="78" t="inlineStr">
        <is>
          <t>계단식</t>
        </is>
      </c>
      <c r="W388" s="78" t="n">
        <v>102</v>
      </c>
      <c r="X388" s="78" t="n">
        <v>14</v>
      </c>
      <c r="Y388" s="78" t="n">
        <v>9</v>
      </c>
      <c r="Z388" s="78" t="inlineStr">
        <is>
          <t>https://new.land.naver.com/complexes/5046?tab=detail&amp;rf=Y</t>
        </is>
      </c>
      <c r="AA388" s="78" t="inlineStr">
        <is>
          <t>전라북도 군산시 산북동 3538</t>
        </is>
      </c>
      <c r="AB388" s="78" t="inlineStr">
        <is>
          <t>전라북도</t>
        </is>
      </c>
      <c r="AC388" s="78" t="inlineStr">
        <is>
          <t>군산시</t>
        </is>
      </c>
      <c r="AD388" s="78" t="inlineStr">
        <is>
          <t>산북동</t>
        </is>
      </c>
      <c r="AG388" s="78" t="inlineStr">
        <is>
          <t>전라북도 군산시 소룡안3길 24</t>
        </is>
      </c>
      <c r="AH388" s="78" t="n">
        <v>0</v>
      </c>
      <c r="AI388" s="78" t="n">
        <v>217</v>
      </c>
      <c r="AJ388" s="78" t="n">
        <v>92</v>
      </c>
      <c r="AK388" s="78" t="n">
        <v>380</v>
      </c>
      <c r="AL388" s="78" t="n">
        <v>1</v>
      </c>
    </row>
    <row r="389">
      <c r="A389" s="78" t="inlineStr">
        <is>
          <t>[산북동]</t>
        </is>
      </c>
      <c r="B389" s="78" t="n">
        <v>5043</v>
      </c>
      <c r="C389" s="78" t="n">
        <v>1</v>
      </c>
      <c r="D389" s="78" t="inlineStr">
        <is>
          <t>산북주공</t>
        </is>
      </c>
      <c r="E389" s="78" t="inlineStr">
        <is>
          <t>1989.04.</t>
        </is>
      </c>
      <c r="F389" s="78" t="n">
        <v>750</v>
      </c>
      <c r="G389" s="78" t="n">
        <v>15.09</v>
      </c>
      <c r="H389" s="78" t="n">
        <v>49.91</v>
      </c>
      <c r="I389" s="78" t="n">
        <v>12</v>
      </c>
      <c r="J389" s="78" t="n">
        <v>39.69</v>
      </c>
      <c r="K389" s="78" t="n">
        <v>110</v>
      </c>
      <c r="T389" s="78" t="n">
        <v>2</v>
      </c>
      <c r="U389" s="78" t="n">
        <v>1</v>
      </c>
      <c r="V389" s="78" t="inlineStr">
        <is>
          <t>계단식</t>
        </is>
      </c>
      <c r="W389" s="78" t="inlineStr">
        <is>
          <t>49A</t>
        </is>
      </c>
      <c r="X389" s="78" t="n">
        <v>5</v>
      </c>
      <c r="Y389" s="78" t="n">
        <v>5</v>
      </c>
      <c r="Z389" s="78" t="inlineStr">
        <is>
          <t>https://new.land.naver.com/complexes/5043?tab=detail&amp;rf=Y</t>
        </is>
      </c>
      <c r="AA389" s="78" t="inlineStr">
        <is>
          <t>전라북도 군산시 산북동 3542</t>
        </is>
      </c>
      <c r="AB389" s="78" t="inlineStr">
        <is>
          <t>전라북도</t>
        </is>
      </c>
      <c r="AC389" s="78" t="inlineStr">
        <is>
          <t>군산시</t>
        </is>
      </c>
      <c r="AD389" s="78" t="inlineStr">
        <is>
          <t>산북동</t>
        </is>
      </c>
      <c r="AG389" s="78" t="inlineStr">
        <is>
          <t>전라북도 군산시 동아로 145-1</t>
        </is>
      </c>
      <c r="AH389" s="78" t="n">
        <v>0</v>
      </c>
      <c r="AI389" s="78" t="n">
        <v>0</v>
      </c>
      <c r="AJ389" s="78" t="n">
        <v>0</v>
      </c>
      <c r="AK389" s="78" t="n">
        <v>0</v>
      </c>
      <c r="AL389" s="78" t="n">
        <v>0</v>
      </c>
    </row>
    <row r="390">
      <c r="A390" s="78" t="inlineStr">
        <is>
          <t>[산북동]</t>
        </is>
      </c>
      <c r="B390" s="78" t="n">
        <v>5043</v>
      </c>
      <c r="C390" s="78" t="n">
        <v>2</v>
      </c>
      <c r="D390" s="78" t="inlineStr">
        <is>
          <t>산북주공</t>
        </is>
      </c>
      <c r="E390" s="78" t="inlineStr">
        <is>
          <t>1989.04.</t>
        </is>
      </c>
      <c r="F390" s="78" t="n">
        <v>750</v>
      </c>
      <c r="G390" s="78" t="n">
        <v>14.96</v>
      </c>
      <c r="H390" s="78" t="n">
        <v>49.48</v>
      </c>
      <c r="I390" s="78" t="n">
        <v>11.88</v>
      </c>
      <c r="J390" s="78" t="n">
        <v>39.3</v>
      </c>
      <c r="K390" s="78" t="n">
        <v>110</v>
      </c>
      <c r="T390" s="78" t="n">
        <v>2</v>
      </c>
      <c r="U390" s="78" t="n">
        <v>1</v>
      </c>
      <c r="V390" s="78" t="inlineStr">
        <is>
          <t>계단식</t>
        </is>
      </c>
      <c r="W390" s="78" t="inlineStr">
        <is>
          <t>49B</t>
        </is>
      </c>
      <c r="X390" s="78" t="n">
        <v>5</v>
      </c>
      <c r="Y390" s="78" t="n">
        <v>5</v>
      </c>
      <c r="Z390" s="78" t="inlineStr">
        <is>
          <t>https://new.land.naver.com/complexes/5043?tab=detail&amp;rf=Y</t>
        </is>
      </c>
      <c r="AA390" s="78" t="inlineStr">
        <is>
          <t>전라북도 군산시 산북동 3542</t>
        </is>
      </c>
      <c r="AB390" s="78" t="inlineStr">
        <is>
          <t>전라북도</t>
        </is>
      </c>
      <c r="AC390" s="78" t="inlineStr">
        <is>
          <t>군산시</t>
        </is>
      </c>
      <c r="AD390" s="78" t="inlineStr">
        <is>
          <t>산북동</t>
        </is>
      </c>
      <c r="AG390" s="78" t="inlineStr">
        <is>
          <t>전라북도 군산시 동아로 145-1</t>
        </is>
      </c>
      <c r="AH390" s="78" t="n">
        <v>0</v>
      </c>
      <c r="AI390" s="78" t="n">
        <v>0</v>
      </c>
      <c r="AJ390" s="78" t="n">
        <v>0</v>
      </c>
      <c r="AK390" s="78" t="n">
        <v>0</v>
      </c>
      <c r="AL390" s="78" t="n">
        <v>0</v>
      </c>
    </row>
    <row r="391">
      <c r="A391" s="78" t="inlineStr">
        <is>
          <t>[산북동]</t>
        </is>
      </c>
      <c r="B391" s="78" t="n">
        <v>5043</v>
      </c>
      <c r="C391" s="78" t="n">
        <v>3</v>
      </c>
      <c r="D391" s="78" t="inlineStr">
        <is>
          <t>산북주공</t>
        </is>
      </c>
      <c r="E391" s="78" t="inlineStr">
        <is>
          <t>1989.04.</t>
        </is>
      </c>
      <c r="F391" s="78" t="n">
        <v>750</v>
      </c>
      <c r="G391" s="78" t="n">
        <v>17.52</v>
      </c>
      <c r="H391" s="78" t="n">
        <v>57.93</v>
      </c>
      <c r="I391" s="78" t="n">
        <v>14.22</v>
      </c>
      <c r="J391" s="78" t="n">
        <v>47.01</v>
      </c>
      <c r="K391" s="78" t="n">
        <v>290</v>
      </c>
      <c r="T391" s="78" t="n">
        <v>2</v>
      </c>
      <c r="U391" s="78" t="n">
        <v>1</v>
      </c>
      <c r="V391" s="78" t="inlineStr">
        <is>
          <t>계단식</t>
        </is>
      </c>
      <c r="W391" s="78" t="n">
        <v>57</v>
      </c>
      <c r="X391" s="78" t="n">
        <v>5</v>
      </c>
      <c r="Y391" s="78" t="n">
        <v>5</v>
      </c>
      <c r="Z391" s="78" t="inlineStr">
        <is>
          <t>https://new.land.naver.com/complexes/5043?tab=detail&amp;rf=Y</t>
        </is>
      </c>
      <c r="AA391" s="78" t="inlineStr">
        <is>
          <t>전라북도 군산시 산북동 3542</t>
        </is>
      </c>
      <c r="AB391" s="78" t="inlineStr">
        <is>
          <t>전라북도</t>
        </is>
      </c>
      <c r="AC391" s="78" t="inlineStr">
        <is>
          <t>군산시</t>
        </is>
      </c>
      <c r="AD391" s="78" t="inlineStr">
        <is>
          <t>산북동</t>
        </is>
      </c>
      <c r="AG391" s="78" t="inlineStr">
        <is>
          <t>전라북도 군산시 동아로 145-1</t>
        </is>
      </c>
      <c r="AH391" s="78" t="n">
        <v>0</v>
      </c>
      <c r="AI391" s="78" t="n">
        <v>0</v>
      </c>
      <c r="AJ391" s="78" t="n">
        <v>0</v>
      </c>
      <c r="AK391" s="78" t="n">
        <v>0</v>
      </c>
      <c r="AL391" s="78" t="n">
        <v>0</v>
      </c>
    </row>
    <row r="392">
      <c r="A392" s="78" t="inlineStr">
        <is>
          <t>[산북동]</t>
        </is>
      </c>
      <c r="B392" s="78" t="n">
        <v>5043</v>
      </c>
      <c r="C392" s="78" t="n">
        <v>4</v>
      </c>
      <c r="D392" s="78" t="inlineStr">
        <is>
          <t>산북주공</t>
        </is>
      </c>
      <c r="E392" s="78" t="inlineStr">
        <is>
          <t>1989.04.</t>
        </is>
      </c>
      <c r="F392" s="78" t="n">
        <v>750</v>
      </c>
      <c r="G392" s="78" t="n">
        <v>17.41</v>
      </c>
      <c r="H392" s="78" t="n">
        <v>57.57</v>
      </c>
      <c r="I392" s="78" t="n">
        <v>14.12</v>
      </c>
      <c r="J392" s="78" t="n">
        <v>46.68</v>
      </c>
      <c r="K392" s="78" t="n">
        <v>240</v>
      </c>
      <c r="T392" s="78" t="n">
        <v>2</v>
      </c>
      <c r="U392" s="78" t="n">
        <v>1</v>
      </c>
      <c r="V392" s="78" t="inlineStr">
        <is>
          <t>계단식</t>
        </is>
      </c>
      <c r="W392" s="78" t="n">
        <v>57</v>
      </c>
      <c r="X392" s="78" t="n">
        <v>5</v>
      </c>
      <c r="Y392" s="78" t="n">
        <v>5</v>
      </c>
      <c r="Z392" s="78" t="inlineStr">
        <is>
          <t>https://new.land.naver.com/complexes/5043?tab=detail&amp;rf=Y</t>
        </is>
      </c>
      <c r="AA392" s="78" t="inlineStr">
        <is>
          <t>전라북도 군산시 산북동 3542</t>
        </is>
      </c>
      <c r="AB392" s="78" t="inlineStr">
        <is>
          <t>전라북도</t>
        </is>
      </c>
      <c r="AC392" s="78" t="inlineStr">
        <is>
          <t>군산시</t>
        </is>
      </c>
      <c r="AD392" s="78" t="inlineStr">
        <is>
          <t>산북동</t>
        </is>
      </c>
      <c r="AG392" s="78" t="inlineStr">
        <is>
          <t>전라북도 군산시 동아로 145-1</t>
        </is>
      </c>
      <c r="AH392" s="78" t="n">
        <v>0</v>
      </c>
      <c r="AI392" s="78" t="n">
        <v>0</v>
      </c>
      <c r="AJ392" s="78" t="n">
        <v>0</v>
      </c>
      <c r="AK392" s="78" t="n">
        <v>0</v>
      </c>
      <c r="AL392" s="78" t="n">
        <v>0</v>
      </c>
    </row>
    <row r="393">
      <c r="A393" s="78" t="inlineStr">
        <is>
          <t>[산북동]</t>
        </is>
      </c>
      <c r="B393" s="78" t="n">
        <v>118058</v>
      </c>
      <c r="C393" s="78" t="n">
        <v>1</v>
      </c>
      <c r="D393" s="78" t="inlineStr">
        <is>
          <t>산북하늘가201동</t>
        </is>
      </c>
      <c r="E393" s="78" t="inlineStr">
        <is>
          <t>2007.02.</t>
        </is>
      </c>
      <c r="F393" s="78" t="n">
        <v>220</v>
      </c>
      <c r="G393" s="78" t="n">
        <v>14.8</v>
      </c>
      <c r="H393" s="78" t="n">
        <v>48.95</v>
      </c>
      <c r="I393" s="78" t="n">
        <v>10.86</v>
      </c>
      <c r="J393" s="78" t="n">
        <v>35.91</v>
      </c>
      <c r="K393" s="78" t="n">
        <v>220</v>
      </c>
      <c r="T393" s="78" t="n">
        <v>1</v>
      </c>
      <c r="U393" s="78" t="n">
        <v>1</v>
      </c>
      <c r="V393" s="78" t="inlineStr">
        <is>
          <t>계단식</t>
        </is>
      </c>
      <c r="W393" s="78" t="n">
        <v>48</v>
      </c>
      <c r="X393" s="78" t="n">
        <v>12</v>
      </c>
      <c r="Y393" s="78" t="n">
        <v>12</v>
      </c>
      <c r="Z393" s="78" t="inlineStr">
        <is>
          <t>https://new.land.naver.com/complexes/118058?tab=detail&amp;rf=Y</t>
        </is>
      </c>
      <c r="AA393" s="78" t="inlineStr">
        <is>
          <t>전라북도 군산시 산북동 3560-1</t>
        </is>
      </c>
      <c r="AB393" s="78" t="inlineStr">
        <is>
          <t>전라북도</t>
        </is>
      </c>
      <c r="AC393" s="78" t="inlineStr">
        <is>
          <t>군산시</t>
        </is>
      </c>
      <c r="AD393" s="78" t="inlineStr">
        <is>
          <t>산북동</t>
        </is>
      </c>
      <c r="AG393" s="78" t="inlineStr">
        <is>
          <t>전라북도 군산시 칠성로 126</t>
        </is>
      </c>
      <c r="AH393" s="78" t="n">
        <v>0</v>
      </c>
      <c r="AI393" s="78" t="n">
        <v>277</v>
      </c>
      <c r="AJ393" s="78" t="n">
        <v>28</v>
      </c>
      <c r="AK393" s="78" t="n">
        <v>167</v>
      </c>
      <c r="AL393" s="78" t="n">
        <v>0.76</v>
      </c>
    </row>
    <row r="394">
      <c r="A394" s="78" t="inlineStr">
        <is>
          <t>[산북동]</t>
        </is>
      </c>
      <c r="B394" s="78" t="n">
        <v>106888</v>
      </c>
      <c r="C394" s="78" t="n">
        <v>1</v>
      </c>
      <c r="D394" s="78" t="inlineStr">
        <is>
          <t>하늘가1차</t>
        </is>
      </c>
      <c r="E394" s="78" t="inlineStr">
        <is>
          <t>2001.08.</t>
        </is>
      </c>
      <c r="F394" s="78" t="n">
        <v>221</v>
      </c>
      <c r="G394" s="78" t="n">
        <v>15.73</v>
      </c>
      <c r="H394" s="78" t="n">
        <v>52.02</v>
      </c>
      <c r="I394" s="78" t="n">
        <v>12.08</v>
      </c>
      <c r="J394" s="78" t="n">
        <v>39.95</v>
      </c>
      <c r="K394" s="78" t="n">
        <v>221</v>
      </c>
      <c r="T394" s="78" t="n">
        <v>2</v>
      </c>
      <c r="U394" s="78" t="n">
        <v>1</v>
      </c>
      <c r="V394" s="78" t="inlineStr">
        <is>
          <t>복도식</t>
        </is>
      </c>
      <c r="W394" s="78" t="n">
        <v>52</v>
      </c>
      <c r="X394" s="78" t="n">
        <v>14</v>
      </c>
      <c r="Y394" s="78" t="n">
        <v>14</v>
      </c>
      <c r="Z394" s="78" t="inlineStr">
        <is>
          <t>https://new.land.naver.com/complexes/106888?tab=detail&amp;rf=Y</t>
        </is>
      </c>
      <c r="AA394" s="78" t="inlineStr">
        <is>
          <t>전라북도 군산시 산북동 3589</t>
        </is>
      </c>
      <c r="AB394" s="78" t="inlineStr">
        <is>
          <t>전라북도</t>
        </is>
      </c>
      <c r="AC394" s="78" t="inlineStr">
        <is>
          <t>군산시</t>
        </is>
      </c>
      <c r="AD394" s="78" t="inlineStr">
        <is>
          <t>산북동</t>
        </is>
      </c>
      <c r="AG394" s="78" t="inlineStr">
        <is>
          <t>전라북도 군산시 부원로 116</t>
        </is>
      </c>
      <c r="AH394" s="78" t="n">
        <v>0</v>
      </c>
      <c r="AI394" s="78" t="n">
        <v>271</v>
      </c>
      <c r="AJ394" s="78" t="n">
        <v>23</v>
      </c>
      <c r="AK394" s="78" t="n">
        <v>199</v>
      </c>
      <c r="AL394" s="78" t="n">
        <v>0.9</v>
      </c>
    </row>
    <row r="395">
      <c r="A395" s="78" t="inlineStr">
        <is>
          <t>[산북동]</t>
        </is>
      </c>
      <c r="B395" s="78" t="n">
        <v>127042</v>
      </c>
      <c r="C395" s="78" t="n">
        <v>1</v>
      </c>
      <c r="D395" s="78" t="inlineStr">
        <is>
          <t>부향하나로2차</t>
        </is>
      </c>
      <c r="E395" s="78" t="inlineStr">
        <is>
          <t>1997.09.</t>
        </is>
      </c>
      <c r="F395" s="78" t="n">
        <v>96</v>
      </c>
      <c r="G395" s="78" t="n">
        <v>13.07</v>
      </c>
      <c r="H395" s="78" t="n">
        <v>43.23</v>
      </c>
      <c r="I395" s="78" t="n">
        <v>9.19</v>
      </c>
      <c r="J395" s="78" t="n">
        <v>30.4</v>
      </c>
      <c r="K395" s="78" t="n">
        <v>96</v>
      </c>
      <c r="T395" s="78" t="n">
        <v>2</v>
      </c>
      <c r="U395" s="78" t="n">
        <v>1</v>
      </c>
      <c r="V395" s="78" t="inlineStr">
        <is>
          <t>계단식</t>
        </is>
      </c>
      <c r="W395" s="78" t="n">
        <v>43</v>
      </c>
      <c r="X395" s="78" t="n">
        <v>8</v>
      </c>
      <c r="Y395" s="78" t="n">
        <v>8</v>
      </c>
      <c r="Z395" s="78" t="inlineStr">
        <is>
          <t>https://new.land.naver.com/complexes/127042?tab=detail&amp;rf=Y</t>
        </is>
      </c>
      <c r="AA395" s="78" t="inlineStr">
        <is>
          <t>전라북도 군산시 산북동 3602-4</t>
        </is>
      </c>
      <c r="AB395" s="78" t="inlineStr">
        <is>
          <t>전라북도</t>
        </is>
      </c>
      <c r="AC395" s="78" t="inlineStr">
        <is>
          <t>군산시</t>
        </is>
      </c>
      <c r="AD395" s="78" t="inlineStr">
        <is>
          <t>산북동</t>
        </is>
      </c>
      <c r="AG395" s="78" t="inlineStr">
        <is>
          <t>전라북도 군산시 동아로 17</t>
        </is>
      </c>
      <c r="AH395" s="78" t="n">
        <v>0</v>
      </c>
      <c r="AI395" s="78" t="n">
        <v>171</v>
      </c>
      <c r="AJ395" s="78" t="n">
        <v>24</v>
      </c>
      <c r="AK395" s="78" t="n">
        <v>58</v>
      </c>
      <c r="AL395" s="78" t="n">
        <v>0.6</v>
      </c>
    </row>
    <row r="396">
      <c r="A396" s="78" t="inlineStr">
        <is>
          <t>[산북동]</t>
        </is>
      </c>
      <c r="B396" s="78" t="n">
        <v>16993</v>
      </c>
      <c r="C396" s="78" t="n">
        <v>1</v>
      </c>
      <c r="D396" s="78" t="inlineStr">
        <is>
          <t>산북부향하나로4차</t>
        </is>
      </c>
      <c r="E396" s="78" t="inlineStr">
        <is>
          <t>1997.12.</t>
        </is>
      </c>
      <c r="F396" s="78" t="n">
        <v>404</v>
      </c>
      <c r="G396" s="78" t="n">
        <v>12.19</v>
      </c>
      <c r="H396" s="78" t="n">
        <v>40.31</v>
      </c>
      <c r="I396" s="78" t="n">
        <v>9.15</v>
      </c>
      <c r="J396" s="78" t="n">
        <v>30.26</v>
      </c>
      <c r="K396" s="78" t="n">
        <v>9</v>
      </c>
      <c r="T396" s="78" t="n">
        <v>1</v>
      </c>
      <c r="U396" s="78" t="n">
        <v>1</v>
      </c>
      <c r="V396" s="78" t="inlineStr">
        <is>
          <t>계단식</t>
        </is>
      </c>
      <c r="W396" s="78" t="n">
        <v>40</v>
      </c>
      <c r="X396" s="78" t="n">
        <v>15</v>
      </c>
      <c r="Y396" s="78" t="n">
        <v>7</v>
      </c>
      <c r="Z396" s="78" t="inlineStr">
        <is>
          <t>https://new.land.naver.com/complexes/16993?tab=detail&amp;rf=Y</t>
        </is>
      </c>
      <c r="AA396" s="78" t="inlineStr">
        <is>
          <t>전라북도 군산시 산북동 3637</t>
        </is>
      </c>
      <c r="AB396" s="78" t="inlineStr">
        <is>
          <t>전라북도</t>
        </is>
      </c>
      <c r="AC396" s="78" t="inlineStr">
        <is>
          <t>군산시</t>
        </is>
      </c>
      <c r="AD396" s="78" t="inlineStr">
        <is>
          <t>산북동</t>
        </is>
      </c>
      <c r="AG396" s="78" t="inlineStr">
        <is>
          <t>전라북도 군산시 칠성안5길 40</t>
        </is>
      </c>
      <c r="AH396" s="78" t="n">
        <v>290</v>
      </c>
      <c r="AI396" s="78" t="n">
        <v>346</v>
      </c>
      <c r="AJ396" s="78" t="n">
        <v>31</v>
      </c>
      <c r="AK396" s="78" t="n">
        <v>245</v>
      </c>
      <c r="AL396" s="78" t="n">
        <v>0.61</v>
      </c>
    </row>
    <row r="397">
      <c r="A397" s="78" t="inlineStr">
        <is>
          <t>[산북동]</t>
        </is>
      </c>
      <c r="B397" s="78" t="n">
        <v>16993</v>
      </c>
      <c r="C397" s="78" t="n">
        <v>2</v>
      </c>
      <c r="D397" s="78" t="inlineStr">
        <is>
          <t>산북부향하나로4차</t>
        </is>
      </c>
      <c r="E397" s="78" t="inlineStr">
        <is>
          <t>1997.12.</t>
        </is>
      </c>
      <c r="F397" s="78" t="n">
        <v>404</v>
      </c>
      <c r="G397" s="78" t="n">
        <v>15.74</v>
      </c>
      <c r="H397" s="78" t="n">
        <v>52.06</v>
      </c>
      <c r="I397" s="78" t="n">
        <v>11.82</v>
      </c>
      <c r="J397" s="78" t="n">
        <v>39.08</v>
      </c>
      <c r="K397" s="78" t="n">
        <v>105</v>
      </c>
      <c r="T397" s="78" t="n">
        <v>1</v>
      </c>
      <c r="U397" s="78" t="n">
        <v>1</v>
      </c>
      <c r="V397" s="78" t="inlineStr">
        <is>
          <t>계단식</t>
        </is>
      </c>
      <c r="W397" s="78" t="n">
        <v>52</v>
      </c>
      <c r="X397" s="78" t="n">
        <v>15</v>
      </c>
      <c r="Y397" s="78" t="n">
        <v>7</v>
      </c>
      <c r="Z397" s="78" t="inlineStr">
        <is>
          <t>https://new.land.naver.com/complexes/16993?tab=detail&amp;rf=Y</t>
        </is>
      </c>
      <c r="AA397" s="78" t="inlineStr">
        <is>
          <t>전라북도 군산시 산북동 3637</t>
        </is>
      </c>
      <c r="AB397" s="78" t="inlineStr">
        <is>
          <t>전라북도</t>
        </is>
      </c>
      <c r="AC397" s="78" t="inlineStr">
        <is>
          <t>군산시</t>
        </is>
      </c>
      <c r="AD397" s="78" t="inlineStr">
        <is>
          <t>산북동</t>
        </is>
      </c>
      <c r="AG397" s="78" t="inlineStr">
        <is>
          <t>전라북도 군산시 칠성안5길 40</t>
        </is>
      </c>
      <c r="AH397" s="78" t="n">
        <v>290</v>
      </c>
      <c r="AI397" s="78" t="n">
        <v>346</v>
      </c>
      <c r="AJ397" s="78" t="n">
        <v>31</v>
      </c>
      <c r="AK397" s="78" t="n">
        <v>245</v>
      </c>
      <c r="AL397" s="78" t="n">
        <v>0.61</v>
      </c>
    </row>
    <row r="398">
      <c r="A398" s="78" t="inlineStr">
        <is>
          <t>[산북동]</t>
        </is>
      </c>
      <c r="B398" s="78" t="n">
        <v>101157</v>
      </c>
      <c r="C398" s="78" t="n">
        <v>1</v>
      </c>
      <c r="D398" s="78" t="inlineStr">
        <is>
          <t>금강맨션</t>
        </is>
      </c>
      <c r="E398" s="78" t="inlineStr">
        <is>
          <t>1989.11.</t>
        </is>
      </c>
      <c r="F398" s="78" t="n">
        <v>120</v>
      </c>
      <c r="G398" s="78" t="n">
        <v>25.53</v>
      </c>
      <c r="H398" s="78" t="n">
        <v>84.42</v>
      </c>
      <c r="I398" s="78" t="n">
        <v>21.44</v>
      </c>
      <c r="J398" s="78" t="n">
        <v>70.89</v>
      </c>
      <c r="K398" s="78" t="n">
        <v>30</v>
      </c>
      <c r="T398" s="78" t="n">
        <v>3</v>
      </c>
      <c r="U398" s="78" t="n">
        <v>1</v>
      </c>
      <c r="V398" s="78" t="inlineStr">
        <is>
          <t>계단식</t>
        </is>
      </c>
      <c r="W398" s="78" t="n">
        <v>84</v>
      </c>
      <c r="X398" s="78" t="n">
        <v>5</v>
      </c>
      <c r="Y398" s="78" t="n">
        <v>5</v>
      </c>
      <c r="Z398" s="78" t="inlineStr">
        <is>
          <t>https://new.land.naver.com/complexes/101157?tab=detail&amp;rf=Y</t>
        </is>
      </c>
      <c r="AA398" s="78" t="inlineStr">
        <is>
          <t>전라북도 군산시 산북동 3540</t>
        </is>
      </c>
      <c r="AB398" s="78" t="inlineStr">
        <is>
          <t>전라북도</t>
        </is>
      </c>
      <c r="AC398" s="78" t="inlineStr">
        <is>
          <t>군산시</t>
        </is>
      </c>
      <c r="AD398" s="78" t="inlineStr">
        <is>
          <t>산북동</t>
        </is>
      </c>
      <c r="AG398" s="78" t="inlineStr">
        <is>
          <t>전라북도 군산시 소룡길 86-5</t>
        </is>
      </c>
      <c r="AH398" s="78" t="n">
        <v>0</v>
      </c>
      <c r="AI398" s="78" t="n">
        <v>0</v>
      </c>
      <c r="AJ398" s="78" t="n">
        <v>0</v>
      </c>
      <c r="AK398" s="78" t="n">
        <v>0</v>
      </c>
      <c r="AL398" s="78" t="n">
        <v>0</v>
      </c>
    </row>
    <row r="399">
      <c r="A399" s="78" t="inlineStr">
        <is>
          <t>[산북동]</t>
        </is>
      </c>
      <c r="B399" s="78" t="n">
        <v>101157</v>
      </c>
      <c r="C399" s="78" t="n">
        <v>2</v>
      </c>
      <c r="D399" s="78" t="inlineStr">
        <is>
          <t>금강맨션</t>
        </is>
      </c>
      <c r="E399" s="78" t="inlineStr">
        <is>
          <t>1989.11.</t>
        </is>
      </c>
      <c r="F399" s="78" t="n">
        <v>120</v>
      </c>
      <c r="G399" s="78" t="n">
        <v>27.32</v>
      </c>
      <c r="H399" s="78" t="n">
        <v>90.33</v>
      </c>
      <c r="I399" s="78" t="n">
        <v>23.23</v>
      </c>
      <c r="J399" s="78" t="n">
        <v>76.8</v>
      </c>
      <c r="K399" s="78" t="n">
        <v>60</v>
      </c>
      <c r="T399" s="78" t="n">
        <v>3</v>
      </c>
      <c r="U399" s="78" t="n">
        <v>1</v>
      </c>
      <c r="V399" s="78" t="inlineStr">
        <is>
          <t>계단식</t>
        </is>
      </c>
      <c r="W399" s="78" t="n">
        <v>90</v>
      </c>
      <c r="X399" s="78" t="n">
        <v>5</v>
      </c>
      <c r="Y399" s="78" t="n">
        <v>5</v>
      </c>
      <c r="Z399" s="78" t="inlineStr">
        <is>
          <t>https://new.land.naver.com/complexes/101157?tab=detail&amp;rf=Y</t>
        </is>
      </c>
      <c r="AA399" s="78" t="inlineStr">
        <is>
          <t>전라북도 군산시 산북동 3540</t>
        </is>
      </c>
      <c r="AB399" s="78" t="inlineStr">
        <is>
          <t>전라북도</t>
        </is>
      </c>
      <c r="AC399" s="78" t="inlineStr">
        <is>
          <t>군산시</t>
        </is>
      </c>
      <c r="AD399" s="78" t="inlineStr">
        <is>
          <t>산북동</t>
        </is>
      </c>
      <c r="AG399" s="78" t="inlineStr">
        <is>
          <t>전라북도 군산시 소룡길 86-5</t>
        </is>
      </c>
      <c r="AH399" s="78" t="n">
        <v>0</v>
      </c>
      <c r="AI399" s="78" t="n">
        <v>0</v>
      </c>
      <c r="AJ399" s="78" t="n">
        <v>0</v>
      </c>
      <c r="AK399" s="78" t="n">
        <v>0</v>
      </c>
      <c r="AL399" s="78" t="n">
        <v>0</v>
      </c>
    </row>
    <row r="400">
      <c r="A400" s="78" t="inlineStr">
        <is>
          <t>[산북동]</t>
        </is>
      </c>
      <c r="B400" s="78" t="n">
        <v>101157</v>
      </c>
      <c r="C400" s="78" t="n">
        <v>3</v>
      </c>
      <c r="D400" s="78" t="inlineStr">
        <is>
          <t>금강맨션</t>
        </is>
      </c>
      <c r="E400" s="78" t="inlineStr">
        <is>
          <t>1989.11.</t>
        </is>
      </c>
      <c r="F400" s="78" t="n">
        <v>120</v>
      </c>
      <c r="G400" s="78" t="n">
        <v>27.53</v>
      </c>
      <c r="H400" s="78" t="n">
        <v>91.02</v>
      </c>
      <c r="I400" s="78" t="n">
        <v>23.44</v>
      </c>
      <c r="J400" s="78" t="n">
        <v>77.48999999999999</v>
      </c>
      <c r="K400" s="78" t="n">
        <v>30</v>
      </c>
      <c r="T400" s="78" t="n">
        <v>3</v>
      </c>
      <c r="U400" s="78" t="n">
        <v>1</v>
      </c>
      <c r="V400" s="78" t="inlineStr">
        <is>
          <t>복도식</t>
        </is>
      </c>
      <c r="W400" s="78" t="n">
        <v>91</v>
      </c>
      <c r="X400" s="78" t="n">
        <v>5</v>
      </c>
      <c r="Y400" s="78" t="n">
        <v>5</v>
      </c>
      <c r="Z400" s="78" t="inlineStr">
        <is>
          <t>https://new.land.naver.com/complexes/101157?tab=detail&amp;rf=Y</t>
        </is>
      </c>
      <c r="AA400" s="78" t="inlineStr">
        <is>
          <t>전라북도 군산시 산북동 3540</t>
        </is>
      </c>
      <c r="AB400" s="78" t="inlineStr">
        <is>
          <t>전라북도</t>
        </is>
      </c>
      <c r="AC400" s="78" t="inlineStr">
        <is>
          <t>군산시</t>
        </is>
      </c>
      <c r="AD400" s="78" t="inlineStr">
        <is>
          <t>산북동</t>
        </is>
      </c>
      <c r="AG400" s="78" t="inlineStr">
        <is>
          <t>전라북도 군산시 소룡길 86-5</t>
        </is>
      </c>
      <c r="AH400" s="78" t="n">
        <v>0</v>
      </c>
      <c r="AI400" s="78" t="n">
        <v>0</v>
      </c>
      <c r="AJ400" s="78" t="n">
        <v>0</v>
      </c>
      <c r="AK400" s="78" t="n">
        <v>0</v>
      </c>
      <c r="AL400" s="78" t="n">
        <v>0</v>
      </c>
    </row>
    <row r="401">
      <c r="A401" s="78" t="inlineStr">
        <is>
          <t>[산북동]</t>
        </is>
      </c>
      <c r="B401" s="78" t="n">
        <v>16991</v>
      </c>
      <c r="C401" s="78" t="n">
        <v>1</v>
      </c>
      <c r="D401" s="78" t="inlineStr">
        <is>
          <t>서해제일</t>
        </is>
      </c>
      <c r="E401" s="78" t="inlineStr">
        <is>
          <t>1995.05.</t>
        </is>
      </c>
      <c r="F401" s="78" t="n">
        <v>70</v>
      </c>
      <c r="G401" s="78" t="n">
        <v>25.99</v>
      </c>
      <c r="H401" s="78" t="n">
        <v>85.94</v>
      </c>
      <c r="I401" s="78" t="n">
        <v>18.12</v>
      </c>
      <c r="J401" s="78" t="n">
        <v>59.91</v>
      </c>
      <c r="K401" s="78" t="n">
        <v>70</v>
      </c>
      <c r="T401" s="78" t="n">
        <v>3</v>
      </c>
      <c r="U401" s="78" t="n">
        <v>1</v>
      </c>
      <c r="V401" s="78" t="inlineStr">
        <is>
          <t>복도식</t>
        </is>
      </c>
      <c r="W401" s="78" t="n">
        <v>85</v>
      </c>
      <c r="X401" s="78" t="n">
        <v>7</v>
      </c>
      <c r="Y401" s="78" t="n">
        <v>7</v>
      </c>
      <c r="Z401" s="78" t="inlineStr">
        <is>
          <t>https://new.land.naver.com/complexes/16991?tab=detail&amp;rf=Y</t>
        </is>
      </c>
      <c r="AA401" s="78" t="inlineStr">
        <is>
          <t>전라북도 군산시 산북동 3536-1</t>
        </is>
      </c>
      <c r="AB401" s="78" t="inlineStr">
        <is>
          <t>전라북도</t>
        </is>
      </c>
      <c r="AC401" s="78" t="inlineStr">
        <is>
          <t>군산시</t>
        </is>
      </c>
      <c r="AD401" s="78" t="inlineStr">
        <is>
          <t>산북동</t>
        </is>
      </c>
      <c r="AG401" s="78" t="inlineStr">
        <is>
          <t>전라북도 군산시 칠성안1길 45</t>
        </is>
      </c>
      <c r="AH401" s="78" t="n">
        <v>0</v>
      </c>
      <c r="AI401" s="78" t="n">
        <v>190</v>
      </c>
      <c r="AJ401" s="78" t="n">
        <v>31</v>
      </c>
      <c r="AK401" s="78" t="n">
        <v>64</v>
      </c>
      <c r="AL401" s="78" t="n">
        <v>0.91</v>
      </c>
    </row>
    <row r="402">
      <c r="A402" s="78" t="inlineStr">
        <is>
          <t>[산북동]</t>
        </is>
      </c>
      <c r="B402" s="78" t="n">
        <v>16992</v>
      </c>
      <c r="C402" s="78" t="n">
        <v>1</v>
      </c>
      <c r="D402" s="78" t="inlineStr">
        <is>
          <t>성일(3546-5)</t>
        </is>
      </c>
      <c r="E402" s="78" t="inlineStr">
        <is>
          <t>1995.01.</t>
        </is>
      </c>
      <c r="F402" s="78" t="n">
        <v>99</v>
      </c>
      <c r="G402" s="78" t="n">
        <v>21.34</v>
      </c>
      <c r="H402" s="78" t="n">
        <v>70.56</v>
      </c>
      <c r="I402" s="78" t="n">
        <v>17.31</v>
      </c>
      <c r="J402" s="78" t="n">
        <v>57.24</v>
      </c>
      <c r="K402" s="78" t="n">
        <v>5</v>
      </c>
      <c r="T402" s="78" t="n">
        <v>3</v>
      </c>
      <c r="U402" s="78" t="n">
        <v>1</v>
      </c>
      <c r="V402" s="78" t="inlineStr">
        <is>
          <t>계단식</t>
        </is>
      </c>
      <c r="W402" s="78" t="n">
        <v>70</v>
      </c>
      <c r="X402" s="78" t="n">
        <v>10</v>
      </c>
      <c r="Y402" s="78" t="n">
        <v>4</v>
      </c>
      <c r="Z402" s="78" t="inlineStr">
        <is>
          <t>https://new.land.naver.com/complexes/16992?tab=detail&amp;rf=Y</t>
        </is>
      </c>
      <c r="AA402" s="78" t="inlineStr">
        <is>
          <t>전라북도 군산시 산북동 3546-5</t>
        </is>
      </c>
      <c r="AB402" s="78" t="inlineStr">
        <is>
          <t>전라북도</t>
        </is>
      </c>
      <c r="AC402" s="78" t="inlineStr">
        <is>
          <t>군산시</t>
        </is>
      </c>
      <c r="AD402" s="78" t="inlineStr">
        <is>
          <t>산북동</t>
        </is>
      </c>
      <c r="AG402" s="78" t="inlineStr">
        <is>
          <t>전라북도 군산시 칠성7길 74</t>
        </is>
      </c>
      <c r="AH402" s="78" t="n">
        <v>0</v>
      </c>
      <c r="AI402" s="78" t="n">
        <v>215</v>
      </c>
      <c r="AJ402" s="78" t="n">
        <v>28</v>
      </c>
      <c r="AK402" s="78" t="n">
        <v>89</v>
      </c>
      <c r="AL402" s="78" t="n">
        <v>0.9</v>
      </c>
    </row>
    <row r="403">
      <c r="A403" s="78" t="inlineStr">
        <is>
          <t>[산북동]</t>
        </is>
      </c>
      <c r="B403" s="78" t="n">
        <v>16992</v>
      </c>
      <c r="C403" s="78" t="n">
        <v>2</v>
      </c>
      <c r="D403" s="78" t="inlineStr">
        <is>
          <t>성일(3546-5)</t>
        </is>
      </c>
      <c r="E403" s="78" t="inlineStr">
        <is>
          <t>1995.01.</t>
        </is>
      </c>
      <c r="F403" s="78" t="n">
        <v>99</v>
      </c>
      <c r="G403" s="78" t="n">
        <v>22.33</v>
      </c>
      <c r="H403" s="78" t="n">
        <v>73.81999999999999</v>
      </c>
      <c r="I403" s="78" t="n">
        <v>18.11</v>
      </c>
      <c r="J403" s="78" t="n">
        <v>59.88</v>
      </c>
      <c r="K403" s="78" t="n">
        <v>40</v>
      </c>
      <c r="T403" s="78" t="n">
        <v>3</v>
      </c>
      <c r="U403" s="78" t="n">
        <v>1</v>
      </c>
      <c r="V403" s="78" t="inlineStr">
        <is>
          <t>복도식</t>
        </is>
      </c>
      <c r="W403" s="78" t="n">
        <v>73</v>
      </c>
      <c r="X403" s="78" t="n">
        <v>10</v>
      </c>
      <c r="Y403" s="78" t="n">
        <v>4</v>
      </c>
      <c r="Z403" s="78" t="inlineStr">
        <is>
          <t>https://new.land.naver.com/complexes/16992?tab=detail&amp;rf=Y</t>
        </is>
      </c>
      <c r="AA403" s="78" t="inlineStr">
        <is>
          <t>전라북도 군산시 산북동 3546-5</t>
        </is>
      </c>
      <c r="AB403" s="78" t="inlineStr">
        <is>
          <t>전라북도</t>
        </is>
      </c>
      <c r="AC403" s="78" t="inlineStr">
        <is>
          <t>군산시</t>
        </is>
      </c>
      <c r="AD403" s="78" t="inlineStr">
        <is>
          <t>산북동</t>
        </is>
      </c>
      <c r="AG403" s="78" t="inlineStr">
        <is>
          <t>전라북도 군산시 칠성7길 74</t>
        </is>
      </c>
      <c r="AH403" s="78" t="n">
        <v>0</v>
      </c>
      <c r="AI403" s="78" t="n">
        <v>215</v>
      </c>
      <c r="AJ403" s="78" t="n">
        <v>28</v>
      </c>
      <c r="AK403" s="78" t="n">
        <v>89</v>
      </c>
      <c r="AL403" s="78" t="n">
        <v>0.9</v>
      </c>
    </row>
    <row r="404">
      <c r="A404" s="78" t="inlineStr">
        <is>
          <t>[산북동]</t>
        </is>
      </c>
      <c r="B404" s="78" t="n">
        <v>16992</v>
      </c>
      <c r="C404" s="78" t="n">
        <v>3</v>
      </c>
      <c r="D404" s="78" t="inlineStr">
        <is>
          <t>성일(3546-5)</t>
        </is>
      </c>
      <c r="E404" s="78" t="inlineStr">
        <is>
          <t>1995.01.</t>
        </is>
      </c>
      <c r="F404" s="78" t="n">
        <v>99</v>
      </c>
      <c r="G404" s="78" t="n">
        <v>25.64</v>
      </c>
      <c r="H404" s="78" t="n">
        <v>84.77</v>
      </c>
      <c r="I404" s="78" t="n">
        <v>20.79</v>
      </c>
      <c r="J404" s="78" t="n">
        <v>68.76000000000001</v>
      </c>
      <c r="K404" s="78" t="n">
        <v>54</v>
      </c>
      <c r="T404" s="78" t="n">
        <v>3</v>
      </c>
      <c r="U404" s="78" t="n">
        <v>1</v>
      </c>
      <c r="V404" s="78" t="inlineStr">
        <is>
          <t>복도식</t>
        </is>
      </c>
      <c r="W404" s="78" t="n">
        <v>84</v>
      </c>
      <c r="X404" s="78" t="n">
        <v>10</v>
      </c>
      <c r="Y404" s="78" t="n">
        <v>4</v>
      </c>
      <c r="Z404" s="78" t="inlineStr">
        <is>
          <t>https://new.land.naver.com/complexes/16992?tab=detail&amp;rf=Y</t>
        </is>
      </c>
      <c r="AA404" s="78" t="inlineStr">
        <is>
          <t>전라북도 군산시 산북동 3546-5</t>
        </is>
      </c>
      <c r="AB404" s="78" t="inlineStr">
        <is>
          <t>전라북도</t>
        </is>
      </c>
      <c r="AC404" s="78" t="inlineStr">
        <is>
          <t>군산시</t>
        </is>
      </c>
      <c r="AD404" s="78" t="inlineStr">
        <is>
          <t>산북동</t>
        </is>
      </c>
      <c r="AG404" s="78" t="inlineStr">
        <is>
          <t>전라북도 군산시 칠성7길 74</t>
        </is>
      </c>
      <c r="AH404" s="78" t="n">
        <v>0</v>
      </c>
      <c r="AI404" s="78" t="n">
        <v>215</v>
      </c>
      <c r="AJ404" s="78" t="n">
        <v>28</v>
      </c>
      <c r="AK404" s="78" t="n">
        <v>89</v>
      </c>
      <c r="AL404" s="78" t="n">
        <v>0.9</v>
      </c>
    </row>
    <row r="405">
      <c r="A405" s="78" t="inlineStr">
        <is>
          <t>[산북동]</t>
        </is>
      </c>
      <c r="B405" s="78" t="n">
        <v>102909</v>
      </c>
      <c r="C405" s="78" t="n">
        <v>1</v>
      </c>
      <c r="D405" s="78" t="inlineStr">
        <is>
          <t>고천마을</t>
        </is>
      </c>
      <c r="E405" s="78" t="inlineStr">
        <is>
          <t>2008.06.</t>
        </is>
      </c>
      <c r="F405" s="78" t="n">
        <v>99</v>
      </c>
      <c r="G405" s="78" t="n">
        <v>18.77</v>
      </c>
      <c r="H405" s="78" t="n">
        <v>62.08</v>
      </c>
      <c r="I405" s="78" t="n">
        <v>13.03</v>
      </c>
      <c r="J405" s="78" t="n">
        <v>43.08</v>
      </c>
      <c r="K405" s="78" t="n">
        <v>99</v>
      </c>
      <c r="T405" s="78" t="n">
        <v>2</v>
      </c>
      <c r="U405" s="78" t="n">
        <v>1</v>
      </c>
      <c r="V405" s="78" t="inlineStr">
        <is>
          <t>복도식</t>
        </is>
      </c>
      <c r="W405" s="78" t="n">
        <v>62</v>
      </c>
      <c r="X405" s="78" t="n">
        <v>9</v>
      </c>
      <c r="Y405" s="78" t="n">
        <v>9</v>
      </c>
      <c r="Z405" s="78" t="inlineStr">
        <is>
          <t>https://new.land.naver.com/complexes/102909?tab=detail&amp;rf=Y</t>
        </is>
      </c>
      <c r="AA405" s="78" t="inlineStr">
        <is>
          <t>전라북도 군산시 산북동 3592</t>
        </is>
      </c>
      <c r="AB405" s="78" t="inlineStr">
        <is>
          <t>전라북도</t>
        </is>
      </c>
      <c r="AC405" s="78" t="inlineStr">
        <is>
          <t>군산시</t>
        </is>
      </c>
      <c r="AD405" s="78" t="inlineStr">
        <is>
          <t>산북동</t>
        </is>
      </c>
      <c r="AG405" s="78" t="inlineStr">
        <is>
          <t>전라북도 군산시 원산북1길 32</t>
        </is>
      </c>
      <c r="AH405" s="78" t="n">
        <v>0</v>
      </c>
      <c r="AI405" s="78" t="n">
        <v>168</v>
      </c>
      <c r="AJ405" s="78" t="n">
        <v>21</v>
      </c>
      <c r="AK405" s="78" t="n">
        <v>72</v>
      </c>
      <c r="AL405" s="78" t="n">
        <v>0.73</v>
      </c>
    </row>
    <row r="406">
      <c r="A406" s="78" t="inlineStr">
        <is>
          <t>[산북동]</t>
        </is>
      </c>
      <c r="B406" s="78" t="n">
        <v>118059</v>
      </c>
      <c r="C406" s="78" t="n">
        <v>1</v>
      </c>
      <c r="D406" s="78" t="inlineStr">
        <is>
          <t>부향하나로1차</t>
        </is>
      </c>
      <c r="E406" s="78" t="inlineStr">
        <is>
          <t>1997.03.</t>
        </is>
      </c>
      <c r="F406" s="78" t="n">
        <v>349</v>
      </c>
      <c r="G406" s="78" t="n">
        <v>10.77</v>
      </c>
      <c r="H406" s="78" t="n">
        <v>35.63</v>
      </c>
      <c r="I406" s="78" t="n">
        <v>8.16</v>
      </c>
      <c r="J406" s="78" t="n">
        <v>27</v>
      </c>
      <c r="K406" s="78" t="n">
        <v>54</v>
      </c>
      <c r="T406" s="78" t="n">
        <v>1</v>
      </c>
      <c r="U406" s="78" t="n">
        <v>1</v>
      </c>
      <c r="V406" s="78" t="inlineStr">
        <is>
          <t>복도식</t>
        </is>
      </c>
      <c r="W406" s="78" t="n">
        <v>35</v>
      </c>
      <c r="X406" s="78" t="n">
        <v>15</v>
      </c>
      <c r="Y406" s="78" t="n">
        <v>9</v>
      </c>
      <c r="Z406" s="78" t="inlineStr">
        <is>
          <t>https://new.land.naver.com/complexes/118059?tab=detail&amp;rf=Y</t>
        </is>
      </c>
      <c r="AA406" s="78" t="inlineStr">
        <is>
          <t>전라북도 군산시 산북동 3616</t>
        </is>
      </c>
      <c r="AB406" s="78" t="inlineStr">
        <is>
          <t>전라북도</t>
        </is>
      </c>
      <c r="AC406" s="78" t="inlineStr">
        <is>
          <t>군산시</t>
        </is>
      </c>
      <c r="AD406" s="78" t="inlineStr">
        <is>
          <t>산북동</t>
        </is>
      </c>
      <c r="AG406" s="78" t="inlineStr">
        <is>
          <t>전라북도 군산시 동아로 12</t>
        </is>
      </c>
      <c r="AH406" s="78" t="n">
        <v>0</v>
      </c>
      <c r="AI406" s="78" t="n">
        <v>347</v>
      </c>
      <c r="AJ406" s="78" t="n">
        <v>31</v>
      </c>
      <c r="AK406" s="78" t="n">
        <v>212</v>
      </c>
      <c r="AL406" s="78" t="n">
        <v>0.61</v>
      </c>
    </row>
    <row r="407">
      <c r="A407" s="78" t="inlineStr">
        <is>
          <t>[산북동]</t>
        </is>
      </c>
      <c r="B407" s="78" t="n">
        <v>118059</v>
      </c>
      <c r="C407" s="78" t="n">
        <v>2</v>
      </c>
      <c r="D407" s="78" t="inlineStr">
        <is>
          <t>부향하나로1차</t>
        </is>
      </c>
      <c r="E407" s="78" t="inlineStr">
        <is>
          <t>1997.03.</t>
        </is>
      </c>
      <c r="F407" s="78" t="n">
        <v>349</v>
      </c>
      <c r="G407" s="78" t="n">
        <v>15.56</v>
      </c>
      <c r="H407" s="78" t="n">
        <v>51.46</v>
      </c>
      <c r="I407" s="78" t="n">
        <v>11.79</v>
      </c>
      <c r="J407" s="78" t="n">
        <v>39</v>
      </c>
      <c r="K407" s="78" t="n">
        <v>295</v>
      </c>
      <c r="T407" s="78" t="n">
        <v>2</v>
      </c>
      <c r="U407" s="78" t="n">
        <v>1</v>
      </c>
      <c r="V407" s="78" t="inlineStr">
        <is>
          <t>복도식</t>
        </is>
      </c>
      <c r="W407" s="78" t="n">
        <v>51</v>
      </c>
      <c r="X407" s="78" t="n">
        <v>15</v>
      </c>
      <c r="Y407" s="78" t="n">
        <v>9</v>
      </c>
      <c r="Z407" s="78" t="inlineStr">
        <is>
          <t>https://new.land.naver.com/complexes/118059?tab=detail&amp;rf=Y</t>
        </is>
      </c>
      <c r="AA407" s="78" t="inlineStr">
        <is>
          <t>전라북도 군산시 산북동 3616</t>
        </is>
      </c>
      <c r="AB407" s="78" t="inlineStr">
        <is>
          <t>전라북도</t>
        </is>
      </c>
      <c r="AC407" s="78" t="inlineStr">
        <is>
          <t>군산시</t>
        </is>
      </c>
      <c r="AD407" s="78" t="inlineStr">
        <is>
          <t>산북동</t>
        </is>
      </c>
      <c r="AG407" s="78" t="inlineStr">
        <is>
          <t>전라북도 군산시 동아로 12</t>
        </is>
      </c>
      <c r="AH407" s="78" t="n">
        <v>0</v>
      </c>
      <c r="AI407" s="78" t="n">
        <v>347</v>
      </c>
      <c r="AJ407" s="78" t="n">
        <v>31</v>
      </c>
      <c r="AK407" s="78" t="n">
        <v>212</v>
      </c>
      <c r="AL407" s="78" t="n">
        <v>0.61</v>
      </c>
    </row>
    <row r="408">
      <c r="A408" s="78" t="inlineStr">
        <is>
          <t>[삼학동]</t>
        </is>
      </c>
      <c r="B408" s="78" t="n">
        <v>5047</v>
      </c>
      <c r="C408" s="78" t="n">
        <v>1</v>
      </c>
      <c r="D408" s="78" t="inlineStr">
        <is>
          <t>군산삼학대우</t>
        </is>
      </c>
      <c r="E408" s="78" t="inlineStr">
        <is>
          <t>1996.07.</t>
        </is>
      </c>
      <c r="F408" s="78" t="n">
        <v>381</v>
      </c>
      <c r="G408" s="78" t="n">
        <v>24.52</v>
      </c>
      <c r="H408" s="78" t="n">
        <v>81.06</v>
      </c>
      <c r="I408" s="78" t="n">
        <v>18.11</v>
      </c>
      <c r="J408" s="78" t="n">
        <v>59.89</v>
      </c>
      <c r="K408" s="78" t="n">
        <v>159</v>
      </c>
      <c r="T408" s="78" t="n">
        <v>3</v>
      </c>
      <c r="U408" s="78" t="n">
        <v>1</v>
      </c>
      <c r="V408" s="78" t="inlineStr">
        <is>
          <t>복도식</t>
        </is>
      </c>
      <c r="W408" s="78" t="n">
        <v>81</v>
      </c>
      <c r="X408" s="78" t="n">
        <v>15</v>
      </c>
      <c r="Y408" s="78" t="n">
        <v>12</v>
      </c>
      <c r="Z408" s="78" t="inlineStr">
        <is>
          <t>https://new.land.naver.com/complexes/5047?tab=detail&amp;rf=Y</t>
        </is>
      </c>
      <c r="AA408" s="78" t="inlineStr">
        <is>
          <t>전라북도 군산시 삼학동 811-1</t>
        </is>
      </c>
      <c r="AB408" s="78" t="inlineStr">
        <is>
          <t>전라북도</t>
        </is>
      </c>
      <c r="AC408" s="78" t="inlineStr">
        <is>
          <t>군산시</t>
        </is>
      </c>
      <c r="AD408" s="78" t="inlineStr">
        <is>
          <t>삼학동</t>
        </is>
      </c>
      <c r="AG408" s="78" t="inlineStr">
        <is>
          <t>전라북도 군산시 축동로 188</t>
        </is>
      </c>
      <c r="AH408" s="78" t="n">
        <v>0</v>
      </c>
      <c r="AI408" s="78" t="n">
        <v>259</v>
      </c>
      <c r="AJ408" s="78" t="n">
        <v>25</v>
      </c>
      <c r="AK408" s="78" t="n">
        <v>343</v>
      </c>
      <c r="AL408" s="78" t="n">
        <v>0.9</v>
      </c>
    </row>
    <row r="409">
      <c r="A409" s="78" t="inlineStr">
        <is>
          <t>[삼학동]</t>
        </is>
      </c>
      <c r="B409" s="78" t="n">
        <v>5047</v>
      </c>
      <c r="C409" s="78" t="n">
        <v>2</v>
      </c>
      <c r="D409" s="78" t="inlineStr">
        <is>
          <t>군산삼학대우</t>
        </is>
      </c>
      <c r="E409" s="78" t="inlineStr">
        <is>
          <t>1996.07.</t>
        </is>
      </c>
      <c r="F409" s="78" t="n">
        <v>381</v>
      </c>
      <c r="G409" s="78" t="n">
        <v>31.56</v>
      </c>
      <c r="H409" s="78" t="n">
        <v>104.36</v>
      </c>
      <c r="I409" s="78" t="n">
        <v>25.67</v>
      </c>
      <c r="J409" s="78" t="n">
        <v>84.87</v>
      </c>
      <c r="K409" s="78" t="n">
        <v>132</v>
      </c>
      <c r="T409" s="78" t="n">
        <v>3</v>
      </c>
      <c r="U409" s="78" t="n">
        <v>2</v>
      </c>
      <c r="V409" s="78" t="inlineStr">
        <is>
          <t>계단식</t>
        </is>
      </c>
      <c r="W409" s="78" t="n">
        <v>104</v>
      </c>
      <c r="X409" s="78" t="n">
        <v>15</v>
      </c>
      <c r="Y409" s="78" t="n">
        <v>12</v>
      </c>
      <c r="Z409" s="78" t="inlineStr">
        <is>
          <t>https://new.land.naver.com/complexes/5047?tab=detail&amp;rf=Y</t>
        </is>
      </c>
      <c r="AA409" s="78" t="inlineStr">
        <is>
          <t>전라북도 군산시 삼학동 811-1</t>
        </is>
      </c>
      <c r="AB409" s="78" t="inlineStr">
        <is>
          <t>전라북도</t>
        </is>
      </c>
      <c r="AC409" s="78" t="inlineStr">
        <is>
          <t>군산시</t>
        </is>
      </c>
      <c r="AD409" s="78" t="inlineStr">
        <is>
          <t>삼학동</t>
        </is>
      </c>
      <c r="AG409" s="78" t="inlineStr">
        <is>
          <t>전라북도 군산시 축동로 188</t>
        </is>
      </c>
      <c r="AH409" s="78" t="n">
        <v>0</v>
      </c>
      <c r="AI409" s="78" t="n">
        <v>259</v>
      </c>
      <c r="AJ409" s="78" t="n">
        <v>25</v>
      </c>
      <c r="AK409" s="78" t="n">
        <v>343</v>
      </c>
      <c r="AL409" s="78" t="n">
        <v>0.9</v>
      </c>
    </row>
    <row r="410">
      <c r="A410" s="78" t="inlineStr">
        <is>
          <t>[삼학동]</t>
        </is>
      </c>
      <c r="B410" s="78" t="n">
        <v>5047</v>
      </c>
      <c r="C410" s="78" t="n">
        <v>3</v>
      </c>
      <c r="D410" s="78" t="inlineStr">
        <is>
          <t>군산삼학대우</t>
        </is>
      </c>
      <c r="E410" s="78" t="inlineStr">
        <is>
          <t>1996.07.</t>
        </is>
      </c>
      <c r="F410" s="78" t="n">
        <v>381</v>
      </c>
      <c r="G410" s="78" t="n">
        <v>46.93</v>
      </c>
      <c r="H410" s="78" t="n">
        <v>155.15</v>
      </c>
      <c r="I410" s="78" t="n">
        <v>39.75</v>
      </c>
      <c r="J410" s="78" t="n">
        <v>131.43</v>
      </c>
      <c r="K410" s="78" t="n">
        <v>90</v>
      </c>
      <c r="T410" s="78" t="n">
        <v>4</v>
      </c>
      <c r="U410" s="78" t="n">
        <v>2</v>
      </c>
      <c r="V410" s="78" t="inlineStr">
        <is>
          <t>계단식</t>
        </is>
      </c>
      <c r="W410" s="78" t="n">
        <v>155</v>
      </c>
      <c r="X410" s="78" t="n">
        <v>15</v>
      </c>
      <c r="Y410" s="78" t="n">
        <v>12</v>
      </c>
      <c r="Z410" s="78" t="inlineStr">
        <is>
          <t>https://new.land.naver.com/complexes/5047?tab=detail&amp;rf=Y</t>
        </is>
      </c>
      <c r="AA410" s="78" t="inlineStr">
        <is>
          <t>전라북도 군산시 삼학동 811-1</t>
        </is>
      </c>
      <c r="AB410" s="78" t="inlineStr">
        <is>
          <t>전라북도</t>
        </is>
      </c>
      <c r="AC410" s="78" t="inlineStr">
        <is>
          <t>군산시</t>
        </is>
      </c>
      <c r="AD410" s="78" t="inlineStr">
        <is>
          <t>삼학동</t>
        </is>
      </c>
      <c r="AG410" s="78" t="inlineStr">
        <is>
          <t>전라북도 군산시 축동로 188</t>
        </is>
      </c>
      <c r="AH410" s="78" t="n">
        <v>0</v>
      </c>
      <c r="AI410" s="78" t="n">
        <v>259</v>
      </c>
      <c r="AJ410" s="78" t="n">
        <v>25</v>
      </c>
      <c r="AK410" s="78" t="n">
        <v>343</v>
      </c>
      <c r="AL410" s="78" t="n">
        <v>0.9</v>
      </c>
    </row>
    <row r="411">
      <c r="A411" s="78" t="inlineStr">
        <is>
          <t>[삼학동]</t>
        </is>
      </c>
      <c r="B411" s="78" t="n">
        <v>123852</v>
      </c>
      <c r="C411" s="78" t="n">
        <v>1</v>
      </c>
      <c r="D411" s="78" t="inlineStr">
        <is>
          <t>삼학</t>
        </is>
      </c>
      <c r="E411" s="78" t="inlineStr">
        <is>
          <t>1973.02.</t>
        </is>
      </c>
      <c r="F411" s="78" t="n">
        <v>24</v>
      </c>
      <c r="G411" s="78" t="n">
        <v>11.03</v>
      </c>
      <c r="H411" s="78" t="n">
        <v>36.49</v>
      </c>
      <c r="I411" s="78" t="n">
        <v>11.03</v>
      </c>
      <c r="J411" s="78" t="n">
        <v>36.49</v>
      </c>
      <c r="K411" s="78" t="n">
        <v>12</v>
      </c>
      <c r="T411" s="78" t="n">
        <v>2</v>
      </c>
      <c r="U411" s="78" t="n">
        <v>1</v>
      </c>
      <c r="V411" s="78" t="inlineStr">
        <is>
          <t>계단식</t>
        </is>
      </c>
      <c r="W411" s="78" t="n">
        <v>36</v>
      </c>
      <c r="X411" s="78" t="n">
        <v>4</v>
      </c>
      <c r="Y411" s="78" t="n">
        <v>4</v>
      </c>
      <c r="Z411" s="78" t="inlineStr">
        <is>
          <t>https://new.land.naver.com/complexes/123852?tab=detail&amp;rf=Y</t>
        </is>
      </c>
      <c r="AA411" s="78" t="inlineStr">
        <is>
          <t>전라북도 군산시 삼학동 275-9</t>
        </is>
      </c>
      <c r="AB411" s="78" t="inlineStr">
        <is>
          <t>전라북도</t>
        </is>
      </c>
      <c r="AC411" s="78" t="inlineStr">
        <is>
          <t>군산시</t>
        </is>
      </c>
      <c r="AD411" s="78" t="inlineStr">
        <is>
          <t>삼학동</t>
        </is>
      </c>
      <c r="AG411" s="78" t="inlineStr">
        <is>
          <t>전라북도 군산시 삼학5길 9</t>
        </is>
      </c>
      <c r="AH411" s="78" t="n">
        <v>0</v>
      </c>
      <c r="AI411" s="78" t="n">
        <v>120</v>
      </c>
      <c r="AJ411" s="78" t="n">
        <v>30</v>
      </c>
      <c r="AK411" s="78" t="n">
        <v>0</v>
      </c>
      <c r="AL411" s="78" t="n">
        <v>0</v>
      </c>
    </row>
    <row r="412">
      <c r="A412" s="78" t="inlineStr">
        <is>
          <t>[삼학동]</t>
        </is>
      </c>
      <c r="B412" s="78" t="n">
        <v>123852</v>
      </c>
      <c r="C412" s="78" t="n">
        <v>2</v>
      </c>
      <c r="D412" s="78" t="inlineStr">
        <is>
          <t>삼학</t>
        </is>
      </c>
      <c r="E412" s="78" t="inlineStr">
        <is>
          <t>1973.02.</t>
        </is>
      </c>
      <c r="F412" s="78" t="n">
        <v>24</v>
      </c>
      <c r="G412" s="78" t="n">
        <v>12.29</v>
      </c>
      <c r="H412" s="78" t="n">
        <v>40.65</v>
      </c>
      <c r="I412" s="78" t="n">
        <v>11.03</v>
      </c>
      <c r="J412" s="78" t="n">
        <v>36.49</v>
      </c>
      <c r="K412" s="78" t="n">
        <v>1</v>
      </c>
      <c r="T412" s="78" t="n">
        <v>2</v>
      </c>
      <c r="U412" s="78" t="n">
        <v>1</v>
      </c>
      <c r="V412" s="78" t="inlineStr">
        <is>
          <t>계단식</t>
        </is>
      </c>
      <c r="W412" s="78" t="n">
        <v>40</v>
      </c>
      <c r="X412" s="78" t="n">
        <v>4</v>
      </c>
      <c r="Y412" s="78" t="n">
        <v>4</v>
      </c>
      <c r="Z412" s="78" t="inlineStr">
        <is>
          <t>https://new.land.naver.com/complexes/123852?tab=detail&amp;rf=Y</t>
        </is>
      </c>
      <c r="AA412" s="78" t="inlineStr">
        <is>
          <t>전라북도 군산시 삼학동 275-9</t>
        </is>
      </c>
      <c r="AB412" s="78" t="inlineStr">
        <is>
          <t>전라북도</t>
        </is>
      </c>
      <c r="AC412" s="78" t="inlineStr">
        <is>
          <t>군산시</t>
        </is>
      </c>
      <c r="AD412" s="78" t="inlineStr">
        <is>
          <t>삼학동</t>
        </is>
      </c>
      <c r="AG412" s="78" t="inlineStr">
        <is>
          <t>전라북도 군산시 삼학5길 9</t>
        </is>
      </c>
      <c r="AH412" s="78" t="n">
        <v>0</v>
      </c>
      <c r="AI412" s="78" t="n">
        <v>120</v>
      </c>
      <c r="AJ412" s="78" t="n">
        <v>30</v>
      </c>
      <c r="AK412" s="78" t="n">
        <v>0</v>
      </c>
      <c r="AL412" s="78" t="n">
        <v>0</v>
      </c>
    </row>
    <row r="413">
      <c r="A413" s="78" t="inlineStr">
        <is>
          <t>[삼학동]</t>
        </is>
      </c>
      <c r="B413" s="78" t="n">
        <v>123852</v>
      </c>
      <c r="C413" s="78" t="n">
        <v>3</v>
      </c>
      <c r="D413" s="78" t="inlineStr">
        <is>
          <t>삼학</t>
        </is>
      </c>
      <c r="E413" s="78" t="inlineStr">
        <is>
          <t>1973.02.</t>
        </is>
      </c>
      <c r="F413" s="78" t="n">
        <v>24</v>
      </c>
      <c r="G413" s="78" t="n">
        <v>15.19</v>
      </c>
      <c r="H413" s="78" t="n">
        <v>50.24</v>
      </c>
      <c r="I413" s="78" t="n">
        <v>11.03</v>
      </c>
      <c r="J413" s="78" t="n">
        <v>36.49</v>
      </c>
      <c r="K413" s="78" t="n">
        <v>7</v>
      </c>
      <c r="T413" s="78" t="n">
        <v>2</v>
      </c>
      <c r="U413" s="78" t="n">
        <v>1</v>
      </c>
      <c r="V413" s="78" t="inlineStr">
        <is>
          <t>계단식</t>
        </is>
      </c>
      <c r="W413" s="78" t="inlineStr">
        <is>
          <t>50B</t>
        </is>
      </c>
      <c r="X413" s="78" t="n">
        <v>4</v>
      </c>
      <c r="Y413" s="78" t="n">
        <v>4</v>
      </c>
      <c r="Z413" s="78" t="inlineStr">
        <is>
          <t>https://new.land.naver.com/complexes/123852?tab=detail&amp;rf=Y</t>
        </is>
      </c>
      <c r="AA413" s="78" t="inlineStr">
        <is>
          <t>전라북도 군산시 삼학동 275-9</t>
        </is>
      </c>
      <c r="AB413" s="78" t="inlineStr">
        <is>
          <t>전라북도</t>
        </is>
      </c>
      <c r="AC413" s="78" t="inlineStr">
        <is>
          <t>군산시</t>
        </is>
      </c>
      <c r="AD413" s="78" t="inlineStr">
        <is>
          <t>삼학동</t>
        </is>
      </c>
      <c r="AG413" s="78" t="inlineStr">
        <is>
          <t>전라북도 군산시 삼학5길 9</t>
        </is>
      </c>
      <c r="AH413" s="78" t="n">
        <v>0</v>
      </c>
      <c r="AI413" s="78" t="n">
        <v>120</v>
      </c>
      <c r="AJ413" s="78" t="n">
        <v>30</v>
      </c>
      <c r="AK413" s="78" t="n">
        <v>0</v>
      </c>
      <c r="AL413" s="78" t="n">
        <v>0</v>
      </c>
    </row>
    <row r="414">
      <c r="A414" s="78" t="inlineStr">
        <is>
          <t>[삼학동]</t>
        </is>
      </c>
      <c r="B414" s="78" t="n">
        <v>123852</v>
      </c>
      <c r="C414" s="78" t="n">
        <v>4</v>
      </c>
      <c r="D414" s="78" t="inlineStr">
        <is>
          <t>삼학</t>
        </is>
      </c>
      <c r="E414" s="78" t="inlineStr">
        <is>
          <t>1973.02.</t>
        </is>
      </c>
      <c r="F414" s="78" t="n">
        <v>24</v>
      </c>
      <c r="G414" s="78" t="n">
        <v>15.19</v>
      </c>
      <c r="H414" s="78" t="n">
        <v>50.23</v>
      </c>
      <c r="I414" s="78" t="n">
        <v>11.03</v>
      </c>
      <c r="J414" s="78" t="n">
        <v>36.49</v>
      </c>
      <c r="K414" s="78" t="n">
        <v>3</v>
      </c>
      <c r="T414" s="78" t="n">
        <v>2</v>
      </c>
      <c r="U414" s="78" t="n">
        <v>1</v>
      </c>
      <c r="V414" s="78" t="inlineStr">
        <is>
          <t>계단식</t>
        </is>
      </c>
      <c r="W414" s="78" t="inlineStr">
        <is>
          <t>50A</t>
        </is>
      </c>
      <c r="X414" s="78" t="n">
        <v>4</v>
      </c>
      <c r="Y414" s="78" t="n">
        <v>4</v>
      </c>
      <c r="Z414" s="78" t="inlineStr">
        <is>
          <t>https://new.land.naver.com/complexes/123852?tab=detail&amp;rf=Y</t>
        </is>
      </c>
      <c r="AA414" s="78" t="inlineStr">
        <is>
          <t>전라북도 군산시 삼학동 275-9</t>
        </is>
      </c>
      <c r="AB414" s="78" t="inlineStr">
        <is>
          <t>전라북도</t>
        </is>
      </c>
      <c r="AC414" s="78" t="inlineStr">
        <is>
          <t>군산시</t>
        </is>
      </c>
      <c r="AD414" s="78" t="inlineStr">
        <is>
          <t>삼학동</t>
        </is>
      </c>
      <c r="AG414" s="78" t="inlineStr">
        <is>
          <t>전라북도 군산시 삼학5길 9</t>
        </is>
      </c>
      <c r="AH414" s="78" t="n">
        <v>0</v>
      </c>
      <c r="AI414" s="78" t="n">
        <v>120</v>
      </c>
      <c r="AJ414" s="78" t="n">
        <v>30</v>
      </c>
      <c r="AK414" s="78" t="n">
        <v>0</v>
      </c>
      <c r="AL414" s="78" t="n">
        <v>0</v>
      </c>
    </row>
    <row r="415">
      <c r="A415" s="78" t="inlineStr">
        <is>
          <t>[삼학동]</t>
        </is>
      </c>
      <c r="B415" s="78" t="n">
        <v>123852</v>
      </c>
      <c r="C415" s="78" t="n">
        <v>5</v>
      </c>
      <c r="D415" s="78" t="inlineStr">
        <is>
          <t>삼학</t>
        </is>
      </c>
      <c r="E415" s="78" t="inlineStr">
        <is>
          <t>1973.02.</t>
        </is>
      </c>
      <c r="F415" s="78" t="n">
        <v>24</v>
      </c>
      <c r="G415" s="78" t="n">
        <v>15.26</v>
      </c>
      <c r="H415" s="78" t="n">
        <v>50.45</v>
      </c>
      <c r="I415" s="78" t="n">
        <v>11.03</v>
      </c>
      <c r="J415" s="78" t="n">
        <v>36.49</v>
      </c>
      <c r="K415" s="78" t="n">
        <v>1</v>
      </c>
      <c r="T415" s="78" t="n">
        <v>2</v>
      </c>
      <c r="U415" s="78" t="n">
        <v>1</v>
      </c>
      <c r="V415" s="78" t="inlineStr">
        <is>
          <t>계단식</t>
        </is>
      </c>
      <c r="W415" s="78" t="inlineStr">
        <is>
          <t>50C</t>
        </is>
      </c>
      <c r="X415" s="78" t="n">
        <v>4</v>
      </c>
      <c r="Y415" s="78" t="n">
        <v>4</v>
      </c>
      <c r="Z415" s="78" t="inlineStr">
        <is>
          <t>https://new.land.naver.com/complexes/123852?tab=detail&amp;rf=Y</t>
        </is>
      </c>
      <c r="AA415" s="78" t="inlineStr">
        <is>
          <t>전라북도 군산시 삼학동 275-9</t>
        </is>
      </c>
      <c r="AB415" s="78" t="inlineStr">
        <is>
          <t>전라북도</t>
        </is>
      </c>
      <c r="AC415" s="78" t="inlineStr">
        <is>
          <t>군산시</t>
        </is>
      </c>
      <c r="AD415" s="78" t="inlineStr">
        <is>
          <t>삼학동</t>
        </is>
      </c>
      <c r="AG415" s="78" t="inlineStr">
        <is>
          <t>전라북도 군산시 삼학5길 9</t>
        </is>
      </c>
      <c r="AH415" s="78" t="n">
        <v>0</v>
      </c>
      <c r="AI415" s="78" t="n">
        <v>120</v>
      </c>
      <c r="AJ415" s="78" t="n">
        <v>30</v>
      </c>
      <c r="AK415" s="78" t="n">
        <v>0</v>
      </c>
      <c r="AL415" s="78" t="n">
        <v>0</v>
      </c>
    </row>
    <row r="416">
      <c r="A416" s="78" t="inlineStr">
        <is>
          <t>[삼학동]</t>
        </is>
      </c>
      <c r="B416" s="78" t="n">
        <v>124774</v>
      </c>
      <c r="C416" s="78" t="n">
        <v>1</v>
      </c>
      <c r="D416" s="78" t="inlineStr">
        <is>
          <t>춘광아티움(도시형)</t>
        </is>
      </c>
      <c r="E416" s="78" t="inlineStr">
        <is>
          <t>2014.06.</t>
        </is>
      </c>
      <c r="F416" s="78" t="n">
        <v>54</v>
      </c>
      <c r="G416" s="78" t="n">
        <v>17.96</v>
      </c>
      <c r="H416" s="78" t="n">
        <v>59.39</v>
      </c>
      <c r="I416" s="78" t="n">
        <v>13.57</v>
      </c>
      <c r="J416" s="78" t="n">
        <v>44.87</v>
      </c>
      <c r="K416" s="78" t="n">
        <v>2</v>
      </c>
      <c r="T416" s="78" t="n">
        <v>2</v>
      </c>
      <c r="U416" s="78" t="n">
        <v>1</v>
      </c>
      <c r="V416" s="78" t="inlineStr">
        <is>
          <t>계단식</t>
        </is>
      </c>
      <c r="W416" s="78" t="n">
        <v>59</v>
      </c>
      <c r="X416" s="78" t="n">
        <v>10</v>
      </c>
      <c r="Y416" s="78" t="n">
        <v>9</v>
      </c>
      <c r="Z416" s="78" t="inlineStr">
        <is>
          <t>https://new.land.naver.com/complexes/124774?tab=detail&amp;rf=Y</t>
        </is>
      </c>
      <c r="AA416" s="78" t="inlineStr">
        <is>
          <t>전라북도 군산시 삼학동 287</t>
        </is>
      </c>
      <c r="AB416" s="78" t="inlineStr">
        <is>
          <t>전라북도</t>
        </is>
      </c>
      <c r="AC416" s="78" t="inlineStr">
        <is>
          <t>군산시</t>
        </is>
      </c>
      <c r="AD416" s="78" t="inlineStr">
        <is>
          <t>삼학동</t>
        </is>
      </c>
      <c r="AG416" s="78" t="inlineStr">
        <is>
          <t>전라북도 군산시 삼학5길 25</t>
        </is>
      </c>
      <c r="AH416" s="78" t="n">
        <v>0</v>
      </c>
      <c r="AI416" s="78" t="n">
        <v>0</v>
      </c>
      <c r="AJ416" s="78" t="n">
        <v>0</v>
      </c>
      <c r="AK416" s="78" t="n">
        <v>0</v>
      </c>
      <c r="AL416" s="78" t="n">
        <v>0</v>
      </c>
    </row>
    <row r="417">
      <c r="A417" s="78" t="inlineStr">
        <is>
          <t>[삼학동]</t>
        </is>
      </c>
      <c r="B417" s="78" t="n">
        <v>124774</v>
      </c>
      <c r="C417" s="78" t="n">
        <v>2</v>
      </c>
      <c r="D417" s="78" t="inlineStr">
        <is>
          <t>춘광아티움(도시형)</t>
        </is>
      </c>
      <c r="E417" s="78" t="inlineStr">
        <is>
          <t>2014.06.</t>
        </is>
      </c>
      <c r="F417" s="78" t="n">
        <v>54</v>
      </c>
      <c r="G417" s="78" t="n">
        <v>18.64</v>
      </c>
      <c r="H417" s="78" t="n">
        <v>61.63</v>
      </c>
      <c r="I417" s="78" t="n">
        <v>13.99</v>
      </c>
      <c r="J417" s="78" t="n">
        <v>46.25</v>
      </c>
      <c r="K417" s="78" t="n">
        <v>17</v>
      </c>
      <c r="T417" s="78" t="n">
        <v>2</v>
      </c>
      <c r="U417" s="78" t="n">
        <v>1</v>
      </c>
      <c r="V417" s="78" t="inlineStr">
        <is>
          <t>계단식</t>
        </is>
      </c>
      <c r="W417" s="78" t="n">
        <v>61</v>
      </c>
      <c r="X417" s="78" t="n">
        <v>10</v>
      </c>
      <c r="Y417" s="78" t="n">
        <v>9</v>
      </c>
      <c r="Z417" s="78" t="inlineStr">
        <is>
          <t>https://new.land.naver.com/complexes/124774?tab=detail&amp;rf=Y</t>
        </is>
      </c>
      <c r="AA417" s="78" t="inlineStr">
        <is>
          <t>전라북도 군산시 삼학동 287</t>
        </is>
      </c>
      <c r="AB417" s="78" t="inlineStr">
        <is>
          <t>전라북도</t>
        </is>
      </c>
      <c r="AC417" s="78" t="inlineStr">
        <is>
          <t>군산시</t>
        </is>
      </c>
      <c r="AD417" s="78" t="inlineStr">
        <is>
          <t>삼학동</t>
        </is>
      </c>
      <c r="AG417" s="78" t="inlineStr">
        <is>
          <t>전라북도 군산시 삼학5길 25</t>
        </is>
      </c>
      <c r="AH417" s="78" t="n">
        <v>0</v>
      </c>
      <c r="AI417" s="78" t="n">
        <v>0</v>
      </c>
      <c r="AJ417" s="78" t="n">
        <v>0</v>
      </c>
      <c r="AK417" s="78" t="n">
        <v>0</v>
      </c>
      <c r="AL417" s="78" t="n">
        <v>0</v>
      </c>
    </row>
    <row r="418">
      <c r="A418" s="78" t="inlineStr">
        <is>
          <t>[삼학동]</t>
        </is>
      </c>
      <c r="B418" s="78" t="n">
        <v>124774</v>
      </c>
      <c r="C418" s="78" t="n">
        <v>3</v>
      </c>
      <c r="D418" s="78" t="inlineStr">
        <is>
          <t>춘광아티움(도시형)</t>
        </is>
      </c>
      <c r="E418" s="78" t="inlineStr">
        <is>
          <t>2014.06.</t>
        </is>
      </c>
      <c r="F418" s="78" t="n">
        <v>54</v>
      </c>
      <c r="G418" s="78" t="n">
        <v>20.11</v>
      </c>
      <c r="H418" s="78" t="n">
        <v>66.5</v>
      </c>
      <c r="I418" s="78" t="n">
        <v>15.09</v>
      </c>
      <c r="J418" s="78" t="n">
        <v>49.91</v>
      </c>
      <c r="K418" s="78" t="n">
        <v>35</v>
      </c>
      <c r="T418" s="78" t="n">
        <v>3</v>
      </c>
      <c r="U418" s="78" t="n">
        <v>1</v>
      </c>
      <c r="V418" s="78" t="inlineStr">
        <is>
          <t>계단식</t>
        </is>
      </c>
      <c r="W418" s="78" t="n">
        <v>66</v>
      </c>
      <c r="X418" s="78" t="n">
        <v>10</v>
      </c>
      <c r="Y418" s="78" t="n">
        <v>9</v>
      </c>
      <c r="Z418" s="78" t="inlineStr">
        <is>
          <t>https://new.land.naver.com/complexes/124774?tab=detail&amp;rf=Y</t>
        </is>
      </c>
      <c r="AA418" s="78" t="inlineStr">
        <is>
          <t>전라북도 군산시 삼학동 287</t>
        </is>
      </c>
      <c r="AB418" s="78" t="inlineStr">
        <is>
          <t>전라북도</t>
        </is>
      </c>
      <c r="AC418" s="78" t="inlineStr">
        <is>
          <t>군산시</t>
        </is>
      </c>
      <c r="AD418" s="78" t="inlineStr">
        <is>
          <t>삼학동</t>
        </is>
      </c>
      <c r="AG418" s="78" t="inlineStr">
        <is>
          <t>전라북도 군산시 삼학5길 25</t>
        </is>
      </c>
      <c r="AH418" s="78" t="n">
        <v>0</v>
      </c>
      <c r="AI418" s="78" t="n">
        <v>0</v>
      </c>
      <c r="AJ418" s="78" t="n">
        <v>0</v>
      </c>
      <c r="AK418" s="78" t="n">
        <v>0</v>
      </c>
      <c r="AL418" s="78" t="n">
        <v>0</v>
      </c>
    </row>
    <row r="419">
      <c r="A419" s="78" t="inlineStr">
        <is>
          <t>[삼학동]</t>
        </is>
      </c>
      <c r="B419" s="78" t="n">
        <v>122293</v>
      </c>
      <c r="C419" s="78" t="n">
        <v>1</v>
      </c>
      <c r="D419" s="78" t="inlineStr">
        <is>
          <t>수필담(도시형)</t>
        </is>
      </c>
      <c r="E419" s="78" t="inlineStr">
        <is>
          <t>2017.12.</t>
        </is>
      </c>
      <c r="F419" s="78" t="n">
        <v>24</v>
      </c>
      <c r="G419" s="78" t="n">
        <v>21.65</v>
      </c>
      <c r="H419" s="78" t="n">
        <v>71.58</v>
      </c>
      <c r="I419" s="78" t="n">
        <v>14.99</v>
      </c>
      <c r="J419" s="78" t="n">
        <v>49.57</v>
      </c>
      <c r="K419" s="78" t="n">
        <v>23</v>
      </c>
      <c r="T419" s="78" t="n">
        <v>2</v>
      </c>
      <c r="U419" s="78" t="n">
        <v>1</v>
      </c>
      <c r="V419" s="78" t="inlineStr">
        <is>
          <t>계단식</t>
        </is>
      </c>
      <c r="W419" s="78" t="inlineStr">
        <is>
          <t>71B</t>
        </is>
      </c>
      <c r="X419" s="78" t="n">
        <v>13</v>
      </c>
      <c r="Y419" s="78" t="n">
        <v>13</v>
      </c>
      <c r="Z419" s="78" t="inlineStr">
        <is>
          <t>https://new.land.naver.com/complexes/122293?tab=detail&amp;rf=Y</t>
        </is>
      </c>
      <c r="AA419" s="78" t="inlineStr">
        <is>
          <t>전라북도 군산시 삼학동 314-37</t>
        </is>
      </c>
      <c r="AB419" s="78" t="inlineStr">
        <is>
          <t>전라북도</t>
        </is>
      </c>
      <c r="AC419" s="78" t="inlineStr">
        <is>
          <t>군산시</t>
        </is>
      </c>
      <c r="AD419" s="78" t="inlineStr">
        <is>
          <t>삼학동</t>
        </is>
      </c>
      <c r="AG419" s="78" t="inlineStr">
        <is>
          <t>전라북도 군산시 월명로 371</t>
        </is>
      </c>
      <c r="AH419" s="78" t="n">
        <v>0</v>
      </c>
      <c r="AI419" s="78" t="n">
        <v>272</v>
      </c>
      <c r="AJ419" s="78" t="n">
        <v>31</v>
      </c>
      <c r="AK419" s="78" t="n">
        <v>17</v>
      </c>
      <c r="AL419" s="78" t="n">
        <v>0.71</v>
      </c>
    </row>
    <row r="420">
      <c r="A420" s="78" t="inlineStr">
        <is>
          <t>[삼학동]</t>
        </is>
      </c>
      <c r="B420" s="78" t="n">
        <v>122293</v>
      </c>
      <c r="C420" s="78" t="n">
        <v>2</v>
      </c>
      <c r="D420" s="78" t="inlineStr">
        <is>
          <t>수필담(도시형)</t>
        </is>
      </c>
      <c r="E420" s="78" t="inlineStr">
        <is>
          <t>2017.12.</t>
        </is>
      </c>
      <c r="F420" s="78" t="n">
        <v>24</v>
      </c>
      <c r="G420" s="78" t="n">
        <v>21.65</v>
      </c>
      <c r="H420" s="78" t="n">
        <v>71.58</v>
      </c>
      <c r="I420" s="78" t="n">
        <v>14.99</v>
      </c>
      <c r="J420" s="78" t="n">
        <v>49.57</v>
      </c>
      <c r="K420" s="78" t="n">
        <v>1</v>
      </c>
      <c r="T420" s="78" t="n">
        <v>2</v>
      </c>
      <c r="U420" s="78" t="n">
        <v>1</v>
      </c>
      <c r="V420" s="78" t="inlineStr">
        <is>
          <t>계단식</t>
        </is>
      </c>
      <c r="W420" s="78" t="inlineStr">
        <is>
          <t>71A</t>
        </is>
      </c>
      <c r="X420" s="78" t="n">
        <v>13</v>
      </c>
      <c r="Y420" s="78" t="n">
        <v>13</v>
      </c>
      <c r="Z420" s="78" t="inlineStr">
        <is>
          <t>https://new.land.naver.com/complexes/122293?tab=detail&amp;rf=Y</t>
        </is>
      </c>
      <c r="AA420" s="78" t="inlineStr">
        <is>
          <t>전라북도 군산시 삼학동 314-37</t>
        </is>
      </c>
      <c r="AB420" s="78" t="inlineStr">
        <is>
          <t>전라북도</t>
        </is>
      </c>
      <c r="AC420" s="78" t="inlineStr">
        <is>
          <t>군산시</t>
        </is>
      </c>
      <c r="AD420" s="78" t="inlineStr">
        <is>
          <t>삼학동</t>
        </is>
      </c>
      <c r="AG420" s="78" t="inlineStr">
        <is>
          <t>전라북도 군산시 월명로 371</t>
        </is>
      </c>
      <c r="AH420" s="78" t="n">
        <v>0</v>
      </c>
      <c r="AI420" s="78" t="n">
        <v>272</v>
      </c>
      <c r="AJ420" s="78" t="n">
        <v>31</v>
      </c>
      <c r="AK420" s="78" t="n">
        <v>17</v>
      </c>
      <c r="AL420" s="78" t="n">
        <v>0.71</v>
      </c>
    </row>
    <row r="421">
      <c r="A421" s="78" t="inlineStr">
        <is>
          <t>[서흥남동]</t>
        </is>
      </c>
      <c r="B421" s="78" t="n">
        <v>125052</v>
      </c>
      <c r="C421" s="78" t="n">
        <v>1</v>
      </c>
      <c r="D421" s="78" t="inlineStr">
        <is>
          <t>수송파미유(도시형)</t>
        </is>
      </c>
      <c r="E421" s="78" t="inlineStr">
        <is>
          <t>2013.05.</t>
        </is>
      </c>
      <c r="F421" s="78" t="n">
        <v>64</v>
      </c>
      <c r="G421" s="78" t="n">
        <v>16.17</v>
      </c>
      <c r="H421" s="78" t="n">
        <v>53.46</v>
      </c>
      <c r="I421" s="78" t="n">
        <v>11.59</v>
      </c>
      <c r="J421" s="78" t="n">
        <v>38.33</v>
      </c>
      <c r="K421" s="78" t="n">
        <v>1</v>
      </c>
      <c r="T421" s="78" t="n">
        <v>3</v>
      </c>
      <c r="U421" s="78" t="n">
        <v>2</v>
      </c>
      <c r="V421" s="78" t="inlineStr">
        <is>
          <t>계단식</t>
        </is>
      </c>
      <c r="W421" s="78" t="inlineStr">
        <is>
          <t>53A</t>
        </is>
      </c>
      <c r="X421" s="78" t="n">
        <v>6</v>
      </c>
      <c r="Y421" s="78" t="n">
        <v>5</v>
      </c>
      <c r="Z421" s="78" t="inlineStr">
        <is>
          <t>https://new.land.naver.com/complexes/125052?tab=detail&amp;rf=Y</t>
        </is>
      </c>
      <c r="AA421" s="78" t="inlineStr">
        <is>
          <t>전라북도 군산시 서흥남동 855</t>
        </is>
      </c>
      <c r="AB421" s="78" t="inlineStr">
        <is>
          <t>전라북도</t>
        </is>
      </c>
      <c r="AC421" s="78" t="inlineStr">
        <is>
          <t>군산시</t>
        </is>
      </c>
      <c r="AD421" s="78" t="inlineStr">
        <is>
          <t>서흥남동</t>
        </is>
      </c>
      <c r="AG421" s="78" t="inlineStr">
        <is>
          <t>전라북도 군산시 동메2길 8</t>
        </is>
      </c>
      <c r="AH421" s="78" t="n">
        <v>0</v>
      </c>
      <c r="AI421" s="78" t="n">
        <v>242</v>
      </c>
      <c r="AJ421" s="78" t="n">
        <v>55</v>
      </c>
      <c r="AK421" s="78" t="n">
        <v>46</v>
      </c>
      <c r="AL421" s="78" t="n">
        <v>0.72</v>
      </c>
    </row>
    <row r="422">
      <c r="A422" s="78" t="inlineStr">
        <is>
          <t>[서흥남동]</t>
        </is>
      </c>
      <c r="B422" s="78" t="n">
        <v>125052</v>
      </c>
      <c r="C422" s="78" t="n">
        <v>2</v>
      </c>
      <c r="D422" s="78" t="inlineStr">
        <is>
          <t>수송파미유(도시형)</t>
        </is>
      </c>
      <c r="E422" s="78" t="inlineStr">
        <is>
          <t>2013.05.</t>
        </is>
      </c>
      <c r="F422" s="78" t="n">
        <v>64</v>
      </c>
      <c r="G422" s="78" t="n">
        <v>16.39</v>
      </c>
      <c r="H422" s="78" t="n">
        <v>54.21</v>
      </c>
      <c r="I422" s="78" t="n">
        <v>11.75</v>
      </c>
      <c r="J422" s="78" t="n">
        <v>38.87</v>
      </c>
      <c r="K422" s="78" t="n">
        <v>3</v>
      </c>
      <c r="T422" s="78" t="n">
        <v>3</v>
      </c>
      <c r="U422" s="78" t="n">
        <v>2</v>
      </c>
      <c r="V422" s="78" t="inlineStr">
        <is>
          <t>계단식</t>
        </is>
      </c>
      <c r="W422" s="78" t="inlineStr">
        <is>
          <t>54B</t>
        </is>
      </c>
      <c r="X422" s="78" t="n">
        <v>6</v>
      </c>
      <c r="Y422" s="78" t="n">
        <v>5</v>
      </c>
      <c r="Z422" s="78" t="inlineStr">
        <is>
          <t>https://new.land.naver.com/complexes/125052?tab=detail&amp;rf=Y</t>
        </is>
      </c>
      <c r="AA422" s="78" t="inlineStr">
        <is>
          <t>전라북도 군산시 서흥남동 855</t>
        </is>
      </c>
      <c r="AB422" s="78" t="inlineStr">
        <is>
          <t>전라북도</t>
        </is>
      </c>
      <c r="AC422" s="78" t="inlineStr">
        <is>
          <t>군산시</t>
        </is>
      </c>
      <c r="AD422" s="78" t="inlineStr">
        <is>
          <t>서흥남동</t>
        </is>
      </c>
      <c r="AG422" s="78" t="inlineStr">
        <is>
          <t>전라북도 군산시 동메2길 8</t>
        </is>
      </c>
      <c r="AH422" s="78" t="n">
        <v>0</v>
      </c>
      <c r="AI422" s="78" t="n">
        <v>242</v>
      </c>
      <c r="AJ422" s="78" t="n">
        <v>55</v>
      </c>
      <c r="AK422" s="78" t="n">
        <v>46</v>
      </c>
      <c r="AL422" s="78" t="n">
        <v>0.72</v>
      </c>
    </row>
    <row r="423">
      <c r="A423" s="78" t="inlineStr">
        <is>
          <t>[서흥남동]</t>
        </is>
      </c>
      <c r="B423" s="78" t="n">
        <v>125052</v>
      </c>
      <c r="C423" s="78" t="n">
        <v>3</v>
      </c>
      <c r="D423" s="78" t="inlineStr">
        <is>
          <t>수송파미유(도시형)</t>
        </is>
      </c>
      <c r="E423" s="78" t="inlineStr">
        <is>
          <t>2013.05.</t>
        </is>
      </c>
      <c r="F423" s="78" t="n">
        <v>64</v>
      </c>
      <c r="G423" s="78" t="n">
        <v>16.87</v>
      </c>
      <c r="H423" s="78" t="n">
        <v>55.8</v>
      </c>
      <c r="I423" s="78" t="n">
        <v>12.1</v>
      </c>
      <c r="J423" s="78" t="n">
        <v>40.01</v>
      </c>
      <c r="K423" s="78" t="n">
        <v>3</v>
      </c>
      <c r="T423" s="78" t="n">
        <v>3</v>
      </c>
      <c r="U423" s="78" t="n">
        <v>2</v>
      </c>
      <c r="V423" s="78" t="inlineStr">
        <is>
          <t>계단식</t>
        </is>
      </c>
      <c r="W423" s="78" t="inlineStr">
        <is>
          <t>55A</t>
        </is>
      </c>
      <c r="X423" s="78" t="n">
        <v>6</v>
      </c>
      <c r="Y423" s="78" t="n">
        <v>5</v>
      </c>
      <c r="Z423" s="78" t="inlineStr">
        <is>
          <t>https://new.land.naver.com/complexes/125052?tab=detail&amp;rf=Y</t>
        </is>
      </c>
      <c r="AA423" s="78" t="inlineStr">
        <is>
          <t>전라북도 군산시 서흥남동 855</t>
        </is>
      </c>
      <c r="AB423" s="78" t="inlineStr">
        <is>
          <t>전라북도</t>
        </is>
      </c>
      <c r="AC423" s="78" t="inlineStr">
        <is>
          <t>군산시</t>
        </is>
      </c>
      <c r="AD423" s="78" t="inlineStr">
        <is>
          <t>서흥남동</t>
        </is>
      </c>
      <c r="AG423" s="78" t="inlineStr">
        <is>
          <t>전라북도 군산시 동메2길 8</t>
        </is>
      </c>
      <c r="AH423" s="78" t="n">
        <v>0</v>
      </c>
      <c r="AI423" s="78" t="n">
        <v>242</v>
      </c>
      <c r="AJ423" s="78" t="n">
        <v>55</v>
      </c>
      <c r="AK423" s="78" t="n">
        <v>46</v>
      </c>
      <c r="AL423" s="78" t="n">
        <v>0.72</v>
      </c>
    </row>
    <row r="424">
      <c r="A424" s="78" t="inlineStr">
        <is>
          <t>[서흥남동]</t>
        </is>
      </c>
      <c r="B424" s="78" t="n">
        <v>125052</v>
      </c>
      <c r="C424" s="78" t="n">
        <v>4</v>
      </c>
      <c r="D424" s="78" t="inlineStr">
        <is>
          <t>수송파미유(도시형)</t>
        </is>
      </c>
      <c r="E424" s="78" t="inlineStr">
        <is>
          <t>2013.05.</t>
        </is>
      </c>
      <c r="F424" s="78" t="n">
        <v>64</v>
      </c>
      <c r="G424" s="78" t="n">
        <v>17.02</v>
      </c>
      <c r="H424" s="78" t="n">
        <v>56.29</v>
      </c>
      <c r="I424" s="78" t="n">
        <v>12.2</v>
      </c>
      <c r="J424" s="78" t="n">
        <v>40.36</v>
      </c>
      <c r="K424" s="78" t="n">
        <v>2</v>
      </c>
      <c r="T424" s="78" t="n">
        <v>3</v>
      </c>
      <c r="U424" s="78" t="n">
        <v>2</v>
      </c>
      <c r="V424" s="78" t="inlineStr">
        <is>
          <t>계단식</t>
        </is>
      </c>
      <c r="W424" s="78" t="inlineStr">
        <is>
          <t>56B</t>
        </is>
      </c>
      <c r="X424" s="78" t="n">
        <v>6</v>
      </c>
      <c r="Y424" s="78" t="n">
        <v>5</v>
      </c>
      <c r="Z424" s="78" t="inlineStr">
        <is>
          <t>https://new.land.naver.com/complexes/125052?tab=detail&amp;rf=Y</t>
        </is>
      </c>
      <c r="AA424" s="78" t="inlineStr">
        <is>
          <t>전라북도 군산시 서흥남동 855</t>
        </is>
      </c>
      <c r="AB424" s="78" t="inlineStr">
        <is>
          <t>전라북도</t>
        </is>
      </c>
      <c r="AC424" s="78" t="inlineStr">
        <is>
          <t>군산시</t>
        </is>
      </c>
      <c r="AD424" s="78" t="inlineStr">
        <is>
          <t>서흥남동</t>
        </is>
      </c>
      <c r="AG424" s="78" t="inlineStr">
        <is>
          <t>전라북도 군산시 동메2길 8</t>
        </is>
      </c>
      <c r="AH424" s="78" t="n">
        <v>0</v>
      </c>
      <c r="AI424" s="78" t="n">
        <v>242</v>
      </c>
      <c r="AJ424" s="78" t="n">
        <v>55</v>
      </c>
      <c r="AK424" s="78" t="n">
        <v>46</v>
      </c>
      <c r="AL424" s="78" t="n">
        <v>0.72</v>
      </c>
    </row>
    <row r="425">
      <c r="A425" s="78" t="inlineStr">
        <is>
          <t>[서흥남동]</t>
        </is>
      </c>
      <c r="B425" s="78" t="n">
        <v>125052</v>
      </c>
      <c r="C425" s="78" t="n">
        <v>5</v>
      </c>
      <c r="D425" s="78" t="inlineStr">
        <is>
          <t>수송파미유(도시형)</t>
        </is>
      </c>
      <c r="E425" s="78" t="inlineStr">
        <is>
          <t>2013.05.</t>
        </is>
      </c>
      <c r="F425" s="78" t="n">
        <v>64</v>
      </c>
      <c r="G425" s="78" t="n">
        <v>17.04</v>
      </c>
      <c r="H425" s="78" t="n">
        <v>56.36</v>
      </c>
      <c r="I425" s="78" t="n">
        <v>12.22</v>
      </c>
      <c r="J425" s="78" t="n">
        <v>40.41</v>
      </c>
      <c r="K425" s="78" t="n">
        <v>1</v>
      </c>
      <c r="T425" s="78" t="n">
        <v>3</v>
      </c>
      <c r="U425" s="78" t="n">
        <v>2</v>
      </c>
      <c r="V425" s="78" t="inlineStr">
        <is>
          <t>계단식</t>
        </is>
      </c>
      <c r="W425" s="78" t="inlineStr">
        <is>
          <t>56C</t>
        </is>
      </c>
      <c r="X425" s="78" t="n">
        <v>6</v>
      </c>
      <c r="Y425" s="78" t="n">
        <v>5</v>
      </c>
      <c r="Z425" s="78" t="inlineStr">
        <is>
          <t>https://new.land.naver.com/complexes/125052?tab=detail&amp;rf=Y</t>
        </is>
      </c>
      <c r="AA425" s="78" t="inlineStr">
        <is>
          <t>전라북도 군산시 서흥남동 855</t>
        </is>
      </c>
      <c r="AB425" s="78" t="inlineStr">
        <is>
          <t>전라북도</t>
        </is>
      </c>
      <c r="AC425" s="78" t="inlineStr">
        <is>
          <t>군산시</t>
        </is>
      </c>
      <c r="AD425" s="78" t="inlineStr">
        <is>
          <t>서흥남동</t>
        </is>
      </c>
      <c r="AG425" s="78" t="inlineStr">
        <is>
          <t>전라북도 군산시 동메2길 8</t>
        </is>
      </c>
      <c r="AH425" s="78" t="n">
        <v>0</v>
      </c>
      <c r="AI425" s="78" t="n">
        <v>242</v>
      </c>
      <c r="AJ425" s="78" t="n">
        <v>55</v>
      </c>
      <c r="AK425" s="78" t="n">
        <v>46</v>
      </c>
      <c r="AL425" s="78" t="n">
        <v>0.72</v>
      </c>
    </row>
    <row r="426">
      <c r="A426" s="78" t="inlineStr">
        <is>
          <t>[서흥남동]</t>
        </is>
      </c>
      <c r="B426" s="78" t="n">
        <v>125052</v>
      </c>
      <c r="C426" s="78" t="n">
        <v>6</v>
      </c>
      <c r="D426" s="78" t="inlineStr">
        <is>
          <t>수송파미유(도시형)</t>
        </is>
      </c>
      <c r="E426" s="78" t="inlineStr">
        <is>
          <t>2013.05.</t>
        </is>
      </c>
      <c r="F426" s="78" t="n">
        <v>64</v>
      </c>
      <c r="G426" s="78" t="n">
        <v>17.15</v>
      </c>
      <c r="H426" s="78" t="n">
        <v>56.72</v>
      </c>
      <c r="I426" s="78" t="n">
        <v>12.3</v>
      </c>
      <c r="J426" s="78" t="n">
        <v>40.67</v>
      </c>
      <c r="K426" s="78" t="n">
        <v>1</v>
      </c>
      <c r="T426" s="78" t="n">
        <v>3</v>
      </c>
      <c r="U426" s="78" t="n">
        <v>2</v>
      </c>
      <c r="V426" s="78" t="inlineStr">
        <is>
          <t>계단식</t>
        </is>
      </c>
      <c r="W426" s="78" t="inlineStr">
        <is>
          <t>56D</t>
        </is>
      </c>
      <c r="X426" s="78" t="n">
        <v>6</v>
      </c>
      <c r="Y426" s="78" t="n">
        <v>5</v>
      </c>
      <c r="Z426" s="78" t="inlineStr">
        <is>
          <t>https://new.land.naver.com/complexes/125052?tab=detail&amp;rf=Y</t>
        </is>
      </c>
      <c r="AA426" s="78" t="inlineStr">
        <is>
          <t>전라북도 군산시 서흥남동 855</t>
        </is>
      </c>
      <c r="AB426" s="78" t="inlineStr">
        <is>
          <t>전라북도</t>
        </is>
      </c>
      <c r="AC426" s="78" t="inlineStr">
        <is>
          <t>군산시</t>
        </is>
      </c>
      <c r="AD426" s="78" t="inlineStr">
        <is>
          <t>서흥남동</t>
        </is>
      </c>
      <c r="AG426" s="78" t="inlineStr">
        <is>
          <t>전라북도 군산시 동메2길 8</t>
        </is>
      </c>
      <c r="AH426" s="78" t="n">
        <v>0</v>
      </c>
      <c r="AI426" s="78" t="n">
        <v>242</v>
      </c>
      <c r="AJ426" s="78" t="n">
        <v>55</v>
      </c>
      <c r="AK426" s="78" t="n">
        <v>46</v>
      </c>
      <c r="AL426" s="78" t="n">
        <v>0.72</v>
      </c>
    </row>
    <row r="427">
      <c r="A427" s="78" t="inlineStr">
        <is>
          <t>[서흥남동]</t>
        </is>
      </c>
      <c r="B427" s="78" t="n">
        <v>125052</v>
      </c>
      <c r="C427" s="78" t="n">
        <v>7</v>
      </c>
      <c r="D427" s="78" t="inlineStr">
        <is>
          <t>수송파미유(도시형)</t>
        </is>
      </c>
      <c r="E427" s="78" t="inlineStr">
        <is>
          <t>2013.05.</t>
        </is>
      </c>
      <c r="F427" s="78" t="n">
        <v>64</v>
      </c>
      <c r="G427" s="78" t="n">
        <v>17.67</v>
      </c>
      <c r="H427" s="78" t="n">
        <v>58.42</v>
      </c>
      <c r="I427" s="78" t="n">
        <v>12.22</v>
      </c>
      <c r="J427" s="78" t="n">
        <v>40.41</v>
      </c>
      <c r="K427" s="78" t="n">
        <v>2</v>
      </c>
      <c r="T427" s="78" t="n">
        <v>3</v>
      </c>
      <c r="U427" s="78" t="n">
        <v>2</v>
      </c>
      <c r="V427" s="78" t="inlineStr">
        <is>
          <t>계단식</t>
        </is>
      </c>
      <c r="W427" s="78" t="inlineStr">
        <is>
          <t>58A</t>
        </is>
      </c>
      <c r="X427" s="78" t="n">
        <v>6</v>
      </c>
      <c r="Y427" s="78" t="n">
        <v>5</v>
      </c>
      <c r="Z427" s="78" t="inlineStr">
        <is>
          <t>https://new.land.naver.com/complexes/125052?tab=detail&amp;rf=Y</t>
        </is>
      </c>
      <c r="AA427" s="78" t="inlineStr">
        <is>
          <t>전라북도 군산시 서흥남동 855</t>
        </is>
      </c>
      <c r="AB427" s="78" t="inlineStr">
        <is>
          <t>전라북도</t>
        </is>
      </c>
      <c r="AC427" s="78" t="inlineStr">
        <is>
          <t>군산시</t>
        </is>
      </c>
      <c r="AD427" s="78" t="inlineStr">
        <is>
          <t>서흥남동</t>
        </is>
      </c>
      <c r="AG427" s="78" t="inlineStr">
        <is>
          <t>전라북도 군산시 동메2길 8</t>
        </is>
      </c>
      <c r="AH427" s="78" t="n">
        <v>0</v>
      </c>
      <c r="AI427" s="78" t="n">
        <v>242</v>
      </c>
      <c r="AJ427" s="78" t="n">
        <v>55</v>
      </c>
      <c r="AK427" s="78" t="n">
        <v>46</v>
      </c>
      <c r="AL427" s="78" t="n">
        <v>0.72</v>
      </c>
    </row>
    <row r="428">
      <c r="A428" s="78" t="inlineStr">
        <is>
          <t>[서흥남동]</t>
        </is>
      </c>
      <c r="B428" s="78" t="n">
        <v>125052</v>
      </c>
      <c r="C428" s="78" t="n">
        <v>8</v>
      </c>
      <c r="D428" s="78" t="inlineStr">
        <is>
          <t>수송파미유(도시형)</t>
        </is>
      </c>
      <c r="E428" s="78" t="inlineStr">
        <is>
          <t>2013.05.</t>
        </is>
      </c>
      <c r="F428" s="78" t="n">
        <v>64</v>
      </c>
      <c r="G428" s="78" t="n">
        <v>17.64</v>
      </c>
      <c r="H428" s="78" t="n">
        <v>58.34</v>
      </c>
      <c r="I428" s="78" t="n">
        <v>12.2</v>
      </c>
      <c r="J428" s="78" t="n">
        <v>40.36</v>
      </c>
      <c r="K428" s="78" t="n">
        <v>2</v>
      </c>
      <c r="T428" s="78" t="n">
        <v>3</v>
      </c>
      <c r="U428" s="78" t="n">
        <v>2</v>
      </c>
      <c r="V428" s="78" t="inlineStr">
        <is>
          <t>계단식</t>
        </is>
      </c>
      <c r="W428" s="78" t="inlineStr">
        <is>
          <t>58E</t>
        </is>
      </c>
      <c r="X428" s="78" t="n">
        <v>6</v>
      </c>
      <c r="Y428" s="78" t="n">
        <v>5</v>
      </c>
      <c r="Z428" s="78" t="inlineStr">
        <is>
          <t>https://new.land.naver.com/complexes/125052?tab=detail&amp;rf=Y</t>
        </is>
      </c>
      <c r="AA428" s="78" t="inlineStr">
        <is>
          <t>전라북도 군산시 서흥남동 855</t>
        </is>
      </c>
      <c r="AB428" s="78" t="inlineStr">
        <is>
          <t>전라북도</t>
        </is>
      </c>
      <c r="AC428" s="78" t="inlineStr">
        <is>
          <t>군산시</t>
        </is>
      </c>
      <c r="AD428" s="78" t="inlineStr">
        <is>
          <t>서흥남동</t>
        </is>
      </c>
      <c r="AG428" s="78" t="inlineStr">
        <is>
          <t>전라북도 군산시 동메2길 8</t>
        </is>
      </c>
      <c r="AH428" s="78" t="n">
        <v>0</v>
      </c>
      <c r="AI428" s="78" t="n">
        <v>242</v>
      </c>
      <c r="AJ428" s="78" t="n">
        <v>55</v>
      </c>
      <c r="AK428" s="78" t="n">
        <v>46</v>
      </c>
      <c r="AL428" s="78" t="n">
        <v>0.72</v>
      </c>
    </row>
    <row r="429">
      <c r="A429" s="78" t="inlineStr">
        <is>
          <t>[서흥남동]</t>
        </is>
      </c>
      <c r="B429" s="78" t="n">
        <v>125052</v>
      </c>
      <c r="C429" s="78" t="n">
        <v>9</v>
      </c>
      <c r="D429" s="78" t="inlineStr">
        <is>
          <t>수송파미유(도시형)</t>
        </is>
      </c>
      <c r="E429" s="78" t="inlineStr">
        <is>
          <t>2013.05.</t>
        </is>
      </c>
      <c r="F429" s="78" t="n">
        <v>64</v>
      </c>
      <c r="G429" s="78" t="n">
        <v>21.09</v>
      </c>
      <c r="H429" s="78" t="n">
        <v>69.73</v>
      </c>
      <c r="I429" s="78" t="n">
        <v>15.12</v>
      </c>
      <c r="J429" s="78" t="n">
        <v>50</v>
      </c>
      <c r="K429" s="78" t="n">
        <v>3</v>
      </c>
      <c r="T429" s="78" t="n">
        <v>3</v>
      </c>
      <c r="U429" s="78" t="n">
        <v>2</v>
      </c>
      <c r="V429" s="78" t="inlineStr">
        <is>
          <t>계단식</t>
        </is>
      </c>
      <c r="W429" s="78" t="inlineStr">
        <is>
          <t>69D</t>
        </is>
      </c>
      <c r="X429" s="78" t="n">
        <v>6</v>
      </c>
      <c r="Y429" s="78" t="n">
        <v>5</v>
      </c>
      <c r="Z429" s="78" t="inlineStr">
        <is>
          <t>https://new.land.naver.com/complexes/125052?tab=detail&amp;rf=Y</t>
        </is>
      </c>
      <c r="AA429" s="78" t="inlineStr">
        <is>
          <t>전라북도 군산시 서흥남동 855</t>
        </is>
      </c>
      <c r="AB429" s="78" t="inlineStr">
        <is>
          <t>전라북도</t>
        </is>
      </c>
      <c r="AC429" s="78" t="inlineStr">
        <is>
          <t>군산시</t>
        </is>
      </c>
      <c r="AD429" s="78" t="inlineStr">
        <is>
          <t>서흥남동</t>
        </is>
      </c>
      <c r="AG429" s="78" t="inlineStr">
        <is>
          <t>전라북도 군산시 동메2길 8</t>
        </is>
      </c>
      <c r="AH429" s="78" t="n">
        <v>0</v>
      </c>
      <c r="AI429" s="78" t="n">
        <v>242</v>
      </c>
      <c r="AJ429" s="78" t="n">
        <v>55</v>
      </c>
      <c r="AK429" s="78" t="n">
        <v>46</v>
      </c>
      <c r="AL429" s="78" t="n">
        <v>0.72</v>
      </c>
    </row>
    <row r="430">
      <c r="A430" s="78" t="inlineStr">
        <is>
          <t>[서흥남동]</t>
        </is>
      </c>
      <c r="B430" s="78" t="n">
        <v>125052</v>
      </c>
      <c r="C430" s="78" t="n">
        <v>10</v>
      </c>
      <c r="D430" s="78" t="inlineStr">
        <is>
          <t>수송파미유(도시형)</t>
        </is>
      </c>
      <c r="E430" s="78" t="inlineStr">
        <is>
          <t>2013.05.</t>
        </is>
      </c>
      <c r="F430" s="78" t="n">
        <v>64</v>
      </c>
      <c r="G430" s="78" t="n">
        <v>21.25</v>
      </c>
      <c r="H430" s="78" t="n">
        <v>70.26000000000001</v>
      </c>
      <c r="I430" s="78" t="n">
        <v>15.23</v>
      </c>
      <c r="J430" s="78" t="n">
        <v>50.38</v>
      </c>
      <c r="K430" s="78" t="n">
        <v>3</v>
      </c>
      <c r="T430" s="78" t="n">
        <v>3</v>
      </c>
      <c r="U430" s="78" t="n">
        <v>2</v>
      </c>
      <c r="V430" s="78" t="inlineStr">
        <is>
          <t>계단식</t>
        </is>
      </c>
      <c r="W430" s="78" t="inlineStr">
        <is>
          <t>70B</t>
        </is>
      </c>
      <c r="X430" s="78" t="n">
        <v>6</v>
      </c>
      <c r="Y430" s="78" t="n">
        <v>5</v>
      </c>
      <c r="Z430" s="78" t="inlineStr">
        <is>
          <t>https://new.land.naver.com/complexes/125052?tab=detail&amp;rf=Y</t>
        </is>
      </c>
      <c r="AA430" s="78" t="inlineStr">
        <is>
          <t>전라북도 군산시 서흥남동 855</t>
        </is>
      </c>
      <c r="AB430" s="78" t="inlineStr">
        <is>
          <t>전라북도</t>
        </is>
      </c>
      <c r="AC430" s="78" t="inlineStr">
        <is>
          <t>군산시</t>
        </is>
      </c>
      <c r="AD430" s="78" t="inlineStr">
        <is>
          <t>서흥남동</t>
        </is>
      </c>
      <c r="AG430" s="78" t="inlineStr">
        <is>
          <t>전라북도 군산시 동메2길 8</t>
        </is>
      </c>
      <c r="AH430" s="78" t="n">
        <v>0</v>
      </c>
      <c r="AI430" s="78" t="n">
        <v>242</v>
      </c>
      <c r="AJ430" s="78" t="n">
        <v>55</v>
      </c>
      <c r="AK430" s="78" t="n">
        <v>46</v>
      </c>
      <c r="AL430" s="78" t="n">
        <v>0.72</v>
      </c>
    </row>
    <row r="431">
      <c r="A431" s="78" t="inlineStr">
        <is>
          <t>[서흥남동]</t>
        </is>
      </c>
      <c r="B431" s="78" t="n">
        <v>125052</v>
      </c>
      <c r="C431" s="78" t="n">
        <v>11</v>
      </c>
      <c r="D431" s="78" t="inlineStr">
        <is>
          <t>수송파미유(도시형)</t>
        </is>
      </c>
      <c r="E431" s="78" t="inlineStr">
        <is>
          <t>2013.05.</t>
        </is>
      </c>
      <c r="F431" s="78" t="n">
        <v>64</v>
      </c>
      <c r="G431" s="78" t="n">
        <v>21.23</v>
      </c>
      <c r="H431" s="78" t="n">
        <v>70.19</v>
      </c>
      <c r="I431" s="78" t="n">
        <v>15.22</v>
      </c>
      <c r="J431" s="78" t="n">
        <v>50.33</v>
      </c>
      <c r="K431" s="78" t="n">
        <v>1</v>
      </c>
      <c r="T431" s="78" t="n">
        <v>3</v>
      </c>
      <c r="U431" s="78" t="n">
        <v>2</v>
      </c>
      <c r="V431" s="78" t="inlineStr">
        <is>
          <t>계단식</t>
        </is>
      </c>
      <c r="W431" s="78" t="inlineStr">
        <is>
          <t>70A</t>
        </is>
      </c>
      <c r="X431" s="78" t="n">
        <v>6</v>
      </c>
      <c r="Y431" s="78" t="n">
        <v>5</v>
      </c>
      <c r="Z431" s="78" t="inlineStr">
        <is>
          <t>https://new.land.naver.com/complexes/125052?tab=detail&amp;rf=Y</t>
        </is>
      </c>
      <c r="AA431" s="78" t="inlineStr">
        <is>
          <t>전라북도 군산시 서흥남동 855</t>
        </is>
      </c>
      <c r="AB431" s="78" t="inlineStr">
        <is>
          <t>전라북도</t>
        </is>
      </c>
      <c r="AC431" s="78" t="inlineStr">
        <is>
          <t>군산시</t>
        </is>
      </c>
      <c r="AD431" s="78" t="inlineStr">
        <is>
          <t>서흥남동</t>
        </is>
      </c>
      <c r="AG431" s="78" t="inlineStr">
        <is>
          <t>전라북도 군산시 동메2길 8</t>
        </is>
      </c>
      <c r="AH431" s="78" t="n">
        <v>0</v>
      </c>
      <c r="AI431" s="78" t="n">
        <v>242</v>
      </c>
      <c r="AJ431" s="78" t="n">
        <v>55</v>
      </c>
      <c r="AK431" s="78" t="n">
        <v>46</v>
      </c>
      <c r="AL431" s="78" t="n">
        <v>0.72</v>
      </c>
    </row>
    <row r="432">
      <c r="A432" s="78" t="inlineStr">
        <is>
          <t>[서흥남동]</t>
        </is>
      </c>
      <c r="B432" s="78" t="n">
        <v>125052</v>
      </c>
      <c r="C432" s="78" t="n">
        <v>12</v>
      </c>
      <c r="D432" s="78" t="inlineStr">
        <is>
          <t>수송파미유(도시형)</t>
        </is>
      </c>
      <c r="E432" s="78" t="inlineStr">
        <is>
          <t>2013.05.</t>
        </is>
      </c>
      <c r="F432" s="78" t="n">
        <v>64</v>
      </c>
      <c r="G432" s="78" t="n">
        <v>21.39</v>
      </c>
      <c r="H432" s="78" t="n">
        <v>70.72</v>
      </c>
      <c r="I432" s="78" t="n">
        <v>15.33</v>
      </c>
      <c r="J432" s="78" t="n">
        <v>50.71</v>
      </c>
      <c r="K432" s="78" t="n">
        <v>1</v>
      </c>
      <c r="T432" s="78" t="n">
        <v>3</v>
      </c>
      <c r="U432" s="78" t="n">
        <v>2</v>
      </c>
      <c r="V432" s="78" t="inlineStr">
        <is>
          <t>계단식</t>
        </is>
      </c>
      <c r="W432" s="78" t="inlineStr">
        <is>
          <t>70C</t>
        </is>
      </c>
      <c r="X432" s="78" t="n">
        <v>6</v>
      </c>
      <c r="Y432" s="78" t="n">
        <v>5</v>
      </c>
      <c r="Z432" s="78" t="inlineStr">
        <is>
          <t>https://new.land.naver.com/complexes/125052?tab=detail&amp;rf=Y</t>
        </is>
      </c>
      <c r="AA432" s="78" t="inlineStr">
        <is>
          <t>전라북도 군산시 서흥남동 855</t>
        </is>
      </c>
      <c r="AB432" s="78" t="inlineStr">
        <is>
          <t>전라북도</t>
        </is>
      </c>
      <c r="AC432" s="78" t="inlineStr">
        <is>
          <t>군산시</t>
        </is>
      </c>
      <c r="AD432" s="78" t="inlineStr">
        <is>
          <t>서흥남동</t>
        </is>
      </c>
      <c r="AG432" s="78" t="inlineStr">
        <is>
          <t>전라북도 군산시 동메2길 8</t>
        </is>
      </c>
      <c r="AH432" s="78" t="n">
        <v>0</v>
      </c>
      <c r="AI432" s="78" t="n">
        <v>242</v>
      </c>
      <c r="AJ432" s="78" t="n">
        <v>55</v>
      </c>
      <c r="AK432" s="78" t="n">
        <v>46</v>
      </c>
      <c r="AL432" s="78" t="n">
        <v>0.72</v>
      </c>
    </row>
    <row r="433">
      <c r="A433" s="78" t="inlineStr">
        <is>
          <t>[서흥남동]</t>
        </is>
      </c>
      <c r="B433" s="78" t="n">
        <v>125052</v>
      </c>
      <c r="C433" s="78" t="n">
        <v>13</v>
      </c>
      <c r="D433" s="78" t="inlineStr">
        <is>
          <t>수송파미유(도시형)</t>
        </is>
      </c>
      <c r="E433" s="78" t="inlineStr">
        <is>
          <t>2013.05.</t>
        </is>
      </c>
      <c r="F433" s="78" t="n">
        <v>64</v>
      </c>
      <c r="G433" s="78" t="n">
        <v>22</v>
      </c>
      <c r="H433" s="78" t="n">
        <v>72.76000000000001</v>
      </c>
      <c r="I433" s="78" t="n">
        <v>15.22</v>
      </c>
      <c r="J433" s="78" t="n">
        <v>50.33</v>
      </c>
      <c r="K433" s="78" t="n">
        <v>2</v>
      </c>
      <c r="T433" s="78" t="n">
        <v>3</v>
      </c>
      <c r="U433" s="78" t="n">
        <v>2</v>
      </c>
      <c r="V433" s="78" t="inlineStr">
        <is>
          <t>계단식</t>
        </is>
      </c>
      <c r="W433" s="78" t="inlineStr">
        <is>
          <t>72A</t>
        </is>
      </c>
      <c r="X433" s="78" t="n">
        <v>6</v>
      </c>
      <c r="Y433" s="78" t="n">
        <v>5</v>
      </c>
      <c r="Z433" s="78" t="inlineStr">
        <is>
          <t>https://new.land.naver.com/complexes/125052?tab=detail&amp;rf=Y</t>
        </is>
      </c>
      <c r="AA433" s="78" t="inlineStr">
        <is>
          <t>전라북도 군산시 서흥남동 855</t>
        </is>
      </c>
      <c r="AB433" s="78" t="inlineStr">
        <is>
          <t>전라북도</t>
        </is>
      </c>
      <c r="AC433" s="78" t="inlineStr">
        <is>
          <t>군산시</t>
        </is>
      </c>
      <c r="AD433" s="78" t="inlineStr">
        <is>
          <t>서흥남동</t>
        </is>
      </c>
      <c r="AG433" s="78" t="inlineStr">
        <is>
          <t>전라북도 군산시 동메2길 8</t>
        </is>
      </c>
      <c r="AH433" s="78" t="n">
        <v>0</v>
      </c>
      <c r="AI433" s="78" t="n">
        <v>242</v>
      </c>
      <c r="AJ433" s="78" t="n">
        <v>55</v>
      </c>
      <c r="AK433" s="78" t="n">
        <v>46</v>
      </c>
      <c r="AL433" s="78" t="n">
        <v>0.72</v>
      </c>
    </row>
    <row r="434">
      <c r="A434" s="78" t="inlineStr">
        <is>
          <t>[서흥남동]</t>
        </is>
      </c>
      <c r="B434" s="78" t="n">
        <v>125052</v>
      </c>
      <c r="C434" s="78" t="n">
        <v>14</v>
      </c>
      <c r="D434" s="78" t="inlineStr">
        <is>
          <t>수송파미유(도시형)</t>
        </is>
      </c>
      <c r="E434" s="78" t="inlineStr">
        <is>
          <t>2013.05.</t>
        </is>
      </c>
      <c r="F434" s="78" t="n">
        <v>64</v>
      </c>
      <c r="G434" s="78" t="n">
        <v>22.03</v>
      </c>
      <c r="H434" s="78" t="n">
        <v>72.83</v>
      </c>
      <c r="I434" s="78" t="n">
        <v>15.23</v>
      </c>
      <c r="J434" s="78" t="n">
        <v>50.38</v>
      </c>
      <c r="K434" s="78" t="n">
        <v>2</v>
      </c>
      <c r="T434" s="78" t="n">
        <v>3</v>
      </c>
      <c r="U434" s="78" t="n">
        <v>2</v>
      </c>
      <c r="V434" s="78" t="inlineStr">
        <is>
          <t>계단식</t>
        </is>
      </c>
      <c r="W434" s="78" t="inlineStr">
        <is>
          <t>72B</t>
        </is>
      </c>
      <c r="X434" s="78" t="n">
        <v>6</v>
      </c>
      <c r="Y434" s="78" t="n">
        <v>5</v>
      </c>
      <c r="Z434" s="78" t="inlineStr">
        <is>
          <t>https://new.land.naver.com/complexes/125052?tab=detail&amp;rf=Y</t>
        </is>
      </c>
      <c r="AA434" s="78" t="inlineStr">
        <is>
          <t>전라북도 군산시 서흥남동 855</t>
        </is>
      </c>
      <c r="AB434" s="78" t="inlineStr">
        <is>
          <t>전라북도</t>
        </is>
      </c>
      <c r="AC434" s="78" t="inlineStr">
        <is>
          <t>군산시</t>
        </is>
      </c>
      <c r="AD434" s="78" t="inlineStr">
        <is>
          <t>서흥남동</t>
        </is>
      </c>
      <c r="AG434" s="78" t="inlineStr">
        <is>
          <t>전라북도 군산시 동메2길 8</t>
        </is>
      </c>
      <c r="AH434" s="78" t="n">
        <v>0</v>
      </c>
      <c r="AI434" s="78" t="n">
        <v>242</v>
      </c>
      <c r="AJ434" s="78" t="n">
        <v>55</v>
      </c>
      <c r="AK434" s="78" t="n">
        <v>46</v>
      </c>
      <c r="AL434" s="78" t="n">
        <v>0.72</v>
      </c>
    </row>
    <row r="435">
      <c r="A435" s="78" t="inlineStr">
        <is>
          <t>[서흥남동]</t>
        </is>
      </c>
      <c r="B435" s="78" t="n">
        <v>125052</v>
      </c>
      <c r="C435" s="78" t="n">
        <v>15</v>
      </c>
      <c r="D435" s="78" t="inlineStr">
        <is>
          <t>수송파미유(도시형)</t>
        </is>
      </c>
      <c r="E435" s="78" t="inlineStr">
        <is>
          <t>2013.05.</t>
        </is>
      </c>
      <c r="F435" s="78" t="n">
        <v>64</v>
      </c>
      <c r="G435" s="78" t="n">
        <v>22.22</v>
      </c>
      <c r="H435" s="78" t="n">
        <v>73.47</v>
      </c>
      <c r="I435" s="78" t="n">
        <v>15.93</v>
      </c>
      <c r="J435" s="78" t="n">
        <v>52.68</v>
      </c>
      <c r="K435" s="78" t="n">
        <v>9</v>
      </c>
      <c r="T435" s="78" t="n">
        <v>3</v>
      </c>
      <c r="U435" s="78" t="n">
        <v>2</v>
      </c>
      <c r="V435" s="78" t="inlineStr">
        <is>
          <t>계단식</t>
        </is>
      </c>
      <c r="W435" s="78" t="inlineStr">
        <is>
          <t>73C</t>
        </is>
      </c>
      <c r="X435" s="78" t="n">
        <v>6</v>
      </c>
      <c r="Y435" s="78" t="n">
        <v>5</v>
      </c>
      <c r="Z435" s="78" t="inlineStr">
        <is>
          <t>https://new.land.naver.com/complexes/125052?tab=detail&amp;rf=Y</t>
        </is>
      </c>
      <c r="AA435" s="78" t="inlineStr">
        <is>
          <t>전라북도 군산시 서흥남동 855</t>
        </is>
      </c>
      <c r="AB435" s="78" t="inlineStr">
        <is>
          <t>전라북도</t>
        </is>
      </c>
      <c r="AC435" s="78" t="inlineStr">
        <is>
          <t>군산시</t>
        </is>
      </c>
      <c r="AD435" s="78" t="inlineStr">
        <is>
          <t>서흥남동</t>
        </is>
      </c>
      <c r="AG435" s="78" t="inlineStr">
        <is>
          <t>전라북도 군산시 동메2길 8</t>
        </is>
      </c>
      <c r="AH435" s="78" t="n">
        <v>0</v>
      </c>
      <c r="AI435" s="78" t="n">
        <v>242</v>
      </c>
      <c r="AJ435" s="78" t="n">
        <v>55</v>
      </c>
      <c r="AK435" s="78" t="n">
        <v>46</v>
      </c>
      <c r="AL435" s="78" t="n">
        <v>0.72</v>
      </c>
    </row>
    <row r="436">
      <c r="A436" s="78" t="inlineStr">
        <is>
          <t>[서흥남동]</t>
        </is>
      </c>
      <c r="B436" s="78" t="n">
        <v>125052</v>
      </c>
      <c r="C436" s="78" t="n">
        <v>16</v>
      </c>
      <c r="D436" s="78" t="inlineStr">
        <is>
          <t>수송파미유(도시형)</t>
        </is>
      </c>
      <c r="E436" s="78" t="inlineStr">
        <is>
          <t>2013.05.</t>
        </is>
      </c>
      <c r="F436" s="78" t="n">
        <v>64</v>
      </c>
      <c r="G436" s="78" t="n">
        <v>22.38</v>
      </c>
      <c r="H436" s="78" t="n">
        <v>74</v>
      </c>
      <c r="I436" s="78" t="n">
        <v>16.05</v>
      </c>
      <c r="J436" s="78" t="n">
        <v>53.06</v>
      </c>
      <c r="K436" s="78" t="n">
        <v>12</v>
      </c>
      <c r="T436" s="78" t="n">
        <v>3</v>
      </c>
      <c r="U436" s="78" t="n">
        <v>2</v>
      </c>
      <c r="V436" s="78" t="inlineStr">
        <is>
          <t>계단식</t>
        </is>
      </c>
      <c r="W436" s="78" t="inlineStr">
        <is>
          <t>74D</t>
        </is>
      </c>
      <c r="X436" s="78" t="n">
        <v>6</v>
      </c>
      <c r="Y436" s="78" t="n">
        <v>5</v>
      </c>
      <c r="Z436" s="78" t="inlineStr">
        <is>
          <t>https://new.land.naver.com/complexes/125052?tab=detail&amp;rf=Y</t>
        </is>
      </c>
      <c r="AA436" s="78" t="inlineStr">
        <is>
          <t>전라북도 군산시 서흥남동 855</t>
        </is>
      </c>
      <c r="AB436" s="78" t="inlineStr">
        <is>
          <t>전라북도</t>
        </is>
      </c>
      <c r="AC436" s="78" t="inlineStr">
        <is>
          <t>군산시</t>
        </is>
      </c>
      <c r="AD436" s="78" t="inlineStr">
        <is>
          <t>서흥남동</t>
        </is>
      </c>
      <c r="AG436" s="78" t="inlineStr">
        <is>
          <t>전라북도 군산시 동메2길 8</t>
        </is>
      </c>
      <c r="AH436" s="78" t="n">
        <v>0</v>
      </c>
      <c r="AI436" s="78" t="n">
        <v>242</v>
      </c>
      <c r="AJ436" s="78" t="n">
        <v>55</v>
      </c>
      <c r="AK436" s="78" t="n">
        <v>46</v>
      </c>
      <c r="AL436" s="78" t="n">
        <v>0.72</v>
      </c>
    </row>
    <row r="437">
      <c r="A437" s="78" t="inlineStr">
        <is>
          <t>[서흥남동]</t>
        </is>
      </c>
      <c r="B437" s="78" t="n">
        <v>125052</v>
      </c>
      <c r="C437" s="78" t="n">
        <v>17</v>
      </c>
      <c r="D437" s="78" t="inlineStr">
        <is>
          <t>수송파미유(도시형)</t>
        </is>
      </c>
      <c r="E437" s="78" t="inlineStr">
        <is>
          <t>2013.05.</t>
        </is>
      </c>
      <c r="F437" s="78" t="n">
        <v>64</v>
      </c>
      <c r="G437" s="78" t="n">
        <v>22.54</v>
      </c>
      <c r="H437" s="78" t="n">
        <v>74.53</v>
      </c>
      <c r="I437" s="78" t="n">
        <v>16.16</v>
      </c>
      <c r="J437" s="78" t="n">
        <v>53.44</v>
      </c>
      <c r="K437" s="78" t="n">
        <v>3</v>
      </c>
      <c r="T437" s="78" t="n">
        <v>3</v>
      </c>
      <c r="U437" s="78" t="n">
        <v>2</v>
      </c>
      <c r="V437" s="78" t="inlineStr">
        <is>
          <t>계단식</t>
        </is>
      </c>
      <c r="W437" s="78" t="inlineStr">
        <is>
          <t>74B</t>
        </is>
      </c>
      <c r="X437" s="78" t="n">
        <v>6</v>
      </c>
      <c r="Y437" s="78" t="n">
        <v>5</v>
      </c>
      <c r="Z437" s="78" t="inlineStr">
        <is>
          <t>https://new.land.naver.com/complexes/125052?tab=detail&amp;rf=Y</t>
        </is>
      </c>
      <c r="AA437" s="78" t="inlineStr">
        <is>
          <t>전라북도 군산시 서흥남동 855</t>
        </is>
      </c>
      <c r="AB437" s="78" t="inlineStr">
        <is>
          <t>전라북도</t>
        </is>
      </c>
      <c r="AC437" s="78" t="inlineStr">
        <is>
          <t>군산시</t>
        </is>
      </c>
      <c r="AD437" s="78" t="inlineStr">
        <is>
          <t>서흥남동</t>
        </is>
      </c>
      <c r="AG437" s="78" t="inlineStr">
        <is>
          <t>전라북도 군산시 동메2길 8</t>
        </is>
      </c>
      <c r="AH437" s="78" t="n">
        <v>0</v>
      </c>
      <c r="AI437" s="78" t="n">
        <v>242</v>
      </c>
      <c r="AJ437" s="78" t="n">
        <v>55</v>
      </c>
      <c r="AK437" s="78" t="n">
        <v>46</v>
      </c>
      <c r="AL437" s="78" t="n">
        <v>0.72</v>
      </c>
    </row>
    <row r="438">
      <c r="A438" s="78" t="inlineStr">
        <is>
          <t>[서흥남동]</t>
        </is>
      </c>
      <c r="B438" s="78" t="n">
        <v>125052</v>
      </c>
      <c r="C438" s="78" t="n">
        <v>18</v>
      </c>
      <c r="D438" s="78" t="inlineStr">
        <is>
          <t>수송파미유(도시형)</t>
        </is>
      </c>
      <c r="E438" s="78" t="inlineStr">
        <is>
          <t>2013.05.</t>
        </is>
      </c>
      <c r="F438" s="78" t="n">
        <v>64</v>
      </c>
      <c r="G438" s="78" t="n">
        <v>23.2</v>
      </c>
      <c r="H438" s="78" t="n">
        <v>76.7</v>
      </c>
      <c r="I438" s="78" t="n">
        <v>16.05</v>
      </c>
      <c r="J438" s="78" t="n">
        <v>53.06</v>
      </c>
      <c r="K438" s="78" t="n">
        <v>12</v>
      </c>
      <c r="T438" s="78" t="n">
        <v>3</v>
      </c>
      <c r="U438" s="78" t="n">
        <v>2</v>
      </c>
      <c r="V438" s="78" t="inlineStr">
        <is>
          <t>계단식</t>
        </is>
      </c>
      <c r="W438" s="78" t="inlineStr">
        <is>
          <t>76A</t>
        </is>
      </c>
      <c r="X438" s="78" t="n">
        <v>6</v>
      </c>
      <c r="Y438" s="78" t="n">
        <v>5</v>
      </c>
      <c r="Z438" s="78" t="inlineStr">
        <is>
          <t>https://new.land.naver.com/complexes/125052?tab=detail&amp;rf=Y</t>
        </is>
      </c>
      <c r="AA438" s="78" t="inlineStr">
        <is>
          <t>전라북도 군산시 서흥남동 855</t>
        </is>
      </c>
      <c r="AB438" s="78" t="inlineStr">
        <is>
          <t>전라북도</t>
        </is>
      </c>
      <c r="AC438" s="78" t="inlineStr">
        <is>
          <t>군산시</t>
        </is>
      </c>
      <c r="AD438" s="78" t="inlineStr">
        <is>
          <t>서흥남동</t>
        </is>
      </c>
      <c r="AG438" s="78" t="inlineStr">
        <is>
          <t>전라북도 군산시 동메2길 8</t>
        </is>
      </c>
      <c r="AH438" s="78" t="n">
        <v>0</v>
      </c>
      <c r="AI438" s="78" t="n">
        <v>242</v>
      </c>
      <c r="AJ438" s="78" t="n">
        <v>55</v>
      </c>
      <c r="AK438" s="78" t="n">
        <v>46</v>
      </c>
      <c r="AL438" s="78" t="n">
        <v>0.72</v>
      </c>
    </row>
    <row r="439">
      <c r="A439" s="78" t="inlineStr">
        <is>
          <t>[서흥남동]</t>
        </is>
      </c>
      <c r="B439" s="78" t="n">
        <v>125052</v>
      </c>
      <c r="C439" s="78" t="n">
        <v>19</v>
      </c>
      <c r="D439" s="78" t="inlineStr">
        <is>
          <t>수송파미유(도시형)</t>
        </is>
      </c>
      <c r="E439" s="78" t="inlineStr">
        <is>
          <t>2013.05.</t>
        </is>
      </c>
      <c r="F439" s="78" t="n">
        <v>64</v>
      </c>
      <c r="G439" s="78" t="n">
        <v>28.42</v>
      </c>
      <c r="H439" s="78" t="n">
        <v>93.97</v>
      </c>
      <c r="I439" s="78" t="n">
        <v>20.38</v>
      </c>
      <c r="J439" s="78" t="n">
        <v>67.38</v>
      </c>
      <c r="K439" s="78" t="n">
        <v>1</v>
      </c>
      <c r="T439" s="78" t="n">
        <v>3</v>
      </c>
      <c r="U439" s="78" t="n">
        <v>2</v>
      </c>
      <c r="V439" s="78" t="inlineStr">
        <is>
          <t>계단식</t>
        </is>
      </c>
      <c r="W439" s="78" t="n">
        <v>93</v>
      </c>
      <c r="X439" s="78" t="n">
        <v>6</v>
      </c>
      <c r="Y439" s="78" t="n">
        <v>5</v>
      </c>
      <c r="Z439" s="78" t="inlineStr">
        <is>
          <t>https://new.land.naver.com/complexes/125052?tab=detail&amp;rf=Y</t>
        </is>
      </c>
      <c r="AA439" s="78" t="inlineStr">
        <is>
          <t>전라북도 군산시 서흥남동 855</t>
        </is>
      </c>
      <c r="AB439" s="78" t="inlineStr">
        <is>
          <t>전라북도</t>
        </is>
      </c>
      <c r="AC439" s="78" t="inlineStr">
        <is>
          <t>군산시</t>
        </is>
      </c>
      <c r="AD439" s="78" t="inlineStr">
        <is>
          <t>서흥남동</t>
        </is>
      </c>
      <c r="AG439" s="78" t="inlineStr">
        <is>
          <t>전라북도 군산시 동메2길 8</t>
        </is>
      </c>
      <c r="AH439" s="78" t="n">
        <v>0</v>
      </c>
      <c r="AI439" s="78" t="n">
        <v>242</v>
      </c>
      <c r="AJ439" s="78" t="n">
        <v>55</v>
      </c>
      <c r="AK439" s="78" t="n">
        <v>46</v>
      </c>
      <c r="AL439" s="78" t="n">
        <v>0.72</v>
      </c>
    </row>
    <row r="440">
      <c r="A440" s="78" t="inlineStr">
        <is>
          <t>[서흥남동]</t>
        </is>
      </c>
      <c r="B440" s="78" t="n">
        <v>16994</v>
      </c>
      <c r="C440" s="78" t="n">
        <v>1</v>
      </c>
      <c r="D440" s="78" t="inlineStr">
        <is>
          <t>고려타운</t>
        </is>
      </c>
      <c r="E440" s="78" t="inlineStr">
        <is>
          <t>1992.05.</t>
        </is>
      </c>
      <c r="F440" s="78" t="n">
        <v>226</v>
      </c>
      <c r="G440" s="78" t="n">
        <v>17.01</v>
      </c>
      <c r="H440" s="78" t="n">
        <v>56.26</v>
      </c>
      <c r="I440" s="78" t="n">
        <v>13.04</v>
      </c>
      <c r="J440" s="78" t="n">
        <v>43.14</v>
      </c>
      <c r="K440" s="78" t="n">
        <v>12</v>
      </c>
      <c r="T440" s="78" t="n">
        <v>2</v>
      </c>
      <c r="U440" s="78" t="n">
        <v>1</v>
      </c>
      <c r="V440" s="78" t="inlineStr">
        <is>
          <t>계단식</t>
        </is>
      </c>
      <c r="W440" s="78" t="n">
        <v>56</v>
      </c>
      <c r="X440" s="78" t="n">
        <v>6</v>
      </c>
      <c r="Y440" s="78" t="n">
        <v>5</v>
      </c>
      <c r="Z440" s="78" t="inlineStr">
        <is>
          <t>https://new.land.naver.com/complexes/16994?tab=detail&amp;rf=Y</t>
        </is>
      </c>
      <c r="AA440" s="78" t="inlineStr">
        <is>
          <t>전라북도 군산시 서흥남동 818-2</t>
        </is>
      </c>
      <c r="AB440" s="78" t="inlineStr">
        <is>
          <t>전라북도</t>
        </is>
      </c>
      <c r="AC440" s="78" t="inlineStr">
        <is>
          <t>군산시</t>
        </is>
      </c>
      <c r="AD440" s="78" t="inlineStr">
        <is>
          <t>서흥남동</t>
        </is>
      </c>
      <c r="AG440" s="78" t="inlineStr">
        <is>
          <t>전라북도 군산시 서흥2길 56</t>
        </is>
      </c>
      <c r="AH440" s="78" t="n">
        <v>0</v>
      </c>
      <c r="AI440" s="78" t="n">
        <v>0</v>
      </c>
      <c r="AJ440" s="78" t="n">
        <v>0</v>
      </c>
      <c r="AK440" s="78" t="n">
        <v>0</v>
      </c>
      <c r="AL440" s="78" t="n">
        <v>0</v>
      </c>
    </row>
    <row r="441">
      <c r="A441" s="78" t="inlineStr">
        <is>
          <t>[서흥남동]</t>
        </is>
      </c>
      <c r="B441" s="78" t="n">
        <v>16994</v>
      </c>
      <c r="C441" s="78" t="n">
        <v>2</v>
      </c>
      <c r="D441" s="78" t="inlineStr">
        <is>
          <t>고려타운</t>
        </is>
      </c>
      <c r="E441" s="78" t="inlineStr">
        <is>
          <t>1992.05.</t>
        </is>
      </c>
      <c r="F441" s="78" t="n">
        <v>226</v>
      </c>
      <c r="G441" s="78" t="n">
        <v>19.59</v>
      </c>
      <c r="H441" s="78" t="n">
        <v>64.79000000000001</v>
      </c>
      <c r="I441" s="78" t="n">
        <v>14.81</v>
      </c>
      <c r="J441" s="78" t="n">
        <v>48.99</v>
      </c>
      <c r="K441" s="78" t="n">
        <v>20</v>
      </c>
      <c r="T441" s="78" t="n">
        <v>2</v>
      </c>
      <c r="U441" s="78" t="n">
        <v>1</v>
      </c>
      <c r="V441" s="78" t="inlineStr">
        <is>
          <t>계단식</t>
        </is>
      </c>
      <c r="W441" s="78" t="n">
        <v>64</v>
      </c>
      <c r="X441" s="78" t="n">
        <v>6</v>
      </c>
      <c r="Y441" s="78" t="n">
        <v>5</v>
      </c>
      <c r="Z441" s="78" t="inlineStr">
        <is>
          <t>https://new.land.naver.com/complexes/16994?tab=detail&amp;rf=Y</t>
        </is>
      </c>
      <c r="AA441" s="78" t="inlineStr">
        <is>
          <t>전라북도 군산시 서흥남동 818-2</t>
        </is>
      </c>
      <c r="AB441" s="78" t="inlineStr">
        <is>
          <t>전라북도</t>
        </is>
      </c>
      <c r="AC441" s="78" t="inlineStr">
        <is>
          <t>군산시</t>
        </is>
      </c>
      <c r="AD441" s="78" t="inlineStr">
        <is>
          <t>서흥남동</t>
        </is>
      </c>
      <c r="AG441" s="78" t="inlineStr">
        <is>
          <t>전라북도 군산시 서흥2길 56</t>
        </is>
      </c>
      <c r="AH441" s="78" t="n">
        <v>0</v>
      </c>
      <c r="AI441" s="78" t="n">
        <v>0</v>
      </c>
      <c r="AJ441" s="78" t="n">
        <v>0</v>
      </c>
      <c r="AK441" s="78" t="n">
        <v>0</v>
      </c>
      <c r="AL441" s="78" t="n">
        <v>0</v>
      </c>
    </row>
    <row r="442">
      <c r="A442" s="78" t="inlineStr">
        <is>
          <t>[서흥남동]</t>
        </is>
      </c>
      <c r="B442" s="78" t="n">
        <v>16994</v>
      </c>
      <c r="C442" s="78" t="n">
        <v>3</v>
      </c>
      <c r="D442" s="78" t="inlineStr">
        <is>
          <t>고려타운</t>
        </is>
      </c>
      <c r="E442" s="78" t="inlineStr">
        <is>
          <t>1992.05.</t>
        </is>
      </c>
      <c r="F442" s="78" t="n">
        <v>226</v>
      </c>
      <c r="G442" s="78" t="n">
        <v>22.57</v>
      </c>
      <c r="H442" s="78" t="n">
        <v>74.64</v>
      </c>
      <c r="I442" s="78" t="n">
        <v>17.79</v>
      </c>
      <c r="J442" s="78" t="n">
        <v>58.83</v>
      </c>
      <c r="K442" s="78" t="n">
        <v>18</v>
      </c>
      <c r="T442" s="78" t="n">
        <v>3</v>
      </c>
      <c r="U442" s="78" t="n">
        <v>2</v>
      </c>
      <c r="V442" s="78" t="inlineStr">
        <is>
          <t>계단식</t>
        </is>
      </c>
      <c r="W442" s="78" t="inlineStr">
        <is>
          <t>74A</t>
        </is>
      </c>
      <c r="X442" s="78" t="n">
        <v>6</v>
      </c>
      <c r="Y442" s="78" t="n">
        <v>5</v>
      </c>
      <c r="Z442" s="78" t="inlineStr">
        <is>
          <t>https://new.land.naver.com/complexes/16994?tab=detail&amp;rf=Y</t>
        </is>
      </c>
      <c r="AA442" s="78" t="inlineStr">
        <is>
          <t>전라북도 군산시 서흥남동 818-2</t>
        </is>
      </c>
      <c r="AB442" s="78" t="inlineStr">
        <is>
          <t>전라북도</t>
        </is>
      </c>
      <c r="AC442" s="78" t="inlineStr">
        <is>
          <t>군산시</t>
        </is>
      </c>
      <c r="AD442" s="78" t="inlineStr">
        <is>
          <t>서흥남동</t>
        </is>
      </c>
      <c r="AG442" s="78" t="inlineStr">
        <is>
          <t>전라북도 군산시 서흥2길 56</t>
        </is>
      </c>
      <c r="AH442" s="78" t="n">
        <v>0</v>
      </c>
      <c r="AI442" s="78" t="n">
        <v>0</v>
      </c>
      <c r="AJ442" s="78" t="n">
        <v>0</v>
      </c>
      <c r="AK442" s="78" t="n">
        <v>0</v>
      </c>
      <c r="AL442" s="78" t="n">
        <v>0</v>
      </c>
    </row>
    <row r="443">
      <c r="A443" s="78" t="inlineStr">
        <is>
          <t>[서흥남동]</t>
        </is>
      </c>
      <c r="B443" s="78" t="n">
        <v>16994</v>
      </c>
      <c r="C443" s="78" t="n">
        <v>4</v>
      </c>
      <c r="D443" s="78" t="inlineStr">
        <is>
          <t>고려타운</t>
        </is>
      </c>
      <c r="E443" s="78" t="inlineStr">
        <is>
          <t>1992.05.</t>
        </is>
      </c>
      <c r="F443" s="78" t="n">
        <v>226</v>
      </c>
      <c r="G443" s="78" t="n">
        <v>23.25</v>
      </c>
      <c r="H443" s="78" t="n">
        <v>76.87</v>
      </c>
      <c r="I443" s="78" t="n">
        <v>18</v>
      </c>
      <c r="J443" s="78" t="n">
        <v>59.52</v>
      </c>
      <c r="K443" s="78" t="n">
        <v>56</v>
      </c>
      <c r="T443" s="78" t="n">
        <v>3</v>
      </c>
      <c r="U443" s="78" t="n">
        <v>2</v>
      </c>
      <c r="V443" s="78" t="inlineStr">
        <is>
          <t>계단식</t>
        </is>
      </c>
      <c r="W443" s="78" t="inlineStr">
        <is>
          <t>76C</t>
        </is>
      </c>
      <c r="X443" s="78" t="n">
        <v>6</v>
      </c>
      <c r="Y443" s="78" t="n">
        <v>5</v>
      </c>
      <c r="Z443" s="78" t="inlineStr">
        <is>
          <t>https://new.land.naver.com/complexes/16994?tab=detail&amp;rf=Y</t>
        </is>
      </c>
      <c r="AA443" s="78" t="inlineStr">
        <is>
          <t>전라북도 군산시 서흥남동 818-2</t>
        </is>
      </c>
      <c r="AB443" s="78" t="inlineStr">
        <is>
          <t>전라북도</t>
        </is>
      </c>
      <c r="AC443" s="78" t="inlineStr">
        <is>
          <t>군산시</t>
        </is>
      </c>
      <c r="AD443" s="78" t="inlineStr">
        <is>
          <t>서흥남동</t>
        </is>
      </c>
      <c r="AG443" s="78" t="inlineStr">
        <is>
          <t>전라북도 군산시 서흥2길 56</t>
        </is>
      </c>
      <c r="AH443" s="78" t="n">
        <v>0</v>
      </c>
      <c r="AI443" s="78" t="n">
        <v>0</v>
      </c>
      <c r="AJ443" s="78" t="n">
        <v>0</v>
      </c>
      <c r="AK443" s="78" t="n">
        <v>0</v>
      </c>
      <c r="AL443" s="78" t="n">
        <v>0</v>
      </c>
    </row>
    <row r="444">
      <c r="A444" s="78" t="inlineStr">
        <is>
          <t>[서흥남동]</t>
        </is>
      </c>
      <c r="B444" s="78" t="n">
        <v>16994</v>
      </c>
      <c r="C444" s="78" t="n">
        <v>5</v>
      </c>
      <c r="D444" s="78" t="inlineStr">
        <is>
          <t>고려타운</t>
        </is>
      </c>
      <c r="E444" s="78" t="inlineStr">
        <is>
          <t>1992.05.</t>
        </is>
      </c>
      <c r="F444" s="78" t="n">
        <v>226</v>
      </c>
      <c r="G444" s="78" t="n">
        <v>23.44</v>
      </c>
      <c r="H444" s="78" t="n">
        <v>77.52</v>
      </c>
      <c r="I444" s="78" t="n">
        <v>18.06</v>
      </c>
      <c r="J444" s="78" t="n">
        <v>59.73</v>
      </c>
      <c r="K444" s="78" t="n">
        <v>60</v>
      </c>
      <c r="T444" s="78" t="n">
        <v>3</v>
      </c>
      <c r="U444" s="78" t="n">
        <v>2</v>
      </c>
      <c r="V444" s="78" t="inlineStr">
        <is>
          <t>계단식</t>
        </is>
      </c>
      <c r="W444" s="78" t="inlineStr">
        <is>
          <t>77B</t>
        </is>
      </c>
      <c r="X444" s="78" t="n">
        <v>6</v>
      </c>
      <c r="Y444" s="78" t="n">
        <v>5</v>
      </c>
      <c r="Z444" s="78" t="inlineStr">
        <is>
          <t>https://new.land.naver.com/complexes/16994?tab=detail&amp;rf=Y</t>
        </is>
      </c>
      <c r="AA444" s="78" t="inlineStr">
        <is>
          <t>전라북도 군산시 서흥남동 818-2</t>
        </is>
      </c>
      <c r="AB444" s="78" t="inlineStr">
        <is>
          <t>전라북도</t>
        </is>
      </c>
      <c r="AC444" s="78" t="inlineStr">
        <is>
          <t>군산시</t>
        </is>
      </c>
      <c r="AD444" s="78" t="inlineStr">
        <is>
          <t>서흥남동</t>
        </is>
      </c>
      <c r="AG444" s="78" t="inlineStr">
        <is>
          <t>전라북도 군산시 서흥2길 56</t>
        </is>
      </c>
      <c r="AH444" s="78" t="n">
        <v>0</v>
      </c>
      <c r="AI444" s="78" t="n">
        <v>0</v>
      </c>
      <c r="AJ444" s="78" t="n">
        <v>0</v>
      </c>
      <c r="AK444" s="78" t="n">
        <v>0</v>
      </c>
      <c r="AL444" s="78" t="n">
        <v>0</v>
      </c>
    </row>
    <row r="445">
      <c r="A445" s="78" t="inlineStr">
        <is>
          <t>[서흥남동]</t>
        </is>
      </c>
      <c r="B445" s="78" t="n">
        <v>16994</v>
      </c>
      <c r="C445" s="78" t="n">
        <v>6</v>
      </c>
      <c r="D445" s="78" t="inlineStr">
        <is>
          <t>고려타운</t>
        </is>
      </c>
      <c r="E445" s="78" t="inlineStr">
        <is>
          <t>1992.05.</t>
        </is>
      </c>
      <c r="F445" s="78" t="n">
        <v>226</v>
      </c>
      <c r="G445" s="78" t="n">
        <v>23.43</v>
      </c>
      <c r="H445" s="78" t="n">
        <v>77.45999999999999</v>
      </c>
      <c r="I445" s="78" t="n">
        <v>18</v>
      </c>
      <c r="J445" s="78" t="n">
        <v>59.52</v>
      </c>
      <c r="K445" s="78" t="n">
        <v>20</v>
      </c>
      <c r="T445" s="78" t="n">
        <v>3</v>
      </c>
      <c r="U445" s="78" t="n">
        <v>2</v>
      </c>
      <c r="V445" s="78" t="inlineStr">
        <is>
          <t>계단식</t>
        </is>
      </c>
      <c r="W445" s="78" t="inlineStr">
        <is>
          <t>77D</t>
        </is>
      </c>
      <c r="X445" s="78" t="n">
        <v>6</v>
      </c>
      <c r="Y445" s="78" t="n">
        <v>5</v>
      </c>
      <c r="Z445" s="78" t="inlineStr">
        <is>
          <t>https://new.land.naver.com/complexes/16994?tab=detail&amp;rf=Y</t>
        </is>
      </c>
      <c r="AA445" s="78" t="inlineStr">
        <is>
          <t>전라북도 군산시 서흥남동 818-2</t>
        </is>
      </c>
      <c r="AB445" s="78" t="inlineStr">
        <is>
          <t>전라북도</t>
        </is>
      </c>
      <c r="AC445" s="78" t="inlineStr">
        <is>
          <t>군산시</t>
        </is>
      </c>
      <c r="AD445" s="78" t="inlineStr">
        <is>
          <t>서흥남동</t>
        </is>
      </c>
      <c r="AG445" s="78" t="inlineStr">
        <is>
          <t>전라북도 군산시 서흥2길 56</t>
        </is>
      </c>
      <c r="AH445" s="78" t="n">
        <v>0</v>
      </c>
      <c r="AI445" s="78" t="n">
        <v>0</v>
      </c>
      <c r="AJ445" s="78" t="n">
        <v>0</v>
      </c>
      <c r="AK445" s="78" t="n">
        <v>0</v>
      </c>
      <c r="AL445" s="78" t="n">
        <v>0</v>
      </c>
    </row>
    <row r="446">
      <c r="A446" s="78" t="inlineStr">
        <is>
          <t>[서흥남동]</t>
        </is>
      </c>
      <c r="B446" s="78" t="n">
        <v>16994</v>
      </c>
      <c r="C446" s="78" t="n">
        <v>7</v>
      </c>
      <c r="D446" s="78" t="inlineStr">
        <is>
          <t>고려타운</t>
        </is>
      </c>
      <c r="E446" s="78" t="inlineStr">
        <is>
          <t>1992.05.</t>
        </is>
      </c>
      <c r="F446" s="78" t="n">
        <v>226</v>
      </c>
      <c r="G446" s="78" t="n">
        <v>31.71</v>
      </c>
      <c r="H446" s="78" t="n">
        <v>104.85</v>
      </c>
      <c r="I446" s="78" t="n">
        <v>25.63</v>
      </c>
      <c r="J446" s="78" t="n">
        <v>84.75</v>
      </c>
      <c r="K446" s="78" t="n">
        <v>6</v>
      </c>
      <c r="T446" s="78" t="n">
        <v>3</v>
      </c>
      <c r="U446" s="78" t="n">
        <v>2</v>
      </c>
      <c r="V446" s="78" t="inlineStr">
        <is>
          <t>계단식</t>
        </is>
      </c>
      <c r="W446" s="78" t="inlineStr">
        <is>
          <t>104B</t>
        </is>
      </c>
      <c r="X446" s="78" t="n">
        <v>6</v>
      </c>
      <c r="Y446" s="78" t="n">
        <v>5</v>
      </c>
      <c r="Z446" s="78" t="inlineStr">
        <is>
          <t>https://new.land.naver.com/complexes/16994?tab=detail&amp;rf=Y</t>
        </is>
      </c>
      <c r="AA446" s="78" t="inlineStr">
        <is>
          <t>전라북도 군산시 서흥남동 818-2</t>
        </is>
      </c>
      <c r="AB446" s="78" t="inlineStr">
        <is>
          <t>전라북도</t>
        </is>
      </c>
      <c r="AC446" s="78" t="inlineStr">
        <is>
          <t>군산시</t>
        </is>
      </c>
      <c r="AD446" s="78" t="inlineStr">
        <is>
          <t>서흥남동</t>
        </is>
      </c>
      <c r="AG446" s="78" t="inlineStr">
        <is>
          <t>전라북도 군산시 서흥2길 56</t>
        </is>
      </c>
      <c r="AH446" s="78" t="n">
        <v>0</v>
      </c>
      <c r="AI446" s="78" t="n">
        <v>0</v>
      </c>
      <c r="AJ446" s="78" t="n">
        <v>0</v>
      </c>
      <c r="AK446" s="78" t="n">
        <v>0</v>
      </c>
      <c r="AL446" s="78" t="n">
        <v>0</v>
      </c>
    </row>
    <row r="447">
      <c r="A447" s="78" t="inlineStr">
        <is>
          <t>[서흥남동]</t>
        </is>
      </c>
      <c r="B447" s="78" t="n">
        <v>16994</v>
      </c>
      <c r="C447" s="78" t="n">
        <v>8</v>
      </c>
      <c r="D447" s="78" t="inlineStr">
        <is>
          <t>고려타운</t>
        </is>
      </c>
      <c r="E447" s="78" t="inlineStr">
        <is>
          <t>1992.05.</t>
        </is>
      </c>
      <c r="F447" s="78" t="n">
        <v>226</v>
      </c>
      <c r="G447" s="78" t="n">
        <v>31.87</v>
      </c>
      <c r="H447" s="78" t="n">
        <v>105.37</v>
      </c>
      <c r="I447" s="78" t="n">
        <v>25.57</v>
      </c>
      <c r="J447" s="78" t="n">
        <v>84.55</v>
      </c>
      <c r="K447" s="78" t="n">
        <v>24</v>
      </c>
      <c r="T447" s="78" t="n">
        <v>3</v>
      </c>
      <c r="U447" s="78" t="n">
        <v>2</v>
      </c>
      <c r="V447" s="78" t="inlineStr">
        <is>
          <t>계단식</t>
        </is>
      </c>
      <c r="W447" s="78" t="inlineStr">
        <is>
          <t>105A</t>
        </is>
      </c>
      <c r="X447" s="78" t="n">
        <v>6</v>
      </c>
      <c r="Y447" s="78" t="n">
        <v>5</v>
      </c>
      <c r="Z447" s="78" t="inlineStr">
        <is>
          <t>https://new.land.naver.com/complexes/16994?tab=detail&amp;rf=Y</t>
        </is>
      </c>
      <c r="AA447" s="78" t="inlineStr">
        <is>
          <t>전라북도 군산시 서흥남동 818-2</t>
        </is>
      </c>
      <c r="AB447" s="78" t="inlineStr">
        <is>
          <t>전라북도</t>
        </is>
      </c>
      <c r="AC447" s="78" t="inlineStr">
        <is>
          <t>군산시</t>
        </is>
      </c>
      <c r="AD447" s="78" t="inlineStr">
        <is>
          <t>서흥남동</t>
        </is>
      </c>
      <c r="AG447" s="78" t="inlineStr">
        <is>
          <t>전라북도 군산시 서흥2길 56</t>
        </is>
      </c>
      <c r="AH447" s="78" t="n">
        <v>0</v>
      </c>
      <c r="AI447" s="78" t="n">
        <v>0</v>
      </c>
      <c r="AJ447" s="78" t="n">
        <v>0</v>
      </c>
      <c r="AK447" s="78" t="n">
        <v>0</v>
      </c>
      <c r="AL447" s="78" t="n">
        <v>0</v>
      </c>
    </row>
    <row r="448">
      <c r="A448" s="78" t="inlineStr">
        <is>
          <t>[서흥남동]</t>
        </is>
      </c>
      <c r="B448" s="78" t="n">
        <v>16994</v>
      </c>
      <c r="C448" s="78" t="n">
        <v>9</v>
      </c>
      <c r="D448" s="78" t="inlineStr">
        <is>
          <t>고려타운</t>
        </is>
      </c>
      <c r="E448" s="78" t="inlineStr">
        <is>
          <t>1992.05.</t>
        </is>
      </c>
      <c r="F448" s="78" t="n">
        <v>226</v>
      </c>
      <c r="G448" s="78" t="n">
        <v>33.27</v>
      </c>
      <c r="H448" s="78" t="n">
        <v>109.99</v>
      </c>
      <c r="I448" s="78" t="n">
        <v>24.39</v>
      </c>
      <c r="J448" s="78" t="n">
        <v>80.63</v>
      </c>
      <c r="K448" s="78" t="n">
        <v>5</v>
      </c>
      <c r="T448" s="78" t="n">
        <v>3</v>
      </c>
      <c r="U448" s="78" t="n">
        <v>2</v>
      </c>
      <c r="V448" s="78" t="inlineStr">
        <is>
          <t>복도식</t>
        </is>
      </c>
      <c r="W448" s="78" t="n">
        <v>109</v>
      </c>
      <c r="X448" s="78" t="n">
        <v>6</v>
      </c>
      <c r="Y448" s="78" t="n">
        <v>5</v>
      </c>
      <c r="Z448" s="78" t="inlineStr">
        <is>
          <t>https://new.land.naver.com/complexes/16994?tab=detail&amp;rf=Y</t>
        </is>
      </c>
      <c r="AA448" s="78" t="inlineStr">
        <is>
          <t>전라북도 군산시 서흥남동 818-2</t>
        </is>
      </c>
      <c r="AB448" s="78" t="inlineStr">
        <is>
          <t>전라북도</t>
        </is>
      </c>
      <c r="AC448" s="78" t="inlineStr">
        <is>
          <t>군산시</t>
        </is>
      </c>
      <c r="AD448" s="78" t="inlineStr">
        <is>
          <t>서흥남동</t>
        </is>
      </c>
      <c r="AG448" s="78" t="inlineStr">
        <is>
          <t>전라북도 군산시 서흥2길 56</t>
        </is>
      </c>
      <c r="AH448" s="78" t="n">
        <v>0</v>
      </c>
      <c r="AI448" s="78" t="n">
        <v>0</v>
      </c>
      <c r="AJ448" s="78" t="n">
        <v>0</v>
      </c>
      <c r="AK448" s="78" t="n">
        <v>0</v>
      </c>
      <c r="AL448" s="78" t="n">
        <v>0</v>
      </c>
    </row>
    <row r="449">
      <c r="A449" s="78" t="inlineStr">
        <is>
          <t>[서흥남동]</t>
        </is>
      </c>
      <c r="B449" s="78" t="n">
        <v>16994</v>
      </c>
      <c r="C449" s="78" t="n">
        <v>10</v>
      </c>
      <c r="D449" s="78" t="inlineStr">
        <is>
          <t>고려타운</t>
        </is>
      </c>
      <c r="E449" s="78" t="inlineStr">
        <is>
          <t>1992.05.</t>
        </is>
      </c>
      <c r="F449" s="78" t="n">
        <v>226</v>
      </c>
      <c r="G449" s="78" t="n">
        <v>33.51</v>
      </c>
      <c r="H449" s="78" t="n">
        <v>110.8</v>
      </c>
      <c r="I449" s="78" t="n">
        <v>24.58</v>
      </c>
      <c r="J449" s="78" t="n">
        <v>81.28</v>
      </c>
      <c r="K449" s="78" t="n">
        <v>5</v>
      </c>
      <c r="T449" s="78" t="n">
        <v>3</v>
      </c>
      <c r="U449" s="78" t="n">
        <v>2</v>
      </c>
      <c r="V449" s="78" t="inlineStr">
        <is>
          <t>복도식</t>
        </is>
      </c>
      <c r="W449" s="78" t="n">
        <v>110</v>
      </c>
      <c r="X449" s="78" t="n">
        <v>6</v>
      </c>
      <c r="Y449" s="78" t="n">
        <v>5</v>
      </c>
      <c r="Z449" s="78" t="inlineStr">
        <is>
          <t>https://new.land.naver.com/complexes/16994?tab=detail&amp;rf=Y</t>
        </is>
      </c>
      <c r="AA449" s="78" t="inlineStr">
        <is>
          <t>전라북도 군산시 서흥남동 818-2</t>
        </is>
      </c>
      <c r="AB449" s="78" t="inlineStr">
        <is>
          <t>전라북도</t>
        </is>
      </c>
      <c r="AC449" s="78" t="inlineStr">
        <is>
          <t>군산시</t>
        </is>
      </c>
      <c r="AD449" s="78" t="inlineStr">
        <is>
          <t>서흥남동</t>
        </is>
      </c>
      <c r="AG449" s="78" t="inlineStr">
        <is>
          <t>전라북도 군산시 서흥2길 56</t>
        </is>
      </c>
      <c r="AH449" s="78" t="n">
        <v>0</v>
      </c>
      <c r="AI449" s="78" t="n">
        <v>0</v>
      </c>
      <c r="AJ449" s="78" t="n">
        <v>0</v>
      </c>
      <c r="AK449" s="78" t="n">
        <v>0</v>
      </c>
      <c r="AL449" s="78" t="n">
        <v>0</v>
      </c>
    </row>
    <row r="450">
      <c r="A450" s="78" t="inlineStr">
        <is>
          <t>[소룡동]</t>
        </is>
      </c>
      <c r="B450" s="78" t="n">
        <v>11526</v>
      </c>
      <c r="C450" s="78" t="n">
        <v>1</v>
      </c>
      <c r="D450" s="78" t="inlineStr">
        <is>
          <t>군산성원</t>
        </is>
      </c>
      <c r="E450" s="78" t="inlineStr">
        <is>
          <t>2004.07.</t>
        </is>
      </c>
      <c r="F450" s="78" t="n">
        <v>675</v>
      </c>
      <c r="G450" s="78" t="n">
        <v>22.69</v>
      </c>
      <c r="H450" s="78" t="n">
        <v>75.01000000000001</v>
      </c>
      <c r="I450" s="78" t="n">
        <v>18.05</v>
      </c>
      <c r="J450" s="78" t="n">
        <v>59.68</v>
      </c>
      <c r="K450" s="78" t="n">
        <v>270</v>
      </c>
      <c r="T450" s="78" t="n">
        <v>3</v>
      </c>
      <c r="U450" s="78" t="n">
        <v>1</v>
      </c>
      <c r="V450" s="78" t="inlineStr">
        <is>
          <t>계단식</t>
        </is>
      </c>
      <c r="W450" s="78" t="n">
        <v>75</v>
      </c>
      <c r="X450" s="78" t="n">
        <v>15</v>
      </c>
      <c r="Y450" s="78" t="n">
        <v>15</v>
      </c>
      <c r="Z450" s="78" t="inlineStr">
        <is>
          <t>https://new.land.naver.com/complexes/11526?tab=detail&amp;rf=Y</t>
        </is>
      </c>
      <c r="AA450" s="78" t="inlineStr">
        <is>
          <t>전라북도 군산시 소룡동 1010</t>
        </is>
      </c>
      <c r="AB450" s="78" t="inlineStr">
        <is>
          <t>전라북도</t>
        </is>
      </c>
      <c r="AC450" s="78" t="inlineStr">
        <is>
          <t>군산시</t>
        </is>
      </c>
      <c r="AD450" s="78" t="inlineStr">
        <is>
          <t>소룡동</t>
        </is>
      </c>
      <c r="AG450" s="78" t="inlineStr">
        <is>
          <t>전라북도 군산시 해망로 447</t>
        </is>
      </c>
      <c r="AH450" s="78" t="n">
        <v>0</v>
      </c>
      <c r="AI450" s="78" t="n">
        <v>173</v>
      </c>
      <c r="AJ450" s="78" t="n">
        <v>14</v>
      </c>
      <c r="AK450" s="78" t="n">
        <v>714</v>
      </c>
      <c r="AL450" s="78" t="n">
        <v>1.06</v>
      </c>
    </row>
    <row r="451">
      <c r="A451" s="78" t="inlineStr">
        <is>
          <t>[소룡동]</t>
        </is>
      </c>
      <c r="B451" s="78" t="n">
        <v>11526</v>
      </c>
      <c r="C451" s="78" t="n">
        <v>2</v>
      </c>
      <c r="D451" s="78" t="inlineStr">
        <is>
          <t>군산성원</t>
        </is>
      </c>
      <c r="E451" s="78" t="inlineStr">
        <is>
          <t>2004.07.</t>
        </is>
      </c>
      <c r="F451" s="78" t="n">
        <v>675</v>
      </c>
      <c r="G451" s="78" t="n">
        <v>32.29</v>
      </c>
      <c r="H451" s="78" t="n">
        <v>106.76</v>
      </c>
      <c r="I451" s="78" t="n">
        <v>25.69</v>
      </c>
      <c r="J451" s="78" t="n">
        <v>84.95</v>
      </c>
      <c r="K451" s="78" t="n">
        <v>405</v>
      </c>
      <c r="T451" s="78" t="n">
        <v>3</v>
      </c>
      <c r="U451" s="78" t="n">
        <v>2</v>
      </c>
      <c r="V451" s="78" t="inlineStr">
        <is>
          <t>계단식</t>
        </is>
      </c>
      <c r="W451" s="78" t="n">
        <v>106</v>
      </c>
      <c r="X451" s="78" t="n">
        <v>15</v>
      </c>
      <c r="Y451" s="78" t="n">
        <v>15</v>
      </c>
      <c r="Z451" s="78" t="inlineStr">
        <is>
          <t>https://new.land.naver.com/complexes/11526?tab=detail&amp;rf=Y</t>
        </is>
      </c>
      <c r="AA451" s="78" t="inlineStr">
        <is>
          <t>전라북도 군산시 소룡동 1010</t>
        </is>
      </c>
      <c r="AB451" s="78" t="inlineStr">
        <is>
          <t>전라북도</t>
        </is>
      </c>
      <c r="AC451" s="78" t="inlineStr">
        <is>
          <t>군산시</t>
        </is>
      </c>
      <c r="AD451" s="78" t="inlineStr">
        <is>
          <t>소룡동</t>
        </is>
      </c>
      <c r="AG451" s="78" t="inlineStr">
        <is>
          <t>전라북도 군산시 해망로 447</t>
        </is>
      </c>
      <c r="AH451" s="78" t="n">
        <v>0</v>
      </c>
      <c r="AI451" s="78" t="n">
        <v>173</v>
      </c>
      <c r="AJ451" s="78" t="n">
        <v>14</v>
      </c>
      <c r="AK451" s="78" t="n">
        <v>714</v>
      </c>
      <c r="AL451" s="78" t="n">
        <v>1.06</v>
      </c>
    </row>
    <row r="452">
      <c r="A452" s="78" t="inlineStr">
        <is>
          <t>[소룡동]</t>
        </is>
      </c>
      <c r="B452" s="78" t="n">
        <v>104844</v>
      </c>
      <c r="C452" s="78" t="n">
        <v>1</v>
      </c>
      <c r="D452" s="78" t="inlineStr">
        <is>
          <t>나우하이츠</t>
        </is>
      </c>
      <c r="E452" s="78" t="inlineStr">
        <is>
          <t>2001.07.</t>
        </is>
      </c>
      <c r="F452" s="78" t="n">
        <v>118</v>
      </c>
      <c r="G452" s="78" t="n">
        <v>30.21</v>
      </c>
      <c r="H452" s="78" t="n">
        <v>99.90000000000001</v>
      </c>
      <c r="I452" s="78" t="n">
        <v>22.67</v>
      </c>
      <c r="J452" s="78" t="n">
        <v>74.97</v>
      </c>
      <c r="K452" s="78" t="n">
        <v>118</v>
      </c>
      <c r="T452" s="78" t="n">
        <v>3</v>
      </c>
      <c r="U452" s="78" t="n">
        <v>2</v>
      </c>
      <c r="V452" s="78" t="inlineStr">
        <is>
          <t>계단식</t>
        </is>
      </c>
      <c r="W452" s="78" t="n">
        <v>99</v>
      </c>
      <c r="X452" s="78" t="n">
        <v>15</v>
      </c>
      <c r="Y452" s="78" t="n">
        <v>10</v>
      </c>
      <c r="Z452" s="78" t="inlineStr">
        <is>
          <t>https://new.land.naver.com/complexes/104844?tab=detail&amp;rf=Y</t>
        </is>
      </c>
      <c r="AA452" s="78" t="inlineStr">
        <is>
          <t>전라북도 군산시 소룡동 1347-12</t>
        </is>
      </c>
      <c r="AB452" s="78" t="inlineStr">
        <is>
          <t>전라북도</t>
        </is>
      </c>
      <c r="AC452" s="78" t="inlineStr">
        <is>
          <t>군산시</t>
        </is>
      </c>
      <c r="AD452" s="78" t="inlineStr">
        <is>
          <t>소룡동</t>
        </is>
      </c>
      <c r="AG452" s="78" t="inlineStr">
        <is>
          <t>전라북도 군산시 설림길 61</t>
        </is>
      </c>
      <c r="AH452" s="78" t="n">
        <v>0</v>
      </c>
      <c r="AI452" s="78" t="n">
        <v>271</v>
      </c>
      <c r="AJ452" s="78" t="n">
        <v>23</v>
      </c>
      <c r="AK452" s="78" t="n">
        <v>119</v>
      </c>
      <c r="AL452" s="78" t="n">
        <v>1.01</v>
      </c>
    </row>
    <row r="453">
      <c r="A453" s="78" t="inlineStr">
        <is>
          <t>[소룡동]</t>
        </is>
      </c>
      <c r="B453" s="78" t="n">
        <v>101215</v>
      </c>
      <c r="C453" s="78" t="n">
        <v>1</v>
      </c>
      <c r="D453" s="78" t="inlineStr">
        <is>
          <t>금강골드빌</t>
        </is>
      </c>
      <c r="E453" s="78" t="inlineStr">
        <is>
          <t>2003.02.</t>
        </is>
      </c>
      <c r="F453" s="78" t="n">
        <v>294</v>
      </c>
      <c r="G453" s="78" t="n">
        <v>34.36</v>
      </c>
      <c r="H453" s="78" t="n">
        <v>113.61</v>
      </c>
      <c r="I453" s="78" t="n">
        <v>25.63</v>
      </c>
      <c r="J453" s="78" t="n">
        <v>84.73999999999999</v>
      </c>
      <c r="K453" s="78" t="n">
        <v>294</v>
      </c>
      <c r="T453" s="78" t="n">
        <v>3</v>
      </c>
      <c r="U453" s="78" t="n">
        <v>2</v>
      </c>
      <c r="V453" s="78" t="inlineStr">
        <is>
          <t>계단식</t>
        </is>
      </c>
      <c r="W453" s="78" t="n">
        <v>113</v>
      </c>
      <c r="X453" s="78" t="n">
        <v>10</v>
      </c>
      <c r="Y453" s="78" t="n">
        <v>8</v>
      </c>
      <c r="Z453" s="78" t="inlineStr">
        <is>
          <t>https://new.land.naver.com/complexes/101215?tab=detail&amp;rf=Y</t>
        </is>
      </c>
      <c r="AA453" s="78" t="inlineStr">
        <is>
          <t>전라북도 군산시 소룡동 1349</t>
        </is>
      </c>
      <c r="AB453" s="78" t="inlineStr">
        <is>
          <t>전라북도</t>
        </is>
      </c>
      <c r="AC453" s="78" t="inlineStr">
        <is>
          <t>군산시</t>
        </is>
      </c>
      <c r="AD453" s="78" t="inlineStr">
        <is>
          <t>소룡동</t>
        </is>
      </c>
      <c r="AG453" s="78" t="inlineStr">
        <is>
          <t>전라북도 군산시 설림2길 33-1</t>
        </is>
      </c>
      <c r="AH453" s="78" t="n">
        <v>0</v>
      </c>
      <c r="AI453" s="78" t="n">
        <v>142</v>
      </c>
      <c r="AJ453" s="78" t="n">
        <v>21</v>
      </c>
      <c r="AK453" s="78" t="n">
        <v>299</v>
      </c>
      <c r="AL453" s="78" t="n">
        <v>1.02</v>
      </c>
    </row>
    <row r="454">
      <c r="A454" s="78" t="inlineStr">
        <is>
          <t>[소룡동]</t>
        </is>
      </c>
      <c r="B454" s="78" t="n">
        <v>5054</v>
      </c>
      <c r="C454" s="78" t="n">
        <v>1</v>
      </c>
      <c r="D454" s="78" t="inlineStr">
        <is>
          <t>그린서해맨션</t>
        </is>
      </c>
      <c r="E454" s="78" t="inlineStr">
        <is>
          <t>1993.12.</t>
        </is>
      </c>
      <c r="F454" s="78" t="n">
        <v>350</v>
      </c>
      <c r="G454" s="78" t="n">
        <v>23.53</v>
      </c>
      <c r="H454" s="78" t="n">
        <v>77.79000000000001</v>
      </c>
      <c r="I454" s="78" t="n">
        <v>17.96</v>
      </c>
      <c r="J454" s="78" t="n">
        <v>59.4</v>
      </c>
      <c r="K454" s="78" t="n">
        <v>174</v>
      </c>
      <c r="T454" s="78" t="n">
        <v>3</v>
      </c>
      <c r="U454" s="78" t="n">
        <v>1</v>
      </c>
      <c r="V454" s="78" t="inlineStr">
        <is>
          <t>복도식</t>
        </is>
      </c>
      <c r="W454" s="78" t="inlineStr">
        <is>
          <t>77A</t>
        </is>
      </c>
      <c r="X454" s="78" t="n">
        <v>15</v>
      </c>
      <c r="Y454" s="78" t="n">
        <v>10</v>
      </c>
      <c r="Z454" s="78" t="inlineStr">
        <is>
          <t>https://new.land.naver.com/complexes/5054?tab=detail&amp;rf=Y</t>
        </is>
      </c>
      <c r="AA454" s="78" t="inlineStr">
        <is>
          <t>전라북도 군산시 소룡동 857</t>
        </is>
      </c>
      <c r="AB454" s="78" t="inlineStr">
        <is>
          <t>전라북도</t>
        </is>
      </c>
      <c r="AC454" s="78" t="inlineStr">
        <is>
          <t>군산시</t>
        </is>
      </c>
      <c r="AD454" s="78" t="inlineStr">
        <is>
          <t>소룡동</t>
        </is>
      </c>
      <c r="AG454" s="78" t="inlineStr">
        <is>
          <t>전라북도 군산시 풍전3길 30</t>
        </is>
      </c>
      <c r="AH454" s="78" t="n">
        <v>0</v>
      </c>
      <c r="AI454" s="78" t="n">
        <v>247</v>
      </c>
      <c r="AJ454" s="78" t="n">
        <v>21</v>
      </c>
      <c r="AK454" s="78" t="n">
        <v>374</v>
      </c>
      <c r="AL454" s="78" t="n">
        <v>1.07</v>
      </c>
    </row>
    <row r="455">
      <c r="A455" s="78" t="inlineStr">
        <is>
          <t>[소룡동]</t>
        </is>
      </c>
      <c r="B455" s="78" t="n">
        <v>5054</v>
      </c>
      <c r="C455" s="78" t="n">
        <v>2</v>
      </c>
      <c r="D455" s="78" t="inlineStr">
        <is>
          <t>그린서해맨션</t>
        </is>
      </c>
      <c r="E455" s="78" t="inlineStr">
        <is>
          <t>1993.12.</t>
        </is>
      </c>
      <c r="F455" s="78" t="n">
        <v>350</v>
      </c>
      <c r="G455" s="78" t="n">
        <v>23.99</v>
      </c>
      <c r="H455" s="78" t="n">
        <v>79.33</v>
      </c>
      <c r="I455" s="78" t="n">
        <v>17.96</v>
      </c>
      <c r="J455" s="78" t="n">
        <v>59.4</v>
      </c>
      <c r="K455" s="78" t="n">
        <v>60</v>
      </c>
      <c r="T455" s="78" t="n">
        <v>3</v>
      </c>
      <c r="U455" s="78" t="n">
        <v>1</v>
      </c>
      <c r="V455" s="78" t="inlineStr">
        <is>
          <t>복도식</t>
        </is>
      </c>
      <c r="W455" s="78" t="inlineStr">
        <is>
          <t>79B</t>
        </is>
      </c>
      <c r="X455" s="78" t="n">
        <v>15</v>
      </c>
      <c r="Y455" s="78" t="n">
        <v>10</v>
      </c>
      <c r="Z455" s="78" t="inlineStr">
        <is>
          <t>https://new.land.naver.com/complexes/5054?tab=detail&amp;rf=Y</t>
        </is>
      </c>
      <c r="AA455" s="78" t="inlineStr">
        <is>
          <t>전라북도 군산시 소룡동 857</t>
        </is>
      </c>
      <c r="AB455" s="78" t="inlineStr">
        <is>
          <t>전라북도</t>
        </is>
      </c>
      <c r="AC455" s="78" t="inlineStr">
        <is>
          <t>군산시</t>
        </is>
      </c>
      <c r="AD455" s="78" t="inlineStr">
        <is>
          <t>소룡동</t>
        </is>
      </c>
      <c r="AG455" s="78" t="inlineStr">
        <is>
          <t>전라북도 군산시 풍전3길 30</t>
        </is>
      </c>
      <c r="AH455" s="78" t="n">
        <v>0</v>
      </c>
      <c r="AI455" s="78" t="n">
        <v>247</v>
      </c>
      <c r="AJ455" s="78" t="n">
        <v>21</v>
      </c>
      <c r="AK455" s="78" t="n">
        <v>374</v>
      </c>
      <c r="AL455" s="78" t="n">
        <v>1.07</v>
      </c>
    </row>
    <row r="456">
      <c r="A456" s="78" t="inlineStr">
        <is>
          <t>[소룡동]</t>
        </is>
      </c>
      <c r="B456" s="78" t="n">
        <v>5054</v>
      </c>
      <c r="C456" s="78" t="n">
        <v>3</v>
      </c>
      <c r="D456" s="78" t="inlineStr">
        <is>
          <t>그린서해맨션</t>
        </is>
      </c>
      <c r="E456" s="78" t="inlineStr">
        <is>
          <t>1993.12.</t>
        </is>
      </c>
      <c r="F456" s="78" t="n">
        <v>350</v>
      </c>
      <c r="G456" s="78" t="n">
        <v>27.64</v>
      </c>
      <c r="H456" s="78" t="n">
        <v>91.39</v>
      </c>
      <c r="I456" s="78" t="n">
        <v>22.67</v>
      </c>
      <c r="J456" s="78" t="n">
        <v>74.95</v>
      </c>
      <c r="K456" s="78" t="n">
        <v>59</v>
      </c>
      <c r="T456" s="78" t="n">
        <v>3</v>
      </c>
      <c r="U456" s="78" t="n">
        <v>1</v>
      </c>
      <c r="V456" s="78" t="inlineStr">
        <is>
          <t>계단식</t>
        </is>
      </c>
      <c r="W456" s="78" t="n">
        <v>91</v>
      </c>
      <c r="X456" s="78" t="n">
        <v>15</v>
      </c>
      <c r="Y456" s="78" t="n">
        <v>10</v>
      </c>
      <c r="Z456" s="78" t="inlineStr">
        <is>
          <t>https://new.land.naver.com/complexes/5054?tab=detail&amp;rf=Y</t>
        </is>
      </c>
      <c r="AA456" s="78" t="inlineStr">
        <is>
          <t>전라북도 군산시 소룡동 857</t>
        </is>
      </c>
      <c r="AB456" s="78" t="inlineStr">
        <is>
          <t>전라북도</t>
        </is>
      </c>
      <c r="AC456" s="78" t="inlineStr">
        <is>
          <t>군산시</t>
        </is>
      </c>
      <c r="AD456" s="78" t="inlineStr">
        <is>
          <t>소룡동</t>
        </is>
      </c>
      <c r="AG456" s="78" t="inlineStr">
        <is>
          <t>전라북도 군산시 풍전3길 30</t>
        </is>
      </c>
      <c r="AH456" s="78" t="n">
        <v>0</v>
      </c>
      <c r="AI456" s="78" t="n">
        <v>247</v>
      </c>
      <c r="AJ456" s="78" t="n">
        <v>21</v>
      </c>
      <c r="AK456" s="78" t="n">
        <v>374</v>
      </c>
      <c r="AL456" s="78" t="n">
        <v>1.07</v>
      </c>
    </row>
    <row r="457">
      <c r="A457" s="78" t="inlineStr">
        <is>
          <t>[소룡동]</t>
        </is>
      </c>
      <c r="B457" s="78" t="n">
        <v>5054</v>
      </c>
      <c r="C457" s="78" t="n">
        <v>4</v>
      </c>
      <c r="D457" s="78" t="inlineStr">
        <is>
          <t>그린서해맨션</t>
        </is>
      </c>
      <c r="E457" s="78" t="inlineStr">
        <is>
          <t>1993.12.</t>
        </is>
      </c>
      <c r="F457" s="78" t="n">
        <v>350</v>
      </c>
      <c r="G457" s="78" t="n">
        <v>30.64</v>
      </c>
      <c r="H457" s="78" t="n">
        <v>101.29</v>
      </c>
      <c r="I457" s="78" t="n">
        <v>22.67</v>
      </c>
      <c r="J457" s="78" t="n">
        <v>74.95</v>
      </c>
      <c r="K457" s="78" t="n">
        <v>1</v>
      </c>
      <c r="T457" s="78" t="n">
        <v>3</v>
      </c>
      <c r="U457" s="78" t="n">
        <v>2</v>
      </c>
      <c r="V457" s="78" t="inlineStr">
        <is>
          <t>계단식</t>
        </is>
      </c>
      <c r="W457" s="78" t="inlineStr">
        <is>
          <t>101A</t>
        </is>
      </c>
      <c r="X457" s="78" t="n">
        <v>15</v>
      </c>
      <c r="Y457" s="78" t="n">
        <v>10</v>
      </c>
      <c r="Z457" s="78" t="inlineStr">
        <is>
          <t>https://new.land.naver.com/complexes/5054?tab=detail&amp;rf=Y</t>
        </is>
      </c>
      <c r="AA457" s="78" t="inlineStr">
        <is>
          <t>전라북도 군산시 소룡동 857</t>
        </is>
      </c>
      <c r="AB457" s="78" t="inlineStr">
        <is>
          <t>전라북도</t>
        </is>
      </c>
      <c r="AC457" s="78" t="inlineStr">
        <is>
          <t>군산시</t>
        </is>
      </c>
      <c r="AD457" s="78" t="inlineStr">
        <is>
          <t>소룡동</t>
        </is>
      </c>
      <c r="AG457" s="78" t="inlineStr">
        <is>
          <t>전라북도 군산시 풍전3길 30</t>
        </is>
      </c>
      <c r="AH457" s="78" t="n">
        <v>0</v>
      </c>
      <c r="AI457" s="78" t="n">
        <v>247</v>
      </c>
      <c r="AJ457" s="78" t="n">
        <v>21</v>
      </c>
      <c r="AK457" s="78" t="n">
        <v>374</v>
      </c>
      <c r="AL457" s="78" t="n">
        <v>1.07</v>
      </c>
    </row>
    <row r="458">
      <c r="A458" s="78" t="inlineStr">
        <is>
          <t>[소룡동]</t>
        </is>
      </c>
      <c r="B458" s="78" t="n">
        <v>5054</v>
      </c>
      <c r="C458" s="78" t="n">
        <v>5</v>
      </c>
      <c r="D458" s="78" t="inlineStr">
        <is>
          <t>그린서해맨션</t>
        </is>
      </c>
      <c r="E458" s="78" t="inlineStr">
        <is>
          <t>1993.12.</t>
        </is>
      </c>
      <c r="F458" s="78" t="n">
        <v>350</v>
      </c>
      <c r="G458" s="78" t="n">
        <v>31.29</v>
      </c>
      <c r="H458" s="78" t="n">
        <v>103.46</v>
      </c>
      <c r="I458" s="78" t="n">
        <v>25.68</v>
      </c>
      <c r="J458" s="78" t="n">
        <v>84.90000000000001</v>
      </c>
      <c r="K458" s="78" t="n">
        <v>52</v>
      </c>
      <c r="T458" s="78" t="n">
        <v>3</v>
      </c>
      <c r="U458" s="78" t="n">
        <v>2</v>
      </c>
      <c r="V458" s="78" t="inlineStr">
        <is>
          <t>계단식</t>
        </is>
      </c>
      <c r="W458" s="78" t="inlineStr">
        <is>
          <t>103B</t>
        </is>
      </c>
      <c r="X458" s="78" t="n">
        <v>15</v>
      </c>
      <c r="Y458" s="78" t="n">
        <v>10</v>
      </c>
      <c r="Z458" s="78" t="inlineStr">
        <is>
          <t>https://new.land.naver.com/complexes/5054?tab=detail&amp;rf=Y</t>
        </is>
      </c>
      <c r="AA458" s="78" t="inlineStr">
        <is>
          <t>전라북도 군산시 소룡동 857</t>
        </is>
      </c>
      <c r="AB458" s="78" t="inlineStr">
        <is>
          <t>전라북도</t>
        </is>
      </c>
      <c r="AC458" s="78" t="inlineStr">
        <is>
          <t>군산시</t>
        </is>
      </c>
      <c r="AD458" s="78" t="inlineStr">
        <is>
          <t>소룡동</t>
        </is>
      </c>
      <c r="AG458" s="78" t="inlineStr">
        <is>
          <t>전라북도 군산시 풍전3길 30</t>
        </is>
      </c>
      <c r="AH458" s="78" t="n">
        <v>0</v>
      </c>
      <c r="AI458" s="78" t="n">
        <v>247</v>
      </c>
      <c r="AJ458" s="78" t="n">
        <v>21</v>
      </c>
      <c r="AK458" s="78" t="n">
        <v>374</v>
      </c>
      <c r="AL458" s="78" t="n">
        <v>1.07</v>
      </c>
    </row>
    <row r="459">
      <c r="A459" s="78" t="inlineStr">
        <is>
          <t>[소룡동]</t>
        </is>
      </c>
      <c r="B459" s="78" t="n">
        <v>5054</v>
      </c>
      <c r="C459" s="78" t="n">
        <v>6</v>
      </c>
      <c r="D459" s="78" t="inlineStr">
        <is>
          <t>그린서해맨션</t>
        </is>
      </c>
      <c r="E459" s="78" t="inlineStr">
        <is>
          <t>1993.12.</t>
        </is>
      </c>
      <c r="F459" s="78" t="n">
        <v>350</v>
      </c>
      <c r="G459" s="78" t="n">
        <v>34.84</v>
      </c>
      <c r="H459" s="78" t="n">
        <v>115.2</v>
      </c>
      <c r="I459" s="78" t="n">
        <v>25.68</v>
      </c>
      <c r="J459" s="78" t="n">
        <v>84.90000000000001</v>
      </c>
      <c r="K459" s="78" t="n">
        <v>4</v>
      </c>
      <c r="T459" s="78" t="n">
        <v>3</v>
      </c>
      <c r="U459" s="78" t="n">
        <v>2</v>
      </c>
      <c r="V459" s="78" t="inlineStr">
        <is>
          <t>복도식</t>
        </is>
      </c>
      <c r="W459" s="78" t="n">
        <v>115</v>
      </c>
      <c r="X459" s="78" t="n">
        <v>15</v>
      </c>
      <c r="Y459" s="78" t="n">
        <v>10</v>
      </c>
      <c r="Z459" s="78" t="inlineStr">
        <is>
          <t>https://new.land.naver.com/complexes/5054?tab=detail&amp;rf=Y</t>
        </is>
      </c>
      <c r="AA459" s="78" t="inlineStr">
        <is>
          <t>전라북도 군산시 소룡동 857</t>
        </is>
      </c>
      <c r="AB459" s="78" t="inlineStr">
        <is>
          <t>전라북도</t>
        </is>
      </c>
      <c r="AC459" s="78" t="inlineStr">
        <is>
          <t>군산시</t>
        </is>
      </c>
      <c r="AD459" s="78" t="inlineStr">
        <is>
          <t>소룡동</t>
        </is>
      </c>
      <c r="AG459" s="78" t="inlineStr">
        <is>
          <t>전라북도 군산시 풍전3길 30</t>
        </is>
      </c>
      <c r="AH459" s="78" t="n">
        <v>0</v>
      </c>
      <c r="AI459" s="78" t="n">
        <v>247</v>
      </c>
      <c r="AJ459" s="78" t="n">
        <v>21</v>
      </c>
      <c r="AK459" s="78" t="n">
        <v>374</v>
      </c>
      <c r="AL459" s="78" t="n">
        <v>1.07</v>
      </c>
    </row>
    <row r="460">
      <c r="A460" s="78" t="inlineStr">
        <is>
          <t>[소룡동]</t>
        </is>
      </c>
      <c r="B460" s="78" t="n">
        <v>5050</v>
      </c>
      <c r="C460" s="78" t="n">
        <v>1</v>
      </c>
      <c r="D460" s="78" t="inlineStr">
        <is>
          <t>동아</t>
        </is>
      </c>
      <c r="E460" s="78" t="inlineStr">
        <is>
          <t>1990.10.</t>
        </is>
      </c>
      <c r="F460" s="78" t="n">
        <v>702</v>
      </c>
      <c r="G460" s="78" t="n">
        <v>24.04</v>
      </c>
      <c r="H460" s="78" t="n">
        <v>79.48999999999999</v>
      </c>
      <c r="I460" s="78" t="n">
        <v>18.3</v>
      </c>
      <c r="J460" s="78" t="n">
        <v>60.52</v>
      </c>
      <c r="K460" s="78" t="n">
        <v>251</v>
      </c>
      <c r="T460" s="78" t="n">
        <v>3</v>
      </c>
      <c r="U460" s="78" t="n">
        <v>1</v>
      </c>
      <c r="V460" s="78" t="inlineStr">
        <is>
          <t>계단식</t>
        </is>
      </c>
      <c r="W460" s="78" t="inlineStr">
        <is>
          <t>79A</t>
        </is>
      </c>
      <c r="X460" s="78" t="n">
        <v>15</v>
      </c>
      <c r="Y460" s="78" t="n">
        <v>12</v>
      </c>
      <c r="Z460" s="78" t="inlineStr">
        <is>
          <t>https://new.land.naver.com/complexes/5050?tab=detail&amp;rf=Y</t>
        </is>
      </c>
      <c r="AA460" s="78" t="inlineStr">
        <is>
          <t>전라북도 군산시 소룡동 1323-13</t>
        </is>
      </c>
      <c r="AB460" s="78" t="inlineStr">
        <is>
          <t>전라북도</t>
        </is>
      </c>
      <c r="AC460" s="78" t="inlineStr">
        <is>
          <t>군산시</t>
        </is>
      </c>
      <c r="AD460" s="78" t="inlineStr">
        <is>
          <t>소룡동</t>
        </is>
      </c>
      <c r="AG460" s="78" t="inlineStr">
        <is>
          <t>전라북도 군산시 동아로 160</t>
        </is>
      </c>
      <c r="AH460" s="78" t="n">
        <v>0</v>
      </c>
      <c r="AI460" s="78" t="n">
        <v>0</v>
      </c>
      <c r="AJ460" s="78" t="n">
        <v>0</v>
      </c>
      <c r="AK460" s="78" t="n">
        <v>561</v>
      </c>
      <c r="AL460" s="78" t="n">
        <v>0.8</v>
      </c>
    </row>
    <row r="461">
      <c r="A461" s="78" t="inlineStr">
        <is>
          <t>[소룡동]</t>
        </is>
      </c>
      <c r="B461" s="78" t="n">
        <v>5050</v>
      </c>
      <c r="C461" s="78" t="n">
        <v>2</v>
      </c>
      <c r="D461" s="78" t="inlineStr">
        <is>
          <t>동아</t>
        </is>
      </c>
      <c r="E461" s="78" t="inlineStr">
        <is>
          <t>1990.10.</t>
        </is>
      </c>
      <c r="F461" s="78" t="n">
        <v>702</v>
      </c>
      <c r="G461" s="78" t="n">
        <v>23.96</v>
      </c>
      <c r="H461" s="78" t="n">
        <v>79.20999999999999</v>
      </c>
      <c r="I461" s="78" t="n">
        <v>18.36</v>
      </c>
      <c r="J461" s="78" t="n">
        <v>60.72</v>
      </c>
      <c r="K461" s="78" t="n">
        <v>1</v>
      </c>
      <c r="T461" s="78" t="n">
        <v>2</v>
      </c>
      <c r="U461" s="78" t="n">
        <v>1</v>
      </c>
      <c r="V461" s="78" t="inlineStr">
        <is>
          <t>계단식</t>
        </is>
      </c>
      <c r="W461" s="78" t="inlineStr">
        <is>
          <t>79B</t>
        </is>
      </c>
      <c r="X461" s="78" t="n">
        <v>15</v>
      </c>
      <c r="Y461" s="78" t="n">
        <v>12</v>
      </c>
      <c r="Z461" s="78" t="inlineStr">
        <is>
          <t>https://new.land.naver.com/complexes/5050?tab=detail&amp;rf=Y</t>
        </is>
      </c>
      <c r="AA461" s="78" t="inlineStr">
        <is>
          <t>전라북도 군산시 소룡동 1323-13</t>
        </is>
      </c>
      <c r="AB461" s="78" t="inlineStr">
        <is>
          <t>전라북도</t>
        </is>
      </c>
      <c r="AC461" s="78" t="inlineStr">
        <is>
          <t>군산시</t>
        </is>
      </c>
      <c r="AD461" s="78" t="inlineStr">
        <is>
          <t>소룡동</t>
        </is>
      </c>
      <c r="AG461" s="78" t="inlineStr">
        <is>
          <t>전라북도 군산시 동아로 160</t>
        </is>
      </c>
      <c r="AH461" s="78" t="n">
        <v>0</v>
      </c>
      <c r="AI461" s="78" t="n">
        <v>0</v>
      </c>
      <c r="AJ461" s="78" t="n">
        <v>0</v>
      </c>
      <c r="AK461" s="78" t="n">
        <v>561</v>
      </c>
      <c r="AL461" s="78" t="n">
        <v>0.8</v>
      </c>
    </row>
    <row r="462">
      <c r="A462" s="78" t="inlineStr">
        <is>
          <t>[소룡동]</t>
        </is>
      </c>
      <c r="B462" s="78" t="n">
        <v>5050</v>
      </c>
      <c r="C462" s="78" t="n">
        <v>3</v>
      </c>
      <c r="D462" s="78" t="inlineStr">
        <is>
          <t>동아</t>
        </is>
      </c>
      <c r="E462" s="78" t="inlineStr">
        <is>
          <t>1990.10.</t>
        </is>
      </c>
      <c r="F462" s="78" t="n">
        <v>702</v>
      </c>
      <c r="G462" s="78" t="n">
        <v>28.29</v>
      </c>
      <c r="H462" s="78" t="n">
        <v>93.55</v>
      </c>
      <c r="I462" s="78" t="n">
        <v>22.85</v>
      </c>
      <c r="J462" s="78" t="n">
        <v>75.56</v>
      </c>
      <c r="K462" s="78" t="n">
        <v>240</v>
      </c>
      <c r="T462" s="78" t="n">
        <v>3</v>
      </c>
      <c r="U462" s="78" t="n">
        <v>1</v>
      </c>
      <c r="V462" s="78" t="inlineStr">
        <is>
          <t>계단식</t>
        </is>
      </c>
      <c r="W462" s="78" t="n">
        <v>93</v>
      </c>
      <c r="X462" s="78" t="n">
        <v>15</v>
      </c>
      <c r="Y462" s="78" t="n">
        <v>12</v>
      </c>
      <c r="Z462" s="78" t="inlineStr">
        <is>
          <t>https://new.land.naver.com/complexes/5050?tab=detail&amp;rf=Y</t>
        </is>
      </c>
      <c r="AA462" s="78" t="inlineStr">
        <is>
          <t>전라북도 군산시 소룡동 1323-13</t>
        </is>
      </c>
      <c r="AB462" s="78" t="inlineStr">
        <is>
          <t>전라북도</t>
        </is>
      </c>
      <c r="AC462" s="78" t="inlineStr">
        <is>
          <t>군산시</t>
        </is>
      </c>
      <c r="AD462" s="78" t="inlineStr">
        <is>
          <t>소룡동</t>
        </is>
      </c>
      <c r="AG462" s="78" t="inlineStr">
        <is>
          <t>전라북도 군산시 동아로 160</t>
        </is>
      </c>
      <c r="AH462" s="78" t="n">
        <v>0</v>
      </c>
      <c r="AI462" s="78" t="n">
        <v>0</v>
      </c>
      <c r="AJ462" s="78" t="n">
        <v>0</v>
      </c>
      <c r="AK462" s="78" t="n">
        <v>561</v>
      </c>
      <c r="AL462" s="78" t="n">
        <v>0.8</v>
      </c>
    </row>
    <row r="463">
      <c r="A463" s="78" t="inlineStr">
        <is>
          <t>[소룡동]</t>
        </is>
      </c>
      <c r="B463" s="78" t="n">
        <v>5050</v>
      </c>
      <c r="C463" s="78" t="n">
        <v>4</v>
      </c>
      <c r="D463" s="78" t="inlineStr">
        <is>
          <t>동아</t>
        </is>
      </c>
      <c r="E463" s="78" t="inlineStr">
        <is>
          <t>1990.10.</t>
        </is>
      </c>
      <c r="F463" s="78" t="n">
        <v>702</v>
      </c>
      <c r="G463" s="78" t="n">
        <v>31.42</v>
      </c>
      <c r="H463" s="78" t="n">
        <v>103.88</v>
      </c>
      <c r="I463" s="78" t="n">
        <v>25.67</v>
      </c>
      <c r="J463" s="78" t="n">
        <v>84.89</v>
      </c>
      <c r="K463" s="78" t="n">
        <v>210</v>
      </c>
      <c r="T463" s="78" t="n">
        <v>3</v>
      </c>
      <c r="U463" s="78" t="n">
        <v>2</v>
      </c>
      <c r="V463" s="78" t="inlineStr">
        <is>
          <t>계단식</t>
        </is>
      </c>
      <c r="W463" s="78" t="n">
        <v>103</v>
      </c>
      <c r="X463" s="78" t="n">
        <v>15</v>
      </c>
      <c r="Y463" s="78" t="n">
        <v>12</v>
      </c>
      <c r="Z463" s="78" t="inlineStr">
        <is>
          <t>https://new.land.naver.com/complexes/5050?tab=detail&amp;rf=Y</t>
        </is>
      </c>
      <c r="AA463" s="78" t="inlineStr">
        <is>
          <t>전라북도 군산시 소룡동 1323-13</t>
        </is>
      </c>
      <c r="AB463" s="78" t="inlineStr">
        <is>
          <t>전라북도</t>
        </is>
      </c>
      <c r="AC463" s="78" t="inlineStr">
        <is>
          <t>군산시</t>
        </is>
      </c>
      <c r="AD463" s="78" t="inlineStr">
        <is>
          <t>소룡동</t>
        </is>
      </c>
      <c r="AG463" s="78" t="inlineStr">
        <is>
          <t>전라북도 군산시 동아로 160</t>
        </is>
      </c>
      <c r="AH463" s="78" t="n">
        <v>0</v>
      </c>
      <c r="AI463" s="78" t="n">
        <v>0</v>
      </c>
      <c r="AJ463" s="78" t="n">
        <v>0</v>
      </c>
      <c r="AK463" s="78" t="n">
        <v>561</v>
      </c>
      <c r="AL463" s="78" t="n">
        <v>0.8</v>
      </c>
    </row>
    <row r="464">
      <c r="A464" s="78" t="inlineStr">
        <is>
          <t>[소룡동]</t>
        </is>
      </c>
      <c r="B464" s="78" t="n">
        <v>126362</v>
      </c>
      <c r="C464" s="78" t="n">
        <v>1</v>
      </c>
      <c r="D464" s="78" t="inlineStr">
        <is>
          <t>삼성</t>
        </is>
      </c>
      <c r="E464" s="78" t="inlineStr">
        <is>
          <t>1992.08.</t>
        </is>
      </c>
      <c r="F464" s="78" t="n">
        <v>30</v>
      </c>
      <c r="G464" s="78" t="n">
        <v>22.96</v>
      </c>
      <c r="H464" s="78" t="n">
        <v>75.92</v>
      </c>
      <c r="I464" s="78" t="n">
        <v>18.13</v>
      </c>
      <c r="J464" s="78" t="n">
        <v>59.94</v>
      </c>
      <c r="K464" s="78" t="n">
        <v>12</v>
      </c>
      <c r="T464" s="78" t="n">
        <v>3</v>
      </c>
      <c r="U464" s="78" t="n">
        <v>1</v>
      </c>
      <c r="V464" s="78" t="inlineStr">
        <is>
          <t>계단식</t>
        </is>
      </c>
      <c r="W464" s="78" t="n">
        <v>75</v>
      </c>
      <c r="X464" s="78" t="n">
        <v>6</v>
      </c>
      <c r="Y464" s="78" t="n">
        <v>6</v>
      </c>
      <c r="Z464" s="78" t="inlineStr">
        <is>
          <t>https://new.land.naver.com/complexes/126362?tab=detail&amp;rf=Y</t>
        </is>
      </c>
      <c r="AA464" s="78" t="inlineStr">
        <is>
          <t>전라북도 군산시 소룡동 1548-9</t>
        </is>
      </c>
      <c r="AB464" s="78" t="inlineStr">
        <is>
          <t>전라북도</t>
        </is>
      </c>
      <c r="AC464" s="78" t="inlineStr">
        <is>
          <t>군산시</t>
        </is>
      </c>
      <c r="AD464" s="78" t="inlineStr">
        <is>
          <t>소룡동</t>
        </is>
      </c>
      <c r="AG464" s="78" t="inlineStr">
        <is>
          <t>전라북도 군산시 칠성7길 116</t>
        </is>
      </c>
      <c r="AH464" s="78" t="n">
        <v>0</v>
      </c>
      <c r="AI464" s="78" t="n">
        <v>175</v>
      </c>
      <c r="AJ464" s="78" t="n">
        <v>29</v>
      </c>
      <c r="AK464" s="78" t="n">
        <v>0</v>
      </c>
      <c r="AL464" s="78" t="n">
        <v>0</v>
      </c>
    </row>
    <row r="465">
      <c r="A465" s="78" t="inlineStr">
        <is>
          <t>[소룡동]</t>
        </is>
      </c>
      <c r="B465" s="78" t="n">
        <v>126362</v>
      </c>
      <c r="C465" s="78" t="n">
        <v>2</v>
      </c>
      <c r="D465" s="78" t="inlineStr">
        <is>
          <t>삼성</t>
        </is>
      </c>
      <c r="E465" s="78" t="inlineStr">
        <is>
          <t>1992.08.</t>
        </is>
      </c>
      <c r="F465" s="78" t="n">
        <v>30</v>
      </c>
      <c r="G465" s="78" t="n">
        <v>25.93</v>
      </c>
      <c r="H465" s="78" t="n">
        <v>85.72</v>
      </c>
      <c r="I465" s="78" t="n">
        <v>20.69</v>
      </c>
      <c r="J465" s="78" t="n">
        <v>68.40000000000001</v>
      </c>
      <c r="K465" s="78" t="n">
        <v>6</v>
      </c>
      <c r="T465" s="78" t="n">
        <v>3</v>
      </c>
      <c r="U465" s="78" t="n">
        <v>2</v>
      </c>
      <c r="V465" s="78" t="inlineStr">
        <is>
          <t>계단식</t>
        </is>
      </c>
      <c r="W465" s="78" t="n">
        <v>85</v>
      </c>
      <c r="X465" s="78" t="n">
        <v>6</v>
      </c>
      <c r="Y465" s="78" t="n">
        <v>6</v>
      </c>
      <c r="Z465" s="78" t="inlineStr">
        <is>
          <t>https://new.land.naver.com/complexes/126362?tab=detail&amp;rf=Y</t>
        </is>
      </c>
      <c r="AA465" s="78" t="inlineStr">
        <is>
          <t>전라북도 군산시 소룡동 1548-9</t>
        </is>
      </c>
      <c r="AB465" s="78" t="inlineStr">
        <is>
          <t>전라북도</t>
        </is>
      </c>
      <c r="AC465" s="78" t="inlineStr">
        <is>
          <t>군산시</t>
        </is>
      </c>
      <c r="AD465" s="78" t="inlineStr">
        <is>
          <t>소룡동</t>
        </is>
      </c>
      <c r="AG465" s="78" t="inlineStr">
        <is>
          <t>전라북도 군산시 칠성7길 116</t>
        </is>
      </c>
      <c r="AH465" s="78" t="n">
        <v>0</v>
      </c>
      <c r="AI465" s="78" t="n">
        <v>175</v>
      </c>
      <c r="AJ465" s="78" t="n">
        <v>29</v>
      </c>
      <c r="AK465" s="78" t="n">
        <v>0</v>
      </c>
      <c r="AL465" s="78" t="n">
        <v>0</v>
      </c>
    </row>
    <row r="466">
      <c r="A466" s="78" t="inlineStr">
        <is>
          <t>[소룡동]</t>
        </is>
      </c>
      <c r="B466" s="78" t="n">
        <v>126362</v>
      </c>
      <c r="C466" s="78" t="n">
        <v>3</v>
      </c>
      <c r="D466" s="78" t="inlineStr">
        <is>
          <t>삼성</t>
        </is>
      </c>
      <c r="E466" s="78" t="inlineStr">
        <is>
          <t>1992.08.</t>
        </is>
      </c>
      <c r="F466" s="78" t="n">
        <v>30</v>
      </c>
      <c r="G466" s="78" t="n">
        <v>30.36</v>
      </c>
      <c r="H466" s="78" t="n">
        <v>100.39</v>
      </c>
      <c r="I466" s="78" t="n">
        <v>24.52</v>
      </c>
      <c r="J466" s="78" t="n">
        <v>81.06</v>
      </c>
      <c r="K466" s="78" t="n">
        <v>6</v>
      </c>
      <c r="T466" s="78" t="n">
        <v>3</v>
      </c>
      <c r="U466" s="78" t="n">
        <v>2</v>
      </c>
      <c r="V466" s="78" t="inlineStr">
        <is>
          <t>계단식</t>
        </is>
      </c>
      <c r="W466" s="78" t="n">
        <v>100</v>
      </c>
      <c r="X466" s="78" t="n">
        <v>6</v>
      </c>
      <c r="Y466" s="78" t="n">
        <v>6</v>
      </c>
      <c r="Z466" s="78" t="inlineStr">
        <is>
          <t>https://new.land.naver.com/complexes/126362?tab=detail&amp;rf=Y</t>
        </is>
      </c>
      <c r="AA466" s="78" t="inlineStr">
        <is>
          <t>전라북도 군산시 소룡동 1548-9</t>
        </is>
      </c>
      <c r="AB466" s="78" t="inlineStr">
        <is>
          <t>전라북도</t>
        </is>
      </c>
      <c r="AC466" s="78" t="inlineStr">
        <is>
          <t>군산시</t>
        </is>
      </c>
      <c r="AD466" s="78" t="inlineStr">
        <is>
          <t>소룡동</t>
        </is>
      </c>
      <c r="AG466" s="78" t="inlineStr">
        <is>
          <t>전라북도 군산시 칠성7길 116</t>
        </is>
      </c>
      <c r="AH466" s="78" t="n">
        <v>0</v>
      </c>
      <c r="AI466" s="78" t="n">
        <v>175</v>
      </c>
      <c r="AJ466" s="78" t="n">
        <v>29</v>
      </c>
      <c r="AK466" s="78" t="n">
        <v>0</v>
      </c>
      <c r="AL466" s="78" t="n">
        <v>0</v>
      </c>
    </row>
    <row r="467">
      <c r="A467" s="78" t="inlineStr">
        <is>
          <t>[소룡동]</t>
        </is>
      </c>
      <c r="B467" s="78" t="n">
        <v>126362</v>
      </c>
      <c r="C467" s="78" t="n">
        <v>4</v>
      </c>
      <c r="D467" s="78" t="inlineStr">
        <is>
          <t>삼성</t>
        </is>
      </c>
      <c r="E467" s="78" t="inlineStr">
        <is>
          <t>1992.08.</t>
        </is>
      </c>
      <c r="F467" s="78" t="n">
        <v>30</v>
      </c>
      <c r="G467" s="78" t="n">
        <v>31.25</v>
      </c>
      <c r="H467" s="78" t="n">
        <v>103.31</v>
      </c>
      <c r="I467" s="78" t="n">
        <v>23.1</v>
      </c>
      <c r="J467" s="78" t="n">
        <v>76.38</v>
      </c>
      <c r="K467" s="78" t="n">
        <v>6</v>
      </c>
      <c r="T467" s="78" t="n">
        <v>3</v>
      </c>
      <c r="U467" s="78" t="n">
        <v>2</v>
      </c>
      <c r="V467" s="78" t="inlineStr">
        <is>
          <t>계단식</t>
        </is>
      </c>
      <c r="W467" s="78" t="n">
        <v>103</v>
      </c>
      <c r="X467" s="78" t="n">
        <v>6</v>
      </c>
      <c r="Y467" s="78" t="n">
        <v>6</v>
      </c>
      <c r="Z467" s="78" t="inlineStr">
        <is>
          <t>https://new.land.naver.com/complexes/126362?tab=detail&amp;rf=Y</t>
        </is>
      </c>
      <c r="AA467" s="78" t="inlineStr">
        <is>
          <t>전라북도 군산시 소룡동 1548-9</t>
        </is>
      </c>
      <c r="AB467" s="78" t="inlineStr">
        <is>
          <t>전라북도</t>
        </is>
      </c>
      <c r="AC467" s="78" t="inlineStr">
        <is>
          <t>군산시</t>
        </is>
      </c>
      <c r="AD467" s="78" t="inlineStr">
        <is>
          <t>소룡동</t>
        </is>
      </c>
      <c r="AG467" s="78" t="inlineStr">
        <is>
          <t>전라북도 군산시 칠성7길 116</t>
        </is>
      </c>
      <c r="AH467" s="78" t="n">
        <v>0</v>
      </c>
      <c r="AI467" s="78" t="n">
        <v>175</v>
      </c>
      <c r="AJ467" s="78" t="n">
        <v>29</v>
      </c>
      <c r="AK467" s="78" t="n">
        <v>0</v>
      </c>
      <c r="AL467" s="78" t="n">
        <v>0</v>
      </c>
    </row>
    <row r="468">
      <c r="A468" s="78" t="inlineStr">
        <is>
          <t>[소룡동]</t>
        </is>
      </c>
      <c r="B468" s="78" t="n">
        <v>5052</v>
      </c>
      <c r="C468" s="78" t="n">
        <v>1</v>
      </c>
      <c r="D468" s="78" t="inlineStr">
        <is>
          <t>명성타운</t>
        </is>
      </c>
      <c r="E468" s="78" t="inlineStr">
        <is>
          <t>1992.03.</t>
        </is>
      </c>
      <c r="F468" s="78" t="n">
        <v>141</v>
      </c>
      <c r="G468" s="78" t="n">
        <v>20.54</v>
      </c>
      <c r="H468" s="78" t="n">
        <v>67.92</v>
      </c>
      <c r="I468" s="78" t="n">
        <v>15.92</v>
      </c>
      <c r="J468" s="78" t="n">
        <v>52.65</v>
      </c>
      <c r="K468" s="78" t="n">
        <v>36</v>
      </c>
      <c r="T468" s="78" t="n">
        <v>3</v>
      </c>
      <c r="U468" s="78" t="n">
        <v>1</v>
      </c>
      <c r="V468" s="78" t="inlineStr">
        <is>
          <t>계단식</t>
        </is>
      </c>
      <c r="W468" s="78" t="n">
        <v>67</v>
      </c>
      <c r="X468" s="78" t="n">
        <v>10</v>
      </c>
      <c r="Y468" s="78" t="n">
        <v>5</v>
      </c>
      <c r="Z468" s="78" t="inlineStr">
        <is>
          <t>https://new.land.naver.com/complexes/5052?tab=detail&amp;rf=Y</t>
        </is>
      </c>
      <c r="AA468" s="78" t="inlineStr">
        <is>
          <t>전라북도 군산시 소룡동 1552-4</t>
        </is>
      </c>
      <c r="AB468" s="78" t="inlineStr">
        <is>
          <t>전라북도</t>
        </is>
      </c>
      <c r="AC468" s="78" t="inlineStr">
        <is>
          <t>군산시</t>
        </is>
      </c>
      <c r="AD468" s="78" t="inlineStr">
        <is>
          <t>소룡동</t>
        </is>
      </c>
      <c r="AG468" s="78" t="inlineStr">
        <is>
          <t>전라북도 군산시 칠성4길 186</t>
        </is>
      </c>
      <c r="AH468" s="78" t="n">
        <v>0</v>
      </c>
      <c r="AI468" s="78" t="n">
        <v>0</v>
      </c>
      <c r="AJ468" s="78" t="n">
        <v>0</v>
      </c>
      <c r="AK468" s="78" t="n">
        <v>0</v>
      </c>
      <c r="AL468" s="78" t="n">
        <v>0</v>
      </c>
    </row>
    <row r="469">
      <c r="A469" s="78" t="inlineStr">
        <is>
          <t>[소룡동]</t>
        </is>
      </c>
      <c r="B469" s="78" t="n">
        <v>5052</v>
      </c>
      <c r="C469" s="78" t="n">
        <v>2</v>
      </c>
      <c r="D469" s="78" t="inlineStr">
        <is>
          <t>명성타운</t>
        </is>
      </c>
      <c r="E469" s="78" t="inlineStr">
        <is>
          <t>1992.03.</t>
        </is>
      </c>
      <c r="F469" s="78" t="n">
        <v>141</v>
      </c>
      <c r="G469" s="78" t="n">
        <v>23.15</v>
      </c>
      <c r="H469" s="78" t="n">
        <v>76.53</v>
      </c>
      <c r="I469" s="78" t="n">
        <v>18.09</v>
      </c>
      <c r="J469" s="78" t="n">
        <v>59.82</v>
      </c>
      <c r="K469" s="78" t="n">
        <v>47</v>
      </c>
      <c r="T469" s="78" t="n">
        <v>3</v>
      </c>
      <c r="U469" s="78" t="n">
        <v>1</v>
      </c>
      <c r="V469" s="78" t="inlineStr">
        <is>
          <t>계단식</t>
        </is>
      </c>
      <c r="W469" s="78" t="n">
        <v>76</v>
      </c>
      <c r="X469" s="78" t="n">
        <v>10</v>
      </c>
      <c r="Y469" s="78" t="n">
        <v>5</v>
      </c>
      <c r="Z469" s="78" t="inlineStr">
        <is>
          <t>https://new.land.naver.com/complexes/5052?tab=detail&amp;rf=Y</t>
        </is>
      </c>
      <c r="AA469" s="78" t="inlineStr">
        <is>
          <t>전라북도 군산시 소룡동 1552-4</t>
        </is>
      </c>
      <c r="AB469" s="78" t="inlineStr">
        <is>
          <t>전라북도</t>
        </is>
      </c>
      <c r="AC469" s="78" t="inlineStr">
        <is>
          <t>군산시</t>
        </is>
      </c>
      <c r="AD469" s="78" t="inlineStr">
        <is>
          <t>소룡동</t>
        </is>
      </c>
      <c r="AG469" s="78" t="inlineStr">
        <is>
          <t>전라북도 군산시 칠성4길 186</t>
        </is>
      </c>
      <c r="AH469" s="78" t="n">
        <v>0</v>
      </c>
      <c r="AI469" s="78" t="n">
        <v>0</v>
      </c>
      <c r="AJ469" s="78" t="n">
        <v>0</v>
      </c>
      <c r="AK469" s="78" t="n">
        <v>0</v>
      </c>
      <c r="AL469" s="78" t="n">
        <v>0</v>
      </c>
    </row>
    <row r="470">
      <c r="A470" s="78" t="inlineStr">
        <is>
          <t>[소룡동]</t>
        </is>
      </c>
      <c r="B470" s="78" t="n">
        <v>5052</v>
      </c>
      <c r="C470" s="78" t="n">
        <v>3</v>
      </c>
      <c r="D470" s="78" t="inlineStr">
        <is>
          <t>명성타운</t>
        </is>
      </c>
      <c r="E470" s="78" t="inlineStr">
        <is>
          <t>1992.03.</t>
        </is>
      </c>
      <c r="F470" s="78" t="n">
        <v>141</v>
      </c>
      <c r="G470" s="78" t="n">
        <v>28.84</v>
      </c>
      <c r="H470" s="78" t="n">
        <v>95.34999999999999</v>
      </c>
      <c r="I470" s="78" t="n">
        <v>22.96</v>
      </c>
      <c r="J470" s="78" t="n">
        <v>75.93000000000001</v>
      </c>
      <c r="K470" s="78" t="n">
        <v>6</v>
      </c>
      <c r="T470" s="78" t="n">
        <v>3</v>
      </c>
      <c r="U470" s="78" t="n">
        <v>1</v>
      </c>
      <c r="V470" s="78" t="inlineStr">
        <is>
          <t>계단식</t>
        </is>
      </c>
      <c r="W470" s="78" t="n">
        <v>95</v>
      </c>
      <c r="X470" s="78" t="n">
        <v>10</v>
      </c>
      <c r="Y470" s="78" t="n">
        <v>5</v>
      </c>
      <c r="Z470" s="78" t="inlineStr">
        <is>
          <t>https://new.land.naver.com/complexes/5052?tab=detail&amp;rf=Y</t>
        </is>
      </c>
      <c r="AA470" s="78" t="inlineStr">
        <is>
          <t>전라북도 군산시 소룡동 1552-4</t>
        </is>
      </c>
      <c r="AB470" s="78" t="inlineStr">
        <is>
          <t>전라북도</t>
        </is>
      </c>
      <c r="AC470" s="78" t="inlineStr">
        <is>
          <t>군산시</t>
        </is>
      </c>
      <c r="AD470" s="78" t="inlineStr">
        <is>
          <t>소룡동</t>
        </is>
      </c>
      <c r="AG470" s="78" t="inlineStr">
        <is>
          <t>전라북도 군산시 칠성4길 186</t>
        </is>
      </c>
      <c r="AH470" s="78" t="n">
        <v>0</v>
      </c>
      <c r="AI470" s="78" t="n">
        <v>0</v>
      </c>
      <c r="AJ470" s="78" t="n">
        <v>0</v>
      </c>
      <c r="AK470" s="78" t="n">
        <v>0</v>
      </c>
      <c r="AL470" s="78" t="n">
        <v>0</v>
      </c>
    </row>
    <row r="471">
      <c r="A471" s="78" t="inlineStr">
        <is>
          <t>[소룡동]</t>
        </is>
      </c>
      <c r="B471" s="78" t="n">
        <v>5052</v>
      </c>
      <c r="C471" s="78" t="n">
        <v>4</v>
      </c>
      <c r="D471" s="78" t="inlineStr">
        <is>
          <t>명성타운</t>
        </is>
      </c>
      <c r="E471" s="78" t="inlineStr">
        <is>
          <t>1992.03.</t>
        </is>
      </c>
      <c r="F471" s="78" t="n">
        <v>141</v>
      </c>
      <c r="G471" s="78" t="n">
        <v>30.86</v>
      </c>
      <c r="H471" s="78" t="n">
        <v>102.03</v>
      </c>
      <c r="I471" s="78" t="n">
        <v>24.96</v>
      </c>
      <c r="J471" s="78" t="n">
        <v>82.53</v>
      </c>
      <c r="K471" s="78" t="n">
        <v>44</v>
      </c>
      <c r="T471" s="78" t="n">
        <v>3</v>
      </c>
      <c r="U471" s="78" t="n">
        <v>2</v>
      </c>
      <c r="V471" s="78" t="inlineStr">
        <is>
          <t>계단식</t>
        </is>
      </c>
      <c r="W471" s="78" t="n">
        <v>102</v>
      </c>
      <c r="X471" s="78" t="n">
        <v>10</v>
      </c>
      <c r="Y471" s="78" t="n">
        <v>5</v>
      </c>
      <c r="Z471" s="78" t="inlineStr">
        <is>
          <t>https://new.land.naver.com/complexes/5052?tab=detail&amp;rf=Y</t>
        </is>
      </c>
      <c r="AA471" s="78" t="inlineStr">
        <is>
          <t>전라북도 군산시 소룡동 1552-4</t>
        </is>
      </c>
      <c r="AB471" s="78" t="inlineStr">
        <is>
          <t>전라북도</t>
        </is>
      </c>
      <c r="AC471" s="78" t="inlineStr">
        <is>
          <t>군산시</t>
        </is>
      </c>
      <c r="AD471" s="78" t="inlineStr">
        <is>
          <t>소룡동</t>
        </is>
      </c>
      <c r="AG471" s="78" t="inlineStr">
        <is>
          <t>전라북도 군산시 칠성4길 186</t>
        </is>
      </c>
      <c r="AH471" s="78" t="n">
        <v>0</v>
      </c>
      <c r="AI471" s="78" t="n">
        <v>0</v>
      </c>
      <c r="AJ471" s="78" t="n">
        <v>0</v>
      </c>
      <c r="AK471" s="78" t="n">
        <v>0</v>
      </c>
      <c r="AL471" s="78" t="n">
        <v>0</v>
      </c>
    </row>
    <row r="472">
      <c r="A472" s="78" t="inlineStr">
        <is>
          <t>[소룡동]</t>
        </is>
      </c>
      <c r="B472" s="78" t="n">
        <v>5052</v>
      </c>
      <c r="C472" s="78" t="n">
        <v>5</v>
      </c>
      <c r="D472" s="78" t="inlineStr">
        <is>
          <t>명성타운</t>
        </is>
      </c>
      <c r="E472" s="78" t="inlineStr">
        <is>
          <t>1992.03.</t>
        </is>
      </c>
      <c r="F472" s="78" t="n">
        <v>141</v>
      </c>
      <c r="G472" s="78" t="n">
        <v>35.97</v>
      </c>
      <c r="H472" s="78" t="n">
        <v>118.92</v>
      </c>
      <c r="I472" s="78" t="n">
        <v>29.56</v>
      </c>
      <c r="J472" s="78" t="n">
        <v>97.75</v>
      </c>
      <c r="K472" s="78" t="n">
        <v>8</v>
      </c>
      <c r="T472" s="78" t="n">
        <v>4</v>
      </c>
      <c r="U472" s="78" t="n">
        <v>2</v>
      </c>
      <c r="V472" s="78" t="inlineStr">
        <is>
          <t>계단식</t>
        </is>
      </c>
      <c r="W472" s="78" t="n">
        <v>118</v>
      </c>
      <c r="X472" s="78" t="n">
        <v>10</v>
      </c>
      <c r="Y472" s="78" t="n">
        <v>5</v>
      </c>
      <c r="Z472" s="78" t="inlineStr">
        <is>
          <t>https://new.land.naver.com/complexes/5052?tab=detail&amp;rf=Y</t>
        </is>
      </c>
      <c r="AA472" s="78" t="inlineStr">
        <is>
          <t>전라북도 군산시 소룡동 1552-4</t>
        </is>
      </c>
      <c r="AB472" s="78" t="inlineStr">
        <is>
          <t>전라북도</t>
        </is>
      </c>
      <c r="AC472" s="78" t="inlineStr">
        <is>
          <t>군산시</t>
        </is>
      </c>
      <c r="AD472" s="78" t="inlineStr">
        <is>
          <t>소룡동</t>
        </is>
      </c>
      <c r="AG472" s="78" t="inlineStr">
        <is>
          <t>전라북도 군산시 칠성4길 186</t>
        </is>
      </c>
      <c r="AH472" s="78" t="n">
        <v>0</v>
      </c>
      <c r="AI472" s="78" t="n">
        <v>0</v>
      </c>
      <c r="AJ472" s="78" t="n">
        <v>0</v>
      </c>
      <c r="AK472" s="78" t="n">
        <v>0</v>
      </c>
      <c r="AL472" s="78" t="n">
        <v>0</v>
      </c>
    </row>
    <row r="473">
      <c r="A473" s="78" t="inlineStr">
        <is>
          <t>[소룡동]</t>
        </is>
      </c>
      <c r="B473" s="78" t="n">
        <v>5057</v>
      </c>
      <c r="C473" s="78" t="n">
        <v>1</v>
      </c>
      <c r="D473" s="78" t="inlineStr">
        <is>
          <t>소룡진흥</t>
        </is>
      </c>
      <c r="E473" s="78" t="inlineStr">
        <is>
          <t>1991.05.</t>
        </is>
      </c>
      <c r="F473" s="78" t="n">
        <v>499</v>
      </c>
      <c r="G473" s="78" t="n">
        <v>17.4</v>
      </c>
      <c r="H473" s="78" t="n">
        <v>57.53</v>
      </c>
      <c r="I473" s="78" t="n">
        <v>13.22</v>
      </c>
      <c r="J473" s="78" t="n">
        <v>43.72</v>
      </c>
      <c r="K473" s="78" t="n">
        <v>123</v>
      </c>
      <c r="T473" s="78" t="n">
        <v>2</v>
      </c>
      <c r="U473" s="78" t="n">
        <v>1</v>
      </c>
      <c r="V473" s="78" t="inlineStr">
        <is>
          <t>계단식</t>
        </is>
      </c>
      <c r="W473" s="78" t="n">
        <v>57</v>
      </c>
      <c r="X473" s="78" t="n">
        <v>13</v>
      </c>
      <c r="Y473" s="78" t="n">
        <v>5</v>
      </c>
      <c r="Z473" s="78" t="inlineStr">
        <is>
          <t>https://new.land.naver.com/complexes/5057?tab=detail&amp;rf=Y</t>
        </is>
      </c>
      <c r="AA473" s="78" t="inlineStr">
        <is>
          <t>전라북도 군산시 소룡동 1386-10</t>
        </is>
      </c>
      <c r="AB473" s="78" t="inlineStr">
        <is>
          <t>전라북도</t>
        </is>
      </c>
      <c r="AC473" s="78" t="inlineStr">
        <is>
          <t>군산시</t>
        </is>
      </c>
      <c r="AD473" s="78" t="inlineStr">
        <is>
          <t>소룡동</t>
        </is>
      </c>
      <c r="AG473" s="78" t="inlineStr">
        <is>
          <t>전라북도 군산시 설림안3길 32</t>
        </is>
      </c>
      <c r="AH473" s="78" t="n">
        <v>0</v>
      </c>
      <c r="AI473" s="78" t="n">
        <v>0</v>
      </c>
      <c r="AJ473" s="78" t="n">
        <v>0</v>
      </c>
      <c r="AK473" s="78" t="n">
        <v>0</v>
      </c>
      <c r="AL473" s="78" t="n">
        <v>0</v>
      </c>
    </row>
    <row r="474">
      <c r="A474" s="78" t="inlineStr">
        <is>
          <t>[소룡동]</t>
        </is>
      </c>
      <c r="B474" s="78" t="n">
        <v>5057</v>
      </c>
      <c r="C474" s="78" t="n">
        <v>2</v>
      </c>
      <c r="D474" s="78" t="inlineStr">
        <is>
          <t>소룡진흥</t>
        </is>
      </c>
      <c r="E474" s="78" t="inlineStr">
        <is>
          <t>1991.05.</t>
        </is>
      </c>
      <c r="F474" s="78" t="n">
        <v>499</v>
      </c>
      <c r="G474" s="78" t="n">
        <v>19.19</v>
      </c>
      <c r="H474" s="78" t="n">
        <v>63.44</v>
      </c>
      <c r="I474" s="78" t="n">
        <v>14.91</v>
      </c>
      <c r="J474" s="78" t="n">
        <v>49.3</v>
      </c>
      <c r="K474" s="78" t="n">
        <v>50</v>
      </c>
      <c r="T474" s="78" t="n">
        <v>2</v>
      </c>
      <c r="U474" s="78" t="n">
        <v>1</v>
      </c>
      <c r="V474" s="78" t="inlineStr">
        <is>
          <t>계단식</t>
        </is>
      </c>
      <c r="W474" s="78" t="n">
        <v>63</v>
      </c>
      <c r="X474" s="78" t="n">
        <v>13</v>
      </c>
      <c r="Y474" s="78" t="n">
        <v>5</v>
      </c>
      <c r="Z474" s="78" t="inlineStr">
        <is>
          <t>https://new.land.naver.com/complexes/5057?tab=detail&amp;rf=Y</t>
        </is>
      </c>
      <c r="AA474" s="78" t="inlineStr">
        <is>
          <t>전라북도 군산시 소룡동 1386-10</t>
        </is>
      </c>
      <c r="AB474" s="78" t="inlineStr">
        <is>
          <t>전라북도</t>
        </is>
      </c>
      <c r="AC474" s="78" t="inlineStr">
        <is>
          <t>군산시</t>
        </is>
      </c>
      <c r="AD474" s="78" t="inlineStr">
        <is>
          <t>소룡동</t>
        </is>
      </c>
      <c r="AG474" s="78" t="inlineStr">
        <is>
          <t>전라북도 군산시 설림안3길 32</t>
        </is>
      </c>
      <c r="AH474" s="78" t="n">
        <v>0</v>
      </c>
      <c r="AI474" s="78" t="n">
        <v>0</v>
      </c>
      <c r="AJ474" s="78" t="n">
        <v>0</v>
      </c>
      <c r="AK474" s="78" t="n">
        <v>0</v>
      </c>
      <c r="AL474" s="78" t="n">
        <v>0</v>
      </c>
    </row>
    <row r="475">
      <c r="A475" s="78" t="inlineStr">
        <is>
          <t>[소룡동]</t>
        </is>
      </c>
      <c r="B475" s="78" t="n">
        <v>5057</v>
      </c>
      <c r="C475" s="78" t="n">
        <v>3</v>
      </c>
      <c r="D475" s="78" t="inlineStr">
        <is>
          <t>소룡진흥</t>
        </is>
      </c>
      <c r="E475" s="78" t="inlineStr">
        <is>
          <t>1991.05.</t>
        </is>
      </c>
      <c r="F475" s="78" t="n">
        <v>499</v>
      </c>
      <c r="G475" s="78" t="n">
        <v>21.22</v>
      </c>
      <c r="H475" s="78" t="n">
        <v>70.17</v>
      </c>
      <c r="I475" s="78" t="n">
        <v>17.89</v>
      </c>
      <c r="J475" s="78" t="n">
        <v>59.16</v>
      </c>
      <c r="K475" s="78" t="n">
        <v>25</v>
      </c>
      <c r="T475" s="78" t="n">
        <v>2</v>
      </c>
      <c r="U475" s="78" t="n">
        <v>1</v>
      </c>
      <c r="V475" s="78" t="inlineStr">
        <is>
          <t>계단식</t>
        </is>
      </c>
      <c r="W475" s="78" t="n">
        <v>70</v>
      </c>
      <c r="X475" s="78" t="n">
        <v>13</v>
      </c>
      <c r="Y475" s="78" t="n">
        <v>5</v>
      </c>
      <c r="Z475" s="78" t="inlineStr">
        <is>
          <t>https://new.land.naver.com/complexes/5057?tab=detail&amp;rf=Y</t>
        </is>
      </c>
      <c r="AA475" s="78" t="inlineStr">
        <is>
          <t>전라북도 군산시 소룡동 1386-10</t>
        </is>
      </c>
      <c r="AB475" s="78" t="inlineStr">
        <is>
          <t>전라북도</t>
        </is>
      </c>
      <c r="AC475" s="78" t="inlineStr">
        <is>
          <t>군산시</t>
        </is>
      </c>
      <c r="AD475" s="78" t="inlineStr">
        <is>
          <t>소룡동</t>
        </is>
      </c>
      <c r="AG475" s="78" t="inlineStr">
        <is>
          <t>전라북도 군산시 설림안3길 32</t>
        </is>
      </c>
      <c r="AH475" s="78" t="n">
        <v>0</v>
      </c>
      <c r="AI475" s="78" t="n">
        <v>0</v>
      </c>
      <c r="AJ475" s="78" t="n">
        <v>0</v>
      </c>
      <c r="AK475" s="78" t="n">
        <v>0</v>
      </c>
      <c r="AL475" s="78" t="n">
        <v>0</v>
      </c>
    </row>
    <row r="476">
      <c r="A476" s="78" t="inlineStr">
        <is>
          <t>[소룡동]</t>
        </is>
      </c>
      <c r="B476" s="78" t="n">
        <v>5057</v>
      </c>
      <c r="C476" s="78" t="n">
        <v>4</v>
      </c>
      <c r="D476" s="78" t="inlineStr">
        <is>
          <t>소룡진흥</t>
        </is>
      </c>
      <c r="E476" s="78" t="inlineStr">
        <is>
          <t>1991.05.</t>
        </is>
      </c>
      <c r="F476" s="78" t="n">
        <v>499</v>
      </c>
      <c r="G476" s="78" t="n">
        <v>23.72</v>
      </c>
      <c r="H476" s="78" t="n">
        <v>78.42</v>
      </c>
      <c r="I476" s="78" t="n">
        <v>18.09</v>
      </c>
      <c r="J476" s="78" t="n">
        <v>59.82</v>
      </c>
      <c r="K476" s="78" t="n">
        <v>48</v>
      </c>
      <c r="T476" s="78" t="n">
        <v>3</v>
      </c>
      <c r="U476" s="78" t="n">
        <v>1</v>
      </c>
      <c r="V476" s="78" t="inlineStr">
        <is>
          <t>복도식</t>
        </is>
      </c>
      <c r="W476" s="78" t="inlineStr">
        <is>
          <t>78A</t>
        </is>
      </c>
      <c r="X476" s="78" t="n">
        <v>13</v>
      </c>
      <c r="Y476" s="78" t="n">
        <v>5</v>
      </c>
      <c r="Z476" s="78" t="inlineStr">
        <is>
          <t>https://new.land.naver.com/complexes/5057?tab=detail&amp;rf=Y</t>
        </is>
      </c>
      <c r="AA476" s="78" t="inlineStr">
        <is>
          <t>전라북도 군산시 소룡동 1386-10</t>
        </is>
      </c>
      <c r="AB476" s="78" t="inlineStr">
        <is>
          <t>전라북도</t>
        </is>
      </c>
      <c r="AC476" s="78" t="inlineStr">
        <is>
          <t>군산시</t>
        </is>
      </c>
      <c r="AD476" s="78" t="inlineStr">
        <is>
          <t>소룡동</t>
        </is>
      </c>
      <c r="AG476" s="78" t="inlineStr">
        <is>
          <t>전라북도 군산시 설림안3길 32</t>
        </is>
      </c>
      <c r="AH476" s="78" t="n">
        <v>0</v>
      </c>
      <c r="AI476" s="78" t="n">
        <v>0</v>
      </c>
      <c r="AJ476" s="78" t="n">
        <v>0</v>
      </c>
      <c r="AK476" s="78" t="n">
        <v>0</v>
      </c>
      <c r="AL476" s="78" t="n">
        <v>0</v>
      </c>
    </row>
    <row r="477">
      <c r="A477" s="78" t="inlineStr">
        <is>
          <t>[소룡동]</t>
        </is>
      </c>
      <c r="B477" s="78" t="n">
        <v>5057</v>
      </c>
      <c r="C477" s="78" t="n">
        <v>5</v>
      </c>
      <c r="D477" s="78" t="inlineStr">
        <is>
          <t>소룡진흥</t>
        </is>
      </c>
      <c r="E477" s="78" t="inlineStr">
        <is>
          <t>1991.05.</t>
        </is>
      </c>
      <c r="F477" s="78" t="n">
        <v>499</v>
      </c>
      <c r="G477" s="78" t="n">
        <v>24.42</v>
      </c>
      <c r="H477" s="78" t="n">
        <v>80.73999999999999</v>
      </c>
      <c r="I477" s="78" t="n">
        <v>20.59</v>
      </c>
      <c r="J477" s="78" t="n">
        <v>68.06999999999999</v>
      </c>
      <c r="K477" s="78" t="n">
        <v>25</v>
      </c>
      <c r="T477" s="78" t="n">
        <v>3</v>
      </c>
      <c r="U477" s="78" t="n">
        <v>1</v>
      </c>
      <c r="V477" s="78" t="inlineStr">
        <is>
          <t>계단식</t>
        </is>
      </c>
      <c r="W477" s="78" t="inlineStr">
        <is>
          <t>80B</t>
        </is>
      </c>
      <c r="X477" s="78" t="n">
        <v>13</v>
      </c>
      <c r="Y477" s="78" t="n">
        <v>5</v>
      </c>
      <c r="Z477" s="78" t="inlineStr">
        <is>
          <t>https://new.land.naver.com/complexes/5057?tab=detail&amp;rf=Y</t>
        </is>
      </c>
      <c r="AA477" s="78" t="inlineStr">
        <is>
          <t>전라북도 군산시 소룡동 1386-10</t>
        </is>
      </c>
      <c r="AB477" s="78" t="inlineStr">
        <is>
          <t>전라북도</t>
        </is>
      </c>
      <c r="AC477" s="78" t="inlineStr">
        <is>
          <t>군산시</t>
        </is>
      </c>
      <c r="AD477" s="78" t="inlineStr">
        <is>
          <t>소룡동</t>
        </is>
      </c>
      <c r="AG477" s="78" t="inlineStr">
        <is>
          <t>전라북도 군산시 설림안3길 32</t>
        </is>
      </c>
      <c r="AH477" s="78" t="n">
        <v>0</v>
      </c>
      <c r="AI477" s="78" t="n">
        <v>0</v>
      </c>
      <c r="AJ477" s="78" t="n">
        <v>0</v>
      </c>
      <c r="AK477" s="78" t="n">
        <v>0</v>
      </c>
      <c r="AL477" s="78" t="n">
        <v>0</v>
      </c>
    </row>
    <row r="478">
      <c r="A478" s="78" t="inlineStr">
        <is>
          <t>[소룡동]</t>
        </is>
      </c>
      <c r="B478" s="78" t="n">
        <v>5057</v>
      </c>
      <c r="C478" s="78" t="n">
        <v>6</v>
      </c>
      <c r="D478" s="78" t="inlineStr">
        <is>
          <t>소룡진흥</t>
        </is>
      </c>
      <c r="E478" s="78" t="inlineStr">
        <is>
          <t>1991.05.</t>
        </is>
      </c>
      <c r="F478" s="78" t="n">
        <v>499</v>
      </c>
      <c r="G478" s="78" t="n">
        <v>26.71</v>
      </c>
      <c r="H478" s="78" t="n">
        <v>88.31</v>
      </c>
      <c r="I478" s="78" t="n">
        <v>21.77</v>
      </c>
      <c r="J478" s="78" t="n">
        <v>71.98</v>
      </c>
      <c r="K478" s="78" t="n">
        <v>128</v>
      </c>
      <c r="T478" s="78" t="n">
        <v>3</v>
      </c>
      <c r="U478" s="78" t="n">
        <v>2</v>
      </c>
      <c r="V478" s="78" t="inlineStr">
        <is>
          <t>계단식</t>
        </is>
      </c>
      <c r="W478" s="78" t="n">
        <v>88</v>
      </c>
      <c r="X478" s="78" t="n">
        <v>13</v>
      </c>
      <c r="Y478" s="78" t="n">
        <v>5</v>
      </c>
      <c r="Z478" s="78" t="inlineStr">
        <is>
          <t>https://new.land.naver.com/complexes/5057?tab=detail&amp;rf=Y</t>
        </is>
      </c>
      <c r="AA478" s="78" t="inlineStr">
        <is>
          <t>전라북도 군산시 소룡동 1386-10</t>
        </is>
      </c>
      <c r="AB478" s="78" t="inlineStr">
        <is>
          <t>전라북도</t>
        </is>
      </c>
      <c r="AC478" s="78" t="inlineStr">
        <is>
          <t>군산시</t>
        </is>
      </c>
      <c r="AD478" s="78" t="inlineStr">
        <is>
          <t>소룡동</t>
        </is>
      </c>
      <c r="AG478" s="78" t="inlineStr">
        <is>
          <t>전라북도 군산시 설림안3길 32</t>
        </is>
      </c>
      <c r="AH478" s="78" t="n">
        <v>0</v>
      </c>
      <c r="AI478" s="78" t="n">
        <v>0</v>
      </c>
      <c r="AJ478" s="78" t="n">
        <v>0</v>
      </c>
      <c r="AK478" s="78" t="n">
        <v>0</v>
      </c>
      <c r="AL478" s="78" t="n">
        <v>0</v>
      </c>
    </row>
    <row r="479">
      <c r="A479" s="78" t="inlineStr">
        <is>
          <t>[소룡동]</t>
        </is>
      </c>
      <c r="B479" s="78" t="n">
        <v>5057</v>
      </c>
      <c r="C479" s="78" t="n">
        <v>7</v>
      </c>
      <c r="D479" s="78" t="inlineStr">
        <is>
          <t>소룡진흥</t>
        </is>
      </c>
      <c r="E479" s="78" t="inlineStr">
        <is>
          <t>1991.05.</t>
        </is>
      </c>
      <c r="F479" s="78" t="n">
        <v>499</v>
      </c>
      <c r="G479" s="78" t="n">
        <v>31.1</v>
      </c>
      <c r="H479" s="78" t="n">
        <v>102.82</v>
      </c>
      <c r="I479" s="78" t="n">
        <v>25.7</v>
      </c>
      <c r="J479" s="78" t="n">
        <v>84.98</v>
      </c>
      <c r="K479" s="78" t="n">
        <v>100</v>
      </c>
      <c r="T479" s="78" t="n">
        <v>3</v>
      </c>
      <c r="U479" s="78" t="n">
        <v>2</v>
      </c>
      <c r="V479" s="78" t="inlineStr">
        <is>
          <t>계단식</t>
        </is>
      </c>
      <c r="W479" s="78" t="n">
        <v>102</v>
      </c>
      <c r="X479" s="78" t="n">
        <v>13</v>
      </c>
      <c r="Y479" s="78" t="n">
        <v>5</v>
      </c>
      <c r="Z479" s="78" t="inlineStr">
        <is>
          <t>https://new.land.naver.com/complexes/5057?tab=detail&amp;rf=Y</t>
        </is>
      </c>
      <c r="AA479" s="78" t="inlineStr">
        <is>
          <t>전라북도 군산시 소룡동 1386-10</t>
        </is>
      </c>
      <c r="AB479" s="78" t="inlineStr">
        <is>
          <t>전라북도</t>
        </is>
      </c>
      <c r="AC479" s="78" t="inlineStr">
        <is>
          <t>군산시</t>
        </is>
      </c>
      <c r="AD479" s="78" t="inlineStr">
        <is>
          <t>소룡동</t>
        </is>
      </c>
      <c r="AG479" s="78" t="inlineStr">
        <is>
          <t>전라북도 군산시 설림안3길 32</t>
        </is>
      </c>
      <c r="AH479" s="78" t="n">
        <v>0</v>
      </c>
      <c r="AI479" s="78" t="n">
        <v>0</v>
      </c>
      <c r="AJ479" s="78" t="n">
        <v>0</v>
      </c>
      <c r="AK479" s="78" t="n">
        <v>0</v>
      </c>
      <c r="AL479" s="78" t="n">
        <v>0</v>
      </c>
    </row>
    <row r="480">
      <c r="A480" s="78" t="inlineStr">
        <is>
          <t>[소룡동]</t>
        </is>
      </c>
      <c r="B480" s="78" t="n">
        <v>27490</v>
      </c>
      <c r="C480" s="78" t="n">
        <v>1</v>
      </c>
      <c r="D480" s="78" t="inlineStr">
        <is>
          <t>스카이타운</t>
        </is>
      </c>
      <c r="E480" s="78" t="inlineStr">
        <is>
          <t>2008.08.</t>
        </is>
      </c>
      <c r="F480" s="78" t="n">
        <v>398</v>
      </c>
      <c r="G480" s="78" t="n">
        <v>12.49</v>
      </c>
      <c r="H480" s="78" t="n">
        <v>41.29</v>
      </c>
      <c r="I480" s="78" t="n">
        <v>9.609999999999999</v>
      </c>
      <c r="J480" s="78" t="n">
        <v>31.8</v>
      </c>
      <c r="K480" s="78" t="n">
        <v>390</v>
      </c>
      <c r="T480" s="78" t="n">
        <v>1</v>
      </c>
      <c r="U480" s="78" t="n">
        <v>1</v>
      </c>
      <c r="V480" s="78" t="inlineStr">
        <is>
          <t>복도식</t>
        </is>
      </c>
      <c r="W480" s="78" t="n">
        <v>41</v>
      </c>
      <c r="X480" s="78" t="n">
        <v>14</v>
      </c>
      <c r="Y480" s="78" t="n">
        <v>8</v>
      </c>
      <c r="Z480" s="78" t="inlineStr">
        <is>
          <t>https://new.land.naver.com/complexes/27490?tab=detail&amp;rf=Y</t>
        </is>
      </c>
      <c r="AA480" s="78" t="inlineStr">
        <is>
          <t>전라북도 군산시 소룡동 1574</t>
        </is>
      </c>
      <c r="AB480" s="78" t="inlineStr">
        <is>
          <t>전라북도</t>
        </is>
      </c>
      <c r="AC480" s="78" t="inlineStr">
        <is>
          <t>군산시</t>
        </is>
      </c>
      <c r="AD480" s="78" t="inlineStr">
        <is>
          <t>소룡동</t>
        </is>
      </c>
      <c r="AG480" s="78" t="inlineStr">
        <is>
          <t>전라북도 군산시 소룡안3길 34</t>
        </is>
      </c>
      <c r="AH480" s="78" t="n">
        <v>0</v>
      </c>
      <c r="AI480" s="78" t="n">
        <v>312</v>
      </c>
      <c r="AJ480" s="78" t="n">
        <v>37</v>
      </c>
      <c r="AK480" s="78" t="n">
        <v>280</v>
      </c>
      <c r="AL480" s="78" t="n">
        <v>0.7</v>
      </c>
    </row>
    <row r="481">
      <c r="A481" s="78" t="inlineStr">
        <is>
          <t>[소룡동]</t>
        </is>
      </c>
      <c r="B481" s="78" t="n">
        <v>27490</v>
      </c>
      <c r="C481" s="78" t="n">
        <v>2</v>
      </c>
      <c r="D481" s="78" t="inlineStr">
        <is>
          <t>스카이타운</t>
        </is>
      </c>
      <c r="E481" s="78" t="inlineStr">
        <is>
          <t>2008.08.</t>
        </is>
      </c>
      <c r="F481" s="78" t="n">
        <v>398</v>
      </c>
      <c r="G481" s="78" t="n">
        <v>16.28</v>
      </c>
      <c r="H481" s="78" t="n">
        <v>53.83</v>
      </c>
      <c r="I481" s="78" t="n">
        <v>12.54</v>
      </c>
      <c r="J481" s="78" t="n">
        <v>41.46</v>
      </c>
      <c r="K481" s="78" t="n">
        <v>8</v>
      </c>
      <c r="T481" s="78" t="n">
        <v>2</v>
      </c>
      <c r="U481" s="78" t="n">
        <v>1</v>
      </c>
      <c r="V481" s="78" t="inlineStr">
        <is>
          <t>복도식</t>
        </is>
      </c>
      <c r="W481" s="78" t="n">
        <v>53</v>
      </c>
      <c r="X481" s="78" t="n">
        <v>14</v>
      </c>
      <c r="Y481" s="78" t="n">
        <v>8</v>
      </c>
      <c r="Z481" s="78" t="inlineStr">
        <is>
          <t>https://new.land.naver.com/complexes/27490?tab=detail&amp;rf=Y</t>
        </is>
      </c>
      <c r="AA481" s="78" t="inlineStr">
        <is>
          <t>전라북도 군산시 소룡동 1574</t>
        </is>
      </c>
      <c r="AB481" s="78" t="inlineStr">
        <is>
          <t>전라북도</t>
        </is>
      </c>
      <c r="AC481" s="78" t="inlineStr">
        <is>
          <t>군산시</t>
        </is>
      </c>
      <c r="AD481" s="78" t="inlineStr">
        <is>
          <t>소룡동</t>
        </is>
      </c>
      <c r="AG481" s="78" t="inlineStr">
        <is>
          <t>전라북도 군산시 소룡안3길 34</t>
        </is>
      </c>
      <c r="AH481" s="78" t="n">
        <v>0</v>
      </c>
      <c r="AI481" s="78" t="n">
        <v>312</v>
      </c>
      <c r="AJ481" s="78" t="n">
        <v>37</v>
      </c>
      <c r="AK481" s="78" t="n">
        <v>280</v>
      </c>
      <c r="AL481" s="78" t="n">
        <v>0.7</v>
      </c>
    </row>
    <row r="482">
      <c r="A482" s="78" t="inlineStr">
        <is>
          <t>[소룡동]</t>
        </is>
      </c>
      <c r="B482" s="78" t="n">
        <v>125416</v>
      </c>
      <c r="C482" s="78" t="n">
        <v>1</v>
      </c>
      <c r="D482" s="78" t="inlineStr">
        <is>
          <t>예그린</t>
        </is>
      </c>
      <c r="E482" s="78" t="inlineStr">
        <is>
          <t>1991.03.</t>
        </is>
      </c>
      <c r="F482" s="78" t="n">
        <v>60</v>
      </c>
      <c r="G482" s="78" t="n">
        <v>18.44</v>
      </c>
      <c r="H482" s="78" t="n">
        <v>60.98</v>
      </c>
      <c r="I482" s="78" t="n">
        <v>13.93</v>
      </c>
      <c r="J482" s="78" t="n">
        <v>46.05</v>
      </c>
      <c r="K482" s="78" t="n">
        <v>60</v>
      </c>
      <c r="T482" s="78" t="n">
        <v>3</v>
      </c>
      <c r="U482" s="78" t="n">
        <v>1</v>
      </c>
      <c r="V482" s="78" t="inlineStr">
        <is>
          <t>계단식</t>
        </is>
      </c>
      <c r="W482" s="78" t="n">
        <v>60</v>
      </c>
      <c r="X482" s="78" t="n">
        <v>5</v>
      </c>
      <c r="Y482" s="78" t="n">
        <v>5</v>
      </c>
      <c r="Z482" s="78" t="inlineStr">
        <is>
          <t>https://new.land.naver.com/complexes/125416?tab=detail&amp;rf=Y</t>
        </is>
      </c>
      <c r="AA482" s="78" t="inlineStr">
        <is>
          <t>전라북도 군산시 소룡동 1547-4</t>
        </is>
      </c>
      <c r="AB482" s="78" t="inlineStr">
        <is>
          <t>전라북도</t>
        </is>
      </c>
      <c r="AC482" s="78" t="inlineStr">
        <is>
          <t>군산시</t>
        </is>
      </c>
      <c r="AD482" s="78" t="inlineStr">
        <is>
          <t>소룡동</t>
        </is>
      </c>
      <c r="AG482" s="78" t="inlineStr">
        <is>
          <t>전라북도 군산시 소룡안2길 19</t>
        </is>
      </c>
      <c r="AH482" s="78" t="n">
        <v>0</v>
      </c>
      <c r="AI482" s="78" t="n">
        <v>161</v>
      </c>
      <c r="AJ482" s="78" t="n">
        <v>33</v>
      </c>
      <c r="AK482" s="78" t="n">
        <v>0</v>
      </c>
      <c r="AL482" s="78" t="n">
        <v>0</v>
      </c>
    </row>
    <row r="483">
      <c r="A483" s="78" t="inlineStr">
        <is>
          <t>[소룡동]</t>
        </is>
      </c>
      <c r="B483" s="78" t="n">
        <v>122339</v>
      </c>
      <c r="C483" s="78" t="n">
        <v>1</v>
      </c>
      <c r="D483" s="78" t="inlineStr">
        <is>
          <t>평화</t>
        </is>
      </c>
      <c r="E483" s="78" t="inlineStr">
        <is>
          <t>1992.05.</t>
        </is>
      </c>
      <c r="F483" s="78" t="n">
        <v>19</v>
      </c>
      <c r="G483" s="78" t="n">
        <v>21.26</v>
      </c>
      <c r="H483" s="78" t="n">
        <v>70.29000000000001</v>
      </c>
      <c r="I483" s="78" t="n">
        <v>17.59</v>
      </c>
      <c r="J483" s="78" t="n">
        <v>58.15</v>
      </c>
      <c r="K483" s="78" t="n">
        <v>19</v>
      </c>
      <c r="T483" s="78" t="n">
        <v>3</v>
      </c>
      <c r="U483" s="78" t="n">
        <v>1</v>
      </c>
      <c r="V483" s="78" t="inlineStr">
        <is>
          <t>계단식</t>
        </is>
      </c>
      <c r="W483" s="78" t="n">
        <v>70</v>
      </c>
      <c r="X483" s="78" t="n">
        <v>5</v>
      </c>
      <c r="Y483" s="78" t="n">
        <v>4</v>
      </c>
      <c r="Z483" s="78" t="inlineStr">
        <is>
          <t>https://new.land.naver.com/complexes/122339?tab=detail&amp;rf=Y</t>
        </is>
      </c>
      <c r="AA483" s="78" t="inlineStr">
        <is>
          <t>전라북도 군산시 소룡동 1551-3</t>
        </is>
      </c>
      <c r="AB483" s="78" t="inlineStr">
        <is>
          <t>전라북도</t>
        </is>
      </c>
      <c r="AC483" s="78" t="inlineStr">
        <is>
          <t>군산시</t>
        </is>
      </c>
      <c r="AD483" s="78" t="inlineStr">
        <is>
          <t>소룡동</t>
        </is>
      </c>
      <c r="AG483" s="78" t="inlineStr">
        <is>
          <t>전라북도 군산시 칠성6길 185</t>
        </is>
      </c>
      <c r="AH483" s="78" t="n">
        <v>0</v>
      </c>
      <c r="AI483" s="78" t="n">
        <v>123</v>
      </c>
      <c r="AJ483" s="78" t="n">
        <v>25</v>
      </c>
      <c r="AK483" s="78" t="n">
        <v>0</v>
      </c>
      <c r="AL483" s="78" t="n">
        <v>0</v>
      </c>
    </row>
    <row r="484">
      <c r="A484" s="78" t="inlineStr">
        <is>
          <t>[소룡동]</t>
        </is>
      </c>
      <c r="B484" s="78" t="n">
        <v>127515</v>
      </c>
      <c r="C484" s="78" t="n">
        <v>1</v>
      </c>
      <c r="D484" s="78" t="inlineStr">
        <is>
          <t>그린</t>
        </is>
      </c>
      <c r="E484" s="78" t="inlineStr">
        <is>
          <t>1992.06.</t>
        </is>
      </c>
      <c r="F484" s="78" t="n">
        <v>96</v>
      </c>
      <c r="G484" s="78" t="n">
        <v>19.76</v>
      </c>
      <c r="H484" s="78" t="n">
        <v>65.34999999999999</v>
      </c>
      <c r="I484" s="78" t="n">
        <v>15.38</v>
      </c>
      <c r="J484" s="78" t="n">
        <v>50.85</v>
      </c>
      <c r="K484" s="78" t="n">
        <v>96</v>
      </c>
      <c r="T484" s="78" t="n">
        <v>3</v>
      </c>
      <c r="U484" s="78" t="n">
        <v>1</v>
      </c>
      <c r="V484" s="78" t="inlineStr">
        <is>
          <t>계단식</t>
        </is>
      </c>
      <c r="W484" s="78" t="n">
        <v>65</v>
      </c>
      <c r="X484" s="78" t="n">
        <v>6</v>
      </c>
      <c r="Y484" s="78" t="n">
        <v>6</v>
      </c>
      <c r="Z484" s="78" t="inlineStr">
        <is>
          <t>https://new.land.naver.com/complexes/127515?tab=detail&amp;rf=Y</t>
        </is>
      </c>
      <c r="AA484" s="78" t="inlineStr">
        <is>
          <t>전라북도 군산시 소룡동 1561-1</t>
        </is>
      </c>
      <c r="AB484" s="78" t="inlineStr">
        <is>
          <t>전라북도</t>
        </is>
      </c>
      <c r="AC484" s="78" t="inlineStr">
        <is>
          <t>군산시</t>
        </is>
      </c>
      <c r="AD484" s="78" t="inlineStr">
        <is>
          <t>소룡동</t>
        </is>
      </c>
      <c r="AG484" s="78" t="inlineStr">
        <is>
          <t>전라북도 군산시 소룡2길 34</t>
        </is>
      </c>
      <c r="AH484" s="78" t="n">
        <v>0</v>
      </c>
      <c r="AI484" s="78" t="n">
        <v>153</v>
      </c>
      <c r="AJ484" s="78" t="n">
        <v>58</v>
      </c>
      <c r="AK484" s="78" t="n">
        <v>0</v>
      </c>
      <c r="AL484" s="78" t="n">
        <v>0</v>
      </c>
    </row>
    <row r="485">
      <c r="A485" s="78" t="inlineStr">
        <is>
          <t>[소룡동]</t>
        </is>
      </c>
      <c r="B485" s="78" t="n">
        <v>105138</v>
      </c>
      <c r="C485" s="78" t="n">
        <v>1</v>
      </c>
      <c r="D485" s="78" t="inlineStr">
        <is>
          <t>소룡제이파크</t>
        </is>
      </c>
      <c r="E485" s="78" t="inlineStr">
        <is>
          <t>2006.06.</t>
        </is>
      </c>
      <c r="F485" s="78" t="n">
        <v>972</v>
      </c>
      <c r="G485" s="78" t="n">
        <v>23.48</v>
      </c>
      <c r="H485" s="78" t="n">
        <v>77.65000000000001</v>
      </c>
      <c r="I485" s="78" t="n">
        <v>18.01</v>
      </c>
      <c r="J485" s="78" t="n">
        <v>59.55</v>
      </c>
      <c r="K485" s="78" t="n">
        <v>144</v>
      </c>
      <c r="T485" s="78" t="n">
        <v>2</v>
      </c>
      <c r="U485" s="78" t="n">
        <v>1</v>
      </c>
      <c r="V485" s="78" t="inlineStr">
        <is>
          <t>계단식</t>
        </is>
      </c>
      <c r="W485" s="78" t="inlineStr">
        <is>
          <t>77A</t>
        </is>
      </c>
      <c r="X485" s="78" t="n">
        <v>12</v>
      </c>
      <c r="Y485" s="78" t="n">
        <v>12</v>
      </c>
      <c r="Z485" s="78" t="inlineStr">
        <is>
          <t>https://new.land.naver.com/complexes/105138?tab=detail&amp;rf=Y</t>
        </is>
      </c>
      <c r="AA485" s="78" t="inlineStr">
        <is>
          <t>전라북도 군산시 소룡동 663</t>
        </is>
      </c>
      <c r="AB485" s="78" t="inlineStr">
        <is>
          <t>전라북도</t>
        </is>
      </c>
      <c r="AC485" s="78" t="inlineStr">
        <is>
          <t>군산시</t>
        </is>
      </c>
      <c r="AD485" s="78" t="inlineStr">
        <is>
          <t>소룡동</t>
        </is>
      </c>
      <c r="AG485" s="78" t="inlineStr">
        <is>
          <t>전라북도 군산시 해망로 606</t>
        </is>
      </c>
      <c r="AH485" s="78" t="n">
        <v>0</v>
      </c>
      <c r="AI485" s="78" t="n">
        <v>155</v>
      </c>
      <c r="AJ485" s="78" t="n">
        <v>16</v>
      </c>
      <c r="AK485" s="78" t="n">
        <v>985</v>
      </c>
      <c r="AL485" s="78" t="n">
        <v>1.01</v>
      </c>
    </row>
    <row r="486">
      <c r="A486" s="78" t="inlineStr">
        <is>
          <t>[소룡동]</t>
        </is>
      </c>
      <c r="B486" s="78" t="n">
        <v>105138</v>
      </c>
      <c r="C486" s="78" t="n">
        <v>2</v>
      </c>
      <c r="D486" s="78" t="inlineStr">
        <is>
          <t>소룡제이파크</t>
        </is>
      </c>
      <c r="E486" s="78" t="inlineStr">
        <is>
          <t>2006.06.</t>
        </is>
      </c>
      <c r="F486" s="78" t="n">
        <v>972</v>
      </c>
      <c r="G486" s="78" t="n">
        <v>23.82</v>
      </c>
      <c r="H486" s="78" t="n">
        <v>78.76000000000001</v>
      </c>
      <c r="I486" s="78" t="n">
        <v>18.13</v>
      </c>
      <c r="J486" s="78" t="n">
        <v>59.95</v>
      </c>
      <c r="K486" s="78" t="n">
        <v>252</v>
      </c>
      <c r="T486" s="78" t="n">
        <v>2</v>
      </c>
      <c r="U486" s="78" t="n">
        <v>1</v>
      </c>
      <c r="V486" s="78" t="inlineStr">
        <is>
          <t>계단식</t>
        </is>
      </c>
      <c r="W486" s="78" t="inlineStr">
        <is>
          <t>78B</t>
        </is>
      </c>
      <c r="X486" s="78" t="n">
        <v>12</v>
      </c>
      <c r="Y486" s="78" t="n">
        <v>12</v>
      </c>
      <c r="Z486" s="78" t="inlineStr">
        <is>
          <t>https://new.land.naver.com/complexes/105138?tab=detail&amp;rf=Y</t>
        </is>
      </c>
      <c r="AA486" s="78" t="inlineStr">
        <is>
          <t>전라북도 군산시 소룡동 663</t>
        </is>
      </c>
      <c r="AB486" s="78" t="inlineStr">
        <is>
          <t>전라북도</t>
        </is>
      </c>
      <c r="AC486" s="78" t="inlineStr">
        <is>
          <t>군산시</t>
        </is>
      </c>
      <c r="AD486" s="78" t="inlineStr">
        <is>
          <t>소룡동</t>
        </is>
      </c>
      <c r="AG486" s="78" t="inlineStr">
        <is>
          <t>전라북도 군산시 해망로 606</t>
        </is>
      </c>
      <c r="AH486" s="78" t="n">
        <v>0</v>
      </c>
      <c r="AI486" s="78" t="n">
        <v>155</v>
      </c>
      <c r="AJ486" s="78" t="n">
        <v>16</v>
      </c>
      <c r="AK486" s="78" t="n">
        <v>985</v>
      </c>
      <c r="AL486" s="78" t="n">
        <v>1.01</v>
      </c>
    </row>
    <row r="487">
      <c r="A487" s="78" t="inlineStr">
        <is>
          <t>[소룡동]</t>
        </is>
      </c>
      <c r="B487" s="78" t="n">
        <v>105138</v>
      </c>
      <c r="C487" s="78" t="n">
        <v>3</v>
      </c>
      <c r="D487" s="78" t="inlineStr">
        <is>
          <t>소룡제이파크</t>
        </is>
      </c>
      <c r="E487" s="78" t="inlineStr">
        <is>
          <t>2006.06.</t>
        </is>
      </c>
      <c r="F487" s="78" t="n">
        <v>972</v>
      </c>
      <c r="G487" s="78" t="n">
        <v>32.14</v>
      </c>
      <c r="H487" s="78" t="n">
        <v>106.25</v>
      </c>
      <c r="I487" s="78" t="n">
        <v>25.56</v>
      </c>
      <c r="J487" s="78" t="n">
        <v>84.52</v>
      </c>
      <c r="K487" s="78" t="n">
        <v>576</v>
      </c>
      <c r="T487" s="78" t="n">
        <v>3</v>
      </c>
      <c r="U487" s="78" t="n">
        <v>2</v>
      </c>
      <c r="V487" s="78" t="inlineStr">
        <is>
          <t>계단식</t>
        </is>
      </c>
      <c r="W487" s="78" t="n">
        <v>106</v>
      </c>
      <c r="X487" s="78" t="n">
        <v>12</v>
      </c>
      <c r="Y487" s="78" t="n">
        <v>12</v>
      </c>
      <c r="Z487" s="78" t="inlineStr">
        <is>
          <t>https://new.land.naver.com/complexes/105138?tab=detail&amp;rf=Y</t>
        </is>
      </c>
      <c r="AA487" s="78" t="inlineStr">
        <is>
          <t>전라북도 군산시 소룡동 663</t>
        </is>
      </c>
      <c r="AB487" s="78" t="inlineStr">
        <is>
          <t>전라북도</t>
        </is>
      </c>
      <c r="AC487" s="78" t="inlineStr">
        <is>
          <t>군산시</t>
        </is>
      </c>
      <c r="AD487" s="78" t="inlineStr">
        <is>
          <t>소룡동</t>
        </is>
      </c>
      <c r="AG487" s="78" t="inlineStr">
        <is>
          <t>전라북도 군산시 해망로 606</t>
        </is>
      </c>
      <c r="AH487" s="78" t="n">
        <v>0</v>
      </c>
      <c r="AI487" s="78" t="n">
        <v>155</v>
      </c>
      <c r="AJ487" s="78" t="n">
        <v>16</v>
      </c>
      <c r="AK487" s="78" t="n">
        <v>985</v>
      </c>
      <c r="AL487" s="78" t="n">
        <v>1.01</v>
      </c>
    </row>
    <row r="488">
      <c r="A488" s="78" t="inlineStr">
        <is>
          <t>[소룡동]</t>
        </is>
      </c>
      <c r="B488" s="78" t="n">
        <v>106428</v>
      </c>
      <c r="C488" s="78" t="n">
        <v>1</v>
      </c>
      <c r="D488" s="78" t="inlineStr">
        <is>
          <t>신흥무지개타운</t>
        </is>
      </c>
      <c r="E488" s="78" t="inlineStr">
        <is>
          <t>1993.06.</t>
        </is>
      </c>
      <c r="F488" s="78" t="n">
        <v>112</v>
      </c>
      <c r="G488" s="78" t="n">
        <v>21.81</v>
      </c>
      <c r="H488" s="78" t="n">
        <v>72.12</v>
      </c>
      <c r="I488" s="78" t="n">
        <v>16.13</v>
      </c>
      <c r="J488" s="78" t="n">
        <v>53.33</v>
      </c>
      <c r="K488" s="78" t="n">
        <v>106</v>
      </c>
      <c r="T488" s="78" t="n">
        <v>3</v>
      </c>
      <c r="U488" s="78" t="n">
        <v>1</v>
      </c>
      <c r="V488" s="78" t="inlineStr">
        <is>
          <t>복도식</t>
        </is>
      </c>
      <c r="W488" s="78" t="n">
        <v>72</v>
      </c>
      <c r="X488" s="78" t="n">
        <v>10</v>
      </c>
      <c r="Y488" s="78" t="n">
        <v>6</v>
      </c>
      <c r="Z488" s="78" t="inlineStr">
        <is>
          <t>https://new.land.naver.com/complexes/106428?tab=detail&amp;rf=Y</t>
        </is>
      </c>
      <c r="AA488" s="78" t="inlineStr">
        <is>
          <t>전라북도 군산시 소룡동 1560-2</t>
        </is>
      </c>
      <c r="AB488" s="78" t="inlineStr">
        <is>
          <t>전라북도</t>
        </is>
      </c>
      <c r="AC488" s="78" t="inlineStr">
        <is>
          <t>군산시</t>
        </is>
      </c>
      <c r="AD488" s="78" t="inlineStr">
        <is>
          <t>소룡동</t>
        </is>
      </c>
      <c r="AG488" s="78" t="inlineStr">
        <is>
          <t>전라북도 군산시 소룡1길 26</t>
        </is>
      </c>
      <c r="AH488" s="78" t="n">
        <v>0</v>
      </c>
      <c r="AI488" s="78" t="n">
        <v>101</v>
      </c>
      <c r="AJ488" s="78" t="n">
        <v>13</v>
      </c>
      <c r="AK488" s="78" t="n">
        <v>40</v>
      </c>
      <c r="AL488" s="78" t="n">
        <v>0.36</v>
      </c>
    </row>
    <row r="489">
      <c r="A489" s="78" t="inlineStr">
        <is>
          <t>[소룡동]</t>
        </is>
      </c>
      <c r="B489" s="78" t="n">
        <v>106428</v>
      </c>
      <c r="C489" s="78" t="n">
        <v>2</v>
      </c>
      <c r="D489" s="78" t="inlineStr">
        <is>
          <t>신흥무지개타운</t>
        </is>
      </c>
      <c r="E489" s="78" t="inlineStr">
        <is>
          <t>1993.06.</t>
        </is>
      </c>
      <c r="F489" s="78" t="n">
        <v>112</v>
      </c>
      <c r="G489" s="78" t="n">
        <v>23.72</v>
      </c>
      <c r="H489" s="78" t="n">
        <v>78.44</v>
      </c>
      <c r="I489" s="78" t="n">
        <v>17.35</v>
      </c>
      <c r="J489" s="78" t="n">
        <v>57.38</v>
      </c>
      <c r="K489" s="78" t="n">
        <v>6</v>
      </c>
      <c r="T489" s="78" t="n">
        <v>3</v>
      </c>
      <c r="U489" s="78" t="n">
        <v>1</v>
      </c>
      <c r="V489" s="78" t="inlineStr">
        <is>
          <t>복도식</t>
        </is>
      </c>
      <c r="W489" s="78" t="n">
        <v>78</v>
      </c>
      <c r="X489" s="78" t="n">
        <v>10</v>
      </c>
      <c r="Y489" s="78" t="n">
        <v>6</v>
      </c>
      <c r="Z489" s="78" t="inlineStr">
        <is>
          <t>https://new.land.naver.com/complexes/106428?tab=detail&amp;rf=Y</t>
        </is>
      </c>
      <c r="AA489" s="78" t="inlineStr">
        <is>
          <t>전라북도 군산시 소룡동 1560-2</t>
        </is>
      </c>
      <c r="AB489" s="78" t="inlineStr">
        <is>
          <t>전라북도</t>
        </is>
      </c>
      <c r="AC489" s="78" t="inlineStr">
        <is>
          <t>군산시</t>
        </is>
      </c>
      <c r="AD489" s="78" t="inlineStr">
        <is>
          <t>소룡동</t>
        </is>
      </c>
      <c r="AG489" s="78" t="inlineStr">
        <is>
          <t>전라북도 군산시 소룡1길 26</t>
        </is>
      </c>
      <c r="AH489" s="78" t="n">
        <v>0</v>
      </c>
      <c r="AI489" s="78" t="n">
        <v>101</v>
      </c>
      <c r="AJ489" s="78" t="n">
        <v>13</v>
      </c>
      <c r="AK489" s="78" t="n">
        <v>40</v>
      </c>
      <c r="AL489" s="78" t="n">
        <v>0.36</v>
      </c>
    </row>
    <row r="490">
      <c r="A490" s="78" t="inlineStr">
        <is>
          <t>[소룡동]</t>
        </is>
      </c>
      <c r="B490" s="78" t="n">
        <v>27544</v>
      </c>
      <c r="C490" s="78" t="n">
        <v>1</v>
      </c>
      <c r="D490" s="78" t="inlineStr">
        <is>
          <t>신도시</t>
        </is>
      </c>
      <c r="E490" s="78" t="inlineStr">
        <is>
          <t>2001.12.</t>
        </is>
      </c>
      <c r="F490" s="78" t="n">
        <v>720</v>
      </c>
      <c r="G490" s="78" t="n">
        <v>19.05</v>
      </c>
      <c r="H490" s="78" t="n">
        <v>62.98</v>
      </c>
      <c r="I490" s="78" t="n">
        <v>13.72</v>
      </c>
      <c r="J490" s="78" t="n">
        <v>45.36</v>
      </c>
      <c r="K490" s="78" t="n">
        <v>416</v>
      </c>
      <c r="T490" s="78" t="n">
        <v>2</v>
      </c>
      <c r="U490" s="78" t="n">
        <v>1</v>
      </c>
      <c r="V490" s="78" t="inlineStr">
        <is>
          <t>복도식</t>
        </is>
      </c>
      <c r="W490" s="78" t="inlineStr">
        <is>
          <t>62A</t>
        </is>
      </c>
      <c r="X490" s="78" t="n">
        <v>19</v>
      </c>
      <c r="Y490" s="78" t="n">
        <v>18</v>
      </c>
      <c r="Z490" s="78" t="inlineStr">
        <is>
          <t>https://new.land.naver.com/complexes/27544?tab=detail&amp;rf=Y</t>
        </is>
      </c>
      <c r="AA490" s="78" t="inlineStr">
        <is>
          <t>전라북도 군산시 소룡동 755</t>
        </is>
      </c>
      <c r="AB490" s="78" t="inlineStr">
        <is>
          <t>전라북도</t>
        </is>
      </c>
      <c r="AC490" s="78" t="inlineStr">
        <is>
          <t>군산시</t>
        </is>
      </c>
      <c r="AD490" s="78" t="inlineStr">
        <is>
          <t>소룡동</t>
        </is>
      </c>
      <c r="AG490" s="78" t="inlineStr">
        <is>
          <t>전라북도 군산시 풍전6길 16</t>
        </is>
      </c>
      <c r="AH490" s="78" t="n">
        <v>0</v>
      </c>
      <c r="AI490" s="78" t="n">
        <v>281</v>
      </c>
      <c r="AJ490" s="78" t="n">
        <v>18</v>
      </c>
      <c r="AK490" s="78" t="n">
        <v>607</v>
      </c>
      <c r="AL490" s="78" t="n">
        <v>0.84</v>
      </c>
    </row>
    <row r="491">
      <c r="A491" s="78" t="inlineStr">
        <is>
          <t>[소룡동]</t>
        </is>
      </c>
      <c r="B491" s="78" t="n">
        <v>27544</v>
      </c>
      <c r="C491" s="78" t="n">
        <v>2</v>
      </c>
      <c r="D491" s="78" t="inlineStr">
        <is>
          <t>신도시</t>
        </is>
      </c>
      <c r="E491" s="78" t="inlineStr">
        <is>
          <t>2001.12.</t>
        </is>
      </c>
      <c r="F491" s="78" t="n">
        <v>720</v>
      </c>
      <c r="G491" s="78" t="n">
        <v>19.22</v>
      </c>
      <c r="H491" s="78" t="n">
        <v>63.57</v>
      </c>
      <c r="I491" s="78" t="n">
        <v>14.05</v>
      </c>
      <c r="J491" s="78" t="n">
        <v>46.45</v>
      </c>
      <c r="K491" s="78" t="n">
        <v>304</v>
      </c>
      <c r="T491" s="78" t="n">
        <v>2</v>
      </c>
      <c r="U491" s="78" t="n">
        <v>1</v>
      </c>
      <c r="V491" s="78" t="inlineStr">
        <is>
          <t>복도식</t>
        </is>
      </c>
      <c r="W491" s="78" t="inlineStr">
        <is>
          <t>63B</t>
        </is>
      </c>
      <c r="X491" s="78" t="n">
        <v>19</v>
      </c>
      <c r="Y491" s="78" t="n">
        <v>18</v>
      </c>
      <c r="Z491" s="78" t="inlineStr">
        <is>
          <t>https://new.land.naver.com/complexes/27544?tab=detail&amp;rf=Y</t>
        </is>
      </c>
      <c r="AA491" s="78" t="inlineStr">
        <is>
          <t>전라북도 군산시 소룡동 755</t>
        </is>
      </c>
      <c r="AB491" s="78" t="inlineStr">
        <is>
          <t>전라북도</t>
        </is>
      </c>
      <c r="AC491" s="78" t="inlineStr">
        <is>
          <t>군산시</t>
        </is>
      </c>
      <c r="AD491" s="78" t="inlineStr">
        <is>
          <t>소룡동</t>
        </is>
      </c>
      <c r="AG491" s="78" t="inlineStr">
        <is>
          <t>전라북도 군산시 풍전6길 16</t>
        </is>
      </c>
      <c r="AH491" s="78" t="n">
        <v>0</v>
      </c>
      <c r="AI491" s="78" t="n">
        <v>281</v>
      </c>
      <c r="AJ491" s="78" t="n">
        <v>18</v>
      </c>
      <c r="AK491" s="78" t="n">
        <v>607</v>
      </c>
      <c r="AL491" s="78" t="n">
        <v>0.84</v>
      </c>
    </row>
    <row r="492">
      <c r="A492" s="78" t="inlineStr">
        <is>
          <t>[소룡동]</t>
        </is>
      </c>
      <c r="B492" s="78" t="n">
        <v>14975</v>
      </c>
      <c r="C492" s="78" t="n">
        <v>1</v>
      </c>
      <c r="D492" s="78" t="inlineStr">
        <is>
          <t>이화</t>
        </is>
      </c>
      <c r="E492" s="78" t="inlineStr">
        <is>
          <t>1992.02.</t>
        </is>
      </c>
      <c r="F492" s="78" t="n">
        <v>204</v>
      </c>
      <c r="G492" s="78" t="n">
        <v>17.71</v>
      </c>
      <c r="H492" s="78" t="n">
        <v>58.57</v>
      </c>
      <c r="I492" s="78" t="n">
        <v>13.55</v>
      </c>
      <c r="J492" s="78" t="n">
        <v>44.81</v>
      </c>
      <c r="K492" s="78" t="n">
        <v>60</v>
      </c>
      <c r="T492" s="78" t="n">
        <v>2</v>
      </c>
      <c r="U492" s="78" t="n">
        <v>1</v>
      </c>
      <c r="V492" s="78" t="inlineStr">
        <is>
          <t>계단식</t>
        </is>
      </c>
      <c r="W492" s="78" t="n">
        <v>58</v>
      </c>
      <c r="X492" s="78" t="n">
        <v>6</v>
      </c>
      <c r="Y492" s="78" t="n">
        <v>6</v>
      </c>
      <c r="Z492" s="78" t="inlineStr">
        <is>
          <t>https://new.land.naver.com/complexes/14975?tab=detail&amp;rf=Y</t>
        </is>
      </c>
      <c r="AA492" s="78" t="inlineStr">
        <is>
          <t>전라북도 군산시 소룡동 1349-26</t>
        </is>
      </c>
      <c r="AB492" s="78" t="inlineStr">
        <is>
          <t>전라북도</t>
        </is>
      </c>
      <c r="AC492" s="78" t="inlineStr">
        <is>
          <t>군산시</t>
        </is>
      </c>
      <c r="AD492" s="78" t="inlineStr">
        <is>
          <t>소룡동</t>
        </is>
      </c>
      <c r="AG492" s="78" t="inlineStr">
        <is>
          <t>전라북도 군산시 설림2길 22-3</t>
        </is>
      </c>
      <c r="AH492" s="78" t="n">
        <v>0</v>
      </c>
      <c r="AI492" s="78" t="n">
        <v>0</v>
      </c>
      <c r="AJ492" s="78" t="n">
        <v>0</v>
      </c>
      <c r="AK492" s="78" t="n">
        <v>0</v>
      </c>
      <c r="AL492" s="78" t="n">
        <v>0</v>
      </c>
    </row>
    <row r="493">
      <c r="A493" s="78" t="inlineStr">
        <is>
          <t>[소룡동]</t>
        </is>
      </c>
      <c r="B493" s="78" t="n">
        <v>14975</v>
      </c>
      <c r="C493" s="78" t="n">
        <v>2</v>
      </c>
      <c r="D493" s="78" t="inlineStr">
        <is>
          <t>이화</t>
        </is>
      </c>
      <c r="E493" s="78" t="inlineStr">
        <is>
          <t>1992.02.</t>
        </is>
      </c>
      <c r="F493" s="78" t="n">
        <v>204</v>
      </c>
      <c r="G493" s="78" t="n">
        <v>20.94</v>
      </c>
      <c r="H493" s="78" t="n">
        <v>69.25</v>
      </c>
      <c r="I493" s="78" t="n">
        <v>16.29</v>
      </c>
      <c r="J493" s="78" t="n">
        <v>53.88</v>
      </c>
      <c r="K493" s="78" t="n">
        <v>132</v>
      </c>
      <c r="T493" s="78" t="n">
        <v>3</v>
      </c>
      <c r="U493" s="78" t="n">
        <v>1</v>
      </c>
      <c r="V493" s="78" t="inlineStr">
        <is>
          <t>계단식</t>
        </is>
      </c>
      <c r="W493" s="78" t="n">
        <v>69</v>
      </c>
      <c r="X493" s="78" t="n">
        <v>6</v>
      </c>
      <c r="Y493" s="78" t="n">
        <v>6</v>
      </c>
      <c r="Z493" s="78" t="inlineStr">
        <is>
          <t>https://new.land.naver.com/complexes/14975?tab=detail&amp;rf=Y</t>
        </is>
      </c>
      <c r="AA493" s="78" t="inlineStr">
        <is>
          <t>전라북도 군산시 소룡동 1349-26</t>
        </is>
      </c>
      <c r="AB493" s="78" t="inlineStr">
        <is>
          <t>전라북도</t>
        </is>
      </c>
      <c r="AC493" s="78" t="inlineStr">
        <is>
          <t>군산시</t>
        </is>
      </c>
      <c r="AD493" s="78" t="inlineStr">
        <is>
          <t>소룡동</t>
        </is>
      </c>
      <c r="AG493" s="78" t="inlineStr">
        <is>
          <t>전라북도 군산시 설림2길 22-3</t>
        </is>
      </c>
      <c r="AH493" s="78" t="n">
        <v>0</v>
      </c>
      <c r="AI493" s="78" t="n">
        <v>0</v>
      </c>
      <c r="AJ493" s="78" t="n">
        <v>0</v>
      </c>
      <c r="AK493" s="78" t="n">
        <v>0</v>
      </c>
      <c r="AL493" s="78" t="n">
        <v>0</v>
      </c>
    </row>
    <row r="494">
      <c r="A494" s="78" t="inlineStr">
        <is>
          <t>[소룡동]</t>
        </is>
      </c>
      <c r="B494" s="78" t="n">
        <v>14975</v>
      </c>
      <c r="C494" s="78" t="n">
        <v>3</v>
      </c>
      <c r="D494" s="78" t="inlineStr">
        <is>
          <t>이화</t>
        </is>
      </c>
      <c r="E494" s="78" t="inlineStr">
        <is>
          <t>1992.02.</t>
        </is>
      </c>
      <c r="F494" s="78" t="n">
        <v>204</v>
      </c>
      <c r="G494" s="78" t="n">
        <v>22.72</v>
      </c>
      <c r="H494" s="78" t="n">
        <v>75.11</v>
      </c>
      <c r="I494" s="78" t="n">
        <v>17.8</v>
      </c>
      <c r="J494" s="78" t="n">
        <v>58.85</v>
      </c>
      <c r="K494" s="78" t="n">
        <v>12</v>
      </c>
      <c r="T494" s="78" t="n">
        <v>3</v>
      </c>
      <c r="U494" s="78" t="n">
        <v>1</v>
      </c>
      <c r="V494" s="78" t="inlineStr">
        <is>
          <t>계단식</t>
        </is>
      </c>
      <c r="W494" s="78" t="n">
        <v>75</v>
      </c>
      <c r="X494" s="78" t="n">
        <v>6</v>
      </c>
      <c r="Y494" s="78" t="n">
        <v>6</v>
      </c>
      <c r="Z494" s="78" t="inlineStr">
        <is>
          <t>https://new.land.naver.com/complexes/14975?tab=detail&amp;rf=Y</t>
        </is>
      </c>
      <c r="AA494" s="78" t="inlineStr">
        <is>
          <t>전라북도 군산시 소룡동 1349-26</t>
        </is>
      </c>
      <c r="AB494" s="78" t="inlineStr">
        <is>
          <t>전라북도</t>
        </is>
      </c>
      <c r="AC494" s="78" t="inlineStr">
        <is>
          <t>군산시</t>
        </is>
      </c>
      <c r="AD494" s="78" t="inlineStr">
        <is>
          <t>소룡동</t>
        </is>
      </c>
      <c r="AG494" s="78" t="inlineStr">
        <is>
          <t>전라북도 군산시 설림2길 22-3</t>
        </is>
      </c>
      <c r="AH494" s="78" t="n">
        <v>0</v>
      </c>
      <c r="AI494" s="78" t="n">
        <v>0</v>
      </c>
      <c r="AJ494" s="78" t="n">
        <v>0</v>
      </c>
      <c r="AK494" s="78" t="n">
        <v>0</v>
      </c>
      <c r="AL494" s="78" t="n">
        <v>0</v>
      </c>
    </row>
    <row r="495">
      <c r="A495" s="78" t="inlineStr">
        <is>
          <t>[수송동]</t>
        </is>
      </c>
      <c r="B495" s="78" t="n">
        <v>132331</v>
      </c>
      <c r="C495" s="78" t="n">
        <v>1</v>
      </c>
      <c r="D495" s="78" t="inlineStr">
        <is>
          <t>하이스</t>
        </is>
      </c>
      <c r="E495" s="78" t="inlineStr">
        <is>
          <t>2010.04.</t>
        </is>
      </c>
      <c r="F495" s="78" t="n">
        <v>40</v>
      </c>
      <c r="G495" s="78" t="n">
        <v>21.51</v>
      </c>
      <c r="H495" s="78" t="n">
        <v>71.14</v>
      </c>
      <c r="I495" s="78" t="n">
        <v>16.45</v>
      </c>
      <c r="J495" s="78" t="n">
        <v>54.41</v>
      </c>
      <c r="K495" s="78" t="n">
        <v>16</v>
      </c>
      <c r="T495" s="78" t="n">
        <v>3</v>
      </c>
      <c r="U495" s="78" t="n">
        <v>1</v>
      </c>
      <c r="V495" s="78" t="inlineStr">
        <is>
          <t>계단식</t>
        </is>
      </c>
      <c r="W495" s="78" t="n">
        <v>71</v>
      </c>
      <c r="X495" s="78" t="n">
        <v>5</v>
      </c>
      <c r="Y495" s="78" t="n">
        <v>5</v>
      </c>
      <c r="Z495" s="78" t="inlineStr">
        <is>
          <t>https://new.land.naver.com/complexes/132331?tab=detail&amp;rf=Y</t>
        </is>
      </c>
      <c r="AA495" s="78" t="inlineStr">
        <is>
          <t>전라북도 군산시 수송동 404</t>
        </is>
      </c>
      <c r="AB495" s="78" t="inlineStr">
        <is>
          <t>전라북도</t>
        </is>
      </c>
      <c r="AC495" s="78" t="inlineStr">
        <is>
          <t>군산시</t>
        </is>
      </c>
      <c r="AD495" s="78" t="inlineStr">
        <is>
          <t>수송동</t>
        </is>
      </c>
      <c r="AG495" s="78" t="inlineStr">
        <is>
          <t>전라북도 군산시 진포2길 15</t>
        </is>
      </c>
      <c r="AH495" s="78" t="n">
        <v>0</v>
      </c>
      <c r="AI495" s="78" t="n">
        <v>161</v>
      </c>
      <c r="AJ495" s="78" t="n">
        <v>44</v>
      </c>
      <c r="AK495" s="78" t="n">
        <v>43</v>
      </c>
      <c r="AL495" s="78" t="n">
        <v>1.07</v>
      </c>
    </row>
    <row r="496">
      <c r="A496" s="78" t="inlineStr">
        <is>
          <t>[수송동]</t>
        </is>
      </c>
      <c r="B496" s="78" t="n">
        <v>132331</v>
      </c>
      <c r="C496" s="78" t="n">
        <v>2</v>
      </c>
      <c r="D496" s="78" t="inlineStr">
        <is>
          <t>하이스</t>
        </is>
      </c>
      <c r="E496" s="78" t="inlineStr">
        <is>
          <t>2010.04.</t>
        </is>
      </c>
      <c r="F496" s="78" t="n">
        <v>40</v>
      </c>
      <c r="G496" s="78" t="n">
        <v>27.96</v>
      </c>
      <c r="H496" s="78" t="n">
        <v>92.45</v>
      </c>
      <c r="I496" s="78" t="n">
        <v>21.5</v>
      </c>
      <c r="J496" s="78" t="n">
        <v>71.08</v>
      </c>
      <c r="K496" s="78" t="n">
        <v>24</v>
      </c>
      <c r="T496" s="78" t="n">
        <v>3</v>
      </c>
      <c r="U496" s="78" t="n">
        <v>2</v>
      </c>
      <c r="V496" s="78" t="inlineStr">
        <is>
          <t>계단식</t>
        </is>
      </c>
      <c r="W496" s="78" t="n">
        <v>92</v>
      </c>
      <c r="X496" s="78" t="n">
        <v>5</v>
      </c>
      <c r="Y496" s="78" t="n">
        <v>5</v>
      </c>
      <c r="Z496" s="78" t="inlineStr">
        <is>
          <t>https://new.land.naver.com/complexes/132331?tab=detail&amp;rf=Y</t>
        </is>
      </c>
      <c r="AA496" s="78" t="inlineStr">
        <is>
          <t>전라북도 군산시 수송동 404</t>
        </is>
      </c>
      <c r="AB496" s="78" t="inlineStr">
        <is>
          <t>전라북도</t>
        </is>
      </c>
      <c r="AC496" s="78" t="inlineStr">
        <is>
          <t>군산시</t>
        </is>
      </c>
      <c r="AD496" s="78" t="inlineStr">
        <is>
          <t>수송동</t>
        </is>
      </c>
      <c r="AG496" s="78" t="inlineStr">
        <is>
          <t>전라북도 군산시 진포2길 15</t>
        </is>
      </c>
      <c r="AH496" s="78" t="n">
        <v>0</v>
      </c>
      <c r="AI496" s="78" t="n">
        <v>161</v>
      </c>
      <c r="AJ496" s="78" t="n">
        <v>44</v>
      </c>
      <c r="AK496" s="78" t="n">
        <v>43</v>
      </c>
      <c r="AL496" s="78" t="n">
        <v>1.07</v>
      </c>
    </row>
    <row r="497">
      <c r="A497" s="78" t="inlineStr">
        <is>
          <t>[수송동]</t>
        </is>
      </c>
      <c r="B497" s="78" t="n">
        <v>100426</v>
      </c>
      <c r="C497" s="78" t="n">
        <v>1</v>
      </c>
      <c r="D497" s="78" t="inlineStr">
        <is>
          <t>한라비발디2단지</t>
        </is>
      </c>
      <c r="E497" s="78" t="inlineStr">
        <is>
          <t>2008.11.</t>
        </is>
      </c>
      <c r="F497" s="78" t="n">
        <v>782</v>
      </c>
      <c r="G497" s="78" t="n">
        <v>34.28</v>
      </c>
      <c r="H497" s="78" t="n">
        <v>113.34</v>
      </c>
      <c r="I497" s="78" t="n">
        <v>25.7</v>
      </c>
      <c r="J497" s="78" t="n">
        <v>84.95999999999999</v>
      </c>
      <c r="K497" s="78" t="n">
        <v>480</v>
      </c>
      <c r="T497" s="78" t="n">
        <v>3</v>
      </c>
      <c r="U497" s="78" t="n">
        <v>2</v>
      </c>
      <c r="V497" s="78" t="inlineStr">
        <is>
          <t>계단식</t>
        </is>
      </c>
      <c r="W497" s="78" t="n">
        <v>113</v>
      </c>
      <c r="X497" s="78" t="n">
        <v>20</v>
      </c>
      <c r="Y497" s="78" t="n">
        <v>10</v>
      </c>
      <c r="Z497" s="78" t="inlineStr">
        <is>
          <t>https://new.land.naver.com/complexes/100426?tab=detail&amp;rf=Y</t>
        </is>
      </c>
      <c r="AA497" s="78" t="inlineStr">
        <is>
          <t>전라북도 군산시 수송동 885-3</t>
        </is>
      </c>
      <c r="AB497" s="78" t="inlineStr">
        <is>
          <t>전라북도</t>
        </is>
      </c>
      <c r="AC497" s="78" t="inlineStr">
        <is>
          <t>군산시</t>
        </is>
      </c>
      <c r="AD497" s="78" t="inlineStr">
        <is>
          <t>수송동</t>
        </is>
      </c>
      <c r="AG497" s="78" t="inlineStr">
        <is>
          <t>전라북도 군산시 수송동로 20</t>
        </is>
      </c>
      <c r="AH497" s="78" t="n">
        <v>0</v>
      </c>
      <c r="AI497" s="78" t="n">
        <v>208</v>
      </c>
      <c r="AJ497" s="78" t="n">
        <v>15</v>
      </c>
      <c r="AK497" s="78" t="n">
        <v>977</v>
      </c>
      <c r="AL497" s="78" t="n">
        <v>1.25</v>
      </c>
    </row>
    <row r="498">
      <c r="A498" s="78" t="inlineStr">
        <is>
          <t>[수송동]</t>
        </is>
      </c>
      <c r="B498" s="78" t="n">
        <v>100426</v>
      </c>
      <c r="C498" s="78" t="n">
        <v>2</v>
      </c>
      <c r="D498" s="78" t="inlineStr">
        <is>
          <t>한라비발디2단지</t>
        </is>
      </c>
      <c r="E498" s="78" t="inlineStr">
        <is>
          <t>2008.11.</t>
        </is>
      </c>
      <c r="F498" s="78" t="n">
        <v>782</v>
      </c>
      <c r="G498" s="78" t="n">
        <v>34.53</v>
      </c>
      <c r="H498" s="78" t="n">
        <v>114.17</v>
      </c>
      <c r="I498" s="78" t="n">
        <v>25.7</v>
      </c>
      <c r="J498" s="78" t="n">
        <v>84.97</v>
      </c>
      <c r="K498" s="78" t="n">
        <v>160</v>
      </c>
      <c r="T498" s="78" t="n">
        <v>3</v>
      </c>
      <c r="U498" s="78" t="n">
        <v>2</v>
      </c>
      <c r="V498" s="78" t="inlineStr">
        <is>
          <t>계단식</t>
        </is>
      </c>
      <c r="W498" s="78" t="inlineStr">
        <is>
          <t>114A</t>
        </is>
      </c>
      <c r="X498" s="78" t="n">
        <v>20</v>
      </c>
      <c r="Y498" s="78" t="n">
        <v>10</v>
      </c>
      <c r="Z498" s="78" t="inlineStr">
        <is>
          <t>https://new.land.naver.com/complexes/100426?tab=detail&amp;rf=Y</t>
        </is>
      </c>
      <c r="AA498" s="78" t="inlineStr">
        <is>
          <t>전라북도 군산시 수송동 885-3</t>
        </is>
      </c>
      <c r="AB498" s="78" t="inlineStr">
        <is>
          <t>전라북도</t>
        </is>
      </c>
      <c r="AC498" s="78" t="inlineStr">
        <is>
          <t>군산시</t>
        </is>
      </c>
      <c r="AD498" s="78" t="inlineStr">
        <is>
          <t>수송동</t>
        </is>
      </c>
      <c r="AG498" s="78" t="inlineStr">
        <is>
          <t>전라북도 군산시 수송동로 20</t>
        </is>
      </c>
      <c r="AH498" s="78" t="n">
        <v>0</v>
      </c>
      <c r="AI498" s="78" t="n">
        <v>208</v>
      </c>
      <c r="AJ498" s="78" t="n">
        <v>15</v>
      </c>
      <c r="AK498" s="78" t="n">
        <v>977</v>
      </c>
      <c r="AL498" s="78" t="n">
        <v>1.25</v>
      </c>
    </row>
    <row r="499">
      <c r="A499" s="78" t="inlineStr">
        <is>
          <t>[수송동]</t>
        </is>
      </c>
      <c r="B499" s="78" t="n">
        <v>100426</v>
      </c>
      <c r="C499" s="78" t="n">
        <v>3</v>
      </c>
      <c r="D499" s="78" t="inlineStr">
        <is>
          <t>한라비발디2단지</t>
        </is>
      </c>
      <c r="E499" s="78" t="inlineStr">
        <is>
          <t>2008.11.</t>
        </is>
      </c>
      <c r="F499" s="78" t="n">
        <v>782</v>
      </c>
      <c r="G499" s="78" t="n">
        <v>34.83</v>
      </c>
      <c r="H499" s="78" t="n">
        <v>115.17</v>
      </c>
      <c r="I499" s="78" t="n">
        <v>25.7</v>
      </c>
      <c r="J499" s="78" t="n">
        <v>84.97</v>
      </c>
      <c r="K499" s="78" t="n">
        <v>142</v>
      </c>
      <c r="T499" s="78" t="n">
        <v>3</v>
      </c>
      <c r="U499" s="78" t="n">
        <v>2</v>
      </c>
      <c r="V499" s="78" t="inlineStr">
        <is>
          <t>계단식</t>
        </is>
      </c>
      <c r="W499" s="78" t="inlineStr">
        <is>
          <t>115B</t>
        </is>
      </c>
      <c r="X499" s="78" t="n">
        <v>20</v>
      </c>
      <c r="Y499" s="78" t="n">
        <v>10</v>
      </c>
      <c r="Z499" s="78" t="inlineStr">
        <is>
          <t>https://new.land.naver.com/complexes/100426?tab=detail&amp;rf=Y</t>
        </is>
      </c>
      <c r="AA499" s="78" t="inlineStr">
        <is>
          <t>전라북도 군산시 수송동 885-3</t>
        </is>
      </c>
      <c r="AB499" s="78" t="inlineStr">
        <is>
          <t>전라북도</t>
        </is>
      </c>
      <c r="AC499" s="78" t="inlineStr">
        <is>
          <t>군산시</t>
        </is>
      </c>
      <c r="AD499" s="78" t="inlineStr">
        <is>
          <t>수송동</t>
        </is>
      </c>
      <c r="AG499" s="78" t="inlineStr">
        <is>
          <t>전라북도 군산시 수송동로 20</t>
        </is>
      </c>
      <c r="AH499" s="78" t="n">
        <v>0</v>
      </c>
      <c r="AI499" s="78" t="n">
        <v>208</v>
      </c>
      <c r="AJ499" s="78" t="n">
        <v>15</v>
      </c>
      <c r="AK499" s="78" t="n">
        <v>977</v>
      </c>
      <c r="AL499" s="78" t="n">
        <v>1.25</v>
      </c>
    </row>
    <row r="500">
      <c r="A500" s="78" t="inlineStr">
        <is>
          <t>[수송동]</t>
        </is>
      </c>
      <c r="B500" s="78" t="n">
        <v>26635</v>
      </c>
      <c r="C500" s="78" t="n">
        <v>1</v>
      </c>
      <c r="D500" s="78" t="inlineStr">
        <is>
          <t>한라비발디1단지</t>
        </is>
      </c>
      <c r="E500" s="78" t="inlineStr">
        <is>
          <t>2008.11.</t>
        </is>
      </c>
      <c r="F500" s="78" t="n">
        <v>332</v>
      </c>
      <c r="G500" s="78" t="n">
        <v>40.21</v>
      </c>
      <c r="H500" s="78" t="n">
        <v>132.95</v>
      </c>
      <c r="I500" s="78" t="n">
        <v>30.36</v>
      </c>
      <c r="J500" s="78" t="n">
        <v>100.37</v>
      </c>
      <c r="K500" s="78" t="n">
        <v>59</v>
      </c>
      <c r="T500" s="78" t="n">
        <v>3</v>
      </c>
      <c r="U500" s="78" t="n">
        <v>2</v>
      </c>
      <c r="V500" s="78" t="inlineStr">
        <is>
          <t>계단식</t>
        </is>
      </c>
      <c r="W500" s="78" t="inlineStr">
        <is>
          <t>132A</t>
        </is>
      </c>
      <c r="X500" s="78" t="n">
        <v>20</v>
      </c>
      <c r="Y500" s="78" t="n">
        <v>19</v>
      </c>
      <c r="Z500" s="78" t="inlineStr">
        <is>
          <t>https://new.land.naver.com/complexes/26635?tab=detail&amp;rf=Y</t>
        </is>
      </c>
      <c r="AA500" s="78" t="inlineStr">
        <is>
          <t>전라북도 군산시 수송동 885-1</t>
        </is>
      </c>
      <c r="AB500" s="78" t="inlineStr">
        <is>
          <t>전라북도</t>
        </is>
      </c>
      <c r="AC500" s="78" t="inlineStr">
        <is>
          <t>군산시</t>
        </is>
      </c>
      <c r="AD500" s="78" t="inlineStr">
        <is>
          <t>수송동</t>
        </is>
      </c>
      <c r="AG500" s="78" t="inlineStr">
        <is>
          <t>전라북도 군산시 수송동로 36</t>
        </is>
      </c>
      <c r="AH500" s="78" t="n">
        <v>0</v>
      </c>
      <c r="AI500" s="78" t="n">
        <v>217</v>
      </c>
      <c r="AJ500" s="78" t="n">
        <v>15</v>
      </c>
      <c r="AK500" s="78" t="n">
        <v>579</v>
      </c>
      <c r="AL500" s="78" t="n">
        <v>1.74</v>
      </c>
    </row>
    <row r="501">
      <c r="A501" s="78" t="inlineStr">
        <is>
          <t>[수송동]</t>
        </is>
      </c>
      <c r="B501" s="78" t="n">
        <v>26635</v>
      </c>
      <c r="C501" s="78" t="n">
        <v>2</v>
      </c>
      <c r="D501" s="78" t="inlineStr">
        <is>
          <t>한라비발디1단지</t>
        </is>
      </c>
      <c r="E501" s="78" t="inlineStr">
        <is>
          <t>2008.11.</t>
        </is>
      </c>
      <c r="F501" s="78" t="n">
        <v>332</v>
      </c>
      <c r="G501" s="78" t="n">
        <v>40.94</v>
      </c>
      <c r="H501" s="78" t="n">
        <v>135.34</v>
      </c>
      <c r="I501" s="78" t="n">
        <v>31.32</v>
      </c>
      <c r="J501" s="78" t="n">
        <v>103.57</v>
      </c>
      <c r="K501" s="78" t="n">
        <v>39</v>
      </c>
      <c r="T501" s="78" t="n">
        <v>3</v>
      </c>
      <c r="U501" s="78" t="n">
        <v>2</v>
      </c>
      <c r="V501" s="78" t="inlineStr">
        <is>
          <t>계단식</t>
        </is>
      </c>
      <c r="W501" s="78" t="inlineStr">
        <is>
          <t>135B</t>
        </is>
      </c>
      <c r="X501" s="78" t="n">
        <v>20</v>
      </c>
      <c r="Y501" s="78" t="n">
        <v>19</v>
      </c>
      <c r="Z501" s="78" t="inlineStr">
        <is>
          <t>https://new.land.naver.com/complexes/26635?tab=detail&amp;rf=Y</t>
        </is>
      </c>
      <c r="AA501" s="78" t="inlineStr">
        <is>
          <t>전라북도 군산시 수송동 885-1</t>
        </is>
      </c>
      <c r="AB501" s="78" t="inlineStr">
        <is>
          <t>전라북도</t>
        </is>
      </c>
      <c r="AC501" s="78" t="inlineStr">
        <is>
          <t>군산시</t>
        </is>
      </c>
      <c r="AD501" s="78" t="inlineStr">
        <is>
          <t>수송동</t>
        </is>
      </c>
      <c r="AG501" s="78" t="inlineStr">
        <is>
          <t>전라북도 군산시 수송동로 36</t>
        </is>
      </c>
      <c r="AH501" s="78" t="n">
        <v>0</v>
      </c>
      <c r="AI501" s="78" t="n">
        <v>217</v>
      </c>
      <c r="AJ501" s="78" t="n">
        <v>15</v>
      </c>
      <c r="AK501" s="78" t="n">
        <v>579</v>
      </c>
      <c r="AL501" s="78" t="n">
        <v>1.74</v>
      </c>
    </row>
    <row r="502">
      <c r="A502" s="78" t="inlineStr">
        <is>
          <t>[수송동]</t>
        </is>
      </c>
      <c r="B502" s="78" t="n">
        <v>26635</v>
      </c>
      <c r="C502" s="78" t="n">
        <v>3</v>
      </c>
      <c r="D502" s="78" t="inlineStr">
        <is>
          <t>한라비발디1단지</t>
        </is>
      </c>
      <c r="E502" s="78" t="inlineStr">
        <is>
          <t>2008.11.</t>
        </is>
      </c>
      <c r="F502" s="78" t="n">
        <v>332</v>
      </c>
      <c r="G502" s="78" t="n">
        <v>48.16</v>
      </c>
      <c r="H502" s="78" t="n">
        <v>159.21</v>
      </c>
      <c r="I502" s="78" t="n">
        <v>37.22</v>
      </c>
      <c r="J502" s="78" t="n">
        <v>123.05</v>
      </c>
      <c r="K502" s="78" t="n">
        <v>80</v>
      </c>
      <c r="T502" s="78" t="n">
        <v>4</v>
      </c>
      <c r="U502" s="78" t="n">
        <v>2</v>
      </c>
      <c r="V502" s="78" t="inlineStr">
        <is>
          <t>계단식</t>
        </is>
      </c>
      <c r="W502" s="78" t="inlineStr">
        <is>
          <t>159A</t>
        </is>
      </c>
      <c r="X502" s="78" t="n">
        <v>20</v>
      </c>
      <c r="Y502" s="78" t="n">
        <v>19</v>
      </c>
      <c r="Z502" s="78" t="inlineStr">
        <is>
          <t>https://new.land.naver.com/complexes/26635?tab=detail&amp;rf=Y</t>
        </is>
      </c>
      <c r="AA502" s="78" t="inlineStr">
        <is>
          <t>전라북도 군산시 수송동 885-1</t>
        </is>
      </c>
      <c r="AB502" s="78" t="inlineStr">
        <is>
          <t>전라북도</t>
        </is>
      </c>
      <c r="AC502" s="78" t="inlineStr">
        <is>
          <t>군산시</t>
        </is>
      </c>
      <c r="AD502" s="78" t="inlineStr">
        <is>
          <t>수송동</t>
        </is>
      </c>
      <c r="AG502" s="78" t="inlineStr">
        <is>
          <t>전라북도 군산시 수송동로 36</t>
        </is>
      </c>
      <c r="AH502" s="78" t="n">
        <v>0</v>
      </c>
      <c r="AI502" s="78" t="n">
        <v>217</v>
      </c>
      <c r="AJ502" s="78" t="n">
        <v>15</v>
      </c>
      <c r="AK502" s="78" t="n">
        <v>579</v>
      </c>
      <c r="AL502" s="78" t="n">
        <v>1.74</v>
      </c>
    </row>
    <row r="503">
      <c r="A503" s="78" t="inlineStr">
        <is>
          <t>[수송동]</t>
        </is>
      </c>
      <c r="B503" s="78" t="n">
        <v>26635</v>
      </c>
      <c r="C503" s="78" t="n">
        <v>4</v>
      </c>
      <c r="D503" s="78" t="inlineStr">
        <is>
          <t>한라비발디1단지</t>
        </is>
      </c>
      <c r="E503" s="78" t="inlineStr">
        <is>
          <t>2008.11.</t>
        </is>
      </c>
      <c r="F503" s="78" t="n">
        <v>332</v>
      </c>
      <c r="G503" s="78" t="n">
        <v>48.83</v>
      </c>
      <c r="H503" s="78" t="n">
        <v>161.45</v>
      </c>
      <c r="I503" s="78" t="n">
        <v>40.02</v>
      </c>
      <c r="J503" s="78" t="n">
        <v>132.31</v>
      </c>
      <c r="K503" s="78" t="n">
        <v>79</v>
      </c>
      <c r="T503" s="78" t="n">
        <v>4</v>
      </c>
      <c r="U503" s="78" t="n">
        <v>2</v>
      </c>
      <c r="V503" s="78" t="inlineStr">
        <is>
          <t>계단식</t>
        </is>
      </c>
      <c r="W503" s="78" t="inlineStr">
        <is>
          <t>161B</t>
        </is>
      </c>
      <c r="X503" s="78" t="n">
        <v>20</v>
      </c>
      <c r="Y503" s="78" t="n">
        <v>19</v>
      </c>
      <c r="Z503" s="78" t="inlineStr">
        <is>
          <t>https://new.land.naver.com/complexes/26635?tab=detail&amp;rf=Y</t>
        </is>
      </c>
      <c r="AA503" s="78" t="inlineStr">
        <is>
          <t>전라북도 군산시 수송동 885-1</t>
        </is>
      </c>
      <c r="AB503" s="78" t="inlineStr">
        <is>
          <t>전라북도</t>
        </is>
      </c>
      <c r="AC503" s="78" t="inlineStr">
        <is>
          <t>군산시</t>
        </is>
      </c>
      <c r="AD503" s="78" t="inlineStr">
        <is>
          <t>수송동</t>
        </is>
      </c>
      <c r="AG503" s="78" t="inlineStr">
        <is>
          <t>전라북도 군산시 수송동로 36</t>
        </is>
      </c>
      <c r="AH503" s="78" t="n">
        <v>0</v>
      </c>
      <c r="AI503" s="78" t="n">
        <v>217</v>
      </c>
      <c r="AJ503" s="78" t="n">
        <v>15</v>
      </c>
      <c r="AK503" s="78" t="n">
        <v>579</v>
      </c>
      <c r="AL503" s="78" t="n">
        <v>1.74</v>
      </c>
    </row>
    <row r="504">
      <c r="A504" s="78" t="inlineStr">
        <is>
          <t>[수송동]</t>
        </is>
      </c>
      <c r="B504" s="78" t="n">
        <v>26635</v>
      </c>
      <c r="C504" s="78" t="n">
        <v>5</v>
      </c>
      <c r="D504" s="78" t="inlineStr">
        <is>
          <t>한라비발디1단지</t>
        </is>
      </c>
      <c r="E504" s="78" t="inlineStr">
        <is>
          <t>2008.11.</t>
        </is>
      </c>
      <c r="F504" s="78" t="n">
        <v>332</v>
      </c>
      <c r="G504" s="78" t="n">
        <v>57.32</v>
      </c>
      <c r="H504" s="78" t="n">
        <v>189.51</v>
      </c>
      <c r="I504" s="78" t="n">
        <v>47.15</v>
      </c>
      <c r="J504" s="78" t="n">
        <v>155.9</v>
      </c>
      <c r="K504" s="78" t="n">
        <v>71</v>
      </c>
      <c r="T504" s="78" t="n">
        <v>4</v>
      </c>
      <c r="U504" s="78" t="n">
        <v>2</v>
      </c>
      <c r="V504" s="78" t="inlineStr">
        <is>
          <t>계단식</t>
        </is>
      </c>
      <c r="W504" s="78" t="n">
        <v>189</v>
      </c>
      <c r="X504" s="78" t="n">
        <v>20</v>
      </c>
      <c r="Y504" s="78" t="n">
        <v>19</v>
      </c>
      <c r="Z504" s="78" t="inlineStr">
        <is>
          <t>https://new.land.naver.com/complexes/26635?tab=detail&amp;rf=Y</t>
        </is>
      </c>
      <c r="AA504" s="78" t="inlineStr">
        <is>
          <t>전라북도 군산시 수송동 885-1</t>
        </is>
      </c>
      <c r="AB504" s="78" t="inlineStr">
        <is>
          <t>전라북도</t>
        </is>
      </c>
      <c r="AC504" s="78" t="inlineStr">
        <is>
          <t>군산시</t>
        </is>
      </c>
      <c r="AD504" s="78" t="inlineStr">
        <is>
          <t>수송동</t>
        </is>
      </c>
      <c r="AG504" s="78" t="inlineStr">
        <is>
          <t>전라북도 군산시 수송동로 36</t>
        </is>
      </c>
      <c r="AH504" s="78" t="n">
        <v>0</v>
      </c>
      <c r="AI504" s="78" t="n">
        <v>217</v>
      </c>
      <c r="AJ504" s="78" t="n">
        <v>15</v>
      </c>
      <c r="AK504" s="78" t="n">
        <v>579</v>
      </c>
      <c r="AL504" s="78" t="n">
        <v>1.74</v>
      </c>
    </row>
    <row r="505">
      <c r="A505" s="78" t="inlineStr">
        <is>
          <t>[수송동]</t>
        </is>
      </c>
      <c r="B505" s="78" t="n">
        <v>26635</v>
      </c>
      <c r="C505" s="78" t="n">
        <v>6</v>
      </c>
      <c r="D505" s="78" t="inlineStr">
        <is>
          <t>한라비발디1단지</t>
        </is>
      </c>
      <c r="E505" s="78" t="inlineStr">
        <is>
          <t>2008.11.</t>
        </is>
      </c>
      <c r="F505" s="78" t="n">
        <v>332</v>
      </c>
      <c r="G505" s="78" t="n">
        <v>97.06999999999999</v>
      </c>
      <c r="H505" s="78" t="n">
        <v>320.9</v>
      </c>
      <c r="I505" s="78" t="n">
        <v>79</v>
      </c>
      <c r="J505" s="78" t="n">
        <v>261.19</v>
      </c>
      <c r="K505" s="78" t="n">
        <v>4</v>
      </c>
      <c r="T505" s="78" t="n">
        <v>6</v>
      </c>
      <c r="U505" s="78" t="n">
        <v>4</v>
      </c>
      <c r="V505" s="78" t="inlineStr">
        <is>
          <t>계단식</t>
        </is>
      </c>
      <c r="W505" s="78" t="n">
        <v>320</v>
      </c>
      <c r="X505" s="78" t="n">
        <v>20</v>
      </c>
      <c r="Y505" s="78" t="n">
        <v>19</v>
      </c>
      <c r="Z505" s="78" t="inlineStr">
        <is>
          <t>https://new.land.naver.com/complexes/26635?tab=detail&amp;rf=Y</t>
        </is>
      </c>
      <c r="AA505" s="78" t="inlineStr">
        <is>
          <t>전라북도 군산시 수송동 885-1</t>
        </is>
      </c>
      <c r="AB505" s="78" t="inlineStr">
        <is>
          <t>전라북도</t>
        </is>
      </c>
      <c r="AC505" s="78" t="inlineStr">
        <is>
          <t>군산시</t>
        </is>
      </c>
      <c r="AD505" s="78" t="inlineStr">
        <is>
          <t>수송동</t>
        </is>
      </c>
      <c r="AG505" s="78" t="inlineStr">
        <is>
          <t>전라북도 군산시 수송동로 36</t>
        </is>
      </c>
      <c r="AH505" s="78" t="n">
        <v>0</v>
      </c>
      <c r="AI505" s="78" t="n">
        <v>217</v>
      </c>
      <c r="AJ505" s="78" t="n">
        <v>15</v>
      </c>
      <c r="AK505" s="78" t="n">
        <v>579</v>
      </c>
      <c r="AL505" s="78" t="n">
        <v>1.74</v>
      </c>
    </row>
    <row r="506">
      <c r="A506" s="78" t="inlineStr">
        <is>
          <t>[수송동]</t>
        </is>
      </c>
      <c r="B506" s="78" t="n">
        <v>27518</v>
      </c>
      <c r="C506" s="78" t="n">
        <v>1</v>
      </c>
      <c r="D506" s="78" t="inlineStr">
        <is>
          <t>동신</t>
        </is>
      </c>
      <c r="E506" s="78" t="inlineStr">
        <is>
          <t>1991.09.</t>
        </is>
      </c>
      <c r="F506" s="78" t="n">
        <v>660</v>
      </c>
      <c r="G506" s="78" t="n">
        <v>22.24</v>
      </c>
      <c r="H506" s="78" t="n">
        <v>73.55</v>
      </c>
      <c r="I506" s="78" t="n">
        <v>17.99</v>
      </c>
      <c r="J506" s="78" t="n">
        <v>59.49</v>
      </c>
      <c r="K506" s="78" t="n">
        <v>120</v>
      </c>
      <c r="T506" s="78" t="n">
        <v>2</v>
      </c>
      <c r="U506" s="78" t="n">
        <v>1</v>
      </c>
      <c r="V506" s="78" t="inlineStr">
        <is>
          <t>계단식</t>
        </is>
      </c>
      <c r="W506" s="78" t="n">
        <v>73</v>
      </c>
      <c r="X506" s="78" t="n">
        <v>15</v>
      </c>
      <c r="Y506" s="78" t="n">
        <v>15</v>
      </c>
      <c r="Z506" s="78" t="inlineStr">
        <is>
          <t>https://new.land.naver.com/complexes/27518?tab=detail&amp;rf=Y</t>
        </is>
      </c>
      <c r="AA506" s="78" t="inlineStr">
        <is>
          <t>전라북도 군산시 수송동 904</t>
        </is>
      </c>
      <c r="AB506" s="78" t="inlineStr">
        <is>
          <t>전라북도</t>
        </is>
      </c>
      <c r="AC506" s="78" t="inlineStr">
        <is>
          <t>군산시</t>
        </is>
      </c>
      <c r="AD506" s="78" t="inlineStr">
        <is>
          <t>수송동</t>
        </is>
      </c>
      <c r="AG506" s="78" t="inlineStr">
        <is>
          <t>전라북도 군산시 축동로 10</t>
        </is>
      </c>
      <c r="AH506" s="78" t="n">
        <v>0</v>
      </c>
      <c r="AI506" s="78" t="n">
        <v>264</v>
      </c>
      <c r="AJ506" s="78" t="n">
        <v>55</v>
      </c>
      <c r="AK506" s="78" t="n">
        <v>0</v>
      </c>
      <c r="AL506" s="78" t="n">
        <v>0</v>
      </c>
    </row>
    <row r="507">
      <c r="A507" s="78" t="inlineStr">
        <is>
          <t>[수송동]</t>
        </is>
      </c>
      <c r="B507" s="78" t="n">
        <v>27518</v>
      </c>
      <c r="C507" s="78" t="n">
        <v>2</v>
      </c>
      <c r="D507" s="78" t="inlineStr">
        <is>
          <t>동신</t>
        </is>
      </c>
      <c r="E507" s="78" t="inlineStr">
        <is>
          <t>1991.09.</t>
        </is>
      </c>
      <c r="F507" s="78" t="n">
        <v>660</v>
      </c>
      <c r="G507" s="78" t="n">
        <v>25.24</v>
      </c>
      <c r="H507" s="78" t="n">
        <v>83.47</v>
      </c>
      <c r="I507" s="78" t="n">
        <v>20.39</v>
      </c>
      <c r="J507" s="78" t="n">
        <v>67.41</v>
      </c>
      <c r="K507" s="78" t="n">
        <v>120</v>
      </c>
      <c r="T507" s="78" t="n">
        <v>3</v>
      </c>
      <c r="U507" s="78" t="n">
        <v>1</v>
      </c>
      <c r="V507" s="78" t="inlineStr">
        <is>
          <t>복도식</t>
        </is>
      </c>
      <c r="W507" s="78" t="n">
        <v>83</v>
      </c>
      <c r="X507" s="78" t="n">
        <v>15</v>
      </c>
      <c r="Y507" s="78" t="n">
        <v>15</v>
      </c>
      <c r="Z507" s="78" t="inlineStr">
        <is>
          <t>https://new.land.naver.com/complexes/27518?tab=detail&amp;rf=Y</t>
        </is>
      </c>
      <c r="AA507" s="78" t="inlineStr">
        <is>
          <t>전라북도 군산시 수송동 904</t>
        </is>
      </c>
      <c r="AB507" s="78" t="inlineStr">
        <is>
          <t>전라북도</t>
        </is>
      </c>
      <c r="AC507" s="78" t="inlineStr">
        <is>
          <t>군산시</t>
        </is>
      </c>
      <c r="AD507" s="78" t="inlineStr">
        <is>
          <t>수송동</t>
        </is>
      </c>
      <c r="AG507" s="78" t="inlineStr">
        <is>
          <t>전라북도 군산시 축동로 10</t>
        </is>
      </c>
      <c r="AH507" s="78" t="n">
        <v>0</v>
      </c>
      <c r="AI507" s="78" t="n">
        <v>264</v>
      </c>
      <c r="AJ507" s="78" t="n">
        <v>55</v>
      </c>
      <c r="AK507" s="78" t="n">
        <v>0</v>
      </c>
      <c r="AL507" s="78" t="n">
        <v>0</v>
      </c>
    </row>
    <row r="508">
      <c r="A508" s="78" t="inlineStr">
        <is>
          <t>[수송동]</t>
        </is>
      </c>
      <c r="B508" s="78" t="n">
        <v>27518</v>
      </c>
      <c r="C508" s="78" t="n">
        <v>3</v>
      </c>
      <c r="D508" s="78" t="inlineStr">
        <is>
          <t>동신</t>
        </is>
      </c>
      <c r="E508" s="78" t="inlineStr">
        <is>
          <t>1991.09.</t>
        </is>
      </c>
      <c r="F508" s="78" t="n">
        <v>660</v>
      </c>
      <c r="G508" s="78" t="n">
        <v>28.6</v>
      </c>
      <c r="H508" s="78" t="n">
        <v>94.55</v>
      </c>
      <c r="I508" s="78" t="n">
        <v>23.09</v>
      </c>
      <c r="J508" s="78" t="n">
        <v>76.34999999999999</v>
      </c>
      <c r="K508" s="78" t="n">
        <v>60</v>
      </c>
      <c r="T508" s="78" t="n">
        <v>3</v>
      </c>
      <c r="U508" s="78" t="n">
        <v>2</v>
      </c>
      <c r="V508" s="78" t="inlineStr">
        <is>
          <t>복도식</t>
        </is>
      </c>
      <c r="W508" s="78" t="n">
        <v>94</v>
      </c>
      <c r="X508" s="78" t="n">
        <v>15</v>
      </c>
      <c r="Y508" s="78" t="n">
        <v>15</v>
      </c>
      <c r="Z508" s="78" t="inlineStr">
        <is>
          <t>https://new.land.naver.com/complexes/27518?tab=detail&amp;rf=Y</t>
        </is>
      </c>
      <c r="AA508" s="78" t="inlineStr">
        <is>
          <t>전라북도 군산시 수송동 904</t>
        </is>
      </c>
      <c r="AB508" s="78" t="inlineStr">
        <is>
          <t>전라북도</t>
        </is>
      </c>
      <c r="AC508" s="78" t="inlineStr">
        <is>
          <t>군산시</t>
        </is>
      </c>
      <c r="AD508" s="78" t="inlineStr">
        <is>
          <t>수송동</t>
        </is>
      </c>
      <c r="AG508" s="78" t="inlineStr">
        <is>
          <t>전라북도 군산시 축동로 10</t>
        </is>
      </c>
      <c r="AH508" s="78" t="n">
        <v>0</v>
      </c>
      <c r="AI508" s="78" t="n">
        <v>264</v>
      </c>
      <c r="AJ508" s="78" t="n">
        <v>55</v>
      </c>
      <c r="AK508" s="78" t="n">
        <v>0</v>
      </c>
      <c r="AL508" s="78" t="n">
        <v>0</v>
      </c>
    </row>
    <row r="509">
      <c r="A509" s="78" t="inlineStr">
        <is>
          <t>[수송동]</t>
        </is>
      </c>
      <c r="B509" s="78" t="n">
        <v>27518</v>
      </c>
      <c r="C509" s="78" t="n">
        <v>4</v>
      </c>
      <c r="D509" s="78" t="inlineStr">
        <is>
          <t>동신</t>
        </is>
      </c>
      <c r="E509" s="78" t="inlineStr">
        <is>
          <t>1991.09.</t>
        </is>
      </c>
      <c r="F509" s="78" t="n">
        <v>660</v>
      </c>
      <c r="G509" s="78" t="n">
        <v>29.4</v>
      </c>
      <c r="H509" s="78" t="n">
        <v>97.2</v>
      </c>
      <c r="I509" s="78" t="n">
        <v>23.74</v>
      </c>
      <c r="J509" s="78" t="n">
        <v>78.48</v>
      </c>
      <c r="K509" s="78" t="n">
        <v>120</v>
      </c>
      <c r="T509" s="78" t="n">
        <v>3</v>
      </c>
      <c r="U509" s="78" t="n">
        <v>2</v>
      </c>
      <c r="V509" s="78" t="inlineStr">
        <is>
          <t>계단식</t>
        </is>
      </c>
      <c r="W509" s="78" t="n">
        <v>97</v>
      </c>
      <c r="X509" s="78" t="n">
        <v>15</v>
      </c>
      <c r="Y509" s="78" t="n">
        <v>15</v>
      </c>
      <c r="Z509" s="78" t="inlineStr">
        <is>
          <t>https://new.land.naver.com/complexes/27518?tab=detail&amp;rf=Y</t>
        </is>
      </c>
      <c r="AA509" s="78" t="inlineStr">
        <is>
          <t>전라북도 군산시 수송동 904</t>
        </is>
      </c>
      <c r="AB509" s="78" t="inlineStr">
        <is>
          <t>전라북도</t>
        </is>
      </c>
      <c r="AC509" s="78" t="inlineStr">
        <is>
          <t>군산시</t>
        </is>
      </c>
      <c r="AD509" s="78" t="inlineStr">
        <is>
          <t>수송동</t>
        </is>
      </c>
      <c r="AG509" s="78" t="inlineStr">
        <is>
          <t>전라북도 군산시 축동로 10</t>
        </is>
      </c>
      <c r="AH509" s="78" t="n">
        <v>0</v>
      </c>
      <c r="AI509" s="78" t="n">
        <v>264</v>
      </c>
      <c r="AJ509" s="78" t="n">
        <v>55</v>
      </c>
      <c r="AK509" s="78" t="n">
        <v>0</v>
      </c>
      <c r="AL509" s="78" t="n">
        <v>0</v>
      </c>
    </row>
    <row r="510">
      <c r="A510" s="78" t="inlineStr">
        <is>
          <t>[수송동]</t>
        </is>
      </c>
      <c r="B510" s="78" t="n">
        <v>27518</v>
      </c>
      <c r="C510" s="78" t="n">
        <v>5</v>
      </c>
      <c r="D510" s="78" t="inlineStr">
        <is>
          <t>동신</t>
        </is>
      </c>
      <c r="E510" s="78" t="inlineStr">
        <is>
          <t>1991.09.</t>
        </is>
      </c>
      <c r="F510" s="78" t="n">
        <v>660</v>
      </c>
      <c r="G510" s="78" t="n">
        <v>31.77</v>
      </c>
      <c r="H510" s="78" t="n">
        <v>105.03</v>
      </c>
      <c r="I510" s="78" t="n">
        <v>25.66</v>
      </c>
      <c r="J510" s="78" t="n">
        <v>84.84</v>
      </c>
      <c r="K510" s="78" t="n">
        <v>240</v>
      </c>
      <c r="T510" s="78" t="n">
        <v>3</v>
      </c>
      <c r="U510" s="78" t="n">
        <v>2</v>
      </c>
      <c r="V510" s="78" t="inlineStr">
        <is>
          <t>복도식</t>
        </is>
      </c>
      <c r="W510" s="78" t="n">
        <v>105</v>
      </c>
      <c r="X510" s="78" t="n">
        <v>15</v>
      </c>
      <c r="Y510" s="78" t="n">
        <v>15</v>
      </c>
      <c r="Z510" s="78" t="inlineStr">
        <is>
          <t>https://new.land.naver.com/complexes/27518?tab=detail&amp;rf=Y</t>
        </is>
      </c>
      <c r="AA510" s="78" t="inlineStr">
        <is>
          <t>전라북도 군산시 수송동 904</t>
        </is>
      </c>
      <c r="AB510" s="78" t="inlineStr">
        <is>
          <t>전라북도</t>
        </is>
      </c>
      <c r="AC510" s="78" t="inlineStr">
        <is>
          <t>군산시</t>
        </is>
      </c>
      <c r="AD510" s="78" t="inlineStr">
        <is>
          <t>수송동</t>
        </is>
      </c>
      <c r="AG510" s="78" t="inlineStr">
        <is>
          <t>전라북도 군산시 축동로 10</t>
        </is>
      </c>
      <c r="AH510" s="78" t="n">
        <v>0</v>
      </c>
      <c r="AI510" s="78" t="n">
        <v>264</v>
      </c>
      <c r="AJ510" s="78" t="n">
        <v>55</v>
      </c>
      <c r="AK510" s="78" t="n">
        <v>0</v>
      </c>
      <c r="AL510" s="78" t="n">
        <v>0</v>
      </c>
    </row>
    <row r="511">
      <c r="A511" s="78" t="inlineStr">
        <is>
          <t>[수송동]</t>
        </is>
      </c>
      <c r="B511" s="78" t="n">
        <v>26634</v>
      </c>
      <c r="C511" s="78" t="n">
        <v>1</v>
      </c>
      <c r="D511" s="78" t="inlineStr">
        <is>
          <t>수송아이파크(201-2BL)</t>
        </is>
      </c>
      <c r="E511" s="78" t="inlineStr">
        <is>
          <t>2008.09.</t>
        </is>
      </c>
      <c r="F511" s="78" t="n">
        <v>566</v>
      </c>
      <c r="G511" s="78" t="n">
        <v>39.52</v>
      </c>
      <c r="H511" s="78" t="n">
        <v>130.67</v>
      </c>
      <c r="I511" s="78" t="n">
        <v>30.28</v>
      </c>
      <c r="J511" s="78" t="n">
        <v>100.1</v>
      </c>
      <c r="K511" s="78" t="n">
        <v>87</v>
      </c>
      <c r="T511" s="78" t="n">
        <v>3</v>
      </c>
      <c r="U511" s="78" t="n">
        <v>2</v>
      </c>
      <c r="V511" s="78" t="inlineStr">
        <is>
          <t>계단식</t>
        </is>
      </c>
      <c r="W511" s="78" t="n">
        <v>130</v>
      </c>
      <c r="X511" s="78" t="n">
        <v>20</v>
      </c>
      <c r="Y511" s="78" t="n">
        <v>15</v>
      </c>
      <c r="Z511" s="78" t="inlineStr">
        <is>
          <t>https://new.land.naver.com/complexes/26634?tab=detail&amp;rf=Y</t>
        </is>
      </c>
      <c r="AA511" s="78" t="inlineStr">
        <is>
          <t>전라북도 군산시 수송동 829-2</t>
        </is>
      </c>
      <c r="AB511" s="78" t="inlineStr">
        <is>
          <t>전라북도</t>
        </is>
      </c>
      <c r="AC511" s="78" t="inlineStr">
        <is>
          <t>군산시</t>
        </is>
      </c>
      <c r="AD511" s="78" t="inlineStr">
        <is>
          <t>수송동</t>
        </is>
      </c>
      <c r="AG511" s="78" t="inlineStr">
        <is>
          <t>전라북도 군산시 수송동로 91</t>
        </is>
      </c>
      <c r="AH511" s="78" t="n">
        <v>0</v>
      </c>
      <c r="AI511" s="78" t="n">
        <v>218</v>
      </c>
      <c r="AJ511" s="78" t="n">
        <v>18</v>
      </c>
      <c r="AK511" s="78" t="n">
        <v>930</v>
      </c>
      <c r="AL511" s="78" t="n">
        <v>1.64</v>
      </c>
    </row>
    <row r="512">
      <c r="A512" s="78" t="inlineStr">
        <is>
          <t>[수송동]</t>
        </is>
      </c>
      <c r="B512" s="78" t="n">
        <v>26634</v>
      </c>
      <c r="C512" s="78" t="n">
        <v>2</v>
      </c>
      <c r="D512" s="78" t="inlineStr">
        <is>
          <t>수송아이파크(201-2BL)</t>
        </is>
      </c>
      <c r="E512" s="78" t="inlineStr">
        <is>
          <t>2008.09.</t>
        </is>
      </c>
      <c r="F512" s="78" t="n">
        <v>566</v>
      </c>
      <c r="G512" s="78" t="n">
        <v>40.63</v>
      </c>
      <c r="H512" s="78" t="n">
        <v>134.33</v>
      </c>
      <c r="I512" s="78" t="n">
        <v>31.61</v>
      </c>
      <c r="J512" s="78" t="n">
        <v>104.5</v>
      </c>
      <c r="K512" s="78" t="n">
        <v>54</v>
      </c>
      <c r="T512" s="78" t="n">
        <v>3</v>
      </c>
      <c r="U512" s="78" t="n">
        <v>2</v>
      </c>
      <c r="V512" s="78" t="inlineStr">
        <is>
          <t>계단식</t>
        </is>
      </c>
      <c r="W512" s="78" t="n">
        <v>134</v>
      </c>
      <c r="X512" s="78" t="n">
        <v>20</v>
      </c>
      <c r="Y512" s="78" t="n">
        <v>15</v>
      </c>
      <c r="Z512" s="78" t="inlineStr">
        <is>
          <t>https://new.land.naver.com/complexes/26634?tab=detail&amp;rf=Y</t>
        </is>
      </c>
      <c r="AA512" s="78" t="inlineStr">
        <is>
          <t>전라북도 군산시 수송동 829-2</t>
        </is>
      </c>
      <c r="AB512" s="78" t="inlineStr">
        <is>
          <t>전라북도</t>
        </is>
      </c>
      <c r="AC512" s="78" t="inlineStr">
        <is>
          <t>군산시</t>
        </is>
      </c>
      <c r="AD512" s="78" t="inlineStr">
        <is>
          <t>수송동</t>
        </is>
      </c>
      <c r="AG512" s="78" t="inlineStr">
        <is>
          <t>전라북도 군산시 수송동로 91</t>
        </is>
      </c>
      <c r="AH512" s="78" t="n">
        <v>0</v>
      </c>
      <c r="AI512" s="78" t="n">
        <v>218</v>
      </c>
      <c r="AJ512" s="78" t="n">
        <v>18</v>
      </c>
      <c r="AK512" s="78" t="n">
        <v>930</v>
      </c>
      <c r="AL512" s="78" t="n">
        <v>1.64</v>
      </c>
    </row>
    <row r="513">
      <c r="A513" s="78" t="inlineStr">
        <is>
          <t>[수송동]</t>
        </is>
      </c>
      <c r="B513" s="78" t="n">
        <v>26634</v>
      </c>
      <c r="C513" s="78" t="n">
        <v>3</v>
      </c>
      <c r="D513" s="78" t="inlineStr">
        <is>
          <t>수송아이파크(201-2BL)</t>
        </is>
      </c>
      <c r="E513" s="78" t="inlineStr">
        <is>
          <t>2008.09.</t>
        </is>
      </c>
      <c r="F513" s="78" t="n">
        <v>566</v>
      </c>
      <c r="G513" s="78" t="n">
        <v>46.54</v>
      </c>
      <c r="H513" s="78" t="n">
        <v>153.86</v>
      </c>
      <c r="I513" s="78" t="n">
        <v>36.28</v>
      </c>
      <c r="J513" s="78" t="n">
        <v>119.94</v>
      </c>
      <c r="K513" s="78" t="n">
        <v>328</v>
      </c>
      <c r="T513" s="78" t="n">
        <v>4</v>
      </c>
      <c r="U513" s="78" t="n">
        <v>2</v>
      </c>
      <c r="V513" s="78" t="inlineStr">
        <is>
          <t>계단식</t>
        </is>
      </c>
      <c r="W513" s="78" t="n">
        <v>153</v>
      </c>
      <c r="X513" s="78" t="n">
        <v>20</v>
      </c>
      <c r="Y513" s="78" t="n">
        <v>15</v>
      </c>
      <c r="Z513" s="78" t="inlineStr">
        <is>
          <t>https://new.land.naver.com/complexes/26634?tab=detail&amp;rf=Y</t>
        </is>
      </c>
      <c r="AA513" s="78" t="inlineStr">
        <is>
          <t>전라북도 군산시 수송동 829-2</t>
        </is>
      </c>
      <c r="AB513" s="78" t="inlineStr">
        <is>
          <t>전라북도</t>
        </is>
      </c>
      <c r="AC513" s="78" t="inlineStr">
        <is>
          <t>군산시</t>
        </is>
      </c>
      <c r="AD513" s="78" t="inlineStr">
        <is>
          <t>수송동</t>
        </is>
      </c>
      <c r="AG513" s="78" t="inlineStr">
        <is>
          <t>전라북도 군산시 수송동로 91</t>
        </is>
      </c>
      <c r="AH513" s="78" t="n">
        <v>0</v>
      </c>
      <c r="AI513" s="78" t="n">
        <v>218</v>
      </c>
      <c r="AJ513" s="78" t="n">
        <v>18</v>
      </c>
      <c r="AK513" s="78" t="n">
        <v>930</v>
      </c>
      <c r="AL513" s="78" t="n">
        <v>1.64</v>
      </c>
    </row>
    <row r="514">
      <c r="A514" s="78" t="inlineStr">
        <is>
          <t>[수송동]</t>
        </is>
      </c>
      <c r="B514" s="78" t="n">
        <v>26634</v>
      </c>
      <c r="C514" s="78" t="n">
        <v>4</v>
      </c>
      <c r="D514" s="78" t="inlineStr">
        <is>
          <t>수송아이파크(201-2BL)</t>
        </is>
      </c>
      <c r="E514" s="78" t="inlineStr">
        <is>
          <t>2008.09.</t>
        </is>
      </c>
      <c r="F514" s="78" t="n">
        <v>566</v>
      </c>
      <c r="G514" s="78" t="n">
        <v>54.04</v>
      </c>
      <c r="H514" s="78" t="n">
        <v>178.66</v>
      </c>
      <c r="I514" s="78" t="n">
        <v>43.5</v>
      </c>
      <c r="J514" s="78" t="n">
        <v>143.83</v>
      </c>
      <c r="K514" s="78" t="n">
        <v>94</v>
      </c>
      <c r="T514" s="78" t="n">
        <v>4</v>
      </c>
      <c r="U514" s="78" t="n">
        <v>2</v>
      </c>
      <c r="V514" s="78" t="inlineStr">
        <is>
          <t>계단식</t>
        </is>
      </c>
      <c r="W514" s="78" t="n">
        <v>178</v>
      </c>
      <c r="X514" s="78" t="n">
        <v>20</v>
      </c>
      <c r="Y514" s="78" t="n">
        <v>15</v>
      </c>
      <c r="Z514" s="78" t="inlineStr">
        <is>
          <t>https://new.land.naver.com/complexes/26634?tab=detail&amp;rf=Y</t>
        </is>
      </c>
      <c r="AA514" s="78" t="inlineStr">
        <is>
          <t>전라북도 군산시 수송동 829-2</t>
        </is>
      </c>
      <c r="AB514" s="78" t="inlineStr">
        <is>
          <t>전라북도</t>
        </is>
      </c>
      <c r="AC514" s="78" t="inlineStr">
        <is>
          <t>군산시</t>
        </is>
      </c>
      <c r="AD514" s="78" t="inlineStr">
        <is>
          <t>수송동</t>
        </is>
      </c>
      <c r="AG514" s="78" t="inlineStr">
        <is>
          <t>전라북도 군산시 수송동로 91</t>
        </is>
      </c>
      <c r="AH514" s="78" t="n">
        <v>0</v>
      </c>
      <c r="AI514" s="78" t="n">
        <v>218</v>
      </c>
      <c r="AJ514" s="78" t="n">
        <v>18</v>
      </c>
      <c r="AK514" s="78" t="n">
        <v>930</v>
      </c>
      <c r="AL514" s="78" t="n">
        <v>1.64</v>
      </c>
    </row>
    <row r="515">
      <c r="A515" s="78" t="inlineStr">
        <is>
          <t>[수송동]</t>
        </is>
      </c>
      <c r="B515" s="78" t="n">
        <v>26634</v>
      </c>
      <c r="C515" s="78" t="n">
        <v>5</v>
      </c>
      <c r="D515" s="78" t="inlineStr">
        <is>
          <t>수송아이파크(201-2BL)</t>
        </is>
      </c>
      <c r="E515" s="78" t="inlineStr">
        <is>
          <t>2008.09.</t>
        </is>
      </c>
      <c r="F515" s="78" t="n">
        <v>566</v>
      </c>
      <c r="G515" s="78" t="n">
        <v>86.8</v>
      </c>
      <c r="H515" s="78" t="n">
        <v>286.96</v>
      </c>
      <c r="I515" s="78" t="n">
        <v>70.22</v>
      </c>
      <c r="J515" s="78" t="n">
        <v>232.14</v>
      </c>
      <c r="K515" s="78" t="n">
        <v>3</v>
      </c>
      <c r="T515" s="78" t="n">
        <v>5</v>
      </c>
      <c r="U515" s="78" t="n">
        <v>4</v>
      </c>
      <c r="V515" s="78" t="inlineStr">
        <is>
          <t>계단식</t>
        </is>
      </c>
      <c r="W515" s="78" t="n">
        <v>286</v>
      </c>
      <c r="X515" s="78" t="n">
        <v>20</v>
      </c>
      <c r="Y515" s="78" t="n">
        <v>15</v>
      </c>
      <c r="Z515" s="78" t="inlineStr">
        <is>
          <t>https://new.land.naver.com/complexes/26634?tab=detail&amp;rf=Y</t>
        </is>
      </c>
      <c r="AA515" s="78" t="inlineStr">
        <is>
          <t>전라북도 군산시 수송동 829-2</t>
        </is>
      </c>
      <c r="AB515" s="78" t="inlineStr">
        <is>
          <t>전라북도</t>
        </is>
      </c>
      <c r="AC515" s="78" t="inlineStr">
        <is>
          <t>군산시</t>
        </is>
      </c>
      <c r="AD515" s="78" t="inlineStr">
        <is>
          <t>수송동</t>
        </is>
      </c>
      <c r="AG515" s="78" t="inlineStr">
        <is>
          <t>전라북도 군산시 수송동로 91</t>
        </is>
      </c>
      <c r="AH515" s="78" t="n">
        <v>0</v>
      </c>
      <c r="AI515" s="78" t="n">
        <v>218</v>
      </c>
      <c r="AJ515" s="78" t="n">
        <v>18</v>
      </c>
      <c r="AK515" s="78" t="n">
        <v>930</v>
      </c>
      <c r="AL515" s="78" t="n">
        <v>1.64</v>
      </c>
    </row>
    <row r="516">
      <c r="A516" s="78" t="inlineStr">
        <is>
          <t>[수송동]</t>
        </is>
      </c>
      <c r="B516" s="78" t="n">
        <v>101738</v>
      </c>
      <c r="C516" s="78" t="n">
        <v>1</v>
      </c>
      <c r="D516" s="78" t="inlineStr">
        <is>
          <t>군산수송세영리첼</t>
        </is>
      </c>
      <c r="E516" s="78" t="inlineStr">
        <is>
          <t>2010.06.</t>
        </is>
      </c>
      <c r="F516" s="78" t="n">
        <v>1041</v>
      </c>
      <c r="G516" s="78" t="n">
        <v>32.95</v>
      </c>
      <c r="H516" s="78" t="n">
        <v>108.94</v>
      </c>
      <c r="I516" s="78" t="n">
        <v>25.62</v>
      </c>
      <c r="J516" s="78" t="n">
        <v>84.7</v>
      </c>
      <c r="K516" s="78" t="n">
        <v>160</v>
      </c>
      <c r="T516" s="78" t="n">
        <v>3</v>
      </c>
      <c r="U516" s="78" t="n">
        <v>2</v>
      </c>
      <c r="V516" s="78" t="inlineStr">
        <is>
          <t>계단식</t>
        </is>
      </c>
      <c r="W516" s="78" t="n">
        <v>108</v>
      </c>
      <c r="X516" s="78" t="n">
        <v>20</v>
      </c>
      <c r="Y516" s="78" t="n">
        <v>12</v>
      </c>
      <c r="Z516" s="78" t="inlineStr">
        <is>
          <t>https://new.land.naver.com/complexes/101738?tab=detail&amp;rf=Y</t>
        </is>
      </c>
      <c r="AA516" s="78" t="inlineStr">
        <is>
          <t>전라북도 군산시 수송동 830-1</t>
        </is>
      </c>
      <c r="AB516" s="78" t="inlineStr">
        <is>
          <t>전라북도</t>
        </is>
      </c>
      <c r="AC516" s="78" t="inlineStr">
        <is>
          <t>군산시</t>
        </is>
      </c>
      <c r="AD516" s="78" t="inlineStr">
        <is>
          <t>수송동</t>
        </is>
      </c>
      <c r="AG516" s="78" t="inlineStr">
        <is>
          <t>전라북도 군산시 수송동로 100</t>
        </is>
      </c>
      <c r="AH516" s="78" t="n">
        <v>0</v>
      </c>
      <c r="AI516" s="78" t="n">
        <v>219</v>
      </c>
      <c r="AJ516" s="78" t="n">
        <v>17</v>
      </c>
      <c r="AK516" s="78" t="n">
        <v>1323</v>
      </c>
      <c r="AL516" s="78" t="n">
        <v>1.27</v>
      </c>
    </row>
    <row r="517">
      <c r="A517" s="78" t="inlineStr">
        <is>
          <t>[수송동]</t>
        </is>
      </c>
      <c r="B517" s="78" t="n">
        <v>101738</v>
      </c>
      <c r="C517" s="78" t="n">
        <v>2</v>
      </c>
      <c r="D517" s="78" t="inlineStr">
        <is>
          <t>군산수송세영리첼</t>
        </is>
      </c>
      <c r="E517" s="78" t="inlineStr">
        <is>
          <t>2010.06.</t>
        </is>
      </c>
      <c r="F517" s="78" t="n">
        <v>1041</v>
      </c>
      <c r="G517" s="78" t="n">
        <v>34.54</v>
      </c>
      <c r="H517" s="78" t="n">
        <v>114.19</v>
      </c>
      <c r="I517" s="78" t="n">
        <v>25.69</v>
      </c>
      <c r="J517" s="78" t="n">
        <v>84.95</v>
      </c>
      <c r="K517" s="78" t="n">
        <v>466</v>
      </c>
      <c r="T517" s="78" t="n">
        <v>3</v>
      </c>
      <c r="U517" s="78" t="n">
        <v>2</v>
      </c>
      <c r="V517" s="78" t="inlineStr">
        <is>
          <t>계단식</t>
        </is>
      </c>
      <c r="W517" s="78" t="inlineStr">
        <is>
          <t>114A</t>
        </is>
      </c>
      <c r="X517" s="78" t="n">
        <v>20</v>
      </c>
      <c r="Y517" s="78" t="n">
        <v>12</v>
      </c>
      <c r="Z517" s="78" t="inlineStr">
        <is>
          <t>https://new.land.naver.com/complexes/101738?tab=detail&amp;rf=Y</t>
        </is>
      </c>
      <c r="AA517" s="78" t="inlineStr">
        <is>
          <t>전라북도 군산시 수송동 830-1</t>
        </is>
      </c>
      <c r="AB517" s="78" t="inlineStr">
        <is>
          <t>전라북도</t>
        </is>
      </c>
      <c r="AC517" s="78" t="inlineStr">
        <is>
          <t>군산시</t>
        </is>
      </c>
      <c r="AD517" s="78" t="inlineStr">
        <is>
          <t>수송동</t>
        </is>
      </c>
      <c r="AG517" s="78" t="inlineStr">
        <is>
          <t>전라북도 군산시 수송동로 100</t>
        </is>
      </c>
      <c r="AH517" s="78" t="n">
        <v>0</v>
      </c>
      <c r="AI517" s="78" t="n">
        <v>219</v>
      </c>
      <c r="AJ517" s="78" t="n">
        <v>17</v>
      </c>
      <c r="AK517" s="78" t="n">
        <v>1323</v>
      </c>
      <c r="AL517" s="78" t="n">
        <v>1.27</v>
      </c>
    </row>
    <row r="518">
      <c r="A518" s="78" t="inlineStr">
        <is>
          <t>[수송동]</t>
        </is>
      </c>
      <c r="B518" s="78" t="n">
        <v>101738</v>
      </c>
      <c r="C518" s="78" t="n">
        <v>3</v>
      </c>
      <c r="D518" s="78" t="inlineStr">
        <is>
          <t>군산수송세영리첼</t>
        </is>
      </c>
      <c r="E518" s="78" t="inlineStr">
        <is>
          <t>2010.06.</t>
        </is>
      </c>
      <c r="F518" s="78" t="n">
        <v>1041</v>
      </c>
      <c r="G518" s="78" t="n">
        <v>34.59</v>
      </c>
      <c r="H518" s="78" t="n">
        <v>114.38</v>
      </c>
      <c r="I518" s="78" t="n">
        <v>25.69</v>
      </c>
      <c r="J518" s="78" t="n">
        <v>84.94</v>
      </c>
      <c r="K518" s="78" t="n">
        <v>120</v>
      </c>
      <c r="T518" s="78" t="n">
        <v>3</v>
      </c>
      <c r="U518" s="78" t="n">
        <v>2</v>
      </c>
      <c r="V518" s="78" t="inlineStr">
        <is>
          <t>계단식</t>
        </is>
      </c>
      <c r="W518" s="78" t="inlineStr">
        <is>
          <t>114B</t>
        </is>
      </c>
      <c r="X518" s="78" t="n">
        <v>20</v>
      </c>
      <c r="Y518" s="78" t="n">
        <v>12</v>
      </c>
      <c r="Z518" s="78" t="inlineStr">
        <is>
          <t>https://new.land.naver.com/complexes/101738?tab=detail&amp;rf=Y</t>
        </is>
      </c>
      <c r="AA518" s="78" t="inlineStr">
        <is>
          <t>전라북도 군산시 수송동 830-1</t>
        </is>
      </c>
      <c r="AB518" s="78" t="inlineStr">
        <is>
          <t>전라북도</t>
        </is>
      </c>
      <c r="AC518" s="78" t="inlineStr">
        <is>
          <t>군산시</t>
        </is>
      </c>
      <c r="AD518" s="78" t="inlineStr">
        <is>
          <t>수송동</t>
        </is>
      </c>
      <c r="AG518" s="78" t="inlineStr">
        <is>
          <t>전라북도 군산시 수송동로 100</t>
        </is>
      </c>
      <c r="AH518" s="78" t="n">
        <v>0</v>
      </c>
      <c r="AI518" s="78" t="n">
        <v>219</v>
      </c>
      <c r="AJ518" s="78" t="n">
        <v>17</v>
      </c>
      <c r="AK518" s="78" t="n">
        <v>1323</v>
      </c>
      <c r="AL518" s="78" t="n">
        <v>1.27</v>
      </c>
    </row>
    <row r="519">
      <c r="A519" s="78" t="inlineStr">
        <is>
          <t>[수송동]</t>
        </is>
      </c>
      <c r="B519" s="78" t="n">
        <v>101738</v>
      </c>
      <c r="C519" s="78" t="n">
        <v>4</v>
      </c>
      <c r="D519" s="78" t="inlineStr">
        <is>
          <t>군산수송세영리첼</t>
        </is>
      </c>
      <c r="E519" s="78" t="inlineStr">
        <is>
          <t>2010.06.</t>
        </is>
      </c>
      <c r="F519" s="78" t="n">
        <v>1041</v>
      </c>
      <c r="G519" s="78" t="n">
        <v>36.1</v>
      </c>
      <c r="H519" s="78" t="n">
        <v>119.34</v>
      </c>
      <c r="I519" s="78" t="n">
        <v>25.68</v>
      </c>
      <c r="J519" s="78" t="n">
        <v>84.90000000000001</v>
      </c>
      <c r="K519" s="78" t="n">
        <v>295</v>
      </c>
      <c r="T519" s="78" t="n">
        <v>3</v>
      </c>
      <c r="U519" s="78" t="n">
        <v>2</v>
      </c>
      <c r="V519" s="78" t="inlineStr">
        <is>
          <t>계단식</t>
        </is>
      </c>
      <c r="W519" s="78" t="n">
        <v>119</v>
      </c>
      <c r="X519" s="78" t="n">
        <v>20</v>
      </c>
      <c r="Y519" s="78" t="n">
        <v>12</v>
      </c>
      <c r="Z519" s="78" t="inlineStr">
        <is>
          <t>https://new.land.naver.com/complexes/101738?tab=detail&amp;rf=Y</t>
        </is>
      </c>
      <c r="AA519" s="78" t="inlineStr">
        <is>
          <t>전라북도 군산시 수송동 830-1</t>
        </is>
      </c>
      <c r="AB519" s="78" t="inlineStr">
        <is>
          <t>전라북도</t>
        </is>
      </c>
      <c r="AC519" s="78" t="inlineStr">
        <is>
          <t>군산시</t>
        </is>
      </c>
      <c r="AD519" s="78" t="inlineStr">
        <is>
          <t>수송동</t>
        </is>
      </c>
      <c r="AG519" s="78" t="inlineStr">
        <is>
          <t>전라북도 군산시 수송동로 100</t>
        </is>
      </c>
      <c r="AH519" s="78" t="n">
        <v>0</v>
      </c>
      <c r="AI519" s="78" t="n">
        <v>219</v>
      </c>
      <c r="AJ519" s="78" t="n">
        <v>17</v>
      </c>
      <c r="AK519" s="78" t="n">
        <v>1323</v>
      </c>
      <c r="AL519" s="78" t="n">
        <v>1.27</v>
      </c>
    </row>
    <row r="520">
      <c r="A520" s="78" t="inlineStr">
        <is>
          <t>[수송동]</t>
        </is>
      </c>
      <c r="B520" s="78" t="n">
        <v>103002</v>
      </c>
      <c r="C520" s="78" t="n">
        <v>1</v>
      </c>
      <c r="D520" s="78" t="inlineStr">
        <is>
          <t>수송오투그란데2차</t>
        </is>
      </c>
      <c r="E520" s="78" t="inlineStr">
        <is>
          <t>2011.03.</t>
        </is>
      </c>
      <c r="F520" s="78" t="n">
        <v>570</v>
      </c>
      <c r="G520" s="78" t="n">
        <v>21.7</v>
      </c>
      <c r="H520" s="78" t="n">
        <v>71.75</v>
      </c>
      <c r="I520" s="78" t="n">
        <v>15.09</v>
      </c>
      <c r="J520" s="78" t="n">
        <v>49.91</v>
      </c>
      <c r="K520" s="78" t="n">
        <v>104</v>
      </c>
      <c r="T520" s="78" t="n">
        <v>2</v>
      </c>
      <c r="U520" s="78" t="n">
        <v>1</v>
      </c>
      <c r="V520" s="78" t="inlineStr">
        <is>
          <t>계단식</t>
        </is>
      </c>
      <c r="W520" s="78" t="n">
        <v>71</v>
      </c>
      <c r="X520" s="78" t="n">
        <v>20</v>
      </c>
      <c r="Y520" s="78" t="n">
        <v>10</v>
      </c>
      <c r="Z520" s="78" t="inlineStr">
        <is>
          <t>https://new.land.naver.com/complexes/103002?tab=detail&amp;rf=Y</t>
        </is>
      </c>
      <c r="AA520" s="78" t="inlineStr">
        <is>
          <t>전라북도 군산시 수송동 829-1</t>
        </is>
      </c>
      <c r="AB520" s="78" t="inlineStr">
        <is>
          <t>전라북도</t>
        </is>
      </c>
      <c r="AC520" s="78" t="inlineStr">
        <is>
          <t>군산시</t>
        </is>
      </c>
      <c r="AD520" s="78" t="inlineStr">
        <is>
          <t>수송동</t>
        </is>
      </c>
      <c r="AG520" s="78" t="inlineStr">
        <is>
          <t>전라북도 군산시 수송동로 105</t>
        </is>
      </c>
      <c r="AH520" s="78" t="n">
        <v>0</v>
      </c>
      <c r="AI520" s="78" t="n">
        <v>219</v>
      </c>
      <c r="AJ520" s="78" t="n">
        <v>24</v>
      </c>
      <c r="AK520" s="78" t="n">
        <v>636</v>
      </c>
      <c r="AL520" s="78" t="n">
        <v>1.12</v>
      </c>
    </row>
    <row r="521">
      <c r="A521" s="78" t="inlineStr">
        <is>
          <t>[수송동]</t>
        </is>
      </c>
      <c r="B521" s="78" t="n">
        <v>103002</v>
      </c>
      <c r="C521" s="78" t="n">
        <v>2</v>
      </c>
      <c r="D521" s="78" t="inlineStr">
        <is>
          <t>수송오투그란데2차</t>
        </is>
      </c>
      <c r="E521" s="78" t="inlineStr">
        <is>
          <t>2011.03.</t>
        </is>
      </c>
      <c r="F521" s="78" t="n">
        <v>570</v>
      </c>
      <c r="G521" s="78" t="n">
        <v>25.09</v>
      </c>
      <c r="H521" s="78" t="n">
        <v>82.97</v>
      </c>
      <c r="I521" s="78" t="n">
        <v>18.14</v>
      </c>
      <c r="J521" s="78" t="n">
        <v>59.99</v>
      </c>
      <c r="K521" s="78" t="n">
        <v>235</v>
      </c>
      <c r="T521" s="78" t="n">
        <v>3</v>
      </c>
      <c r="U521" s="78" t="n">
        <v>2</v>
      </c>
      <c r="V521" s="78" t="inlineStr">
        <is>
          <t>계단식</t>
        </is>
      </c>
      <c r="W521" s="78" t="inlineStr">
        <is>
          <t>82B</t>
        </is>
      </c>
      <c r="X521" s="78" t="n">
        <v>20</v>
      </c>
      <c r="Y521" s="78" t="n">
        <v>10</v>
      </c>
      <c r="Z521" s="78" t="inlineStr">
        <is>
          <t>https://new.land.naver.com/complexes/103002?tab=detail&amp;rf=Y</t>
        </is>
      </c>
      <c r="AA521" s="78" t="inlineStr">
        <is>
          <t>전라북도 군산시 수송동 829-1</t>
        </is>
      </c>
      <c r="AB521" s="78" t="inlineStr">
        <is>
          <t>전라북도</t>
        </is>
      </c>
      <c r="AC521" s="78" t="inlineStr">
        <is>
          <t>군산시</t>
        </is>
      </c>
      <c r="AD521" s="78" t="inlineStr">
        <is>
          <t>수송동</t>
        </is>
      </c>
      <c r="AG521" s="78" t="inlineStr">
        <is>
          <t>전라북도 군산시 수송동로 105</t>
        </is>
      </c>
      <c r="AH521" s="78" t="n">
        <v>0</v>
      </c>
      <c r="AI521" s="78" t="n">
        <v>219</v>
      </c>
      <c r="AJ521" s="78" t="n">
        <v>24</v>
      </c>
      <c r="AK521" s="78" t="n">
        <v>636</v>
      </c>
      <c r="AL521" s="78" t="n">
        <v>1.12</v>
      </c>
    </row>
    <row r="522">
      <c r="A522" s="78" t="inlineStr">
        <is>
          <t>[수송동]</t>
        </is>
      </c>
      <c r="B522" s="78" t="n">
        <v>103002</v>
      </c>
      <c r="C522" s="78" t="n">
        <v>3</v>
      </c>
      <c r="D522" s="78" t="inlineStr">
        <is>
          <t>수송오투그란데2차</t>
        </is>
      </c>
      <c r="E522" s="78" t="inlineStr">
        <is>
          <t>2011.03.</t>
        </is>
      </c>
      <c r="F522" s="78" t="n">
        <v>570</v>
      </c>
      <c r="G522" s="78" t="n">
        <v>24.97</v>
      </c>
      <c r="H522" s="78" t="n">
        <v>82.55</v>
      </c>
      <c r="I522" s="78" t="n">
        <v>18.04</v>
      </c>
      <c r="J522" s="78" t="n">
        <v>59.66</v>
      </c>
      <c r="K522" s="78" t="n">
        <v>231</v>
      </c>
      <c r="T522" s="78" t="n">
        <v>3</v>
      </c>
      <c r="U522" s="78" t="n">
        <v>2</v>
      </c>
      <c r="V522" s="78" t="inlineStr">
        <is>
          <t>계단식</t>
        </is>
      </c>
      <c r="W522" s="78" t="inlineStr">
        <is>
          <t>82A</t>
        </is>
      </c>
      <c r="X522" s="78" t="n">
        <v>20</v>
      </c>
      <c r="Y522" s="78" t="n">
        <v>10</v>
      </c>
      <c r="Z522" s="78" t="inlineStr">
        <is>
          <t>https://new.land.naver.com/complexes/103002?tab=detail&amp;rf=Y</t>
        </is>
      </c>
      <c r="AA522" s="78" t="inlineStr">
        <is>
          <t>전라북도 군산시 수송동 829-1</t>
        </is>
      </c>
      <c r="AB522" s="78" t="inlineStr">
        <is>
          <t>전라북도</t>
        </is>
      </c>
      <c r="AC522" s="78" t="inlineStr">
        <is>
          <t>군산시</t>
        </is>
      </c>
      <c r="AD522" s="78" t="inlineStr">
        <is>
          <t>수송동</t>
        </is>
      </c>
      <c r="AG522" s="78" t="inlineStr">
        <is>
          <t>전라북도 군산시 수송동로 105</t>
        </is>
      </c>
      <c r="AH522" s="78" t="n">
        <v>0</v>
      </c>
      <c r="AI522" s="78" t="n">
        <v>219</v>
      </c>
      <c r="AJ522" s="78" t="n">
        <v>24</v>
      </c>
      <c r="AK522" s="78" t="n">
        <v>636</v>
      </c>
      <c r="AL522" s="78" t="n">
        <v>1.12</v>
      </c>
    </row>
    <row r="523">
      <c r="A523" s="78" t="inlineStr">
        <is>
          <t>[수송동]</t>
        </is>
      </c>
      <c r="B523" s="78" t="n">
        <v>119546</v>
      </c>
      <c r="C523" s="78" t="n">
        <v>1</v>
      </c>
      <c r="D523" s="78" t="inlineStr">
        <is>
          <t>수송프라임</t>
        </is>
      </c>
      <c r="E523" s="78" t="inlineStr">
        <is>
          <t>2016.10.</t>
        </is>
      </c>
      <c r="F523" s="78" t="n">
        <v>28</v>
      </c>
      <c r="G523" s="78" t="n">
        <v>26.03</v>
      </c>
      <c r="H523" s="78" t="n">
        <v>86.06999999999999</v>
      </c>
      <c r="I523" s="78" t="n">
        <v>18.03</v>
      </c>
      <c r="J523" s="78" t="n">
        <v>59.63</v>
      </c>
      <c r="K523" s="78" t="n">
        <v>28</v>
      </c>
      <c r="T523" s="78" t="n">
        <v>3</v>
      </c>
      <c r="U523" s="78" t="n">
        <v>1</v>
      </c>
      <c r="V523" s="78" t="inlineStr">
        <is>
          <t>계단식</t>
        </is>
      </c>
      <c r="W523" s="78" t="n">
        <v>86</v>
      </c>
      <c r="X523" s="78" t="n">
        <v>14</v>
      </c>
      <c r="Y523" s="78" t="n">
        <v>14</v>
      </c>
      <c r="Z523" s="78" t="inlineStr">
        <is>
          <t>https://new.land.naver.com/complexes/119546?tab=detail&amp;rf=Y</t>
        </is>
      </c>
      <c r="AA523" s="78" t="inlineStr">
        <is>
          <t>전라북도 군산시 수송동 810-6</t>
        </is>
      </c>
      <c r="AB523" s="78" t="inlineStr">
        <is>
          <t>전라북도</t>
        </is>
      </c>
      <c r="AC523" s="78" t="inlineStr">
        <is>
          <t>군산시</t>
        </is>
      </c>
      <c r="AD523" s="78" t="inlineStr">
        <is>
          <t>수송동</t>
        </is>
      </c>
      <c r="AG523" s="78" t="inlineStr">
        <is>
          <t>전라북도 군산시 수송로 171</t>
        </is>
      </c>
      <c r="AH523" s="78" t="n">
        <v>0</v>
      </c>
      <c r="AI523" s="78" t="n">
        <v>598</v>
      </c>
      <c r="AJ523" s="78" t="n">
        <v>69</v>
      </c>
      <c r="AK523" s="78" t="n">
        <v>31</v>
      </c>
      <c r="AL523" s="78" t="n">
        <v>1.11</v>
      </c>
    </row>
    <row r="524">
      <c r="A524" s="78" t="inlineStr">
        <is>
          <t>[수송동]</t>
        </is>
      </c>
      <c r="B524" s="78" t="n">
        <v>5059</v>
      </c>
      <c r="C524" s="78" t="n">
        <v>1</v>
      </c>
      <c r="D524" s="78" t="inlineStr">
        <is>
          <t>현대</t>
        </is>
      </c>
      <c r="E524" s="78" t="inlineStr">
        <is>
          <t>1997.06.</t>
        </is>
      </c>
      <c r="F524" s="78" t="n">
        <v>657</v>
      </c>
      <c r="G524" s="78" t="n">
        <v>23.67</v>
      </c>
      <c r="H524" s="78" t="n">
        <v>78.25</v>
      </c>
      <c r="I524" s="78" t="n">
        <v>18.13</v>
      </c>
      <c r="J524" s="78" t="n">
        <v>59.95</v>
      </c>
      <c r="K524" s="78" t="n">
        <v>272</v>
      </c>
      <c r="T524" s="78" t="n">
        <v>3</v>
      </c>
      <c r="U524" s="78" t="n">
        <v>1</v>
      </c>
      <c r="V524" s="78" t="inlineStr">
        <is>
          <t>계단식</t>
        </is>
      </c>
      <c r="W524" s="78" t="n">
        <v>78</v>
      </c>
      <c r="X524" s="78" t="n">
        <v>20</v>
      </c>
      <c r="Y524" s="78" t="n">
        <v>15</v>
      </c>
      <c r="Z524" s="78" t="inlineStr">
        <is>
          <t>https://new.land.naver.com/complexes/5059?tab=detail&amp;rf=Y</t>
        </is>
      </c>
      <c r="AA524" s="78" t="inlineStr">
        <is>
          <t>전라북도 군산시 수송동 69-2</t>
        </is>
      </c>
      <c r="AB524" s="78" t="inlineStr">
        <is>
          <t>전라북도</t>
        </is>
      </c>
      <c r="AC524" s="78" t="inlineStr">
        <is>
          <t>군산시</t>
        </is>
      </c>
      <c r="AD524" s="78" t="inlineStr">
        <is>
          <t>수송동</t>
        </is>
      </c>
      <c r="AG524" s="78" t="inlineStr">
        <is>
          <t>전라북도 군산시 진포1길 10</t>
        </is>
      </c>
      <c r="AH524" s="78" t="n">
        <v>0</v>
      </c>
      <c r="AI524" s="78" t="n">
        <v>230</v>
      </c>
      <c r="AJ524" s="78" t="n">
        <v>19</v>
      </c>
      <c r="AK524" s="78" t="n">
        <v>657</v>
      </c>
      <c r="AL524" s="78" t="n">
        <v>1</v>
      </c>
    </row>
    <row r="525">
      <c r="A525" s="78" t="inlineStr">
        <is>
          <t>[수송동]</t>
        </is>
      </c>
      <c r="B525" s="78" t="n">
        <v>5059</v>
      </c>
      <c r="C525" s="78" t="n">
        <v>2</v>
      </c>
      <c r="D525" s="78" t="inlineStr">
        <is>
          <t>현대</t>
        </is>
      </c>
      <c r="E525" s="78" t="inlineStr">
        <is>
          <t>1997.06.</t>
        </is>
      </c>
      <c r="F525" s="78" t="n">
        <v>657</v>
      </c>
      <c r="G525" s="78" t="n">
        <v>29.16</v>
      </c>
      <c r="H525" s="78" t="n">
        <v>96.41</v>
      </c>
      <c r="I525" s="78" t="n">
        <v>22.74</v>
      </c>
      <c r="J525" s="78" t="n">
        <v>75.18000000000001</v>
      </c>
      <c r="K525" s="78" t="n">
        <v>136</v>
      </c>
      <c r="T525" s="78" t="n">
        <v>3</v>
      </c>
      <c r="U525" s="78" t="n">
        <v>1</v>
      </c>
      <c r="V525" s="78" t="inlineStr">
        <is>
          <t>계단식</t>
        </is>
      </c>
      <c r="W525" s="78" t="n">
        <v>96</v>
      </c>
      <c r="X525" s="78" t="n">
        <v>20</v>
      </c>
      <c r="Y525" s="78" t="n">
        <v>15</v>
      </c>
      <c r="Z525" s="78" t="inlineStr">
        <is>
          <t>https://new.land.naver.com/complexes/5059?tab=detail&amp;rf=Y</t>
        </is>
      </c>
      <c r="AA525" s="78" t="inlineStr">
        <is>
          <t>전라북도 군산시 수송동 69-2</t>
        </is>
      </c>
      <c r="AB525" s="78" t="inlineStr">
        <is>
          <t>전라북도</t>
        </is>
      </c>
      <c r="AC525" s="78" t="inlineStr">
        <is>
          <t>군산시</t>
        </is>
      </c>
      <c r="AD525" s="78" t="inlineStr">
        <is>
          <t>수송동</t>
        </is>
      </c>
      <c r="AG525" s="78" t="inlineStr">
        <is>
          <t>전라북도 군산시 진포1길 10</t>
        </is>
      </c>
      <c r="AH525" s="78" t="n">
        <v>0</v>
      </c>
      <c r="AI525" s="78" t="n">
        <v>230</v>
      </c>
      <c r="AJ525" s="78" t="n">
        <v>19</v>
      </c>
      <c r="AK525" s="78" t="n">
        <v>657</v>
      </c>
      <c r="AL525" s="78" t="n">
        <v>1</v>
      </c>
    </row>
    <row r="526">
      <c r="A526" s="78" t="inlineStr">
        <is>
          <t>[수송동]</t>
        </is>
      </c>
      <c r="B526" s="78" t="n">
        <v>5059</v>
      </c>
      <c r="C526" s="78" t="n">
        <v>3</v>
      </c>
      <c r="D526" s="78" t="inlineStr">
        <is>
          <t>현대</t>
        </is>
      </c>
      <c r="E526" s="78" t="inlineStr">
        <is>
          <t>1997.06.</t>
        </is>
      </c>
      <c r="F526" s="78" t="n">
        <v>657</v>
      </c>
      <c r="G526" s="78" t="n">
        <v>31.81</v>
      </c>
      <c r="H526" s="78" t="n">
        <v>105.16</v>
      </c>
      <c r="I526" s="78" t="n">
        <v>25.7</v>
      </c>
      <c r="J526" s="78" t="n">
        <v>84.95999999999999</v>
      </c>
      <c r="K526" s="78" t="n">
        <v>249</v>
      </c>
      <c r="T526" s="78" t="n">
        <v>3</v>
      </c>
      <c r="U526" s="78" t="n">
        <v>2</v>
      </c>
      <c r="V526" s="78" t="inlineStr">
        <is>
          <t>계단식</t>
        </is>
      </c>
      <c r="W526" s="78" t="n">
        <v>105</v>
      </c>
      <c r="X526" s="78" t="n">
        <v>20</v>
      </c>
      <c r="Y526" s="78" t="n">
        <v>15</v>
      </c>
      <c r="Z526" s="78" t="inlineStr">
        <is>
          <t>https://new.land.naver.com/complexes/5059?tab=detail&amp;rf=Y</t>
        </is>
      </c>
      <c r="AA526" s="78" t="inlineStr">
        <is>
          <t>전라북도 군산시 수송동 69-2</t>
        </is>
      </c>
      <c r="AB526" s="78" t="inlineStr">
        <is>
          <t>전라북도</t>
        </is>
      </c>
      <c r="AC526" s="78" t="inlineStr">
        <is>
          <t>군산시</t>
        </is>
      </c>
      <c r="AD526" s="78" t="inlineStr">
        <is>
          <t>수송동</t>
        </is>
      </c>
      <c r="AG526" s="78" t="inlineStr">
        <is>
          <t>전라북도 군산시 진포1길 10</t>
        </is>
      </c>
      <c r="AH526" s="78" t="n">
        <v>0</v>
      </c>
      <c r="AI526" s="78" t="n">
        <v>230</v>
      </c>
      <c r="AJ526" s="78" t="n">
        <v>19</v>
      </c>
      <c r="AK526" s="78" t="n">
        <v>657</v>
      </c>
      <c r="AL526" s="78" t="n">
        <v>1</v>
      </c>
    </row>
    <row r="527">
      <c r="A527" s="78" t="inlineStr">
        <is>
          <t>[수송동]</t>
        </is>
      </c>
      <c r="B527" s="78" t="n">
        <v>16996</v>
      </c>
      <c r="C527" s="78" t="n">
        <v>1</v>
      </c>
      <c r="D527" s="78" t="inlineStr">
        <is>
          <t>수송제일</t>
        </is>
      </c>
      <c r="E527" s="78" t="inlineStr">
        <is>
          <t>2002.03.</t>
        </is>
      </c>
      <c r="F527" s="78" t="n">
        <v>941</v>
      </c>
      <c r="G527" s="78" t="n">
        <v>33.73</v>
      </c>
      <c r="H527" s="78" t="n">
        <v>111.53</v>
      </c>
      <c r="I527" s="78" t="n">
        <v>25.62</v>
      </c>
      <c r="J527" s="78" t="n">
        <v>84.7</v>
      </c>
      <c r="K527" s="78" t="n">
        <v>729</v>
      </c>
      <c r="T527" s="78" t="n">
        <v>3</v>
      </c>
      <c r="U527" s="78" t="n">
        <v>2</v>
      </c>
      <c r="V527" s="78" t="inlineStr">
        <is>
          <t>계단식</t>
        </is>
      </c>
      <c r="W527" s="78" t="inlineStr">
        <is>
          <t>111A</t>
        </is>
      </c>
      <c r="X527" s="78" t="n">
        <v>20</v>
      </c>
      <c r="Y527" s="78" t="n">
        <v>7</v>
      </c>
      <c r="Z527" s="78" t="inlineStr">
        <is>
          <t>https://new.land.naver.com/complexes/16996?tab=detail&amp;rf=Y</t>
        </is>
      </c>
      <c r="AA527" s="78" t="inlineStr">
        <is>
          <t>전라북도 군산시 수송동 33-1</t>
        </is>
      </c>
      <c r="AB527" s="78" t="inlineStr">
        <is>
          <t>전라북도</t>
        </is>
      </c>
      <c r="AC527" s="78" t="inlineStr">
        <is>
          <t>군산시</t>
        </is>
      </c>
      <c r="AD527" s="78" t="inlineStr">
        <is>
          <t>수송동</t>
        </is>
      </c>
      <c r="AG527" s="78" t="inlineStr">
        <is>
          <t>전라북도 군산시 축동안길 37</t>
        </is>
      </c>
      <c r="AH527" s="78" t="n">
        <v>0</v>
      </c>
      <c r="AI527" s="78" t="n">
        <v>239</v>
      </c>
      <c r="AJ527" s="78" t="n">
        <v>18</v>
      </c>
      <c r="AK527" s="78" t="n">
        <v>974</v>
      </c>
      <c r="AL527" s="78" t="n">
        <v>1.04</v>
      </c>
    </row>
    <row r="528">
      <c r="A528" s="78" t="inlineStr">
        <is>
          <t>[수송동]</t>
        </is>
      </c>
      <c r="B528" s="78" t="n">
        <v>16996</v>
      </c>
      <c r="C528" s="78" t="n">
        <v>2</v>
      </c>
      <c r="D528" s="78" t="inlineStr">
        <is>
          <t>수송제일</t>
        </is>
      </c>
      <c r="E528" s="78" t="inlineStr">
        <is>
          <t>2002.03.</t>
        </is>
      </c>
      <c r="F528" s="78" t="n">
        <v>941</v>
      </c>
      <c r="G528" s="78" t="n">
        <v>33.58</v>
      </c>
      <c r="H528" s="78" t="n">
        <v>111.02</v>
      </c>
      <c r="I528" s="78" t="n">
        <v>25.65</v>
      </c>
      <c r="J528" s="78" t="n">
        <v>84.81999999999999</v>
      </c>
      <c r="K528" s="78" t="n">
        <v>178</v>
      </c>
      <c r="T528" s="78" t="n">
        <v>3</v>
      </c>
      <c r="U528" s="78" t="n">
        <v>2</v>
      </c>
      <c r="V528" s="78" t="inlineStr">
        <is>
          <t>계단식</t>
        </is>
      </c>
      <c r="W528" s="78" t="inlineStr">
        <is>
          <t>111C</t>
        </is>
      </c>
      <c r="X528" s="78" t="n">
        <v>20</v>
      </c>
      <c r="Y528" s="78" t="n">
        <v>7</v>
      </c>
      <c r="Z528" s="78" t="inlineStr">
        <is>
          <t>https://new.land.naver.com/complexes/16996?tab=detail&amp;rf=Y</t>
        </is>
      </c>
      <c r="AA528" s="78" t="inlineStr">
        <is>
          <t>전라북도 군산시 수송동 33-1</t>
        </is>
      </c>
      <c r="AB528" s="78" t="inlineStr">
        <is>
          <t>전라북도</t>
        </is>
      </c>
      <c r="AC528" s="78" t="inlineStr">
        <is>
          <t>군산시</t>
        </is>
      </c>
      <c r="AD528" s="78" t="inlineStr">
        <is>
          <t>수송동</t>
        </is>
      </c>
      <c r="AG528" s="78" t="inlineStr">
        <is>
          <t>전라북도 군산시 축동안길 37</t>
        </is>
      </c>
      <c r="AH528" s="78" t="n">
        <v>0</v>
      </c>
      <c r="AI528" s="78" t="n">
        <v>239</v>
      </c>
      <c r="AJ528" s="78" t="n">
        <v>18</v>
      </c>
      <c r="AK528" s="78" t="n">
        <v>974</v>
      </c>
      <c r="AL528" s="78" t="n">
        <v>1.04</v>
      </c>
    </row>
    <row r="529">
      <c r="A529" s="78" t="inlineStr">
        <is>
          <t>[수송동]</t>
        </is>
      </c>
      <c r="B529" s="78" t="n">
        <v>16996</v>
      </c>
      <c r="C529" s="78" t="n">
        <v>3</v>
      </c>
      <c r="D529" s="78" t="inlineStr">
        <is>
          <t>수송제일</t>
        </is>
      </c>
      <c r="E529" s="78" t="inlineStr">
        <is>
          <t>2002.03.</t>
        </is>
      </c>
      <c r="F529" s="78" t="n">
        <v>941</v>
      </c>
      <c r="G529" s="78" t="n">
        <v>33.59</v>
      </c>
      <c r="H529" s="78" t="n">
        <v>111.06</v>
      </c>
      <c r="I529" s="78" t="n">
        <v>25.65</v>
      </c>
      <c r="J529" s="78" t="n">
        <v>84.8</v>
      </c>
      <c r="K529" s="78" t="n">
        <v>34</v>
      </c>
      <c r="T529" s="78" t="n">
        <v>3</v>
      </c>
      <c r="U529" s="78" t="n">
        <v>2</v>
      </c>
      <c r="V529" s="78" t="inlineStr">
        <is>
          <t>계단식</t>
        </is>
      </c>
      <c r="W529" s="78" t="inlineStr">
        <is>
          <t>111B</t>
        </is>
      </c>
      <c r="X529" s="78" t="n">
        <v>20</v>
      </c>
      <c r="Y529" s="78" t="n">
        <v>7</v>
      </c>
      <c r="Z529" s="78" t="inlineStr">
        <is>
          <t>https://new.land.naver.com/complexes/16996?tab=detail&amp;rf=Y</t>
        </is>
      </c>
      <c r="AA529" s="78" t="inlineStr">
        <is>
          <t>전라북도 군산시 수송동 33-1</t>
        </is>
      </c>
      <c r="AB529" s="78" t="inlineStr">
        <is>
          <t>전라북도</t>
        </is>
      </c>
      <c r="AC529" s="78" t="inlineStr">
        <is>
          <t>군산시</t>
        </is>
      </c>
      <c r="AD529" s="78" t="inlineStr">
        <is>
          <t>수송동</t>
        </is>
      </c>
      <c r="AG529" s="78" t="inlineStr">
        <is>
          <t>전라북도 군산시 축동안길 37</t>
        </is>
      </c>
      <c r="AH529" s="78" t="n">
        <v>0</v>
      </c>
      <c r="AI529" s="78" t="n">
        <v>239</v>
      </c>
      <c r="AJ529" s="78" t="n">
        <v>18</v>
      </c>
      <c r="AK529" s="78" t="n">
        <v>974</v>
      </c>
      <c r="AL529" s="78" t="n">
        <v>1.04</v>
      </c>
    </row>
    <row r="530">
      <c r="A530" s="78" t="inlineStr">
        <is>
          <t>[수송동]</t>
        </is>
      </c>
      <c r="B530" s="78" t="n">
        <v>109957</v>
      </c>
      <c r="C530" s="78" t="n">
        <v>1</v>
      </c>
      <c r="D530" s="78" t="inlineStr">
        <is>
          <t>스타팰리스(도시형)</t>
        </is>
      </c>
      <c r="E530" s="78" t="inlineStr">
        <is>
          <t>2015.01.</t>
        </is>
      </c>
      <c r="F530" s="78" t="n">
        <v>283</v>
      </c>
      <c r="G530" s="78" t="n">
        <v>11.24</v>
      </c>
      <c r="H530" s="78" t="n">
        <v>37.18</v>
      </c>
      <c r="I530" s="78" t="n">
        <v>7.91</v>
      </c>
      <c r="J530" s="78" t="n">
        <v>26.17</v>
      </c>
      <c r="K530" s="78" t="n">
        <v>2</v>
      </c>
      <c r="T530" s="78" t="n">
        <v>1</v>
      </c>
      <c r="U530" s="78" t="n">
        <v>1</v>
      </c>
      <c r="V530" s="78" t="inlineStr">
        <is>
          <t>복도식</t>
        </is>
      </c>
      <c r="W530" s="78" t="inlineStr">
        <is>
          <t>37B-4</t>
        </is>
      </c>
      <c r="X530" s="78" t="n">
        <v>23</v>
      </c>
      <c r="Y530" s="78" t="n">
        <v>14</v>
      </c>
      <c r="Z530" s="78" t="inlineStr">
        <is>
          <t>https://new.land.naver.com/complexes/109957?tab=detail&amp;rf=Y</t>
        </is>
      </c>
      <c r="AA530" s="78" t="inlineStr">
        <is>
          <t>전라북도 군산시 수송동 416-6</t>
        </is>
      </c>
      <c r="AB530" s="78" t="inlineStr">
        <is>
          <t>전라북도</t>
        </is>
      </c>
      <c r="AC530" s="78" t="inlineStr">
        <is>
          <t>군산시</t>
        </is>
      </c>
      <c r="AD530" s="78" t="inlineStr">
        <is>
          <t>수송동</t>
        </is>
      </c>
      <c r="AG530" s="78" t="inlineStr">
        <is>
          <t>전라북도 군산시 진포2길 8</t>
        </is>
      </c>
      <c r="AH530" s="78" t="n">
        <v>0</v>
      </c>
      <c r="AI530" s="78" t="n">
        <v>533</v>
      </c>
      <c r="AJ530" s="78" t="n">
        <v>75</v>
      </c>
      <c r="AK530" s="78" t="n">
        <v>163</v>
      </c>
      <c r="AL530" s="78" t="n">
        <v>0.58</v>
      </c>
    </row>
    <row r="531">
      <c r="A531" s="78" t="inlineStr">
        <is>
          <t>[수송동]</t>
        </is>
      </c>
      <c r="B531" s="78" t="n">
        <v>109957</v>
      </c>
      <c r="C531" s="78" t="n">
        <v>2</v>
      </c>
      <c r="D531" s="78" t="inlineStr">
        <is>
          <t>스타팰리스(도시형)</t>
        </is>
      </c>
      <c r="E531" s="78" t="inlineStr">
        <is>
          <t>2015.01.</t>
        </is>
      </c>
      <c r="F531" s="78" t="n">
        <v>283</v>
      </c>
      <c r="G531" s="78" t="n">
        <v>12.65</v>
      </c>
      <c r="H531" s="78" t="n">
        <v>41.84</v>
      </c>
      <c r="I531" s="78" t="n">
        <v>8.9</v>
      </c>
      <c r="J531" s="78" t="n">
        <v>29.45</v>
      </c>
      <c r="K531" s="78" t="n">
        <v>94</v>
      </c>
      <c r="T531" s="78" t="n">
        <v>1</v>
      </c>
      <c r="U531" s="78" t="n">
        <v>1</v>
      </c>
      <c r="V531" s="78" t="inlineStr">
        <is>
          <t>복도식</t>
        </is>
      </c>
      <c r="W531" s="78" t="inlineStr">
        <is>
          <t>41B</t>
        </is>
      </c>
      <c r="X531" s="78" t="n">
        <v>23</v>
      </c>
      <c r="Y531" s="78" t="n">
        <v>14</v>
      </c>
      <c r="Z531" s="78" t="inlineStr">
        <is>
          <t>https://new.land.naver.com/complexes/109957?tab=detail&amp;rf=Y</t>
        </is>
      </c>
      <c r="AA531" s="78" t="inlineStr">
        <is>
          <t>전라북도 군산시 수송동 416-6</t>
        </is>
      </c>
      <c r="AB531" s="78" t="inlineStr">
        <is>
          <t>전라북도</t>
        </is>
      </c>
      <c r="AC531" s="78" t="inlineStr">
        <is>
          <t>군산시</t>
        </is>
      </c>
      <c r="AD531" s="78" t="inlineStr">
        <is>
          <t>수송동</t>
        </is>
      </c>
      <c r="AG531" s="78" t="inlineStr">
        <is>
          <t>전라북도 군산시 진포2길 8</t>
        </is>
      </c>
      <c r="AH531" s="78" t="n">
        <v>0</v>
      </c>
      <c r="AI531" s="78" t="n">
        <v>533</v>
      </c>
      <c r="AJ531" s="78" t="n">
        <v>75</v>
      </c>
      <c r="AK531" s="78" t="n">
        <v>163</v>
      </c>
      <c r="AL531" s="78" t="n">
        <v>0.58</v>
      </c>
    </row>
    <row r="532">
      <c r="A532" s="78" t="inlineStr">
        <is>
          <t>[수송동]</t>
        </is>
      </c>
      <c r="B532" s="78" t="n">
        <v>109957</v>
      </c>
      <c r="C532" s="78" t="n">
        <v>3</v>
      </c>
      <c r="D532" s="78" t="inlineStr">
        <is>
          <t>스타팰리스(도시형)</t>
        </is>
      </c>
      <c r="E532" s="78" t="inlineStr">
        <is>
          <t>2015.01.</t>
        </is>
      </c>
      <c r="F532" s="78" t="n">
        <v>283</v>
      </c>
      <c r="G532" s="78" t="n">
        <v>14.8</v>
      </c>
      <c r="H532" s="78" t="n">
        <v>48.95</v>
      </c>
      <c r="I532" s="78" t="n">
        <v>10.42</v>
      </c>
      <c r="J532" s="78" t="n">
        <v>34.46</v>
      </c>
      <c r="K532" s="78" t="n">
        <v>3</v>
      </c>
      <c r="T532" s="78" t="n">
        <v>1</v>
      </c>
      <c r="U532" s="78" t="n">
        <v>1</v>
      </c>
      <c r="V532" s="78" t="inlineStr">
        <is>
          <t>복도식</t>
        </is>
      </c>
      <c r="W532" s="78" t="inlineStr">
        <is>
          <t>48A-4</t>
        </is>
      </c>
      <c r="X532" s="78" t="n">
        <v>23</v>
      </c>
      <c r="Y532" s="78" t="n">
        <v>14</v>
      </c>
      <c r="Z532" s="78" t="inlineStr">
        <is>
          <t>https://new.land.naver.com/complexes/109957?tab=detail&amp;rf=Y</t>
        </is>
      </c>
      <c r="AA532" s="78" t="inlineStr">
        <is>
          <t>전라북도 군산시 수송동 416-6</t>
        </is>
      </c>
      <c r="AB532" s="78" t="inlineStr">
        <is>
          <t>전라북도</t>
        </is>
      </c>
      <c r="AC532" s="78" t="inlineStr">
        <is>
          <t>군산시</t>
        </is>
      </c>
      <c r="AD532" s="78" t="inlineStr">
        <is>
          <t>수송동</t>
        </is>
      </c>
      <c r="AG532" s="78" t="inlineStr">
        <is>
          <t>전라북도 군산시 진포2길 8</t>
        </is>
      </c>
      <c r="AH532" s="78" t="n">
        <v>0</v>
      </c>
      <c r="AI532" s="78" t="n">
        <v>533</v>
      </c>
      <c r="AJ532" s="78" t="n">
        <v>75</v>
      </c>
      <c r="AK532" s="78" t="n">
        <v>163</v>
      </c>
      <c r="AL532" s="78" t="n">
        <v>0.58</v>
      </c>
    </row>
    <row r="533">
      <c r="A533" s="78" t="inlineStr">
        <is>
          <t>[수송동]</t>
        </is>
      </c>
      <c r="B533" s="78" t="n">
        <v>109957</v>
      </c>
      <c r="C533" s="78" t="n">
        <v>4</v>
      </c>
      <c r="D533" s="78" t="inlineStr">
        <is>
          <t>스타팰리스(도시형)</t>
        </is>
      </c>
      <c r="E533" s="78" t="inlineStr">
        <is>
          <t>2015.01.</t>
        </is>
      </c>
      <c r="F533" s="78" t="n">
        <v>283</v>
      </c>
      <c r="G533" s="78" t="n">
        <v>15.3</v>
      </c>
      <c r="H533" s="78" t="n">
        <v>50.61</v>
      </c>
      <c r="I533" s="78" t="n">
        <v>10.77</v>
      </c>
      <c r="J533" s="78" t="n">
        <v>35.63</v>
      </c>
      <c r="K533" s="78" t="n">
        <v>36</v>
      </c>
      <c r="T533" s="78" t="n">
        <v>1</v>
      </c>
      <c r="U533" s="78" t="n">
        <v>1</v>
      </c>
      <c r="V533" s="78" t="inlineStr">
        <is>
          <t>복도식</t>
        </is>
      </c>
      <c r="W533" s="78" t="inlineStr">
        <is>
          <t>50B-1</t>
        </is>
      </c>
      <c r="X533" s="78" t="n">
        <v>23</v>
      </c>
      <c r="Y533" s="78" t="n">
        <v>14</v>
      </c>
      <c r="Z533" s="78" t="inlineStr">
        <is>
          <t>https://new.land.naver.com/complexes/109957?tab=detail&amp;rf=Y</t>
        </is>
      </c>
      <c r="AA533" s="78" t="inlineStr">
        <is>
          <t>전라북도 군산시 수송동 416-6</t>
        </is>
      </c>
      <c r="AB533" s="78" t="inlineStr">
        <is>
          <t>전라북도</t>
        </is>
      </c>
      <c r="AC533" s="78" t="inlineStr">
        <is>
          <t>군산시</t>
        </is>
      </c>
      <c r="AD533" s="78" t="inlineStr">
        <is>
          <t>수송동</t>
        </is>
      </c>
      <c r="AG533" s="78" t="inlineStr">
        <is>
          <t>전라북도 군산시 진포2길 8</t>
        </is>
      </c>
      <c r="AH533" s="78" t="n">
        <v>0</v>
      </c>
      <c r="AI533" s="78" t="n">
        <v>533</v>
      </c>
      <c r="AJ533" s="78" t="n">
        <v>75</v>
      </c>
      <c r="AK533" s="78" t="n">
        <v>163</v>
      </c>
      <c r="AL533" s="78" t="n">
        <v>0.58</v>
      </c>
    </row>
    <row r="534">
      <c r="A534" s="78" t="inlineStr">
        <is>
          <t>[수송동]</t>
        </is>
      </c>
      <c r="B534" s="78" t="n">
        <v>109957</v>
      </c>
      <c r="C534" s="78" t="n">
        <v>5</v>
      </c>
      <c r="D534" s="78" t="inlineStr">
        <is>
          <t>스타팰리스(도시형)</t>
        </is>
      </c>
      <c r="E534" s="78" t="inlineStr">
        <is>
          <t>2015.01.</t>
        </is>
      </c>
      <c r="F534" s="78" t="n">
        <v>283</v>
      </c>
      <c r="G534" s="78" t="n">
        <v>16.05</v>
      </c>
      <c r="H534" s="78" t="n">
        <v>53.06</v>
      </c>
      <c r="I534" s="78" t="n">
        <v>11.29</v>
      </c>
      <c r="J534" s="78" t="n">
        <v>37.35</v>
      </c>
      <c r="K534" s="78" t="n">
        <v>3</v>
      </c>
      <c r="T534" s="78" t="n">
        <v>1</v>
      </c>
      <c r="U534" s="78" t="n">
        <v>1</v>
      </c>
      <c r="V534" s="78" t="inlineStr">
        <is>
          <t>복도식</t>
        </is>
      </c>
      <c r="W534" s="78" t="inlineStr">
        <is>
          <t>53B-2</t>
        </is>
      </c>
      <c r="X534" s="78" t="n">
        <v>23</v>
      </c>
      <c r="Y534" s="78" t="n">
        <v>14</v>
      </c>
      <c r="Z534" s="78" t="inlineStr">
        <is>
          <t>https://new.land.naver.com/complexes/109957?tab=detail&amp;rf=Y</t>
        </is>
      </c>
      <c r="AA534" s="78" t="inlineStr">
        <is>
          <t>전라북도 군산시 수송동 416-6</t>
        </is>
      </c>
      <c r="AB534" s="78" t="inlineStr">
        <is>
          <t>전라북도</t>
        </is>
      </c>
      <c r="AC534" s="78" t="inlineStr">
        <is>
          <t>군산시</t>
        </is>
      </c>
      <c r="AD534" s="78" t="inlineStr">
        <is>
          <t>수송동</t>
        </is>
      </c>
      <c r="AG534" s="78" t="inlineStr">
        <is>
          <t>전라북도 군산시 진포2길 8</t>
        </is>
      </c>
      <c r="AH534" s="78" t="n">
        <v>0</v>
      </c>
      <c r="AI534" s="78" t="n">
        <v>533</v>
      </c>
      <c r="AJ534" s="78" t="n">
        <v>75</v>
      </c>
      <c r="AK534" s="78" t="n">
        <v>163</v>
      </c>
      <c r="AL534" s="78" t="n">
        <v>0.58</v>
      </c>
    </row>
    <row r="535">
      <c r="A535" s="78" t="inlineStr">
        <is>
          <t>[수송동]</t>
        </is>
      </c>
      <c r="B535" s="78" t="n">
        <v>109957</v>
      </c>
      <c r="C535" s="78" t="n">
        <v>6</v>
      </c>
      <c r="D535" s="78" t="inlineStr">
        <is>
          <t>스타팰리스(도시형)</t>
        </is>
      </c>
      <c r="E535" s="78" t="inlineStr">
        <is>
          <t>2015.01.</t>
        </is>
      </c>
      <c r="F535" s="78" t="n">
        <v>283</v>
      </c>
      <c r="G535" s="78" t="n">
        <v>16.38</v>
      </c>
      <c r="H535" s="78" t="n">
        <v>54.18</v>
      </c>
      <c r="I535" s="78" t="n">
        <v>11.53</v>
      </c>
      <c r="J535" s="78" t="n">
        <v>38.14</v>
      </c>
      <c r="K535" s="78" t="n">
        <v>2</v>
      </c>
      <c r="T535" s="78" t="n">
        <v>1</v>
      </c>
      <c r="U535" s="78" t="n">
        <v>1</v>
      </c>
      <c r="V535" s="78" t="inlineStr">
        <is>
          <t>복도식</t>
        </is>
      </c>
      <c r="W535" s="78" t="inlineStr">
        <is>
          <t>54A-2</t>
        </is>
      </c>
      <c r="X535" s="78" t="n">
        <v>23</v>
      </c>
      <c r="Y535" s="78" t="n">
        <v>14</v>
      </c>
      <c r="Z535" s="78" t="inlineStr">
        <is>
          <t>https://new.land.naver.com/complexes/109957?tab=detail&amp;rf=Y</t>
        </is>
      </c>
      <c r="AA535" s="78" t="inlineStr">
        <is>
          <t>전라북도 군산시 수송동 416-6</t>
        </is>
      </c>
      <c r="AB535" s="78" t="inlineStr">
        <is>
          <t>전라북도</t>
        </is>
      </c>
      <c r="AC535" s="78" t="inlineStr">
        <is>
          <t>군산시</t>
        </is>
      </c>
      <c r="AD535" s="78" t="inlineStr">
        <is>
          <t>수송동</t>
        </is>
      </c>
      <c r="AG535" s="78" t="inlineStr">
        <is>
          <t>전라북도 군산시 진포2길 8</t>
        </is>
      </c>
      <c r="AH535" s="78" t="n">
        <v>0</v>
      </c>
      <c r="AI535" s="78" t="n">
        <v>533</v>
      </c>
      <c r="AJ535" s="78" t="n">
        <v>75</v>
      </c>
      <c r="AK535" s="78" t="n">
        <v>163</v>
      </c>
      <c r="AL535" s="78" t="n">
        <v>0.58</v>
      </c>
    </row>
    <row r="536">
      <c r="A536" s="78" t="inlineStr">
        <is>
          <t>[수송동]</t>
        </is>
      </c>
      <c r="B536" s="78" t="n">
        <v>109957</v>
      </c>
      <c r="C536" s="78" t="n">
        <v>7</v>
      </c>
      <c r="D536" s="78" t="inlineStr">
        <is>
          <t>스타팰리스(도시형)</t>
        </is>
      </c>
      <c r="E536" s="78" t="inlineStr">
        <is>
          <t>2015.01.</t>
        </is>
      </c>
      <c r="F536" s="78" t="n">
        <v>283</v>
      </c>
      <c r="G536" s="78" t="n">
        <v>18.02</v>
      </c>
      <c r="H536" s="78" t="n">
        <v>59.59</v>
      </c>
      <c r="I536" s="78" t="n">
        <v>12.68</v>
      </c>
      <c r="J536" s="78" t="n">
        <v>41.95</v>
      </c>
      <c r="K536" s="78" t="n">
        <v>3</v>
      </c>
      <c r="T536" s="78" t="n">
        <v>1</v>
      </c>
      <c r="U536" s="78" t="n">
        <v>1</v>
      </c>
      <c r="V536" s="78" t="inlineStr">
        <is>
          <t>복도식</t>
        </is>
      </c>
      <c r="W536" s="78" t="inlineStr">
        <is>
          <t>59B-3</t>
        </is>
      </c>
      <c r="X536" s="78" t="n">
        <v>23</v>
      </c>
      <c r="Y536" s="78" t="n">
        <v>14</v>
      </c>
      <c r="Z536" s="78" t="inlineStr">
        <is>
          <t>https://new.land.naver.com/complexes/109957?tab=detail&amp;rf=Y</t>
        </is>
      </c>
      <c r="AA536" s="78" t="inlineStr">
        <is>
          <t>전라북도 군산시 수송동 416-6</t>
        </is>
      </c>
      <c r="AB536" s="78" t="inlineStr">
        <is>
          <t>전라북도</t>
        </is>
      </c>
      <c r="AC536" s="78" t="inlineStr">
        <is>
          <t>군산시</t>
        </is>
      </c>
      <c r="AD536" s="78" t="inlineStr">
        <is>
          <t>수송동</t>
        </is>
      </c>
      <c r="AG536" s="78" t="inlineStr">
        <is>
          <t>전라북도 군산시 진포2길 8</t>
        </is>
      </c>
      <c r="AH536" s="78" t="n">
        <v>0</v>
      </c>
      <c r="AI536" s="78" t="n">
        <v>533</v>
      </c>
      <c r="AJ536" s="78" t="n">
        <v>75</v>
      </c>
      <c r="AK536" s="78" t="n">
        <v>163</v>
      </c>
      <c r="AL536" s="78" t="n">
        <v>0.58</v>
      </c>
    </row>
    <row r="537">
      <c r="A537" s="78" t="inlineStr">
        <is>
          <t>[수송동]</t>
        </is>
      </c>
      <c r="B537" s="78" t="n">
        <v>109957</v>
      </c>
      <c r="C537" s="78" t="n">
        <v>8</v>
      </c>
      <c r="D537" s="78" t="inlineStr">
        <is>
          <t>스타팰리스(도시형)</t>
        </is>
      </c>
      <c r="E537" s="78" t="inlineStr">
        <is>
          <t>2015.01.</t>
        </is>
      </c>
      <c r="F537" s="78" t="n">
        <v>283</v>
      </c>
      <c r="G537" s="78" t="n">
        <v>20.28</v>
      </c>
      <c r="H537" s="78" t="n">
        <v>67.05</v>
      </c>
      <c r="I537" s="78" t="n">
        <v>14.27</v>
      </c>
      <c r="J537" s="78" t="n">
        <v>47.2</v>
      </c>
      <c r="K537" s="78" t="n">
        <v>3</v>
      </c>
      <c r="T537" s="78" t="n">
        <v>2</v>
      </c>
      <c r="U537" s="78" t="n">
        <v>1</v>
      </c>
      <c r="V537" s="78" t="inlineStr">
        <is>
          <t>복도식</t>
        </is>
      </c>
      <c r="W537" s="78" t="inlineStr">
        <is>
          <t>67A-3</t>
        </is>
      </c>
      <c r="X537" s="78" t="n">
        <v>23</v>
      </c>
      <c r="Y537" s="78" t="n">
        <v>14</v>
      </c>
      <c r="Z537" s="78" t="inlineStr">
        <is>
          <t>https://new.land.naver.com/complexes/109957?tab=detail&amp;rf=Y</t>
        </is>
      </c>
      <c r="AA537" s="78" t="inlineStr">
        <is>
          <t>전라북도 군산시 수송동 416-6</t>
        </is>
      </c>
      <c r="AB537" s="78" t="inlineStr">
        <is>
          <t>전라북도</t>
        </is>
      </c>
      <c r="AC537" s="78" t="inlineStr">
        <is>
          <t>군산시</t>
        </is>
      </c>
      <c r="AD537" s="78" t="inlineStr">
        <is>
          <t>수송동</t>
        </is>
      </c>
      <c r="AG537" s="78" t="inlineStr">
        <is>
          <t>전라북도 군산시 진포2길 8</t>
        </is>
      </c>
      <c r="AH537" s="78" t="n">
        <v>0</v>
      </c>
      <c r="AI537" s="78" t="n">
        <v>533</v>
      </c>
      <c r="AJ537" s="78" t="n">
        <v>75</v>
      </c>
      <c r="AK537" s="78" t="n">
        <v>163</v>
      </c>
      <c r="AL537" s="78" t="n">
        <v>0.58</v>
      </c>
    </row>
    <row r="538">
      <c r="A538" s="78" t="inlineStr">
        <is>
          <t>[수송동]</t>
        </is>
      </c>
      <c r="B538" s="78" t="n">
        <v>109957</v>
      </c>
      <c r="C538" s="78" t="n">
        <v>9</v>
      </c>
      <c r="D538" s="78" t="inlineStr">
        <is>
          <t>스타팰리스(도시형)</t>
        </is>
      </c>
      <c r="E538" s="78" t="inlineStr">
        <is>
          <t>2015.01.</t>
        </is>
      </c>
      <c r="F538" s="78" t="n">
        <v>283</v>
      </c>
      <c r="G538" s="78" t="n">
        <v>20.96</v>
      </c>
      <c r="H538" s="78" t="n">
        <v>69.3</v>
      </c>
      <c r="I538" s="78" t="n">
        <v>14.75</v>
      </c>
      <c r="J538" s="78" t="n">
        <v>48.79</v>
      </c>
      <c r="K538" s="78" t="n">
        <v>1</v>
      </c>
      <c r="T538" s="78" t="n">
        <v>2</v>
      </c>
      <c r="U538" s="78" t="n">
        <v>1</v>
      </c>
      <c r="V538" s="78" t="inlineStr">
        <is>
          <t>복도식</t>
        </is>
      </c>
      <c r="W538" s="78" t="inlineStr">
        <is>
          <t>69A-6</t>
        </is>
      </c>
      <c r="X538" s="78" t="n">
        <v>23</v>
      </c>
      <c r="Y538" s="78" t="n">
        <v>14</v>
      </c>
      <c r="Z538" s="78" t="inlineStr">
        <is>
          <t>https://new.land.naver.com/complexes/109957?tab=detail&amp;rf=Y</t>
        </is>
      </c>
      <c r="AA538" s="78" t="inlineStr">
        <is>
          <t>전라북도 군산시 수송동 416-6</t>
        </is>
      </c>
      <c r="AB538" s="78" t="inlineStr">
        <is>
          <t>전라북도</t>
        </is>
      </c>
      <c r="AC538" s="78" t="inlineStr">
        <is>
          <t>군산시</t>
        </is>
      </c>
      <c r="AD538" s="78" t="inlineStr">
        <is>
          <t>수송동</t>
        </is>
      </c>
      <c r="AG538" s="78" t="inlineStr">
        <is>
          <t>전라북도 군산시 진포2길 8</t>
        </is>
      </c>
      <c r="AH538" s="78" t="n">
        <v>0</v>
      </c>
      <c r="AI538" s="78" t="n">
        <v>533</v>
      </c>
      <c r="AJ538" s="78" t="n">
        <v>75</v>
      </c>
      <c r="AK538" s="78" t="n">
        <v>163</v>
      </c>
      <c r="AL538" s="78" t="n">
        <v>0.58</v>
      </c>
    </row>
    <row r="539">
      <c r="A539" s="78" t="inlineStr">
        <is>
          <t>[수송동]</t>
        </is>
      </c>
      <c r="B539" s="78" t="n">
        <v>109957</v>
      </c>
      <c r="C539" s="78" t="n">
        <v>10</v>
      </c>
      <c r="D539" s="78" t="inlineStr">
        <is>
          <t>스타팰리스(도시형)</t>
        </is>
      </c>
      <c r="E539" s="78" t="inlineStr">
        <is>
          <t>2015.01.</t>
        </is>
      </c>
      <c r="F539" s="78" t="n">
        <v>283</v>
      </c>
      <c r="G539" s="78" t="n">
        <v>21.42</v>
      </c>
      <c r="H539" s="78" t="n">
        <v>70.81</v>
      </c>
      <c r="I539" s="78" t="n">
        <v>15.07</v>
      </c>
      <c r="J539" s="78" t="n">
        <v>49.85</v>
      </c>
      <c r="K539" s="78" t="n">
        <v>105</v>
      </c>
      <c r="T539" s="78" t="n">
        <v>2</v>
      </c>
      <c r="U539" s="78" t="n">
        <v>1</v>
      </c>
      <c r="V539" s="78" t="inlineStr">
        <is>
          <t>복도식</t>
        </is>
      </c>
      <c r="W539" s="78" t="inlineStr">
        <is>
          <t>70A</t>
        </is>
      </c>
      <c r="X539" s="78" t="n">
        <v>23</v>
      </c>
      <c r="Y539" s="78" t="n">
        <v>14</v>
      </c>
      <c r="Z539" s="78" t="inlineStr">
        <is>
          <t>https://new.land.naver.com/complexes/109957?tab=detail&amp;rf=Y</t>
        </is>
      </c>
      <c r="AA539" s="78" t="inlineStr">
        <is>
          <t>전라북도 군산시 수송동 416-6</t>
        </is>
      </c>
      <c r="AB539" s="78" t="inlineStr">
        <is>
          <t>전라북도</t>
        </is>
      </c>
      <c r="AC539" s="78" t="inlineStr">
        <is>
          <t>군산시</t>
        </is>
      </c>
      <c r="AD539" s="78" t="inlineStr">
        <is>
          <t>수송동</t>
        </is>
      </c>
      <c r="AG539" s="78" t="inlineStr">
        <is>
          <t>전라북도 군산시 진포2길 8</t>
        </is>
      </c>
      <c r="AH539" s="78" t="n">
        <v>0</v>
      </c>
      <c r="AI539" s="78" t="n">
        <v>533</v>
      </c>
      <c r="AJ539" s="78" t="n">
        <v>75</v>
      </c>
      <c r="AK539" s="78" t="n">
        <v>163</v>
      </c>
      <c r="AL539" s="78" t="n">
        <v>0.58</v>
      </c>
    </row>
    <row r="540">
      <c r="A540" s="78" t="inlineStr">
        <is>
          <t>[수송동]</t>
        </is>
      </c>
      <c r="B540" s="78" t="n">
        <v>109957</v>
      </c>
      <c r="C540" s="78" t="n">
        <v>11</v>
      </c>
      <c r="D540" s="78" t="inlineStr">
        <is>
          <t>스타팰리스(도시형)</t>
        </is>
      </c>
      <c r="E540" s="78" t="inlineStr">
        <is>
          <t>2015.01.</t>
        </is>
      </c>
      <c r="F540" s="78" t="n">
        <v>283</v>
      </c>
      <c r="G540" s="78" t="n">
        <v>21.22</v>
      </c>
      <c r="H540" s="78" t="n">
        <v>70.18000000000001</v>
      </c>
      <c r="I540" s="78" t="n">
        <v>14.94</v>
      </c>
      <c r="J540" s="78" t="n">
        <v>49.41</v>
      </c>
      <c r="K540" s="78" t="n">
        <v>28</v>
      </c>
      <c r="T540" s="78" t="n">
        <v>2</v>
      </c>
      <c r="U540" s="78" t="n">
        <v>1</v>
      </c>
      <c r="V540" s="78" t="inlineStr">
        <is>
          <t>복도식</t>
        </is>
      </c>
      <c r="W540" s="78" t="inlineStr">
        <is>
          <t>70A-1</t>
        </is>
      </c>
      <c r="X540" s="78" t="n">
        <v>23</v>
      </c>
      <c r="Y540" s="78" t="n">
        <v>14</v>
      </c>
      <c r="Z540" s="78" t="inlineStr">
        <is>
          <t>https://new.land.naver.com/complexes/109957?tab=detail&amp;rf=Y</t>
        </is>
      </c>
      <c r="AA540" s="78" t="inlineStr">
        <is>
          <t>전라북도 군산시 수송동 416-6</t>
        </is>
      </c>
      <c r="AB540" s="78" t="inlineStr">
        <is>
          <t>전라북도</t>
        </is>
      </c>
      <c r="AC540" s="78" t="inlineStr">
        <is>
          <t>군산시</t>
        </is>
      </c>
      <c r="AD540" s="78" t="inlineStr">
        <is>
          <t>수송동</t>
        </is>
      </c>
      <c r="AG540" s="78" t="inlineStr">
        <is>
          <t>전라북도 군산시 진포2길 8</t>
        </is>
      </c>
      <c r="AH540" s="78" t="n">
        <v>0</v>
      </c>
      <c r="AI540" s="78" t="n">
        <v>533</v>
      </c>
      <c r="AJ540" s="78" t="n">
        <v>75</v>
      </c>
      <c r="AK540" s="78" t="n">
        <v>163</v>
      </c>
      <c r="AL540" s="78" t="n">
        <v>0.58</v>
      </c>
    </row>
    <row r="541">
      <c r="A541" s="78" t="inlineStr">
        <is>
          <t>[수송동]</t>
        </is>
      </c>
      <c r="B541" s="78" t="n">
        <v>109957</v>
      </c>
      <c r="C541" s="78" t="n">
        <v>12</v>
      </c>
      <c r="D541" s="78" t="inlineStr">
        <is>
          <t>스타팰리스(도시형)</t>
        </is>
      </c>
      <c r="E541" s="78" t="inlineStr">
        <is>
          <t>2015.01.</t>
        </is>
      </c>
      <c r="F541" s="78" t="n">
        <v>283</v>
      </c>
      <c r="G541" s="78" t="n">
        <v>21.22</v>
      </c>
      <c r="H541" s="78" t="n">
        <v>70.16</v>
      </c>
      <c r="I541" s="78" t="n">
        <v>14.94</v>
      </c>
      <c r="J541" s="78" t="n">
        <v>49.39</v>
      </c>
      <c r="K541" s="78" t="n">
        <v>2</v>
      </c>
      <c r="T541" s="78" t="n">
        <v>3</v>
      </c>
      <c r="U541" s="78" t="n">
        <v>1</v>
      </c>
      <c r="V541" s="78" t="inlineStr">
        <is>
          <t>복도식</t>
        </is>
      </c>
      <c r="W541" s="78" t="inlineStr">
        <is>
          <t>70A-2</t>
        </is>
      </c>
      <c r="X541" s="78" t="n">
        <v>23</v>
      </c>
      <c r="Y541" s="78" t="n">
        <v>14</v>
      </c>
      <c r="Z541" s="78" t="inlineStr">
        <is>
          <t>https://new.land.naver.com/complexes/109957?tab=detail&amp;rf=Y</t>
        </is>
      </c>
      <c r="AA541" s="78" t="inlineStr">
        <is>
          <t>전라북도 군산시 수송동 416-6</t>
        </is>
      </c>
      <c r="AB541" s="78" t="inlineStr">
        <is>
          <t>전라북도</t>
        </is>
      </c>
      <c r="AC541" s="78" t="inlineStr">
        <is>
          <t>군산시</t>
        </is>
      </c>
      <c r="AD541" s="78" t="inlineStr">
        <is>
          <t>수송동</t>
        </is>
      </c>
      <c r="AG541" s="78" t="inlineStr">
        <is>
          <t>전라북도 군산시 진포2길 8</t>
        </is>
      </c>
      <c r="AH541" s="78" t="n">
        <v>0</v>
      </c>
      <c r="AI541" s="78" t="n">
        <v>533</v>
      </c>
      <c r="AJ541" s="78" t="n">
        <v>75</v>
      </c>
      <c r="AK541" s="78" t="n">
        <v>163</v>
      </c>
      <c r="AL541" s="78" t="n">
        <v>0.58</v>
      </c>
    </row>
    <row r="542">
      <c r="A542" s="78" t="inlineStr">
        <is>
          <t>[수송동]</t>
        </is>
      </c>
      <c r="B542" s="78" t="n">
        <v>109957</v>
      </c>
      <c r="C542" s="78" t="n">
        <v>13</v>
      </c>
      <c r="D542" s="78" t="inlineStr">
        <is>
          <t>스타팰리스(도시형)</t>
        </is>
      </c>
      <c r="E542" s="78" t="inlineStr">
        <is>
          <t>2015.01.</t>
        </is>
      </c>
      <c r="F542" s="78" t="n">
        <v>283</v>
      </c>
      <c r="G542" s="78" t="n">
        <v>21.38</v>
      </c>
      <c r="H542" s="78" t="n">
        <v>70.69</v>
      </c>
      <c r="I542" s="78" t="n">
        <v>15.05</v>
      </c>
      <c r="J542" s="78" t="n">
        <v>49.76</v>
      </c>
      <c r="K542" s="78" t="n">
        <v>1</v>
      </c>
      <c r="T542" s="78" t="n">
        <v>2</v>
      </c>
      <c r="U542" s="78" t="n">
        <v>1</v>
      </c>
      <c r="V542" s="78" t="inlineStr">
        <is>
          <t>복도식</t>
        </is>
      </c>
      <c r="W542" s="78" t="inlineStr">
        <is>
          <t>70A-5</t>
        </is>
      </c>
      <c r="X542" s="78" t="n">
        <v>23</v>
      </c>
      <c r="Y542" s="78" t="n">
        <v>14</v>
      </c>
      <c r="Z542" s="78" t="inlineStr">
        <is>
          <t>https://new.land.naver.com/complexes/109957?tab=detail&amp;rf=Y</t>
        </is>
      </c>
      <c r="AA542" s="78" t="inlineStr">
        <is>
          <t>전라북도 군산시 수송동 416-6</t>
        </is>
      </c>
      <c r="AB542" s="78" t="inlineStr">
        <is>
          <t>전라북도</t>
        </is>
      </c>
      <c r="AC542" s="78" t="inlineStr">
        <is>
          <t>군산시</t>
        </is>
      </c>
      <c r="AD542" s="78" t="inlineStr">
        <is>
          <t>수송동</t>
        </is>
      </c>
      <c r="AG542" s="78" t="inlineStr">
        <is>
          <t>전라북도 군산시 진포2길 8</t>
        </is>
      </c>
      <c r="AH542" s="78" t="n">
        <v>0</v>
      </c>
      <c r="AI542" s="78" t="n">
        <v>533</v>
      </c>
      <c r="AJ542" s="78" t="n">
        <v>75</v>
      </c>
      <c r="AK542" s="78" t="n">
        <v>163</v>
      </c>
      <c r="AL542" s="78" t="n">
        <v>0.58</v>
      </c>
    </row>
    <row r="543">
      <c r="A543" s="78" t="inlineStr">
        <is>
          <t>[수송동]</t>
        </is>
      </c>
      <c r="B543" s="78" t="n">
        <v>123068</v>
      </c>
      <c r="C543" s="78" t="n">
        <v>1</v>
      </c>
      <c r="D543" s="78" t="inlineStr">
        <is>
          <t>동영</t>
        </is>
      </c>
      <c r="E543" s="78" t="inlineStr">
        <is>
          <t>1998.09.</t>
        </is>
      </c>
      <c r="F543" s="78" t="n">
        <v>360</v>
      </c>
      <c r="G543" s="78" t="n">
        <v>14.19</v>
      </c>
      <c r="H543" s="78" t="n">
        <v>46.92</v>
      </c>
      <c r="I543" s="78" t="n">
        <v>11.94</v>
      </c>
      <c r="J543" s="78" t="n">
        <v>39.5</v>
      </c>
      <c r="K543" s="78" t="n">
        <v>205</v>
      </c>
      <c r="T543" s="78" t="n">
        <v>2</v>
      </c>
      <c r="U543" s="78" t="n">
        <v>1</v>
      </c>
      <c r="V543" s="78" t="inlineStr">
        <is>
          <t>계단식</t>
        </is>
      </c>
      <c r="W543" s="78" t="n">
        <v>46</v>
      </c>
      <c r="X543" s="78" t="n">
        <v>15</v>
      </c>
      <c r="Y543" s="78" t="n">
        <v>15</v>
      </c>
      <c r="Z543" s="78" t="inlineStr">
        <is>
          <t>https://new.land.naver.com/complexes/123068?tab=detail&amp;rf=Y</t>
        </is>
      </c>
      <c r="AA543" s="78" t="inlineStr">
        <is>
          <t>전라북도 군산시 수송동 656</t>
        </is>
      </c>
      <c r="AB543" s="78" t="inlineStr">
        <is>
          <t>전라북도</t>
        </is>
      </c>
      <c r="AC543" s="78" t="inlineStr">
        <is>
          <t>군산시</t>
        </is>
      </c>
      <c r="AD543" s="78" t="inlineStr">
        <is>
          <t>수송동</t>
        </is>
      </c>
      <c r="AG543" s="78" t="inlineStr">
        <is>
          <t>전라북도 군산시 신평길 12</t>
        </is>
      </c>
      <c r="AH543" s="78" t="n">
        <v>0</v>
      </c>
      <c r="AI543" s="78" t="n">
        <v>263</v>
      </c>
      <c r="AJ543" s="78" t="n">
        <v>24</v>
      </c>
      <c r="AK543" s="78" t="n">
        <v>0</v>
      </c>
      <c r="AL543" s="78" t="n">
        <v>0</v>
      </c>
    </row>
    <row r="544">
      <c r="A544" s="78" t="inlineStr">
        <is>
          <t>[수송동]</t>
        </is>
      </c>
      <c r="B544" s="78" t="n">
        <v>123068</v>
      </c>
      <c r="C544" s="78" t="n">
        <v>2</v>
      </c>
      <c r="D544" s="78" t="inlineStr">
        <is>
          <t>동영</t>
        </is>
      </c>
      <c r="E544" s="78" t="inlineStr">
        <is>
          <t>1998.09.</t>
        </is>
      </c>
      <c r="F544" s="78" t="n">
        <v>360</v>
      </c>
      <c r="G544" s="78" t="n">
        <v>16.46</v>
      </c>
      <c r="H544" s="78" t="n">
        <v>54.42</v>
      </c>
      <c r="I544" s="78" t="n">
        <v>11.94</v>
      </c>
      <c r="J544" s="78" t="n">
        <v>39.5</v>
      </c>
      <c r="K544" s="78" t="n">
        <v>5</v>
      </c>
      <c r="T544" s="78" t="n">
        <v>2</v>
      </c>
      <c r="U544" s="78" t="n">
        <v>1</v>
      </c>
      <c r="V544" s="78" t="inlineStr">
        <is>
          <t>계단식</t>
        </is>
      </c>
      <c r="W544" s="78" t="n">
        <v>54</v>
      </c>
      <c r="X544" s="78" t="n">
        <v>15</v>
      </c>
      <c r="Y544" s="78" t="n">
        <v>15</v>
      </c>
      <c r="Z544" s="78" t="inlineStr">
        <is>
          <t>https://new.land.naver.com/complexes/123068?tab=detail&amp;rf=Y</t>
        </is>
      </c>
      <c r="AA544" s="78" t="inlineStr">
        <is>
          <t>전라북도 군산시 수송동 656</t>
        </is>
      </c>
      <c r="AB544" s="78" t="inlineStr">
        <is>
          <t>전라북도</t>
        </is>
      </c>
      <c r="AC544" s="78" t="inlineStr">
        <is>
          <t>군산시</t>
        </is>
      </c>
      <c r="AD544" s="78" t="inlineStr">
        <is>
          <t>수송동</t>
        </is>
      </c>
      <c r="AG544" s="78" t="inlineStr">
        <is>
          <t>전라북도 군산시 신평길 12</t>
        </is>
      </c>
      <c r="AH544" s="78" t="n">
        <v>0</v>
      </c>
      <c r="AI544" s="78" t="n">
        <v>263</v>
      </c>
      <c r="AJ544" s="78" t="n">
        <v>24</v>
      </c>
      <c r="AK544" s="78" t="n">
        <v>0</v>
      </c>
      <c r="AL544" s="78" t="n">
        <v>0</v>
      </c>
    </row>
    <row r="545">
      <c r="A545" s="78" t="inlineStr">
        <is>
          <t>[수송동]</t>
        </is>
      </c>
      <c r="B545" s="78" t="n">
        <v>123068</v>
      </c>
      <c r="C545" s="78" t="n">
        <v>3</v>
      </c>
      <c r="D545" s="78" t="inlineStr">
        <is>
          <t>동영</t>
        </is>
      </c>
      <c r="E545" s="78" t="inlineStr">
        <is>
          <t>1998.09.</t>
        </is>
      </c>
      <c r="F545" s="78" t="n">
        <v>360</v>
      </c>
      <c r="G545" s="78" t="n">
        <v>22.98</v>
      </c>
      <c r="H545" s="78" t="n">
        <v>75.97</v>
      </c>
      <c r="I545" s="78" t="n">
        <v>18.12</v>
      </c>
      <c r="J545" s="78" t="n">
        <v>59.91</v>
      </c>
      <c r="K545" s="78" t="n">
        <v>15</v>
      </c>
      <c r="T545" s="78" t="n">
        <v>3</v>
      </c>
      <c r="U545" s="78" t="n">
        <v>1</v>
      </c>
      <c r="V545" s="78" t="inlineStr">
        <is>
          <t>계단식</t>
        </is>
      </c>
      <c r="W545" s="78" t="inlineStr">
        <is>
          <t>75A</t>
        </is>
      </c>
      <c r="X545" s="78" t="n">
        <v>15</v>
      </c>
      <c r="Y545" s="78" t="n">
        <v>15</v>
      </c>
      <c r="Z545" s="78" t="inlineStr">
        <is>
          <t>https://new.land.naver.com/complexes/123068?tab=detail&amp;rf=Y</t>
        </is>
      </c>
      <c r="AA545" s="78" t="inlineStr">
        <is>
          <t>전라북도 군산시 수송동 656</t>
        </is>
      </c>
      <c r="AB545" s="78" t="inlineStr">
        <is>
          <t>전라북도</t>
        </is>
      </c>
      <c r="AC545" s="78" t="inlineStr">
        <is>
          <t>군산시</t>
        </is>
      </c>
      <c r="AD545" s="78" t="inlineStr">
        <is>
          <t>수송동</t>
        </is>
      </c>
      <c r="AG545" s="78" t="inlineStr">
        <is>
          <t>전라북도 군산시 신평길 12</t>
        </is>
      </c>
      <c r="AH545" s="78" t="n">
        <v>0</v>
      </c>
      <c r="AI545" s="78" t="n">
        <v>263</v>
      </c>
      <c r="AJ545" s="78" t="n">
        <v>24</v>
      </c>
      <c r="AK545" s="78" t="n">
        <v>0</v>
      </c>
      <c r="AL545" s="78" t="n">
        <v>0</v>
      </c>
    </row>
    <row r="546">
      <c r="A546" s="78" t="inlineStr">
        <is>
          <t>[수송동]</t>
        </is>
      </c>
      <c r="B546" s="78" t="n">
        <v>123068</v>
      </c>
      <c r="C546" s="78" t="n">
        <v>4</v>
      </c>
      <c r="D546" s="78" t="inlineStr">
        <is>
          <t>동영</t>
        </is>
      </c>
      <c r="E546" s="78" t="inlineStr">
        <is>
          <t>1998.09.</t>
        </is>
      </c>
      <c r="F546" s="78" t="n">
        <v>360</v>
      </c>
      <c r="G546" s="78" t="n">
        <v>22.99</v>
      </c>
      <c r="H546" s="78" t="n">
        <v>76</v>
      </c>
      <c r="I546" s="78" t="n">
        <v>18.13</v>
      </c>
      <c r="J546" s="78" t="n">
        <v>59.94</v>
      </c>
      <c r="K546" s="78" t="n">
        <v>135</v>
      </c>
      <c r="T546" s="78" t="n">
        <v>3</v>
      </c>
      <c r="U546" s="78" t="n">
        <v>1</v>
      </c>
      <c r="V546" s="78" t="inlineStr">
        <is>
          <t>계단식</t>
        </is>
      </c>
      <c r="W546" s="78" t="inlineStr">
        <is>
          <t>76B</t>
        </is>
      </c>
      <c r="X546" s="78" t="n">
        <v>15</v>
      </c>
      <c r="Y546" s="78" t="n">
        <v>15</v>
      </c>
      <c r="Z546" s="78" t="inlineStr">
        <is>
          <t>https://new.land.naver.com/complexes/123068?tab=detail&amp;rf=Y</t>
        </is>
      </c>
      <c r="AA546" s="78" t="inlineStr">
        <is>
          <t>전라북도 군산시 수송동 656</t>
        </is>
      </c>
      <c r="AB546" s="78" t="inlineStr">
        <is>
          <t>전라북도</t>
        </is>
      </c>
      <c r="AC546" s="78" t="inlineStr">
        <is>
          <t>군산시</t>
        </is>
      </c>
      <c r="AD546" s="78" t="inlineStr">
        <is>
          <t>수송동</t>
        </is>
      </c>
      <c r="AG546" s="78" t="inlineStr">
        <is>
          <t>전라북도 군산시 신평길 12</t>
        </is>
      </c>
      <c r="AH546" s="78" t="n">
        <v>0</v>
      </c>
      <c r="AI546" s="78" t="n">
        <v>263</v>
      </c>
      <c r="AJ546" s="78" t="n">
        <v>24</v>
      </c>
      <c r="AK546" s="78" t="n">
        <v>0</v>
      </c>
      <c r="AL546" s="78" t="n">
        <v>0</v>
      </c>
    </row>
    <row r="547">
      <c r="A547" s="78" t="inlineStr">
        <is>
          <t>[수송동]</t>
        </is>
      </c>
      <c r="B547" s="78" t="n">
        <v>100415</v>
      </c>
      <c r="C547" s="78" t="n">
        <v>1</v>
      </c>
      <c r="D547" s="78" t="inlineStr">
        <is>
          <t>군산수송제일오투그란데2단지</t>
        </is>
      </c>
      <c r="E547" s="78" t="inlineStr">
        <is>
          <t>2008.10.</t>
        </is>
      </c>
      <c r="F547" s="78" t="n">
        <v>656</v>
      </c>
      <c r="G547" s="78" t="n">
        <v>35.6</v>
      </c>
      <c r="H547" s="78" t="n">
        <v>117.69</v>
      </c>
      <c r="I547" s="78" t="n">
        <v>27.61</v>
      </c>
      <c r="J547" s="78" t="n">
        <v>91.28</v>
      </c>
      <c r="K547" s="78" t="n">
        <v>114</v>
      </c>
      <c r="T547" s="78" t="n">
        <v>3</v>
      </c>
      <c r="U547" s="78" t="n">
        <v>2</v>
      </c>
      <c r="V547" s="78" t="inlineStr">
        <is>
          <t>계단식</t>
        </is>
      </c>
      <c r="W547" s="78" t="inlineStr">
        <is>
          <t>117A</t>
        </is>
      </c>
      <c r="X547" s="78" t="n">
        <v>20</v>
      </c>
      <c r="Y547" s="78" t="n">
        <v>10</v>
      </c>
      <c r="Z547" s="78" t="inlineStr">
        <is>
          <t>https://new.land.naver.com/complexes/100415?tab=detail&amp;rf=Y</t>
        </is>
      </c>
      <c r="AA547" s="78" t="inlineStr">
        <is>
          <t>전라북도 군산시 수송동 812-1</t>
        </is>
      </c>
      <c r="AB547" s="78" t="inlineStr">
        <is>
          <t>전라북도</t>
        </is>
      </c>
      <c r="AC547" s="78" t="inlineStr">
        <is>
          <t>군산시</t>
        </is>
      </c>
      <c r="AD547" s="78" t="inlineStr">
        <is>
          <t>수송동</t>
        </is>
      </c>
      <c r="AG547" s="78" t="inlineStr">
        <is>
          <t>전라북도 군산시 축동로 32</t>
        </is>
      </c>
      <c r="AH547" s="78" t="n">
        <v>0</v>
      </c>
      <c r="AI547" s="78" t="n">
        <v>198</v>
      </c>
      <c r="AJ547" s="78" t="n">
        <v>20</v>
      </c>
      <c r="AK547" s="78" t="n">
        <v>901</v>
      </c>
      <c r="AL547" s="78" t="n">
        <v>1.37</v>
      </c>
    </row>
    <row r="548">
      <c r="A548" s="78" t="inlineStr">
        <is>
          <t>[수송동]</t>
        </is>
      </c>
      <c r="B548" s="78" t="n">
        <v>100415</v>
      </c>
      <c r="C548" s="78" t="n">
        <v>2</v>
      </c>
      <c r="D548" s="78" t="inlineStr">
        <is>
          <t>군산수송제일오투그란데2단지</t>
        </is>
      </c>
      <c r="E548" s="78" t="inlineStr">
        <is>
          <t>2008.10.</t>
        </is>
      </c>
      <c r="F548" s="78" t="n">
        <v>656</v>
      </c>
      <c r="G548" s="78" t="n">
        <v>35.92</v>
      </c>
      <c r="H548" s="78" t="n">
        <v>118.76</v>
      </c>
      <c r="I548" s="78" t="n">
        <v>27.58</v>
      </c>
      <c r="J548" s="78" t="n">
        <v>91.19</v>
      </c>
      <c r="K548" s="78" t="n">
        <v>136</v>
      </c>
      <c r="T548" s="78" t="n">
        <v>3</v>
      </c>
      <c r="U548" s="78" t="n">
        <v>2</v>
      </c>
      <c r="V548" s="78" t="inlineStr">
        <is>
          <t>계단식</t>
        </is>
      </c>
      <c r="W548" s="78" t="inlineStr">
        <is>
          <t>118B</t>
        </is>
      </c>
      <c r="X548" s="78" t="n">
        <v>20</v>
      </c>
      <c r="Y548" s="78" t="n">
        <v>10</v>
      </c>
      <c r="Z548" s="78" t="inlineStr">
        <is>
          <t>https://new.land.naver.com/complexes/100415?tab=detail&amp;rf=Y</t>
        </is>
      </c>
      <c r="AA548" s="78" t="inlineStr">
        <is>
          <t>전라북도 군산시 수송동 812-1</t>
        </is>
      </c>
      <c r="AB548" s="78" t="inlineStr">
        <is>
          <t>전라북도</t>
        </is>
      </c>
      <c r="AC548" s="78" t="inlineStr">
        <is>
          <t>군산시</t>
        </is>
      </c>
      <c r="AD548" s="78" t="inlineStr">
        <is>
          <t>수송동</t>
        </is>
      </c>
      <c r="AG548" s="78" t="inlineStr">
        <is>
          <t>전라북도 군산시 축동로 32</t>
        </is>
      </c>
      <c r="AH548" s="78" t="n">
        <v>0</v>
      </c>
      <c r="AI548" s="78" t="n">
        <v>198</v>
      </c>
      <c r="AJ548" s="78" t="n">
        <v>20</v>
      </c>
      <c r="AK548" s="78" t="n">
        <v>901</v>
      </c>
      <c r="AL548" s="78" t="n">
        <v>1.37</v>
      </c>
    </row>
    <row r="549">
      <c r="A549" s="78" t="inlineStr">
        <is>
          <t>[수송동]</t>
        </is>
      </c>
      <c r="B549" s="78" t="n">
        <v>100415</v>
      </c>
      <c r="C549" s="78" t="n">
        <v>3</v>
      </c>
      <c r="D549" s="78" t="inlineStr">
        <is>
          <t>군산수송제일오투그란데2단지</t>
        </is>
      </c>
      <c r="E549" s="78" t="inlineStr">
        <is>
          <t>2008.10.</t>
        </is>
      </c>
      <c r="F549" s="78" t="n">
        <v>656</v>
      </c>
      <c r="G549" s="78" t="n">
        <v>37.99</v>
      </c>
      <c r="H549" s="78" t="n">
        <v>125.59</v>
      </c>
      <c r="I549" s="78" t="n">
        <v>28.04</v>
      </c>
      <c r="J549" s="78" t="n">
        <v>92.72</v>
      </c>
      <c r="K549" s="78" t="n">
        <v>274</v>
      </c>
      <c r="T549" s="78" t="n">
        <v>3</v>
      </c>
      <c r="U549" s="78" t="n">
        <v>2</v>
      </c>
      <c r="V549" s="78" t="inlineStr">
        <is>
          <t>계단식</t>
        </is>
      </c>
      <c r="W549" s="78" t="n">
        <v>125</v>
      </c>
      <c r="X549" s="78" t="n">
        <v>20</v>
      </c>
      <c r="Y549" s="78" t="n">
        <v>10</v>
      </c>
      <c r="Z549" s="78" t="inlineStr">
        <is>
          <t>https://new.land.naver.com/complexes/100415?tab=detail&amp;rf=Y</t>
        </is>
      </c>
      <c r="AA549" s="78" t="inlineStr">
        <is>
          <t>전라북도 군산시 수송동 812-1</t>
        </is>
      </c>
      <c r="AB549" s="78" t="inlineStr">
        <is>
          <t>전라북도</t>
        </is>
      </c>
      <c r="AC549" s="78" t="inlineStr">
        <is>
          <t>군산시</t>
        </is>
      </c>
      <c r="AD549" s="78" t="inlineStr">
        <is>
          <t>수송동</t>
        </is>
      </c>
      <c r="AG549" s="78" t="inlineStr">
        <is>
          <t>전라북도 군산시 축동로 32</t>
        </is>
      </c>
      <c r="AH549" s="78" t="n">
        <v>0</v>
      </c>
      <c r="AI549" s="78" t="n">
        <v>198</v>
      </c>
      <c r="AJ549" s="78" t="n">
        <v>20</v>
      </c>
      <c r="AK549" s="78" t="n">
        <v>901</v>
      </c>
      <c r="AL549" s="78" t="n">
        <v>1.37</v>
      </c>
    </row>
    <row r="550">
      <c r="A550" s="78" t="inlineStr">
        <is>
          <t>[수송동]</t>
        </is>
      </c>
      <c r="B550" s="78" t="n">
        <v>100415</v>
      </c>
      <c r="C550" s="78" t="n">
        <v>4</v>
      </c>
      <c r="D550" s="78" t="inlineStr">
        <is>
          <t>군산수송제일오투그란데2단지</t>
        </is>
      </c>
      <c r="E550" s="78" t="inlineStr">
        <is>
          <t>2008.10.</t>
        </is>
      </c>
      <c r="F550" s="78" t="n">
        <v>656</v>
      </c>
      <c r="G550" s="78" t="n">
        <v>42.56</v>
      </c>
      <c r="H550" s="78" t="n">
        <v>140.71</v>
      </c>
      <c r="I550" s="78" t="n">
        <v>33.33</v>
      </c>
      <c r="J550" s="78" t="n">
        <v>110.19</v>
      </c>
      <c r="K550" s="78" t="n">
        <v>132</v>
      </c>
      <c r="T550" s="78" t="n">
        <v>4</v>
      </c>
      <c r="U550" s="78" t="n">
        <v>2</v>
      </c>
      <c r="V550" s="78" t="inlineStr">
        <is>
          <t>계단식</t>
        </is>
      </c>
      <c r="W550" s="78" t="n">
        <v>140</v>
      </c>
      <c r="X550" s="78" t="n">
        <v>20</v>
      </c>
      <c r="Y550" s="78" t="n">
        <v>10</v>
      </c>
      <c r="Z550" s="78" t="inlineStr">
        <is>
          <t>https://new.land.naver.com/complexes/100415?tab=detail&amp;rf=Y</t>
        </is>
      </c>
      <c r="AA550" s="78" t="inlineStr">
        <is>
          <t>전라북도 군산시 수송동 812-1</t>
        </is>
      </c>
      <c r="AB550" s="78" t="inlineStr">
        <is>
          <t>전라북도</t>
        </is>
      </c>
      <c r="AC550" s="78" t="inlineStr">
        <is>
          <t>군산시</t>
        </is>
      </c>
      <c r="AD550" s="78" t="inlineStr">
        <is>
          <t>수송동</t>
        </is>
      </c>
      <c r="AG550" s="78" t="inlineStr">
        <is>
          <t>전라북도 군산시 축동로 32</t>
        </is>
      </c>
      <c r="AH550" s="78" t="n">
        <v>0</v>
      </c>
      <c r="AI550" s="78" t="n">
        <v>198</v>
      </c>
      <c r="AJ550" s="78" t="n">
        <v>20</v>
      </c>
      <c r="AK550" s="78" t="n">
        <v>901</v>
      </c>
      <c r="AL550" s="78" t="n">
        <v>1.37</v>
      </c>
    </row>
    <row r="551">
      <c r="A551" s="78" t="inlineStr">
        <is>
          <t>[수송동]</t>
        </is>
      </c>
      <c r="B551" s="78" t="n">
        <v>26633</v>
      </c>
      <c r="C551" s="78" t="n">
        <v>1</v>
      </c>
      <c r="D551" s="78" t="inlineStr">
        <is>
          <t>군산수송제일오투그란데1단지</t>
        </is>
      </c>
      <c r="E551" s="78" t="inlineStr">
        <is>
          <t>2008.10.</t>
        </is>
      </c>
      <c r="F551" s="78" t="n">
        <v>724</v>
      </c>
      <c r="G551" s="78" t="n">
        <v>29.94</v>
      </c>
      <c r="H551" s="78" t="n">
        <v>99</v>
      </c>
      <c r="I551" s="78" t="n">
        <v>20.86</v>
      </c>
      <c r="J551" s="78" t="n">
        <v>68.97</v>
      </c>
      <c r="K551" s="78" t="n">
        <v>212</v>
      </c>
      <c r="T551" s="78" t="n">
        <v>3</v>
      </c>
      <c r="U551" s="78" t="n">
        <v>2</v>
      </c>
      <c r="V551" s="78" t="inlineStr">
        <is>
          <t>계단식</t>
        </is>
      </c>
      <c r="W551" s="78" t="n">
        <v>99</v>
      </c>
      <c r="X551" s="78" t="n">
        <v>20</v>
      </c>
      <c r="Y551" s="78" t="n">
        <v>17</v>
      </c>
      <c r="Z551" s="78" t="inlineStr">
        <is>
          <t>https://new.land.naver.com/complexes/26633?tab=detail&amp;rf=Y</t>
        </is>
      </c>
      <c r="AA551" s="78" t="inlineStr">
        <is>
          <t>전라북도 군산시 수송동 812</t>
        </is>
      </c>
      <c r="AB551" s="78" t="inlineStr">
        <is>
          <t>전라북도</t>
        </is>
      </c>
      <c r="AC551" s="78" t="inlineStr">
        <is>
          <t>군산시</t>
        </is>
      </c>
      <c r="AD551" s="78" t="inlineStr">
        <is>
          <t>수송동</t>
        </is>
      </c>
      <c r="AG551" s="78" t="inlineStr">
        <is>
          <t>전라북도 군산시 축동로 42</t>
        </is>
      </c>
      <c r="AH551" s="78" t="n">
        <v>0</v>
      </c>
      <c r="AI551" s="78" t="n">
        <v>229</v>
      </c>
      <c r="AJ551" s="78" t="n">
        <v>20</v>
      </c>
      <c r="AK551" s="78" t="n">
        <v>908</v>
      </c>
      <c r="AL551" s="78" t="n">
        <v>1.25</v>
      </c>
    </row>
    <row r="552">
      <c r="A552" s="78" t="inlineStr">
        <is>
          <t>[수송동]</t>
        </is>
      </c>
      <c r="B552" s="78" t="n">
        <v>26633</v>
      </c>
      <c r="C552" s="78" t="n">
        <v>2</v>
      </c>
      <c r="D552" s="78" t="inlineStr">
        <is>
          <t>군산수송제일오투그란데1단지</t>
        </is>
      </c>
      <c r="E552" s="78" t="inlineStr">
        <is>
          <t>2008.10.</t>
        </is>
      </c>
      <c r="F552" s="78" t="n">
        <v>724</v>
      </c>
      <c r="G552" s="78" t="n">
        <v>34.96</v>
      </c>
      <c r="H552" s="78" t="n">
        <v>115.59</v>
      </c>
      <c r="I552" s="78" t="n">
        <v>25.69</v>
      </c>
      <c r="J552" s="78" t="n">
        <v>84.93000000000001</v>
      </c>
      <c r="K552" s="78" t="n">
        <v>206</v>
      </c>
      <c r="T552" s="78" t="n">
        <v>3</v>
      </c>
      <c r="U552" s="78" t="n">
        <v>2</v>
      </c>
      <c r="V552" s="78" t="inlineStr">
        <is>
          <t>계단식</t>
        </is>
      </c>
      <c r="W552" s="78" t="inlineStr">
        <is>
          <t>115A</t>
        </is>
      </c>
      <c r="X552" s="78" t="n">
        <v>20</v>
      </c>
      <c r="Y552" s="78" t="n">
        <v>17</v>
      </c>
      <c r="Z552" s="78" t="inlineStr">
        <is>
          <t>https://new.land.naver.com/complexes/26633?tab=detail&amp;rf=Y</t>
        </is>
      </c>
      <c r="AA552" s="78" t="inlineStr">
        <is>
          <t>전라북도 군산시 수송동 812</t>
        </is>
      </c>
      <c r="AB552" s="78" t="inlineStr">
        <is>
          <t>전라북도</t>
        </is>
      </c>
      <c r="AC552" s="78" t="inlineStr">
        <is>
          <t>군산시</t>
        </is>
      </c>
      <c r="AD552" s="78" t="inlineStr">
        <is>
          <t>수송동</t>
        </is>
      </c>
      <c r="AG552" s="78" t="inlineStr">
        <is>
          <t>전라북도 군산시 축동로 42</t>
        </is>
      </c>
      <c r="AH552" s="78" t="n">
        <v>0</v>
      </c>
      <c r="AI552" s="78" t="n">
        <v>229</v>
      </c>
      <c r="AJ552" s="78" t="n">
        <v>20</v>
      </c>
      <c r="AK552" s="78" t="n">
        <v>908</v>
      </c>
      <c r="AL552" s="78" t="n">
        <v>1.25</v>
      </c>
    </row>
    <row r="553">
      <c r="A553" s="78" t="inlineStr">
        <is>
          <t>[수송동]</t>
        </is>
      </c>
      <c r="B553" s="78" t="n">
        <v>26633</v>
      </c>
      <c r="C553" s="78" t="n">
        <v>3</v>
      </c>
      <c r="D553" s="78" t="inlineStr">
        <is>
          <t>군산수송제일오투그란데1단지</t>
        </is>
      </c>
      <c r="E553" s="78" t="inlineStr">
        <is>
          <t>2008.10.</t>
        </is>
      </c>
      <c r="F553" s="78" t="n">
        <v>724</v>
      </c>
      <c r="G553" s="78" t="n">
        <v>34.99</v>
      </c>
      <c r="H553" s="78" t="n">
        <v>115.69</v>
      </c>
      <c r="I553" s="78" t="n">
        <v>25.66</v>
      </c>
      <c r="J553" s="78" t="n">
        <v>84.84999999999999</v>
      </c>
      <c r="K553" s="78" t="n">
        <v>160</v>
      </c>
      <c r="T553" s="78" t="n">
        <v>3</v>
      </c>
      <c r="U553" s="78" t="n">
        <v>2</v>
      </c>
      <c r="V553" s="78" t="inlineStr">
        <is>
          <t>계단식</t>
        </is>
      </c>
      <c r="W553" s="78" t="inlineStr">
        <is>
          <t>115C</t>
        </is>
      </c>
      <c r="X553" s="78" t="n">
        <v>20</v>
      </c>
      <c r="Y553" s="78" t="n">
        <v>17</v>
      </c>
      <c r="Z553" s="78" t="inlineStr">
        <is>
          <t>https://new.land.naver.com/complexes/26633?tab=detail&amp;rf=Y</t>
        </is>
      </c>
      <c r="AA553" s="78" t="inlineStr">
        <is>
          <t>전라북도 군산시 수송동 812</t>
        </is>
      </c>
      <c r="AB553" s="78" t="inlineStr">
        <is>
          <t>전라북도</t>
        </is>
      </c>
      <c r="AC553" s="78" t="inlineStr">
        <is>
          <t>군산시</t>
        </is>
      </c>
      <c r="AD553" s="78" t="inlineStr">
        <is>
          <t>수송동</t>
        </is>
      </c>
      <c r="AG553" s="78" t="inlineStr">
        <is>
          <t>전라북도 군산시 축동로 42</t>
        </is>
      </c>
      <c r="AH553" s="78" t="n">
        <v>0</v>
      </c>
      <c r="AI553" s="78" t="n">
        <v>229</v>
      </c>
      <c r="AJ553" s="78" t="n">
        <v>20</v>
      </c>
      <c r="AK553" s="78" t="n">
        <v>908</v>
      </c>
      <c r="AL553" s="78" t="n">
        <v>1.25</v>
      </c>
    </row>
    <row r="554">
      <c r="A554" s="78" t="inlineStr">
        <is>
          <t>[수송동]</t>
        </is>
      </c>
      <c r="B554" s="78" t="n">
        <v>26633</v>
      </c>
      <c r="C554" s="78" t="n">
        <v>4</v>
      </c>
      <c r="D554" s="78" t="inlineStr">
        <is>
          <t>군산수송제일오투그란데1단지</t>
        </is>
      </c>
      <c r="E554" s="78" t="inlineStr">
        <is>
          <t>2008.10.</t>
        </is>
      </c>
      <c r="F554" s="78" t="n">
        <v>724</v>
      </c>
      <c r="G554" s="78" t="n">
        <v>34.97</v>
      </c>
      <c r="H554" s="78" t="n">
        <v>115.62</v>
      </c>
      <c r="I554" s="78" t="n">
        <v>25.68</v>
      </c>
      <c r="J554" s="78" t="n">
        <v>84.91</v>
      </c>
      <c r="K554" s="78" t="n">
        <v>146</v>
      </c>
      <c r="T554" s="78" t="n">
        <v>3</v>
      </c>
      <c r="U554" s="78" t="n">
        <v>2</v>
      </c>
      <c r="V554" s="78" t="inlineStr">
        <is>
          <t>계단식</t>
        </is>
      </c>
      <c r="W554" s="78" t="inlineStr">
        <is>
          <t>115B</t>
        </is>
      </c>
      <c r="X554" s="78" t="n">
        <v>20</v>
      </c>
      <c r="Y554" s="78" t="n">
        <v>17</v>
      </c>
      <c r="Z554" s="78" t="inlineStr">
        <is>
          <t>https://new.land.naver.com/complexes/26633?tab=detail&amp;rf=Y</t>
        </is>
      </c>
      <c r="AA554" s="78" t="inlineStr">
        <is>
          <t>전라북도 군산시 수송동 812</t>
        </is>
      </c>
      <c r="AB554" s="78" t="inlineStr">
        <is>
          <t>전라북도</t>
        </is>
      </c>
      <c r="AC554" s="78" t="inlineStr">
        <is>
          <t>군산시</t>
        </is>
      </c>
      <c r="AD554" s="78" t="inlineStr">
        <is>
          <t>수송동</t>
        </is>
      </c>
      <c r="AG554" s="78" t="inlineStr">
        <is>
          <t>전라북도 군산시 축동로 42</t>
        </is>
      </c>
      <c r="AH554" s="78" t="n">
        <v>0</v>
      </c>
      <c r="AI554" s="78" t="n">
        <v>229</v>
      </c>
      <c r="AJ554" s="78" t="n">
        <v>20</v>
      </c>
      <c r="AK554" s="78" t="n">
        <v>908</v>
      </c>
      <c r="AL554" s="78" t="n">
        <v>1.25</v>
      </c>
    </row>
    <row r="555">
      <c r="A555" s="78" t="inlineStr">
        <is>
          <t>[신풍동]</t>
        </is>
      </c>
      <c r="B555" s="78" t="n">
        <v>14976</v>
      </c>
      <c r="C555" s="78" t="n">
        <v>1</v>
      </c>
      <c r="D555" s="78" t="inlineStr">
        <is>
          <t>월명</t>
        </is>
      </c>
      <c r="E555" s="78" t="inlineStr">
        <is>
          <t>1979.05.</t>
        </is>
      </c>
      <c r="F555" s="78" t="n">
        <v>240</v>
      </c>
      <c r="G555" s="78" t="n">
        <v>18.74</v>
      </c>
      <c r="H555" s="78" t="n">
        <v>61.98</v>
      </c>
      <c r="I555" s="78" t="n">
        <v>18.74</v>
      </c>
      <c r="J555" s="78" t="n">
        <v>61.98</v>
      </c>
      <c r="K555" s="78" t="n">
        <v>30</v>
      </c>
      <c r="T555" s="78" t="n">
        <v>2</v>
      </c>
      <c r="U555" s="78" t="n">
        <v>1</v>
      </c>
      <c r="V555" s="78" t="inlineStr">
        <is>
          <t>계단식</t>
        </is>
      </c>
      <c r="W555" s="78" t="n">
        <v>61</v>
      </c>
      <c r="X555" s="78" t="n">
        <v>5</v>
      </c>
      <c r="Y555" s="78" t="n">
        <v>5</v>
      </c>
      <c r="Z555" s="78" t="inlineStr">
        <is>
          <t>https://new.land.naver.com/complexes/14976?tab=detail&amp;rf=Y</t>
        </is>
      </c>
      <c r="AA555" s="78" t="inlineStr">
        <is>
          <t>전라북도 군산시 신풍동 892-8</t>
        </is>
      </c>
      <c r="AB555" s="78" t="inlineStr">
        <is>
          <t>전라북도</t>
        </is>
      </c>
      <c r="AC555" s="78" t="inlineStr">
        <is>
          <t>군산시</t>
        </is>
      </c>
      <c r="AD555" s="78" t="inlineStr">
        <is>
          <t>신풍동</t>
        </is>
      </c>
      <c r="AG555" s="78" t="inlineStr">
        <is>
          <t>전라북도 군산시 신풍길 22</t>
        </is>
      </c>
      <c r="AH555" s="78" t="n">
        <v>0</v>
      </c>
      <c r="AI555" s="78" t="n">
        <v>0</v>
      </c>
      <c r="AJ555" s="78" t="n">
        <v>0</v>
      </c>
      <c r="AK555" s="78" t="n">
        <v>0</v>
      </c>
      <c r="AL555" s="78" t="n">
        <v>0</v>
      </c>
    </row>
    <row r="556">
      <c r="A556" s="78" t="inlineStr">
        <is>
          <t>[신풍동]</t>
        </is>
      </c>
      <c r="B556" s="78" t="n">
        <v>14976</v>
      </c>
      <c r="C556" s="78" t="n">
        <v>2</v>
      </c>
      <c r="D556" s="78" t="inlineStr">
        <is>
          <t>월명</t>
        </is>
      </c>
      <c r="E556" s="78" t="inlineStr">
        <is>
          <t>1979.05.</t>
        </is>
      </c>
      <c r="F556" s="78" t="n">
        <v>240</v>
      </c>
      <c r="G556" s="78" t="n">
        <v>21.39</v>
      </c>
      <c r="H556" s="78" t="n">
        <v>70.73999999999999</v>
      </c>
      <c r="I556" s="78" t="n">
        <v>21.39</v>
      </c>
      <c r="J556" s="78" t="n">
        <v>70.73999999999999</v>
      </c>
      <c r="K556" s="78" t="n">
        <v>30</v>
      </c>
      <c r="T556" s="78" t="n">
        <v>2</v>
      </c>
      <c r="U556" s="78" t="n">
        <v>1</v>
      </c>
      <c r="V556" s="78" t="inlineStr">
        <is>
          <t>계단식</t>
        </is>
      </c>
      <c r="W556" s="78" t="n">
        <v>70</v>
      </c>
      <c r="X556" s="78" t="n">
        <v>5</v>
      </c>
      <c r="Y556" s="78" t="n">
        <v>5</v>
      </c>
      <c r="Z556" s="78" t="inlineStr">
        <is>
          <t>https://new.land.naver.com/complexes/14976?tab=detail&amp;rf=Y</t>
        </is>
      </c>
      <c r="AA556" s="78" t="inlineStr">
        <is>
          <t>전라북도 군산시 신풍동 892-8</t>
        </is>
      </c>
      <c r="AB556" s="78" t="inlineStr">
        <is>
          <t>전라북도</t>
        </is>
      </c>
      <c r="AC556" s="78" t="inlineStr">
        <is>
          <t>군산시</t>
        </is>
      </c>
      <c r="AD556" s="78" t="inlineStr">
        <is>
          <t>신풍동</t>
        </is>
      </c>
      <c r="AG556" s="78" t="inlineStr">
        <is>
          <t>전라북도 군산시 신풍길 22</t>
        </is>
      </c>
      <c r="AH556" s="78" t="n">
        <v>0</v>
      </c>
      <c r="AI556" s="78" t="n">
        <v>0</v>
      </c>
      <c r="AJ556" s="78" t="n">
        <v>0</v>
      </c>
      <c r="AK556" s="78" t="n">
        <v>0</v>
      </c>
      <c r="AL556" s="78" t="n">
        <v>0</v>
      </c>
    </row>
    <row r="557">
      <c r="A557" s="78" t="inlineStr">
        <is>
          <t>[신풍동]</t>
        </is>
      </c>
      <c r="B557" s="78" t="n">
        <v>14976</v>
      </c>
      <c r="C557" s="78" t="n">
        <v>3</v>
      </c>
      <c r="D557" s="78" t="inlineStr">
        <is>
          <t>월명</t>
        </is>
      </c>
      <c r="E557" s="78" t="inlineStr">
        <is>
          <t>1979.05.</t>
        </is>
      </c>
      <c r="F557" s="78" t="n">
        <v>240</v>
      </c>
      <c r="G557" s="78" t="n">
        <v>23.02</v>
      </c>
      <c r="H557" s="78" t="n">
        <v>76.09999999999999</v>
      </c>
      <c r="I557" s="78" t="n">
        <v>23.02</v>
      </c>
      <c r="J557" s="78" t="n">
        <v>76.09999999999999</v>
      </c>
      <c r="K557" s="78" t="n">
        <v>60</v>
      </c>
      <c r="T557" s="78" t="n">
        <v>3</v>
      </c>
      <c r="U557" s="78" t="n">
        <v>1</v>
      </c>
      <c r="V557" s="78" t="inlineStr">
        <is>
          <t>복도식</t>
        </is>
      </c>
      <c r="W557" s="78" t="n">
        <v>76</v>
      </c>
      <c r="X557" s="78" t="n">
        <v>5</v>
      </c>
      <c r="Y557" s="78" t="n">
        <v>5</v>
      </c>
      <c r="Z557" s="78" t="inlineStr">
        <is>
          <t>https://new.land.naver.com/complexes/14976?tab=detail&amp;rf=Y</t>
        </is>
      </c>
      <c r="AA557" s="78" t="inlineStr">
        <is>
          <t>전라북도 군산시 신풍동 892-8</t>
        </is>
      </c>
      <c r="AB557" s="78" t="inlineStr">
        <is>
          <t>전라북도</t>
        </is>
      </c>
      <c r="AC557" s="78" t="inlineStr">
        <is>
          <t>군산시</t>
        </is>
      </c>
      <c r="AD557" s="78" t="inlineStr">
        <is>
          <t>신풍동</t>
        </is>
      </c>
      <c r="AG557" s="78" t="inlineStr">
        <is>
          <t>전라북도 군산시 신풍길 22</t>
        </is>
      </c>
      <c r="AH557" s="78" t="n">
        <v>0</v>
      </c>
      <c r="AI557" s="78" t="n">
        <v>0</v>
      </c>
      <c r="AJ557" s="78" t="n">
        <v>0</v>
      </c>
      <c r="AK557" s="78" t="n">
        <v>0</v>
      </c>
      <c r="AL557" s="78" t="n">
        <v>0</v>
      </c>
    </row>
    <row r="558">
      <c r="A558" s="78" t="inlineStr">
        <is>
          <t>[신풍동]</t>
        </is>
      </c>
      <c r="B558" s="78" t="n">
        <v>14976</v>
      </c>
      <c r="C558" s="78" t="n">
        <v>4</v>
      </c>
      <c r="D558" s="78" t="inlineStr">
        <is>
          <t>월명</t>
        </is>
      </c>
      <c r="E558" s="78" t="inlineStr">
        <is>
          <t>1979.05.</t>
        </is>
      </c>
      <c r="F558" s="78" t="n">
        <v>240</v>
      </c>
      <c r="G558" s="78" t="n">
        <v>23.73</v>
      </c>
      <c r="H558" s="78" t="n">
        <v>78.45</v>
      </c>
      <c r="I558" s="78" t="n">
        <v>23.73</v>
      </c>
      <c r="J558" s="78" t="n">
        <v>78.45</v>
      </c>
      <c r="K558" s="78" t="n">
        <v>60</v>
      </c>
      <c r="T558" s="78" t="n">
        <v>2</v>
      </c>
      <c r="U558" s="78" t="n">
        <v>1</v>
      </c>
      <c r="V558" s="78" t="inlineStr">
        <is>
          <t>계단식</t>
        </is>
      </c>
      <c r="W558" s="78" t="n">
        <v>78</v>
      </c>
      <c r="X558" s="78" t="n">
        <v>5</v>
      </c>
      <c r="Y558" s="78" t="n">
        <v>5</v>
      </c>
      <c r="Z558" s="78" t="inlineStr">
        <is>
          <t>https://new.land.naver.com/complexes/14976?tab=detail&amp;rf=Y</t>
        </is>
      </c>
      <c r="AA558" s="78" t="inlineStr">
        <is>
          <t>전라북도 군산시 신풍동 892-8</t>
        </is>
      </c>
      <c r="AB558" s="78" t="inlineStr">
        <is>
          <t>전라북도</t>
        </is>
      </c>
      <c r="AC558" s="78" t="inlineStr">
        <is>
          <t>군산시</t>
        </is>
      </c>
      <c r="AD558" s="78" t="inlineStr">
        <is>
          <t>신풍동</t>
        </is>
      </c>
      <c r="AG558" s="78" t="inlineStr">
        <is>
          <t>전라북도 군산시 신풍길 22</t>
        </is>
      </c>
      <c r="AH558" s="78" t="n">
        <v>0</v>
      </c>
      <c r="AI558" s="78" t="n">
        <v>0</v>
      </c>
      <c r="AJ558" s="78" t="n">
        <v>0</v>
      </c>
      <c r="AK558" s="78" t="n">
        <v>0</v>
      </c>
      <c r="AL558" s="78" t="n">
        <v>0</v>
      </c>
    </row>
    <row r="559">
      <c r="A559" s="78" t="inlineStr">
        <is>
          <t>[신풍동]</t>
        </is>
      </c>
      <c r="B559" s="78" t="n">
        <v>14976</v>
      </c>
      <c r="C559" s="78" t="n">
        <v>5</v>
      </c>
      <c r="D559" s="78" t="inlineStr">
        <is>
          <t>월명</t>
        </is>
      </c>
      <c r="E559" s="78" t="inlineStr">
        <is>
          <t>1979.05.</t>
        </is>
      </c>
      <c r="F559" s="78" t="n">
        <v>240</v>
      </c>
      <c r="G559" s="78" t="n">
        <v>24.57</v>
      </c>
      <c r="H559" s="78" t="n">
        <v>81.23999999999999</v>
      </c>
      <c r="I559" s="78" t="n">
        <v>24.57</v>
      </c>
      <c r="J559" s="78" t="n">
        <v>81.23999999999999</v>
      </c>
      <c r="K559" s="78" t="n">
        <v>40</v>
      </c>
      <c r="T559" s="78" t="n">
        <v>3</v>
      </c>
      <c r="U559" s="78" t="n">
        <v>1</v>
      </c>
      <c r="V559" s="78" t="inlineStr">
        <is>
          <t>계단식</t>
        </is>
      </c>
      <c r="W559" s="78" t="n">
        <v>81</v>
      </c>
      <c r="X559" s="78" t="n">
        <v>5</v>
      </c>
      <c r="Y559" s="78" t="n">
        <v>5</v>
      </c>
      <c r="Z559" s="78" t="inlineStr">
        <is>
          <t>https://new.land.naver.com/complexes/14976?tab=detail&amp;rf=Y</t>
        </is>
      </c>
      <c r="AA559" s="78" t="inlineStr">
        <is>
          <t>전라북도 군산시 신풍동 892-8</t>
        </is>
      </c>
      <c r="AB559" s="78" t="inlineStr">
        <is>
          <t>전라북도</t>
        </is>
      </c>
      <c r="AC559" s="78" t="inlineStr">
        <is>
          <t>군산시</t>
        </is>
      </c>
      <c r="AD559" s="78" t="inlineStr">
        <is>
          <t>신풍동</t>
        </is>
      </c>
      <c r="AG559" s="78" t="inlineStr">
        <is>
          <t>전라북도 군산시 신풍길 22</t>
        </is>
      </c>
      <c r="AH559" s="78" t="n">
        <v>0</v>
      </c>
      <c r="AI559" s="78" t="n">
        <v>0</v>
      </c>
      <c r="AJ559" s="78" t="n">
        <v>0</v>
      </c>
      <c r="AK559" s="78" t="n">
        <v>0</v>
      </c>
      <c r="AL559" s="78" t="n">
        <v>0</v>
      </c>
    </row>
    <row r="560">
      <c r="A560" s="78" t="inlineStr">
        <is>
          <t>[신풍동]</t>
        </is>
      </c>
      <c r="B560" s="78" t="n">
        <v>14976</v>
      </c>
      <c r="C560" s="78" t="n">
        <v>6</v>
      </c>
      <c r="D560" s="78" t="inlineStr">
        <is>
          <t>월명</t>
        </is>
      </c>
      <c r="E560" s="78" t="inlineStr">
        <is>
          <t>1979.05.</t>
        </is>
      </c>
      <c r="F560" s="78" t="n">
        <v>240</v>
      </c>
      <c r="G560" s="78" t="n">
        <v>25.27</v>
      </c>
      <c r="H560" s="78" t="n">
        <v>83.56999999999999</v>
      </c>
      <c r="I560" s="78" t="n">
        <v>25.27</v>
      </c>
      <c r="J560" s="78" t="n">
        <v>83.56999999999999</v>
      </c>
      <c r="K560" s="78" t="n">
        <v>20</v>
      </c>
      <c r="T560" s="78" t="n">
        <v>3</v>
      </c>
      <c r="U560" s="78" t="n">
        <v>1</v>
      </c>
      <c r="V560" s="78" t="inlineStr">
        <is>
          <t>계단식</t>
        </is>
      </c>
      <c r="W560" s="78" t="n">
        <v>83</v>
      </c>
      <c r="X560" s="78" t="n">
        <v>5</v>
      </c>
      <c r="Y560" s="78" t="n">
        <v>5</v>
      </c>
      <c r="Z560" s="78" t="inlineStr">
        <is>
          <t>https://new.land.naver.com/complexes/14976?tab=detail&amp;rf=Y</t>
        </is>
      </c>
      <c r="AA560" s="78" t="inlineStr">
        <is>
          <t>전라북도 군산시 신풍동 892-8</t>
        </is>
      </c>
      <c r="AB560" s="78" t="inlineStr">
        <is>
          <t>전라북도</t>
        </is>
      </c>
      <c r="AC560" s="78" t="inlineStr">
        <is>
          <t>군산시</t>
        </is>
      </c>
      <c r="AD560" s="78" t="inlineStr">
        <is>
          <t>신풍동</t>
        </is>
      </c>
      <c r="AG560" s="78" t="inlineStr">
        <is>
          <t>전라북도 군산시 신풍길 22</t>
        </is>
      </c>
      <c r="AH560" s="78" t="n">
        <v>0</v>
      </c>
      <c r="AI560" s="78" t="n">
        <v>0</v>
      </c>
      <c r="AJ560" s="78" t="n">
        <v>0</v>
      </c>
      <c r="AK560" s="78" t="n">
        <v>0</v>
      </c>
      <c r="AL560" s="78" t="n">
        <v>0</v>
      </c>
    </row>
    <row r="561">
      <c r="A561" s="78" t="inlineStr">
        <is>
          <t>[오식도동]</t>
        </is>
      </c>
      <c r="B561" s="78" t="n">
        <v>140671</v>
      </c>
      <c r="C561" s="78" t="n">
        <v>1</v>
      </c>
      <c r="D561" s="78" t="inlineStr">
        <is>
          <t>한성필하우스</t>
        </is>
      </c>
      <c r="E561" s="78" t="inlineStr">
        <is>
          <t>2012.08.</t>
        </is>
      </c>
      <c r="F561" s="78" t="n">
        <v>892</v>
      </c>
      <c r="G561" s="78" t="n">
        <v>15.18</v>
      </c>
      <c r="H561" s="78" t="n">
        <v>50.2</v>
      </c>
      <c r="I561" s="78" t="n">
        <v>10.71</v>
      </c>
      <c r="J561" s="78" t="n">
        <v>35.41</v>
      </c>
      <c r="K561" s="78" t="n">
        <v>4</v>
      </c>
      <c r="T561" s="78" t="n">
        <v>2</v>
      </c>
      <c r="U561" s="78" t="n">
        <v>1</v>
      </c>
      <c r="V561" s="78" t="inlineStr">
        <is>
          <t>계단식</t>
        </is>
      </c>
      <c r="W561" s="78" t="n">
        <v>50</v>
      </c>
      <c r="X561" s="78" t="n">
        <v>23</v>
      </c>
      <c r="Y561" s="78" t="n">
        <v>14</v>
      </c>
      <c r="Z561" s="78" t="inlineStr">
        <is>
          <t>https://new.land.naver.com/complexes/140671?tab=detail&amp;rf=Y</t>
        </is>
      </c>
      <c r="AA561" s="78" t="inlineStr">
        <is>
          <t>전라북도 군산시 오식도동 806-3</t>
        </is>
      </c>
      <c r="AB561" s="78" t="inlineStr">
        <is>
          <t>전라북도</t>
        </is>
      </c>
      <c r="AC561" s="78" t="inlineStr">
        <is>
          <t>군산시</t>
        </is>
      </c>
      <c r="AD561" s="78" t="inlineStr">
        <is>
          <t>오식도동</t>
        </is>
      </c>
      <c r="AG561" s="78" t="inlineStr">
        <is>
          <t>전라북도 군산시 요죽길 76</t>
        </is>
      </c>
      <c r="AH561" s="78" t="n">
        <v>355</v>
      </c>
      <c r="AI561" s="78" t="n">
        <v>231</v>
      </c>
      <c r="AJ561" s="78" t="n">
        <v>20</v>
      </c>
      <c r="AK561" s="78" t="n">
        <v>905</v>
      </c>
      <c r="AL561" s="78" t="n">
        <v>1.01</v>
      </c>
    </row>
    <row r="562">
      <c r="A562" s="78" t="inlineStr">
        <is>
          <t>[오식도동]</t>
        </is>
      </c>
      <c r="B562" s="78" t="n">
        <v>140671</v>
      </c>
      <c r="C562" s="78" t="n">
        <v>2</v>
      </c>
      <c r="D562" s="78" t="inlineStr">
        <is>
          <t>한성필하우스</t>
        </is>
      </c>
      <c r="E562" s="78" t="inlineStr">
        <is>
          <t>2012.08.</t>
        </is>
      </c>
      <c r="F562" s="78" t="n">
        <v>892</v>
      </c>
      <c r="G562" s="78" t="n">
        <v>24.99</v>
      </c>
      <c r="H562" s="78" t="n">
        <v>82.62</v>
      </c>
      <c r="I562" s="78" t="n">
        <v>18.13</v>
      </c>
      <c r="J562" s="78" t="n">
        <v>59.95</v>
      </c>
      <c r="K562" s="78" t="n">
        <v>17</v>
      </c>
      <c r="T562" s="78" t="n">
        <v>3</v>
      </c>
      <c r="U562" s="78" t="n">
        <v>2</v>
      </c>
      <c r="V562" s="78" t="inlineStr">
        <is>
          <t>계단식</t>
        </is>
      </c>
      <c r="W562" s="78" t="inlineStr">
        <is>
          <t>82B</t>
        </is>
      </c>
      <c r="X562" s="78" t="n">
        <v>23</v>
      </c>
      <c r="Y562" s="78" t="n">
        <v>14</v>
      </c>
      <c r="Z562" s="78" t="inlineStr">
        <is>
          <t>https://new.land.naver.com/complexes/140671?tab=detail&amp;rf=Y</t>
        </is>
      </c>
      <c r="AA562" s="78" t="inlineStr">
        <is>
          <t>전라북도 군산시 오식도동 806-3</t>
        </is>
      </c>
      <c r="AB562" s="78" t="inlineStr">
        <is>
          <t>전라북도</t>
        </is>
      </c>
      <c r="AC562" s="78" t="inlineStr">
        <is>
          <t>군산시</t>
        </is>
      </c>
      <c r="AD562" s="78" t="inlineStr">
        <is>
          <t>오식도동</t>
        </is>
      </c>
      <c r="AG562" s="78" t="inlineStr">
        <is>
          <t>전라북도 군산시 요죽길 76</t>
        </is>
      </c>
      <c r="AH562" s="78" t="n">
        <v>355</v>
      </c>
      <c r="AI562" s="78" t="n">
        <v>231</v>
      </c>
      <c r="AJ562" s="78" t="n">
        <v>20</v>
      </c>
      <c r="AK562" s="78" t="n">
        <v>905</v>
      </c>
      <c r="AL562" s="78" t="n">
        <v>1.01</v>
      </c>
    </row>
    <row r="563">
      <c r="A563" s="78" t="inlineStr">
        <is>
          <t>[오식도동]</t>
        </is>
      </c>
      <c r="B563" s="78" t="n">
        <v>140671</v>
      </c>
      <c r="C563" s="78" t="n">
        <v>3</v>
      </c>
      <c r="D563" s="78" t="inlineStr">
        <is>
          <t>한성필하우스</t>
        </is>
      </c>
      <c r="E563" s="78" t="inlineStr">
        <is>
          <t>2012.08.</t>
        </is>
      </c>
      <c r="F563" s="78" t="n">
        <v>892</v>
      </c>
      <c r="G563" s="78" t="n">
        <v>25.34</v>
      </c>
      <c r="H563" s="78" t="n">
        <v>83.79000000000001</v>
      </c>
      <c r="I563" s="78" t="n">
        <v>18.13</v>
      </c>
      <c r="J563" s="78" t="n">
        <v>59.95</v>
      </c>
      <c r="K563" s="78" t="n">
        <v>51</v>
      </c>
      <c r="T563" s="78" t="n">
        <v>3</v>
      </c>
      <c r="U563" s="78" t="n">
        <v>2</v>
      </c>
      <c r="V563" s="78" t="inlineStr">
        <is>
          <t>계단식</t>
        </is>
      </c>
      <c r="W563" s="78" t="inlineStr">
        <is>
          <t>83C</t>
        </is>
      </c>
      <c r="X563" s="78" t="n">
        <v>23</v>
      </c>
      <c r="Y563" s="78" t="n">
        <v>14</v>
      </c>
      <c r="Z563" s="78" t="inlineStr">
        <is>
          <t>https://new.land.naver.com/complexes/140671?tab=detail&amp;rf=Y</t>
        </is>
      </c>
      <c r="AA563" s="78" t="inlineStr">
        <is>
          <t>전라북도 군산시 오식도동 806-3</t>
        </is>
      </c>
      <c r="AB563" s="78" t="inlineStr">
        <is>
          <t>전라북도</t>
        </is>
      </c>
      <c r="AC563" s="78" t="inlineStr">
        <is>
          <t>군산시</t>
        </is>
      </c>
      <c r="AD563" s="78" t="inlineStr">
        <is>
          <t>오식도동</t>
        </is>
      </c>
      <c r="AG563" s="78" t="inlineStr">
        <is>
          <t>전라북도 군산시 요죽길 76</t>
        </is>
      </c>
      <c r="AH563" s="78" t="n">
        <v>355</v>
      </c>
      <c r="AI563" s="78" t="n">
        <v>231</v>
      </c>
      <c r="AJ563" s="78" t="n">
        <v>20</v>
      </c>
      <c r="AK563" s="78" t="n">
        <v>905</v>
      </c>
      <c r="AL563" s="78" t="n">
        <v>1.01</v>
      </c>
    </row>
    <row r="564">
      <c r="A564" s="78" t="inlineStr">
        <is>
          <t>[오식도동]</t>
        </is>
      </c>
      <c r="B564" s="78" t="n">
        <v>140671</v>
      </c>
      <c r="C564" s="78" t="n">
        <v>4</v>
      </c>
      <c r="D564" s="78" t="inlineStr">
        <is>
          <t>한성필하우스</t>
        </is>
      </c>
      <c r="E564" s="78" t="inlineStr">
        <is>
          <t>2012.08.</t>
        </is>
      </c>
      <c r="F564" s="78" t="n">
        <v>892</v>
      </c>
      <c r="G564" s="78" t="n">
        <v>25.53</v>
      </c>
      <c r="H564" s="78" t="n">
        <v>84.42</v>
      </c>
      <c r="I564" s="78" t="n">
        <v>18.12</v>
      </c>
      <c r="J564" s="78" t="n">
        <v>59.93</v>
      </c>
      <c r="K564" s="78" t="n">
        <v>465</v>
      </c>
      <c r="T564" s="78" t="n">
        <v>3</v>
      </c>
      <c r="U564" s="78" t="n">
        <v>2</v>
      </c>
      <c r="V564" s="78" t="inlineStr">
        <is>
          <t>계단식</t>
        </is>
      </c>
      <c r="W564" s="78" t="inlineStr">
        <is>
          <t>84A</t>
        </is>
      </c>
      <c r="X564" s="78" t="n">
        <v>23</v>
      </c>
      <c r="Y564" s="78" t="n">
        <v>14</v>
      </c>
      <c r="Z564" s="78" t="inlineStr">
        <is>
          <t>https://new.land.naver.com/complexes/140671?tab=detail&amp;rf=Y</t>
        </is>
      </c>
      <c r="AA564" s="78" t="inlineStr">
        <is>
          <t>전라북도 군산시 오식도동 806-3</t>
        </is>
      </c>
      <c r="AB564" s="78" t="inlineStr">
        <is>
          <t>전라북도</t>
        </is>
      </c>
      <c r="AC564" s="78" t="inlineStr">
        <is>
          <t>군산시</t>
        </is>
      </c>
      <c r="AD564" s="78" t="inlineStr">
        <is>
          <t>오식도동</t>
        </is>
      </c>
      <c r="AG564" s="78" t="inlineStr">
        <is>
          <t>전라북도 군산시 요죽길 76</t>
        </is>
      </c>
      <c r="AH564" s="78" t="n">
        <v>355</v>
      </c>
      <c r="AI564" s="78" t="n">
        <v>231</v>
      </c>
      <c r="AJ564" s="78" t="n">
        <v>20</v>
      </c>
      <c r="AK564" s="78" t="n">
        <v>905</v>
      </c>
      <c r="AL564" s="78" t="n">
        <v>1.01</v>
      </c>
    </row>
    <row r="565">
      <c r="A565" s="78" t="inlineStr">
        <is>
          <t>[옥산면]</t>
        </is>
      </c>
      <c r="B565" s="78" t="n">
        <v>111365</v>
      </c>
      <c r="C565" s="78" t="n">
        <v>1</v>
      </c>
      <c r="D565" s="78" t="inlineStr">
        <is>
          <t>힐스테이트은파</t>
        </is>
      </c>
      <c r="E565" s="78" t="inlineStr">
        <is>
          <t>2015.09.</t>
        </is>
      </c>
      <c r="F565" s="78" t="n">
        <v>449</v>
      </c>
      <c r="G565" s="78" t="n">
        <v>33.54</v>
      </c>
      <c r="H565" s="78" t="n">
        <v>110.89</v>
      </c>
      <c r="I565" s="78" t="n">
        <v>25.7</v>
      </c>
      <c r="J565" s="78" t="n">
        <v>84.98</v>
      </c>
      <c r="K565" s="78" t="n">
        <v>449</v>
      </c>
      <c r="T565" s="78" t="n">
        <v>3</v>
      </c>
      <c r="U565" s="78" t="n">
        <v>2</v>
      </c>
      <c r="V565" s="78" t="inlineStr">
        <is>
          <t>계단식</t>
        </is>
      </c>
      <c r="W565" s="78" t="n">
        <v>110</v>
      </c>
      <c r="X565" s="78" t="n">
        <v>26</v>
      </c>
      <c r="Y565" s="78" t="n">
        <v>19</v>
      </c>
      <c r="Z565" s="78" t="inlineStr">
        <is>
          <t>https://new.land.naver.com/complexes/111365?tab=detail&amp;rf=Y</t>
        </is>
      </c>
      <c r="AA565" s="78" t="inlineStr">
        <is>
          <t>전라북도 군산시 옥산면 당북리 1046</t>
        </is>
      </c>
      <c r="AB565" s="78" t="inlineStr">
        <is>
          <t>전라북도</t>
        </is>
      </c>
      <c r="AC565" s="78" t="inlineStr">
        <is>
          <t>군산시</t>
        </is>
      </c>
      <c r="AD565" s="78" t="inlineStr">
        <is>
          <t>옥산면</t>
        </is>
      </c>
      <c r="AG565" s="78" t="inlineStr">
        <is>
          <t>전라북도 군산시 월명로 45</t>
        </is>
      </c>
      <c r="AH565" s="78" t="n">
        <v>0</v>
      </c>
      <c r="AI565" s="78" t="n">
        <v>242</v>
      </c>
      <c r="AJ565" s="78" t="n">
        <v>16</v>
      </c>
      <c r="AK565" s="78" t="n">
        <v>542</v>
      </c>
      <c r="AL565" s="78" t="n">
        <v>1.21</v>
      </c>
    </row>
    <row r="566">
      <c r="A566" s="78" t="inlineStr">
        <is>
          <t>[옥산면]</t>
        </is>
      </c>
      <c r="B566" s="78" t="n">
        <v>110515</v>
      </c>
      <c r="C566" s="78" t="n">
        <v>1</v>
      </c>
      <c r="D566" s="78" t="inlineStr">
        <is>
          <t>군산대광로제비앙</t>
        </is>
      </c>
      <c r="E566" s="78" t="inlineStr">
        <is>
          <t>2017.12.</t>
        </is>
      </c>
      <c r="F566" s="78" t="n">
        <v>469</v>
      </c>
      <c r="G566" s="78" t="n">
        <v>33.2</v>
      </c>
      <c r="H566" s="78" t="n">
        <v>109.77</v>
      </c>
      <c r="I566" s="78" t="n">
        <v>25.7</v>
      </c>
      <c r="J566" s="78" t="n">
        <v>84.98999999999999</v>
      </c>
      <c r="K566" s="78" t="n">
        <v>380</v>
      </c>
      <c r="T566" s="78" t="n">
        <v>3</v>
      </c>
      <c r="U566" s="78" t="n">
        <v>2</v>
      </c>
      <c r="V566" s="78" t="inlineStr">
        <is>
          <t>계단식</t>
        </is>
      </c>
      <c r="W566" s="78" t="inlineStr">
        <is>
          <t>109A</t>
        </is>
      </c>
      <c r="X566" s="78" t="n">
        <v>29</v>
      </c>
      <c r="Y566" s="78" t="n">
        <v>21</v>
      </c>
      <c r="Z566" s="78" t="inlineStr">
        <is>
          <t>https://new.land.naver.com/complexes/110515?tab=detail&amp;rf=Y</t>
        </is>
      </c>
      <c r="AA566" s="78" t="inlineStr">
        <is>
          <t>전라북도 군산시 옥산면 당북리 1048</t>
        </is>
      </c>
      <c r="AB566" s="78" t="inlineStr">
        <is>
          <t>전라북도</t>
        </is>
      </c>
      <c r="AC566" s="78" t="inlineStr">
        <is>
          <t>군산시</t>
        </is>
      </c>
      <c r="AD566" s="78" t="inlineStr">
        <is>
          <t>옥산면</t>
        </is>
      </c>
      <c r="AG566" s="78" t="inlineStr">
        <is>
          <t>전라북도 군산시 월명로 55</t>
        </is>
      </c>
      <c r="AH566" s="78" t="n">
        <v>0</v>
      </c>
      <c r="AI566" s="78" t="n">
        <v>249</v>
      </c>
      <c r="AJ566" s="78" t="n">
        <v>19</v>
      </c>
      <c r="AK566" s="78" t="n">
        <v>602</v>
      </c>
      <c r="AL566" s="78" t="n">
        <v>1.28</v>
      </c>
    </row>
    <row r="567">
      <c r="A567" s="78" t="inlineStr">
        <is>
          <t>[옥산면]</t>
        </is>
      </c>
      <c r="B567" s="78" t="n">
        <v>110515</v>
      </c>
      <c r="C567" s="78" t="n">
        <v>2</v>
      </c>
      <c r="D567" s="78" t="inlineStr">
        <is>
          <t>군산대광로제비앙</t>
        </is>
      </c>
      <c r="E567" s="78" t="inlineStr">
        <is>
          <t>2017.12.</t>
        </is>
      </c>
      <c r="F567" s="78" t="n">
        <v>469</v>
      </c>
      <c r="G567" s="78" t="n">
        <v>33.68</v>
      </c>
      <c r="H567" s="78" t="n">
        <v>111.36</v>
      </c>
      <c r="I567" s="78" t="n">
        <v>25.7</v>
      </c>
      <c r="J567" s="78" t="n">
        <v>84.98999999999999</v>
      </c>
      <c r="K567" s="78" t="n">
        <v>46</v>
      </c>
      <c r="T567" s="78" t="n">
        <v>3</v>
      </c>
      <c r="U567" s="78" t="n">
        <v>2</v>
      </c>
      <c r="V567" s="78" t="inlineStr">
        <is>
          <t>계단식</t>
        </is>
      </c>
      <c r="W567" s="78" t="inlineStr">
        <is>
          <t>111B</t>
        </is>
      </c>
      <c r="X567" s="78" t="n">
        <v>29</v>
      </c>
      <c r="Y567" s="78" t="n">
        <v>21</v>
      </c>
      <c r="Z567" s="78" t="inlineStr">
        <is>
          <t>https://new.land.naver.com/complexes/110515?tab=detail&amp;rf=Y</t>
        </is>
      </c>
      <c r="AA567" s="78" t="inlineStr">
        <is>
          <t>전라북도 군산시 옥산면 당북리 1048</t>
        </is>
      </c>
      <c r="AB567" s="78" t="inlineStr">
        <is>
          <t>전라북도</t>
        </is>
      </c>
      <c r="AC567" s="78" t="inlineStr">
        <is>
          <t>군산시</t>
        </is>
      </c>
      <c r="AD567" s="78" t="inlineStr">
        <is>
          <t>옥산면</t>
        </is>
      </c>
      <c r="AG567" s="78" t="inlineStr">
        <is>
          <t>전라북도 군산시 월명로 55</t>
        </is>
      </c>
      <c r="AH567" s="78" t="n">
        <v>0</v>
      </c>
      <c r="AI567" s="78" t="n">
        <v>249</v>
      </c>
      <c r="AJ567" s="78" t="n">
        <v>19</v>
      </c>
      <c r="AK567" s="78" t="n">
        <v>602</v>
      </c>
      <c r="AL567" s="78" t="n">
        <v>1.28</v>
      </c>
    </row>
    <row r="568">
      <c r="A568" s="78" t="inlineStr">
        <is>
          <t>[옥산면]</t>
        </is>
      </c>
      <c r="B568" s="78" t="n">
        <v>110515</v>
      </c>
      <c r="C568" s="78" t="n">
        <v>3</v>
      </c>
      <c r="D568" s="78" t="inlineStr">
        <is>
          <t>군산대광로제비앙</t>
        </is>
      </c>
      <c r="E568" s="78" t="inlineStr">
        <is>
          <t>2017.12.</t>
        </is>
      </c>
      <c r="F568" s="78" t="n">
        <v>469</v>
      </c>
      <c r="G568" s="78" t="n">
        <v>33.74</v>
      </c>
      <c r="H568" s="78" t="n">
        <v>111.55</v>
      </c>
      <c r="I568" s="78" t="n">
        <v>25.7</v>
      </c>
      <c r="J568" s="78" t="n">
        <v>84.97</v>
      </c>
      <c r="K568" s="78" t="n">
        <v>43</v>
      </c>
      <c r="T568" s="78" t="n">
        <v>3</v>
      </c>
      <c r="U568" s="78" t="n">
        <v>2</v>
      </c>
      <c r="V568" s="78" t="inlineStr">
        <is>
          <t>계단식</t>
        </is>
      </c>
      <c r="W568" s="78" t="inlineStr">
        <is>
          <t>111C</t>
        </is>
      </c>
      <c r="X568" s="78" t="n">
        <v>29</v>
      </c>
      <c r="Y568" s="78" t="n">
        <v>21</v>
      </c>
      <c r="Z568" s="78" t="inlineStr">
        <is>
          <t>https://new.land.naver.com/complexes/110515?tab=detail&amp;rf=Y</t>
        </is>
      </c>
      <c r="AA568" s="78" t="inlineStr">
        <is>
          <t>전라북도 군산시 옥산면 당북리 1048</t>
        </is>
      </c>
      <c r="AB568" s="78" t="inlineStr">
        <is>
          <t>전라북도</t>
        </is>
      </c>
      <c r="AC568" s="78" t="inlineStr">
        <is>
          <t>군산시</t>
        </is>
      </c>
      <c r="AD568" s="78" t="inlineStr">
        <is>
          <t>옥산면</t>
        </is>
      </c>
      <c r="AG568" s="78" t="inlineStr">
        <is>
          <t>전라북도 군산시 월명로 55</t>
        </is>
      </c>
      <c r="AH568" s="78" t="n">
        <v>0</v>
      </c>
      <c r="AI568" s="78" t="n">
        <v>249</v>
      </c>
      <c r="AJ568" s="78" t="n">
        <v>19</v>
      </c>
      <c r="AK568" s="78" t="n">
        <v>602</v>
      </c>
      <c r="AL568" s="78" t="n">
        <v>1.28</v>
      </c>
    </row>
    <row r="569">
      <c r="A569" s="78" t="inlineStr">
        <is>
          <t>[옥서면]</t>
        </is>
      </c>
      <c r="B569" s="78" t="n">
        <v>137450</v>
      </c>
      <c r="C569" s="78" t="n">
        <v>1</v>
      </c>
      <c r="D569" s="78" t="inlineStr">
        <is>
          <t>드림빌</t>
        </is>
      </c>
      <c r="E569" s="78" t="inlineStr">
        <is>
          <t>2007.02.</t>
        </is>
      </c>
      <c r="F569" s="78" t="n">
        <v>184</v>
      </c>
      <c r="G569" s="78" t="n">
        <v>19.13</v>
      </c>
      <c r="H569" s="78" t="n">
        <v>63.27</v>
      </c>
      <c r="I569" s="78" t="n">
        <v>14.67</v>
      </c>
      <c r="J569" s="78" t="n">
        <v>48.51</v>
      </c>
      <c r="K569" s="78" t="n">
        <v>88</v>
      </c>
      <c r="T569" s="78" t="n">
        <v>2</v>
      </c>
      <c r="U569" s="78" t="n">
        <v>1</v>
      </c>
      <c r="V569" s="78" t="inlineStr">
        <is>
          <t>계단식</t>
        </is>
      </c>
      <c r="W569" s="78" t="n">
        <v>63</v>
      </c>
      <c r="X569" s="78" t="n">
        <v>20</v>
      </c>
      <c r="Y569" s="78" t="n">
        <v>14</v>
      </c>
      <c r="Z569" s="78" t="inlineStr">
        <is>
          <t>https://new.land.naver.com/complexes/137450?tab=detail&amp;rf=Y</t>
        </is>
      </c>
      <c r="AA569" s="78" t="inlineStr">
        <is>
          <t>전라북도 군산시 옥서면 선연리 1562-1</t>
        </is>
      </c>
      <c r="AB569" s="78" t="inlineStr">
        <is>
          <t>전라북도</t>
        </is>
      </c>
      <c r="AC569" s="78" t="inlineStr">
        <is>
          <t>군산시</t>
        </is>
      </c>
      <c r="AD569" s="78" t="inlineStr">
        <is>
          <t>옥서면</t>
        </is>
      </c>
      <c r="AG569" s="78" t="inlineStr">
        <is>
          <t>전라북도 군산시 옥구저수지로 307</t>
        </is>
      </c>
      <c r="AH569" s="78" t="n">
        <v>0</v>
      </c>
      <c r="AI569" s="78" t="n">
        <v>121</v>
      </c>
      <c r="AJ569" s="78" t="n">
        <v>34</v>
      </c>
      <c r="AK569" s="78" t="n">
        <v>180</v>
      </c>
      <c r="AL569" s="78" t="n">
        <v>0.98</v>
      </c>
    </row>
    <row r="570">
      <c r="A570" s="78" t="inlineStr">
        <is>
          <t>[옥서면]</t>
        </is>
      </c>
      <c r="B570" s="78" t="n">
        <v>137450</v>
      </c>
      <c r="C570" s="78" t="n">
        <v>2</v>
      </c>
      <c r="D570" s="78" t="inlineStr">
        <is>
          <t>드림빌</t>
        </is>
      </c>
      <c r="E570" s="78" t="inlineStr">
        <is>
          <t>2007.02.</t>
        </is>
      </c>
      <c r="F570" s="78" t="n">
        <v>184</v>
      </c>
      <c r="G570" s="78" t="n">
        <v>19.6</v>
      </c>
      <c r="H570" s="78" t="n">
        <v>64.8</v>
      </c>
      <c r="I570" s="78" t="n">
        <v>15.03</v>
      </c>
      <c r="J570" s="78" t="n">
        <v>49.69</v>
      </c>
      <c r="K570" s="78" t="n">
        <v>24</v>
      </c>
      <c r="T570" s="78" t="n">
        <v>3</v>
      </c>
      <c r="U570" s="78" t="n">
        <v>1</v>
      </c>
      <c r="V570" s="78" t="inlineStr">
        <is>
          <t>계단식</t>
        </is>
      </c>
      <c r="W570" s="78" t="inlineStr">
        <is>
          <t>64A</t>
        </is>
      </c>
      <c r="X570" s="78" t="n">
        <v>20</v>
      </c>
      <c r="Y570" s="78" t="n">
        <v>14</v>
      </c>
      <c r="Z570" s="78" t="inlineStr">
        <is>
          <t>https://new.land.naver.com/complexes/137450?tab=detail&amp;rf=Y</t>
        </is>
      </c>
      <c r="AA570" s="78" t="inlineStr">
        <is>
          <t>전라북도 군산시 옥서면 선연리 1562-1</t>
        </is>
      </c>
      <c r="AB570" s="78" t="inlineStr">
        <is>
          <t>전라북도</t>
        </is>
      </c>
      <c r="AC570" s="78" t="inlineStr">
        <is>
          <t>군산시</t>
        </is>
      </c>
      <c r="AD570" s="78" t="inlineStr">
        <is>
          <t>옥서면</t>
        </is>
      </c>
      <c r="AG570" s="78" t="inlineStr">
        <is>
          <t>전라북도 군산시 옥구저수지로 307</t>
        </is>
      </c>
      <c r="AH570" s="78" t="n">
        <v>0</v>
      </c>
      <c r="AI570" s="78" t="n">
        <v>121</v>
      </c>
      <c r="AJ570" s="78" t="n">
        <v>34</v>
      </c>
      <c r="AK570" s="78" t="n">
        <v>180</v>
      </c>
      <c r="AL570" s="78" t="n">
        <v>0.98</v>
      </c>
    </row>
    <row r="571">
      <c r="A571" s="78" t="inlineStr">
        <is>
          <t>[옥서면]</t>
        </is>
      </c>
      <c r="B571" s="78" t="n">
        <v>137450</v>
      </c>
      <c r="C571" s="78" t="n">
        <v>3</v>
      </c>
      <c r="D571" s="78" t="inlineStr">
        <is>
          <t>드림빌</t>
        </is>
      </c>
      <c r="E571" s="78" t="inlineStr">
        <is>
          <t>2007.02.</t>
        </is>
      </c>
      <c r="F571" s="78" t="n">
        <v>184</v>
      </c>
      <c r="G571" s="78" t="n">
        <v>21.47</v>
      </c>
      <c r="H571" s="78" t="n">
        <v>70.98</v>
      </c>
      <c r="I571" s="78" t="n">
        <v>16.5</v>
      </c>
      <c r="J571" s="78" t="n">
        <v>54.56</v>
      </c>
      <c r="K571" s="78" t="n">
        <v>16</v>
      </c>
      <c r="T571" s="78" t="n">
        <v>3</v>
      </c>
      <c r="U571" s="78" t="n">
        <v>1</v>
      </c>
      <c r="V571" s="78" t="inlineStr">
        <is>
          <t>계단식</t>
        </is>
      </c>
      <c r="W571" s="78" t="inlineStr">
        <is>
          <t>70B</t>
        </is>
      </c>
      <c r="X571" s="78" t="n">
        <v>20</v>
      </c>
      <c r="Y571" s="78" t="n">
        <v>14</v>
      </c>
      <c r="Z571" s="78" t="inlineStr">
        <is>
          <t>https://new.land.naver.com/complexes/137450?tab=detail&amp;rf=Y</t>
        </is>
      </c>
      <c r="AA571" s="78" t="inlineStr">
        <is>
          <t>전라북도 군산시 옥서면 선연리 1562-1</t>
        </is>
      </c>
      <c r="AB571" s="78" t="inlineStr">
        <is>
          <t>전라북도</t>
        </is>
      </c>
      <c r="AC571" s="78" t="inlineStr">
        <is>
          <t>군산시</t>
        </is>
      </c>
      <c r="AD571" s="78" t="inlineStr">
        <is>
          <t>옥서면</t>
        </is>
      </c>
      <c r="AG571" s="78" t="inlineStr">
        <is>
          <t>전라북도 군산시 옥구저수지로 307</t>
        </is>
      </c>
      <c r="AH571" s="78" t="n">
        <v>0</v>
      </c>
      <c r="AI571" s="78" t="n">
        <v>121</v>
      </c>
      <c r="AJ571" s="78" t="n">
        <v>34</v>
      </c>
      <c r="AK571" s="78" t="n">
        <v>180</v>
      </c>
      <c r="AL571" s="78" t="n">
        <v>0.98</v>
      </c>
    </row>
    <row r="572">
      <c r="A572" s="78" t="inlineStr">
        <is>
          <t>[옥서면]</t>
        </is>
      </c>
      <c r="B572" s="78" t="n">
        <v>137450</v>
      </c>
      <c r="C572" s="78" t="n">
        <v>4</v>
      </c>
      <c r="D572" s="78" t="inlineStr">
        <is>
          <t>드림빌</t>
        </is>
      </c>
      <c r="E572" s="78" t="inlineStr">
        <is>
          <t>2007.02.</t>
        </is>
      </c>
      <c r="F572" s="78" t="n">
        <v>184</v>
      </c>
      <c r="G572" s="78" t="n">
        <v>23.05</v>
      </c>
      <c r="H572" s="78" t="n">
        <v>76.2</v>
      </c>
      <c r="I572" s="78" t="n">
        <v>17.72</v>
      </c>
      <c r="J572" s="78" t="n">
        <v>58.6</v>
      </c>
      <c r="K572" s="78" t="n">
        <v>56</v>
      </c>
      <c r="T572" s="78" t="n">
        <v>3</v>
      </c>
      <c r="U572" s="78" t="n">
        <v>1</v>
      </c>
      <c r="V572" s="78" t="inlineStr">
        <is>
          <t>계단식</t>
        </is>
      </c>
      <c r="W572" s="78" t="inlineStr">
        <is>
          <t>76C</t>
        </is>
      </c>
      <c r="X572" s="78" t="n">
        <v>20</v>
      </c>
      <c r="Y572" s="78" t="n">
        <v>14</v>
      </c>
      <c r="Z572" s="78" t="inlineStr">
        <is>
          <t>https://new.land.naver.com/complexes/137450?tab=detail&amp;rf=Y</t>
        </is>
      </c>
      <c r="AA572" s="78" t="inlineStr">
        <is>
          <t>전라북도 군산시 옥서면 선연리 1562-1</t>
        </is>
      </c>
      <c r="AB572" s="78" t="inlineStr">
        <is>
          <t>전라북도</t>
        </is>
      </c>
      <c r="AC572" s="78" t="inlineStr">
        <is>
          <t>군산시</t>
        </is>
      </c>
      <c r="AD572" s="78" t="inlineStr">
        <is>
          <t>옥서면</t>
        </is>
      </c>
      <c r="AG572" s="78" t="inlineStr">
        <is>
          <t>전라북도 군산시 옥구저수지로 307</t>
        </is>
      </c>
      <c r="AH572" s="78" t="n">
        <v>0</v>
      </c>
      <c r="AI572" s="78" t="n">
        <v>121</v>
      </c>
      <c r="AJ572" s="78" t="n">
        <v>34</v>
      </c>
      <c r="AK572" s="78" t="n">
        <v>180</v>
      </c>
      <c r="AL572" s="78" t="n">
        <v>0.98</v>
      </c>
    </row>
    <row r="573">
      <c r="A573" s="78" t="inlineStr">
        <is>
          <t>[월명동]</t>
        </is>
      </c>
      <c r="B573" s="78" t="n">
        <v>104593</v>
      </c>
      <c r="C573" s="78" t="n">
        <v>1</v>
      </c>
      <c r="D573" s="78" t="inlineStr">
        <is>
          <t>현대오솔</t>
        </is>
      </c>
      <c r="E573" s="78" t="inlineStr">
        <is>
          <t>2003.09.</t>
        </is>
      </c>
      <c r="F573" s="78" t="n">
        <v>198</v>
      </c>
      <c r="G573" s="78" t="n">
        <v>24.94</v>
      </c>
      <c r="H573" s="78" t="n">
        <v>82.45999999999999</v>
      </c>
      <c r="I573" s="78" t="n">
        <v>18.14</v>
      </c>
      <c r="J573" s="78" t="n">
        <v>59.98</v>
      </c>
      <c r="K573" s="78" t="n">
        <v>108</v>
      </c>
      <c r="T573" s="78" t="n">
        <v>3</v>
      </c>
      <c r="U573" s="78" t="n">
        <v>2</v>
      </c>
      <c r="V573" s="78" t="inlineStr">
        <is>
          <t>계단식</t>
        </is>
      </c>
      <c r="W573" s="78" t="n">
        <v>82</v>
      </c>
      <c r="X573" s="78" t="n">
        <v>15</v>
      </c>
      <c r="Y573" s="78" t="n">
        <v>13</v>
      </c>
      <c r="Z573" s="78" t="inlineStr">
        <is>
          <t>https://new.land.naver.com/complexes/104593?tab=detail&amp;rf=Y</t>
        </is>
      </c>
      <c r="AA573" s="78" t="inlineStr">
        <is>
          <t>전라북도 군산시 월명동 15-1</t>
        </is>
      </c>
      <c r="AB573" s="78" t="inlineStr">
        <is>
          <t>전라북도</t>
        </is>
      </c>
      <c r="AC573" s="78" t="inlineStr">
        <is>
          <t>군산시</t>
        </is>
      </c>
      <c r="AD573" s="78" t="inlineStr">
        <is>
          <t>월명동</t>
        </is>
      </c>
      <c r="AG573" s="78" t="inlineStr">
        <is>
          <t>전라북도 군산시 구영5길 21-3</t>
        </is>
      </c>
      <c r="AH573" s="78" t="n">
        <v>0</v>
      </c>
      <c r="AI573" s="78" t="n">
        <v>336</v>
      </c>
      <c r="AJ573" s="78" t="n">
        <v>31</v>
      </c>
      <c r="AK573" s="78" t="n">
        <v>171</v>
      </c>
      <c r="AL573" s="78" t="n">
        <v>0.86</v>
      </c>
    </row>
    <row r="574">
      <c r="A574" s="78" t="inlineStr">
        <is>
          <t>[월명동]</t>
        </is>
      </c>
      <c r="B574" s="78" t="n">
        <v>104593</v>
      </c>
      <c r="C574" s="78" t="n">
        <v>2</v>
      </c>
      <c r="D574" s="78" t="inlineStr">
        <is>
          <t>현대오솔</t>
        </is>
      </c>
      <c r="E574" s="78" t="inlineStr">
        <is>
          <t>2003.09.</t>
        </is>
      </c>
      <c r="F574" s="78" t="n">
        <v>198</v>
      </c>
      <c r="G574" s="78" t="n">
        <v>31.13</v>
      </c>
      <c r="H574" s="78" t="n">
        <v>102.94</v>
      </c>
      <c r="I574" s="78" t="n">
        <v>25.7</v>
      </c>
      <c r="J574" s="78" t="n">
        <v>84.95999999999999</v>
      </c>
      <c r="K574" s="78" t="n">
        <v>90</v>
      </c>
      <c r="T574" s="78" t="n">
        <v>3</v>
      </c>
      <c r="U574" s="78" t="n">
        <v>2</v>
      </c>
      <c r="V574" s="78" t="inlineStr">
        <is>
          <t>계단식</t>
        </is>
      </c>
      <c r="W574" s="78" t="n">
        <v>102</v>
      </c>
      <c r="X574" s="78" t="n">
        <v>15</v>
      </c>
      <c r="Y574" s="78" t="n">
        <v>13</v>
      </c>
      <c r="Z574" s="78" t="inlineStr">
        <is>
          <t>https://new.land.naver.com/complexes/104593?tab=detail&amp;rf=Y</t>
        </is>
      </c>
      <c r="AA574" s="78" t="inlineStr">
        <is>
          <t>전라북도 군산시 월명동 15-1</t>
        </is>
      </c>
      <c r="AB574" s="78" t="inlineStr">
        <is>
          <t>전라북도</t>
        </is>
      </c>
      <c r="AC574" s="78" t="inlineStr">
        <is>
          <t>군산시</t>
        </is>
      </c>
      <c r="AD574" s="78" t="inlineStr">
        <is>
          <t>월명동</t>
        </is>
      </c>
      <c r="AG574" s="78" t="inlineStr">
        <is>
          <t>전라북도 군산시 구영5길 21-3</t>
        </is>
      </c>
      <c r="AH574" s="78" t="n">
        <v>0</v>
      </c>
      <c r="AI574" s="78" t="n">
        <v>336</v>
      </c>
      <c r="AJ574" s="78" t="n">
        <v>31</v>
      </c>
      <c r="AK574" s="78" t="n">
        <v>171</v>
      </c>
      <c r="AL574" s="78" t="n">
        <v>0.86</v>
      </c>
    </row>
    <row r="575">
      <c r="A575" s="78" t="inlineStr">
        <is>
          <t>[월명동]</t>
        </is>
      </c>
      <c r="B575" s="78" t="n">
        <v>22980</v>
      </c>
      <c r="C575" s="78" t="n">
        <v>1</v>
      </c>
      <c r="D575" s="78" t="inlineStr">
        <is>
          <t>클래시움</t>
        </is>
      </c>
      <c r="E575" s="78" t="inlineStr">
        <is>
          <t>2004.05.</t>
        </is>
      </c>
      <c r="F575" s="78" t="n">
        <v>210</v>
      </c>
      <c r="G575" s="78" t="n">
        <v>38.34</v>
      </c>
      <c r="H575" s="78" t="n">
        <v>126.77</v>
      </c>
      <c r="I575" s="78" t="n">
        <v>30.74</v>
      </c>
      <c r="J575" s="78" t="n">
        <v>101.65</v>
      </c>
      <c r="K575" s="78" t="n">
        <v>120</v>
      </c>
      <c r="T575" s="78" t="n">
        <v>3</v>
      </c>
      <c r="U575" s="78" t="n">
        <v>2</v>
      </c>
      <c r="V575" s="78" t="inlineStr">
        <is>
          <t>계단식</t>
        </is>
      </c>
      <c r="W575" s="78" t="n">
        <v>126</v>
      </c>
      <c r="X575" s="78" t="n">
        <v>15</v>
      </c>
      <c r="Y575" s="78" t="n">
        <v>15</v>
      </c>
      <c r="Z575" s="78" t="inlineStr">
        <is>
          <t>https://new.land.naver.com/complexes/22980?tab=detail&amp;rf=Y</t>
        </is>
      </c>
      <c r="AA575" s="78" t="inlineStr">
        <is>
          <t>전라북도 군산시 월명동 23-1</t>
        </is>
      </c>
      <c r="AB575" s="78" t="inlineStr">
        <is>
          <t>전라북도</t>
        </is>
      </c>
      <c r="AC575" s="78" t="inlineStr">
        <is>
          <t>군산시</t>
        </is>
      </c>
      <c r="AD575" s="78" t="inlineStr">
        <is>
          <t>월명동</t>
        </is>
      </c>
      <c r="AG575" s="78" t="inlineStr">
        <is>
          <t>전라북도 군산시 월명1길 3</t>
        </is>
      </c>
      <c r="AH575" s="78" t="n">
        <v>0</v>
      </c>
      <c r="AI575" s="78" t="n">
        <v>188</v>
      </c>
      <c r="AJ575" s="78" t="n">
        <v>16</v>
      </c>
      <c r="AK575" s="78" t="n">
        <v>373</v>
      </c>
      <c r="AL575" s="78" t="n">
        <v>1.78</v>
      </c>
    </row>
    <row r="576">
      <c r="A576" s="78" t="inlineStr">
        <is>
          <t>[월명동]</t>
        </is>
      </c>
      <c r="B576" s="78" t="n">
        <v>22980</v>
      </c>
      <c r="C576" s="78" t="n">
        <v>2</v>
      </c>
      <c r="D576" s="78" t="inlineStr">
        <is>
          <t>클래시움</t>
        </is>
      </c>
      <c r="E576" s="78" t="inlineStr">
        <is>
          <t>2004.05.</t>
        </is>
      </c>
      <c r="F576" s="78" t="n">
        <v>210</v>
      </c>
      <c r="G576" s="78" t="n">
        <v>49.9</v>
      </c>
      <c r="H576" s="78" t="n">
        <v>164.97</v>
      </c>
      <c r="I576" s="78" t="n">
        <v>42.97</v>
      </c>
      <c r="J576" s="78" t="n">
        <v>142.05</v>
      </c>
      <c r="K576" s="78" t="n">
        <v>30</v>
      </c>
      <c r="T576" s="78" t="n">
        <v>4</v>
      </c>
      <c r="U576" s="78" t="n">
        <v>2</v>
      </c>
      <c r="V576" s="78" t="inlineStr">
        <is>
          <t>계단식</t>
        </is>
      </c>
      <c r="W576" s="78" t="n">
        <v>164</v>
      </c>
      <c r="X576" s="78" t="n">
        <v>15</v>
      </c>
      <c r="Y576" s="78" t="n">
        <v>15</v>
      </c>
      <c r="Z576" s="78" t="inlineStr">
        <is>
          <t>https://new.land.naver.com/complexes/22980?tab=detail&amp;rf=Y</t>
        </is>
      </c>
      <c r="AA576" s="78" t="inlineStr">
        <is>
          <t>전라북도 군산시 월명동 23-1</t>
        </is>
      </c>
      <c r="AB576" s="78" t="inlineStr">
        <is>
          <t>전라북도</t>
        </is>
      </c>
      <c r="AC576" s="78" t="inlineStr">
        <is>
          <t>군산시</t>
        </is>
      </c>
      <c r="AD576" s="78" t="inlineStr">
        <is>
          <t>월명동</t>
        </is>
      </c>
      <c r="AG576" s="78" t="inlineStr">
        <is>
          <t>전라북도 군산시 월명1길 3</t>
        </is>
      </c>
      <c r="AH576" s="78" t="n">
        <v>0</v>
      </c>
      <c r="AI576" s="78" t="n">
        <v>188</v>
      </c>
      <c r="AJ576" s="78" t="n">
        <v>16</v>
      </c>
      <c r="AK576" s="78" t="n">
        <v>373</v>
      </c>
      <c r="AL576" s="78" t="n">
        <v>1.78</v>
      </c>
    </row>
    <row r="577">
      <c r="A577" s="78" t="inlineStr">
        <is>
          <t>[월명동]</t>
        </is>
      </c>
      <c r="B577" s="78" t="n">
        <v>22980</v>
      </c>
      <c r="C577" s="78" t="n">
        <v>3</v>
      </c>
      <c r="D577" s="78" t="inlineStr">
        <is>
          <t>클래시움</t>
        </is>
      </c>
      <c r="E577" s="78" t="inlineStr">
        <is>
          <t>2004.05.</t>
        </is>
      </c>
      <c r="F577" s="78" t="n">
        <v>210</v>
      </c>
      <c r="G577" s="78" t="n">
        <v>57.45</v>
      </c>
      <c r="H577" s="78" t="n">
        <v>189.92</v>
      </c>
      <c r="I577" s="78" t="n">
        <v>50.35</v>
      </c>
      <c r="J577" s="78" t="n">
        <v>166.46</v>
      </c>
      <c r="K577" s="78" t="n">
        <v>45</v>
      </c>
      <c r="T577" s="78" t="n">
        <v>4</v>
      </c>
      <c r="U577" s="78" t="n">
        <v>2</v>
      </c>
      <c r="V577" s="78" t="inlineStr">
        <is>
          <t>계단식</t>
        </is>
      </c>
      <c r="W577" s="78" t="n">
        <v>189</v>
      </c>
      <c r="X577" s="78" t="n">
        <v>15</v>
      </c>
      <c r="Y577" s="78" t="n">
        <v>15</v>
      </c>
      <c r="Z577" s="78" t="inlineStr">
        <is>
          <t>https://new.land.naver.com/complexes/22980?tab=detail&amp;rf=Y</t>
        </is>
      </c>
      <c r="AA577" s="78" t="inlineStr">
        <is>
          <t>전라북도 군산시 월명동 23-1</t>
        </is>
      </c>
      <c r="AB577" s="78" t="inlineStr">
        <is>
          <t>전라북도</t>
        </is>
      </c>
      <c r="AC577" s="78" t="inlineStr">
        <is>
          <t>군산시</t>
        </is>
      </c>
      <c r="AD577" s="78" t="inlineStr">
        <is>
          <t>월명동</t>
        </is>
      </c>
      <c r="AG577" s="78" t="inlineStr">
        <is>
          <t>전라북도 군산시 월명1길 3</t>
        </is>
      </c>
      <c r="AH577" s="78" t="n">
        <v>0</v>
      </c>
      <c r="AI577" s="78" t="n">
        <v>188</v>
      </c>
      <c r="AJ577" s="78" t="n">
        <v>16</v>
      </c>
      <c r="AK577" s="78" t="n">
        <v>373</v>
      </c>
      <c r="AL577" s="78" t="n">
        <v>1.78</v>
      </c>
    </row>
    <row r="578">
      <c r="A578" s="78" t="inlineStr">
        <is>
          <t>[월명동]</t>
        </is>
      </c>
      <c r="B578" s="78" t="n">
        <v>22980</v>
      </c>
      <c r="C578" s="78" t="n">
        <v>4</v>
      </c>
      <c r="D578" s="78" t="inlineStr">
        <is>
          <t>클래시움</t>
        </is>
      </c>
      <c r="E578" s="78" t="inlineStr">
        <is>
          <t>2004.05.</t>
        </is>
      </c>
      <c r="F578" s="78" t="n">
        <v>210</v>
      </c>
      <c r="G578" s="78" t="n">
        <v>58.6</v>
      </c>
      <c r="H578" s="78" t="n">
        <v>193.75</v>
      </c>
      <c r="I578" s="78" t="n">
        <v>51.53</v>
      </c>
      <c r="J578" s="78" t="n">
        <v>170.35</v>
      </c>
      <c r="K578" s="78" t="n">
        <v>15</v>
      </c>
      <c r="T578" s="78" t="n">
        <v>4</v>
      </c>
      <c r="U578" s="78" t="n">
        <v>2</v>
      </c>
      <c r="V578" s="78" t="inlineStr">
        <is>
          <t>계단식</t>
        </is>
      </c>
      <c r="W578" s="78" t="n">
        <v>193</v>
      </c>
      <c r="X578" s="78" t="n">
        <v>15</v>
      </c>
      <c r="Y578" s="78" t="n">
        <v>15</v>
      </c>
      <c r="Z578" s="78" t="inlineStr">
        <is>
          <t>https://new.land.naver.com/complexes/22980?tab=detail&amp;rf=Y</t>
        </is>
      </c>
      <c r="AA578" s="78" t="inlineStr">
        <is>
          <t>전라북도 군산시 월명동 23-1</t>
        </is>
      </c>
      <c r="AB578" s="78" t="inlineStr">
        <is>
          <t>전라북도</t>
        </is>
      </c>
      <c r="AC578" s="78" t="inlineStr">
        <is>
          <t>군산시</t>
        </is>
      </c>
      <c r="AD578" s="78" t="inlineStr">
        <is>
          <t>월명동</t>
        </is>
      </c>
      <c r="AG578" s="78" t="inlineStr">
        <is>
          <t>전라북도 군산시 월명1길 3</t>
        </is>
      </c>
      <c r="AH578" s="78" t="n">
        <v>0</v>
      </c>
      <c r="AI578" s="78" t="n">
        <v>188</v>
      </c>
      <c r="AJ578" s="78" t="n">
        <v>16</v>
      </c>
      <c r="AK578" s="78" t="n">
        <v>373</v>
      </c>
      <c r="AL578" s="78" t="n">
        <v>1.78</v>
      </c>
    </row>
    <row r="579">
      <c r="A579" s="78" t="inlineStr">
        <is>
          <t>[월명동]</t>
        </is>
      </c>
      <c r="B579" s="78" t="n">
        <v>23010</v>
      </c>
      <c r="C579" s="78" t="n">
        <v>1</v>
      </c>
      <c r="D579" s="78" t="inlineStr">
        <is>
          <t>다원파크빌</t>
        </is>
      </c>
      <c r="E579" s="78" t="inlineStr">
        <is>
          <t>2002.08.</t>
        </is>
      </c>
      <c r="F579" s="78" t="n">
        <v>90</v>
      </c>
      <c r="G579" s="78" t="n">
        <v>30.93</v>
      </c>
      <c r="H579" s="78" t="n">
        <v>102.26</v>
      </c>
      <c r="I579" s="78" t="n">
        <v>25.65</v>
      </c>
      <c r="J579" s="78" t="n">
        <v>84.81999999999999</v>
      </c>
      <c r="K579" s="78" t="n">
        <v>90</v>
      </c>
      <c r="T579" s="78" t="n">
        <v>3</v>
      </c>
      <c r="U579" s="78" t="n">
        <v>2</v>
      </c>
      <c r="V579" s="78" t="inlineStr">
        <is>
          <t>계단식</t>
        </is>
      </c>
      <c r="W579" s="78" t="n">
        <v>102</v>
      </c>
      <c r="X579" s="78" t="n">
        <v>15</v>
      </c>
      <c r="Y579" s="78" t="n">
        <v>15</v>
      </c>
      <c r="Z579" s="78" t="inlineStr">
        <is>
          <t>https://new.land.naver.com/complexes/23010?tab=detail&amp;rf=Y</t>
        </is>
      </c>
      <c r="AA579" s="78" t="inlineStr">
        <is>
          <t>전라북도 군산시 월명동 7-3</t>
        </is>
      </c>
      <c r="AB579" s="78" t="inlineStr">
        <is>
          <t>전라북도</t>
        </is>
      </c>
      <c r="AC579" s="78" t="inlineStr">
        <is>
          <t>군산시</t>
        </is>
      </c>
      <c r="AD579" s="78" t="inlineStr">
        <is>
          <t>월명동</t>
        </is>
      </c>
      <c r="AG579" s="78" t="inlineStr">
        <is>
          <t>전라북도 군산시 구영6길 31</t>
        </is>
      </c>
      <c r="AH579" s="78" t="n">
        <v>0</v>
      </c>
      <c r="AI579" s="78" t="n">
        <v>234</v>
      </c>
      <c r="AJ579" s="78" t="n">
        <v>18</v>
      </c>
      <c r="AK579" s="78" t="n">
        <v>91</v>
      </c>
      <c r="AL579" s="78" t="n">
        <v>1.01</v>
      </c>
    </row>
    <row r="580">
      <c r="A580" s="78" t="inlineStr">
        <is>
          <t>[임피면]</t>
        </is>
      </c>
      <c r="B580" s="78" t="n">
        <v>116353</v>
      </c>
      <c r="C580" s="78" t="n">
        <v>1</v>
      </c>
      <c r="D580" s="78" t="inlineStr">
        <is>
          <t>무지개</t>
        </is>
      </c>
      <c r="E580" s="78" t="inlineStr">
        <is>
          <t>2001.09.</t>
        </is>
      </c>
      <c r="F580" s="78" t="n">
        <v>40</v>
      </c>
      <c r="G580" s="78" t="n">
        <v>23.13</v>
      </c>
      <c r="H580" s="78" t="n">
        <v>76.48</v>
      </c>
      <c r="I580" s="78" t="n">
        <v>17.75</v>
      </c>
      <c r="J580" s="78" t="n">
        <v>58.7</v>
      </c>
      <c r="K580" s="78" t="n">
        <v>20</v>
      </c>
      <c r="T580" s="78" t="n">
        <v>3</v>
      </c>
      <c r="U580" s="78" t="n">
        <v>1</v>
      </c>
      <c r="V580" s="78" t="inlineStr">
        <is>
          <t>계단식</t>
        </is>
      </c>
      <c r="W580" s="78" t="inlineStr">
        <is>
          <t>76A</t>
        </is>
      </c>
      <c r="X580" s="78" t="n">
        <v>10</v>
      </c>
      <c r="Y580" s="78" t="n">
        <v>10</v>
      </c>
      <c r="Z580" s="78" t="inlineStr">
        <is>
          <t>https://new.land.naver.com/complexes/116353?tab=detail&amp;rf=Y</t>
        </is>
      </c>
      <c r="AA580" s="78" t="inlineStr">
        <is>
          <t>전라북도 군산시 임피면 읍내리 323</t>
        </is>
      </c>
      <c r="AB580" s="78" t="inlineStr">
        <is>
          <t>전라북도</t>
        </is>
      </c>
      <c r="AC580" s="78" t="inlineStr">
        <is>
          <t>군산시</t>
        </is>
      </c>
      <c r="AD580" s="78" t="inlineStr">
        <is>
          <t>임피면</t>
        </is>
      </c>
      <c r="AG580" s="78" t="inlineStr">
        <is>
          <t>전라북도 군산시 임피1길 52</t>
        </is>
      </c>
      <c r="AH580" s="78" t="n">
        <v>0</v>
      </c>
      <c r="AI580" s="78" t="n">
        <v>192</v>
      </c>
      <c r="AJ580" s="78" t="n">
        <v>26</v>
      </c>
      <c r="AK580" s="78" t="n">
        <v>32</v>
      </c>
      <c r="AL580" s="78" t="n">
        <v>0.8</v>
      </c>
    </row>
    <row r="581">
      <c r="A581" s="78" t="inlineStr">
        <is>
          <t>[임피면]</t>
        </is>
      </c>
      <c r="B581" s="78" t="n">
        <v>116353</v>
      </c>
      <c r="C581" s="78" t="n">
        <v>2</v>
      </c>
      <c r="D581" s="78" t="inlineStr">
        <is>
          <t>무지개</t>
        </is>
      </c>
      <c r="E581" s="78" t="inlineStr">
        <is>
          <t>2001.09.</t>
        </is>
      </c>
      <c r="F581" s="78" t="n">
        <v>40</v>
      </c>
      <c r="G581" s="78" t="n">
        <v>23.43</v>
      </c>
      <c r="H581" s="78" t="n">
        <v>77.45999999999999</v>
      </c>
      <c r="I581" s="78" t="n">
        <v>17.98</v>
      </c>
      <c r="J581" s="78" t="n">
        <v>59.46</v>
      </c>
      <c r="K581" s="78" t="n">
        <v>20</v>
      </c>
      <c r="T581" s="78" t="n">
        <v>3</v>
      </c>
      <c r="U581" s="78" t="n">
        <v>1</v>
      </c>
      <c r="V581" s="78" t="inlineStr">
        <is>
          <t>계단식</t>
        </is>
      </c>
      <c r="W581" s="78" t="inlineStr">
        <is>
          <t>77B</t>
        </is>
      </c>
      <c r="X581" s="78" t="n">
        <v>10</v>
      </c>
      <c r="Y581" s="78" t="n">
        <v>10</v>
      </c>
      <c r="Z581" s="78" t="inlineStr">
        <is>
          <t>https://new.land.naver.com/complexes/116353?tab=detail&amp;rf=Y</t>
        </is>
      </c>
      <c r="AA581" s="78" t="inlineStr">
        <is>
          <t>전라북도 군산시 임피면 읍내리 323</t>
        </is>
      </c>
      <c r="AB581" s="78" t="inlineStr">
        <is>
          <t>전라북도</t>
        </is>
      </c>
      <c r="AC581" s="78" t="inlineStr">
        <is>
          <t>군산시</t>
        </is>
      </c>
      <c r="AD581" s="78" t="inlineStr">
        <is>
          <t>임피면</t>
        </is>
      </c>
      <c r="AG581" s="78" t="inlineStr">
        <is>
          <t>전라북도 군산시 임피1길 52</t>
        </is>
      </c>
      <c r="AH581" s="78" t="n">
        <v>0</v>
      </c>
      <c r="AI581" s="78" t="n">
        <v>192</v>
      </c>
      <c r="AJ581" s="78" t="n">
        <v>26</v>
      </c>
      <c r="AK581" s="78" t="n">
        <v>32</v>
      </c>
      <c r="AL581" s="78" t="n">
        <v>0.8</v>
      </c>
    </row>
    <row r="582">
      <c r="A582" s="78" t="inlineStr">
        <is>
          <t>[장재동]</t>
        </is>
      </c>
      <c r="B582" s="78" t="n">
        <v>106424</v>
      </c>
      <c r="C582" s="78" t="n">
        <v>1</v>
      </c>
      <c r="D582" s="78" t="inlineStr">
        <is>
          <t>그린장미</t>
        </is>
      </c>
      <c r="E582" s="78" t="inlineStr">
        <is>
          <t>1992.12.</t>
        </is>
      </c>
      <c r="F582" s="78" t="n">
        <v>158</v>
      </c>
      <c r="G582" s="78" t="n">
        <v>22.42</v>
      </c>
      <c r="H582" s="78" t="n">
        <v>74.13</v>
      </c>
      <c r="I582" s="78" t="n">
        <v>18.07</v>
      </c>
      <c r="J582" s="78" t="n">
        <v>59.76</v>
      </c>
      <c r="K582" s="78" t="n">
        <v>60</v>
      </c>
      <c r="T582" s="78" t="n">
        <v>3</v>
      </c>
      <c r="U582" s="78" t="n">
        <v>1</v>
      </c>
      <c r="V582" s="78" t="inlineStr">
        <is>
          <t>복도식</t>
        </is>
      </c>
      <c r="W582" s="78" t="n">
        <v>74</v>
      </c>
      <c r="X582" s="78" t="n">
        <v>15</v>
      </c>
      <c r="Y582" s="78" t="n">
        <v>13</v>
      </c>
      <c r="Z582" s="78" t="inlineStr">
        <is>
          <t>https://new.land.naver.com/complexes/106424?tab=detail&amp;rf=Y</t>
        </is>
      </c>
      <c r="AA582" s="78" t="inlineStr">
        <is>
          <t>전라북도 군산시 장재동 45-4</t>
        </is>
      </c>
      <c r="AB582" s="78" t="inlineStr">
        <is>
          <t>전라북도</t>
        </is>
      </c>
      <c r="AC582" s="78" t="inlineStr">
        <is>
          <t>군산시</t>
        </is>
      </c>
      <c r="AD582" s="78" t="inlineStr">
        <is>
          <t>장재동</t>
        </is>
      </c>
      <c r="AG582" s="78" t="inlineStr">
        <is>
          <t>전라북도 군산시 풍문2길 30</t>
        </is>
      </c>
      <c r="AH582" s="78" t="n">
        <v>0</v>
      </c>
      <c r="AI582" s="78" t="n">
        <v>223</v>
      </c>
      <c r="AJ582" s="78" t="n">
        <v>15</v>
      </c>
      <c r="AK582" s="78" t="n">
        <v>78</v>
      </c>
      <c r="AL582" s="78" t="n">
        <v>0.49</v>
      </c>
    </row>
    <row r="583">
      <c r="A583" s="78" t="inlineStr">
        <is>
          <t>[장재동]</t>
        </is>
      </c>
      <c r="B583" s="78" t="n">
        <v>106424</v>
      </c>
      <c r="C583" s="78" t="n">
        <v>2</v>
      </c>
      <c r="D583" s="78" t="inlineStr">
        <is>
          <t>그린장미</t>
        </is>
      </c>
      <c r="E583" s="78" t="inlineStr">
        <is>
          <t>1992.12.</t>
        </is>
      </c>
      <c r="F583" s="78" t="n">
        <v>158</v>
      </c>
      <c r="G583" s="78" t="n">
        <v>26.66</v>
      </c>
      <c r="H583" s="78" t="n">
        <v>88.14</v>
      </c>
      <c r="I583" s="78" t="n">
        <v>21.48</v>
      </c>
      <c r="J583" s="78" t="n">
        <v>71.01000000000001</v>
      </c>
      <c r="K583" s="78" t="n">
        <v>84</v>
      </c>
      <c r="T583" s="78" t="n">
        <v>3</v>
      </c>
      <c r="U583" s="78" t="n">
        <v>2</v>
      </c>
      <c r="V583" s="78" t="inlineStr">
        <is>
          <t>복도식</t>
        </is>
      </c>
      <c r="W583" s="78" t="n">
        <v>88</v>
      </c>
      <c r="X583" s="78" t="n">
        <v>15</v>
      </c>
      <c r="Y583" s="78" t="n">
        <v>13</v>
      </c>
      <c r="Z583" s="78" t="inlineStr">
        <is>
          <t>https://new.land.naver.com/complexes/106424?tab=detail&amp;rf=Y</t>
        </is>
      </c>
      <c r="AA583" s="78" t="inlineStr">
        <is>
          <t>전라북도 군산시 장재동 45-4</t>
        </is>
      </c>
      <c r="AB583" s="78" t="inlineStr">
        <is>
          <t>전라북도</t>
        </is>
      </c>
      <c r="AC583" s="78" t="inlineStr">
        <is>
          <t>군산시</t>
        </is>
      </c>
      <c r="AD583" s="78" t="inlineStr">
        <is>
          <t>장재동</t>
        </is>
      </c>
      <c r="AG583" s="78" t="inlineStr">
        <is>
          <t>전라북도 군산시 풍문2길 30</t>
        </is>
      </c>
      <c r="AH583" s="78" t="n">
        <v>0</v>
      </c>
      <c r="AI583" s="78" t="n">
        <v>223</v>
      </c>
      <c r="AJ583" s="78" t="n">
        <v>15</v>
      </c>
      <c r="AK583" s="78" t="n">
        <v>78</v>
      </c>
      <c r="AL583" s="78" t="n">
        <v>0.49</v>
      </c>
    </row>
    <row r="584">
      <c r="A584" s="78" t="inlineStr">
        <is>
          <t>[장재동]</t>
        </is>
      </c>
      <c r="B584" s="78" t="n">
        <v>106424</v>
      </c>
      <c r="C584" s="78" t="n">
        <v>3</v>
      </c>
      <c r="D584" s="78" t="inlineStr">
        <is>
          <t>그린장미</t>
        </is>
      </c>
      <c r="E584" s="78" t="inlineStr">
        <is>
          <t>1992.12.</t>
        </is>
      </c>
      <c r="F584" s="78" t="n">
        <v>158</v>
      </c>
      <c r="G584" s="78" t="n">
        <v>30.21</v>
      </c>
      <c r="H584" s="78" t="n">
        <v>99.88</v>
      </c>
      <c r="I584" s="78" t="n">
        <v>21.87</v>
      </c>
      <c r="J584" s="78" t="n">
        <v>72.33</v>
      </c>
      <c r="K584" s="78" t="n">
        <v>14</v>
      </c>
      <c r="T584" s="78" t="n">
        <v>3</v>
      </c>
      <c r="U584" s="78" t="n">
        <v>2</v>
      </c>
      <c r="V584" s="78" t="inlineStr">
        <is>
          <t>복도식</t>
        </is>
      </c>
      <c r="W584" s="78" t="n">
        <v>99</v>
      </c>
      <c r="X584" s="78" t="n">
        <v>15</v>
      </c>
      <c r="Y584" s="78" t="n">
        <v>13</v>
      </c>
      <c r="Z584" s="78" t="inlineStr">
        <is>
          <t>https://new.land.naver.com/complexes/106424?tab=detail&amp;rf=Y</t>
        </is>
      </c>
      <c r="AA584" s="78" t="inlineStr">
        <is>
          <t>전라북도 군산시 장재동 45-4</t>
        </is>
      </c>
      <c r="AB584" s="78" t="inlineStr">
        <is>
          <t>전라북도</t>
        </is>
      </c>
      <c r="AC584" s="78" t="inlineStr">
        <is>
          <t>군산시</t>
        </is>
      </c>
      <c r="AD584" s="78" t="inlineStr">
        <is>
          <t>장재동</t>
        </is>
      </c>
      <c r="AG584" s="78" t="inlineStr">
        <is>
          <t>전라북도 군산시 풍문2길 30</t>
        </is>
      </c>
      <c r="AH584" s="78" t="n">
        <v>0</v>
      </c>
      <c r="AI584" s="78" t="n">
        <v>223</v>
      </c>
      <c r="AJ584" s="78" t="n">
        <v>15</v>
      </c>
      <c r="AK584" s="78" t="n">
        <v>78</v>
      </c>
      <c r="AL584" s="78" t="n">
        <v>0.49</v>
      </c>
    </row>
    <row r="585">
      <c r="A585" s="78" t="inlineStr">
        <is>
          <t>[장재동]</t>
        </is>
      </c>
      <c r="B585" s="78" t="n">
        <v>14977</v>
      </c>
      <c r="C585" s="78" t="n">
        <v>1</v>
      </c>
      <c r="D585" s="78" t="inlineStr">
        <is>
          <t>한일</t>
        </is>
      </c>
      <c r="E585" s="78" t="inlineStr">
        <is>
          <t>1989.05.</t>
        </is>
      </c>
      <c r="F585" s="78" t="n">
        <v>120</v>
      </c>
      <c r="G585" s="78" t="n">
        <v>23.93</v>
      </c>
      <c r="H585" s="78" t="n">
        <v>79.14</v>
      </c>
      <c r="I585" s="78" t="n">
        <v>22.05</v>
      </c>
      <c r="J585" s="78" t="n">
        <v>72.90000000000001</v>
      </c>
      <c r="K585" s="78" t="n">
        <v>50</v>
      </c>
      <c r="T585" s="78" t="n">
        <v>3</v>
      </c>
      <c r="U585" s="78" t="n">
        <v>1</v>
      </c>
      <c r="V585" s="78" t="inlineStr">
        <is>
          <t>계단식</t>
        </is>
      </c>
      <c r="W585" s="78" t="n">
        <v>79</v>
      </c>
      <c r="X585" s="78" t="n">
        <v>5</v>
      </c>
      <c r="Y585" s="78" t="n">
        <v>5</v>
      </c>
      <c r="Z585" s="78" t="inlineStr">
        <is>
          <t>https://new.land.naver.com/complexes/14977?tab=detail&amp;rf=Y</t>
        </is>
      </c>
      <c r="AA585" s="78" t="inlineStr">
        <is>
          <t>전라북도 군산시 장재동 380-1</t>
        </is>
      </c>
      <c r="AB585" s="78" t="inlineStr">
        <is>
          <t>전라북도</t>
        </is>
      </c>
      <c r="AC585" s="78" t="inlineStr">
        <is>
          <t>군산시</t>
        </is>
      </c>
      <c r="AD585" s="78" t="inlineStr">
        <is>
          <t>장재동</t>
        </is>
      </c>
      <c r="AG585" s="78" t="inlineStr">
        <is>
          <t>전라북도 군산시 동팔마길 39</t>
        </is>
      </c>
      <c r="AH585" s="78" t="n">
        <v>0</v>
      </c>
      <c r="AI585" s="78" t="n">
        <v>0</v>
      </c>
      <c r="AJ585" s="78" t="n">
        <v>0</v>
      </c>
      <c r="AK585" s="78" t="n">
        <v>0</v>
      </c>
      <c r="AL585" s="78" t="n">
        <v>0</v>
      </c>
    </row>
    <row r="586">
      <c r="A586" s="78" t="inlineStr">
        <is>
          <t>[장재동]</t>
        </is>
      </c>
      <c r="B586" s="78" t="n">
        <v>14977</v>
      </c>
      <c r="C586" s="78" t="n">
        <v>2</v>
      </c>
      <c r="D586" s="78" t="inlineStr">
        <is>
          <t>한일</t>
        </is>
      </c>
      <c r="E586" s="78" t="inlineStr">
        <is>
          <t>1989.05.</t>
        </is>
      </c>
      <c r="F586" s="78" t="n">
        <v>120</v>
      </c>
      <c r="G586" s="78" t="n">
        <v>26.4</v>
      </c>
      <c r="H586" s="78" t="n">
        <v>87.3</v>
      </c>
      <c r="I586" s="78" t="n">
        <v>24.66</v>
      </c>
      <c r="J586" s="78" t="n">
        <v>81.54000000000001</v>
      </c>
      <c r="K586" s="78" t="n">
        <v>50</v>
      </c>
      <c r="T586" s="78" t="n">
        <v>3</v>
      </c>
      <c r="U586" s="78" t="n">
        <v>2</v>
      </c>
      <c r="V586" s="78" t="inlineStr">
        <is>
          <t>계단식</t>
        </is>
      </c>
      <c r="W586" s="78" t="n">
        <v>87</v>
      </c>
      <c r="X586" s="78" t="n">
        <v>5</v>
      </c>
      <c r="Y586" s="78" t="n">
        <v>5</v>
      </c>
      <c r="Z586" s="78" t="inlineStr">
        <is>
          <t>https://new.land.naver.com/complexes/14977?tab=detail&amp;rf=Y</t>
        </is>
      </c>
      <c r="AA586" s="78" t="inlineStr">
        <is>
          <t>전라북도 군산시 장재동 380-1</t>
        </is>
      </c>
      <c r="AB586" s="78" t="inlineStr">
        <is>
          <t>전라북도</t>
        </is>
      </c>
      <c r="AC586" s="78" t="inlineStr">
        <is>
          <t>군산시</t>
        </is>
      </c>
      <c r="AD586" s="78" t="inlineStr">
        <is>
          <t>장재동</t>
        </is>
      </c>
      <c r="AG586" s="78" t="inlineStr">
        <is>
          <t>전라북도 군산시 동팔마길 39</t>
        </is>
      </c>
      <c r="AH586" s="78" t="n">
        <v>0</v>
      </c>
      <c r="AI586" s="78" t="n">
        <v>0</v>
      </c>
      <c r="AJ586" s="78" t="n">
        <v>0</v>
      </c>
      <c r="AK586" s="78" t="n">
        <v>0</v>
      </c>
      <c r="AL586" s="78" t="n">
        <v>0</v>
      </c>
    </row>
    <row r="587">
      <c r="A587" s="78" t="inlineStr">
        <is>
          <t>[장재동]</t>
        </is>
      </c>
      <c r="B587" s="78" t="n">
        <v>14977</v>
      </c>
      <c r="C587" s="78" t="n">
        <v>3</v>
      </c>
      <c r="D587" s="78" t="inlineStr">
        <is>
          <t>한일</t>
        </is>
      </c>
      <c r="E587" s="78" t="inlineStr">
        <is>
          <t>1989.05.</t>
        </is>
      </c>
      <c r="F587" s="78" t="n">
        <v>120</v>
      </c>
      <c r="G587" s="78" t="n">
        <v>27.22</v>
      </c>
      <c r="H587" s="78" t="n">
        <v>90</v>
      </c>
      <c r="I587" s="78" t="n">
        <v>25.33</v>
      </c>
      <c r="J587" s="78" t="n">
        <v>83.76000000000001</v>
      </c>
      <c r="K587" s="78" t="n">
        <v>20</v>
      </c>
      <c r="T587" s="78" t="n">
        <v>3</v>
      </c>
      <c r="U587" s="78" t="n">
        <v>2</v>
      </c>
      <c r="V587" s="78" t="inlineStr">
        <is>
          <t>계단식</t>
        </is>
      </c>
      <c r="W587" s="78" t="n">
        <v>90</v>
      </c>
      <c r="X587" s="78" t="n">
        <v>5</v>
      </c>
      <c r="Y587" s="78" t="n">
        <v>5</v>
      </c>
      <c r="Z587" s="78" t="inlineStr">
        <is>
          <t>https://new.land.naver.com/complexes/14977?tab=detail&amp;rf=Y</t>
        </is>
      </c>
      <c r="AA587" s="78" t="inlineStr">
        <is>
          <t>전라북도 군산시 장재동 380-1</t>
        </is>
      </c>
      <c r="AB587" s="78" t="inlineStr">
        <is>
          <t>전라북도</t>
        </is>
      </c>
      <c r="AC587" s="78" t="inlineStr">
        <is>
          <t>군산시</t>
        </is>
      </c>
      <c r="AD587" s="78" t="inlineStr">
        <is>
          <t>장재동</t>
        </is>
      </c>
      <c r="AG587" s="78" t="inlineStr">
        <is>
          <t>전라북도 군산시 동팔마길 39</t>
        </is>
      </c>
      <c r="AH587" s="78" t="n">
        <v>0</v>
      </c>
      <c r="AI587" s="78" t="n">
        <v>0</v>
      </c>
      <c r="AJ587" s="78" t="n">
        <v>0</v>
      </c>
      <c r="AK587" s="78" t="n">
        <v>0</v>
      </c>
      <c r="AL587" s="78" t="n">
        <v>0</v>
      </c>
    </row>
    <row r="588">
      <c r="A588" s="78" t="inlineStr">
        <is>
          <t>[장재동]</t>
        </is>
      </c>
      <c r="B588" s="78" t="n">
        <v>27292</v>
      </c>
      <c r="C588" s="78" t="n">
        <v>1</v>
      </c>
      <c r="D588" s="78" t="inlineStr">
        <is>
          <t>현대세솔</t>
        </is>
      </c>
      <c r="E588" s="78" t="inlineStr">
        <is>
          <t>2002.03.</t>
        </is>
      </c>
      <c r="F588" s="78" t="n">
        <v>547</v>
      </c>
      <c r="G588" s="78" t="n">
        <v>23.13</v>
      </c>
      <c r="H588" s="78" t="n">
        <v>76.48</v>
      </c>
      <c r="I588" s="78" t="n">
        <v>18.06</v>
      </c>
      <c r="J588" s="78" t="n">
        <v>59.71</v>
      </c>
      <c r="K588" s="78" t="n">
        <v>48</v>
      </c>
      <c r="T588" s="78" t="n">
        <v>2</v>
      </c>
      <c r="U588" s="78" t="n">
        <v>1</v>
      </c>
      <c r="V588" s="78" t="inlineStr">
        <is>
          <t>계단식</t>
        </is>
      </c>
      <c r="W588" s="78" t="n">
        <v>76</v>
      </c>
      <c r="X588" s="78" t="n">
        <v>15</v>
      </c>
      <c r="Y588" s="78" t="n">
        <v>8</v>
      </c>
      <c r="Z588" s="78" t="inlineStr">
        <is>
          <t>https://new.land.naver.com/complexes/27292?tab=detail&amp;rf=Y</t>
        </is>
      </c>
      <c r="AA588" s="78" t="inlineStr">
        <is>
          <t>전라북도 군산시 장재동 212</t>
        </is>
      </c>
      <c r="AB588" s="78" t="inlineStr">
        <is>
          <t>전라북도</t>
        </is>
      </c>
      <c r="AC588" s="78" t="inlineStr">
        <is>
          <t>군산시</t>
        </is>
      </c>
      <c r="AD588" s="78" t="inlineStr">
        <is>
          <t>장재동</t>
        </is>
      </c>
      <c r="AG588" s="78" t="inlineStr">
        <is>
          <t>전라북도 군산시 풍문2길 35</t>
        </is>
      </c>
      <c r="AH588" s="78" t="n">
        <v>0</v>
      </c>
      <c r="AI588" s="78" t="n">
        <v>0</v>
      </c>
      <c r="AJ588" s="78" t="n">
        <v>0</v>
      </c>
      <c r="AK588" s="78" t="n">
        <v>452</v>
      </c>
      <c r="AL588" s="78" t="n">
        <v>0.83</v>
      </c>
    </row>
    <row r="589">
      <c r="A589" s="78" t="inlineStr">
        <is>
          <t>[장재동]</t>
        </is>
      </c>
      <c r="B589" s="78" t="n">
        <v>27292</v>
      </c>
      <c r="C589" s="78" t="n">
        <v>2</v>
      </c>
      <c r="D589" s="78" t="inlineStr">
        <is>
          <t>현대세솔</t>
        </is>
      </c>
      <c r="E589" s="78" t="inlineStr">
        <is>
          <t>2002.03.</t>
        </is>
      </c>
      <c r="F589" s="78" t="n">
        <v>547</v>
      </c>
      <c r="G589" s="78" t="n">
        <v>24.95</v>
      </c>
      <c r="H589" s="78" t="n">
        <v>82.48999999999999</v>
      </c>
      <c r="I589" s="78" t="n">
        <v>18.14</v>
      </c>
      <c r="J589" s="78" t="n">
        <v>59.97</v>
      </c>
      <c r="K589" s="78" t="n">
        <v>259</v>
      </c>
      <c r="T589" s="78" t="n">
        <v>2</v>
      </c>
      <c r="U589" s="78" t="n">
        <v>1</v>
      </c>
      <c r="V589" s="78" t="inlineStr">
        <is>
          <t>계단식</t>
        </is>
      </c>
      <c r="W589" s="78" t="n">
        <v>82</v>
      </c>
      <c r="X589" s="78" t="n">
        <v>15</v>
      </c>
      <c r="Y589" s="78" t="n">
        <v>8</v>
      </c>
      <c r="Z589" s="78" t="inlineStr">
        <is>
          <t>https://new.land.naver.com/complexes/27292?tab=detail&amp;rf=Y</t>
        </is>
      </c>
      <c r="AA589" s="78" t="inlineStr">
        <is>
          <t>전라북도 군산시 장재동 212</t>
        </is>
      </c>
      <c r="AB589" s="78" t="inlineStr">
        <is>
          <t>전라북도</t>
        </is>
      </c>
      <c r="AC589" s="78" t="inlineStr">
        <is>
          <t>군산시</t>
        </is>
      </c>
      <c r="AD589" s="78" t="inlineStr">
        <is>
          <t>장재동</t>
        </is>
      </c>
      <c r="AG589" s="78" t="inlineStr">
        <is>
          <t>전라북도 군산시 풍문2길 35</t>
        </is>
      </c>
      <c r="AH589" s="78" t="n">
        <v>0</v>
      </c>
      <c r="AI589" s="78" t="n">
        <v>0</v>
      </c>
      <c r="AJ589" s="78" t="n">
        <v>0</v>
      </c>
      <c r="AK589" s="78" t="n">
        <v>452</v>
      </c>
      <c r="AL589" s="78" t="n">
        <v>0.83</v>
      </c>
    </row>
    <row r="590">
      <c r="A590" s="78" t="inlineStr">
        <is>
          <t>[장재동]</t>
        </is>
      </c>
      <c r="B590" s="78" t="n">
        <v>27292</v>
      </c>
      <c r="C590" s="78" t="n">
        <v>3</v>
      </c>
      <c r="D590" s="78" t="inlineStr">
        <is>
          <t>현대세솔</t>
        </is>
      </c>
      <c r="E590" s="78" t="inlineStr">
        <is>
          <t>2002.03.</t>
        </is>
      </c>
      <c r="F590" s="78" t="n">
        <v>547</v>
      </c>
      <c r="G590" s="78" t="n">
        <v>31.19</v>
      </c>
      <c r="H590" s="78" t="n">
        <v>103.12</v>
      </c>
      <c r="I590" s="78" t="n">
        <v>25.7</v>
      </c>
      <c r="J590" s="78" t="n">
        <v>84.95999999999999</v>
      </c>
      <c r="K590" s="78" t="n">
        <v>210</v>
      </c>
      <c r="T590" s="78" t="n">
        <v>3</v>
      </c>
      <c r="U590" s="78" t="n">
        <v>2</v>
      </c>
      <c r="V590" s="78" t="inlineStr">
        <is>
          <t>복도식</t>
        </is>
      </c>
      <c r="W590" s="78" t="inlineStr">
        <is>
          <t>103A</t>
        </is>
      </c>
      <c r="X590" s="78" t="n">
        <v>15</v>
      </c>
      <c r="Y590" s="78" t="n">
        <v>8</v>
      </c>
      <c r="Z590" s="78" t="inlineStr">
        <is>
          <t>https://new.land.naver.com/complexes/27292?tab=detail&amp;rf=Y</t>
        </is>
      </c>
      <c r="AA590" s="78" t="inlineStr">
        <is>
          <t>전라북도 군산시 장재동 212</t>
        </is>
      </c>
      <c r="AB590" s="78" t="inlineStr">
        <is>
          <t>전라북도</t>
        </is>
      </c>
      <c r="AC590" s="78" t="inlineStr">
        <is>
          <t>군산시</t>
        </is>
      </c>
      <c r="AD590" s="78" t="inlineStr">
        <is>
          <t>장재동</t>
        </is>
      </c>
      <c r="AG590" s="78" t="inlineStr">
        <is>
          <t>전라북도 군산시 풍문2길 35</t>
        </is>
      </c>
      <c r="AH590" s="78" t="n">
        <v>0</v>
      </c>
      <c r="AI590" s="78" t="n">
        <v>0</v>
      </c>
      <c r="AJ590" s="78" t="n">
        <v>0</v>
      </c>
      <c r="AK590" s="78" t="n">
        <v>452</v>
      </c>
      <c r="AL590" s="78" t="n">
        <v>0.83</v>
      </c>
    </row>
    <row r="591">
      <c r="A591" s="78" t="inlineStr">
        <is>
          <t>[장재동]</t>
        </is>
      </c>
      <c r="B591" s="78" t="n">
        <v>27292</v>
      </c>
      <c r="C591" s="78" t="n">
        <v>4</v>
      </c>
      <c r="D591" s="78" t="inlineStr">
        <is>
          <t>현대세솔</t>
        </is>
      </c>
      <c r="E591" s="78" t="inlineStr">
        <is>
          <t>2002.03.</t>
        </is>
      </c>
      <c r="F591" s="78" t="n">
        <v>547</v>
      </c>
      <c r="G591" s="78" t="n">
        <v>31.19</v>
      </c>
      <c r="H591" s="78" t="n">
        <v>103.13</v>
      </c>
      <c r="I591" s="78" t="n">
        <v>25.7</v>
      </c>
      <c r="J591" s="78" t="n">
        <v>84.98999999999999</v>
      </c>
      <c r="K591" s="78" t="n">
        <v>30</v>
      </c>
      <c r="T591" s="78" t="n">
        <v>3</v>
      </c>
      <c r="U591" s="78" t="n">
        <v>2</v>
      </c>
      <c r="V591" s="78" t="inlineStr">
        <is>
          <t>계단식</t>
        </is>
      </c>
      <c r="W591" s="78" t="inlineStr">
        <is>
          <t>103B</t>
        </is>
      </c>
      <c r="X591" s="78" t="n">
        <v>15</v>
      </c>
      <c r="Y591" s="78" t="n">
        <v>8</v>
      </c>
      <c r="Z591" s="78" t="inlineStr">
        <is>
          <t>https://new.land.naver.com/complexes/27292?tab=detail&amp;rf=Y</t>
        </is>
      </c>
      <c r="AA591" s="78" t="inlineStr">
        <is>
          <t>전라북도 군산시 장재동 212</t>
        </is>
      </c>
      <c r="AB591" s="78" t="inlineStr">
        <is>
          <t>전라북도</t>
        </is>
      </c>
      <c r="AC591" s="78" t="inlineStr">
        <is>
          <t>군산시</t>
        </is>
      </c>
      <c r="AD591" s="78" t="inlineStr">
        <is>
          <t>장재동</t>
        </is>
      </c>
      <c r="AG591" s="78" t="inlineStr">
        <is>
          <t>전라북도 군산시 풍문2길 35</t>
        </is>
      </c>
      <c r="AH591" s="78" t="n">
        <v>0</v>
      </c>
      <c r="AI591" s="78" t="n">
        <v>0</v>
      </c>
      <c r="AJ591" s="78" t="n">
        <v>0</v>
      </c>
      <c r="AK591" s="78" t="n">
        <v>452</v>
      </c>
      <c r="AL591" s="78" t="n">
        <v>0.83</v>
      </c>
    </row>
    <row r="592">
      <c r="A592" s="78" t="inlineStr">
        <is>
          <t>[조촌동]</t>
        </is>
      </c>
      <c r="B592" s="78" t="n">
        <v>113152</v>
      </c>
      <c r="C592" s="78" t="n">
        <v>1</v>
      </c>
      <c r="D592" s="78" t="inlineStr">
        <is>
          <t>군산디오션시티푸르지오</t>
        </is>
      </c>
      <c r="E592" s="78" t="inlineStr">
        <is>
          <t>2018.03.</t>
        </is>
      </c>
      <c r="F592" s="78" t="n">
        <v>1400</v>
      </c>
      <c r="G592" s="78" t="n">
        <v>24.79</v>
      </c>
      <c r="H592" s="78" t="n">
        <v>81.98</v>
      </c>
      <c r="I592" s="78" t="n">
        <v>18.14</v>
      </c>
      <c r="J592" s="78" t="n">
        <v>59.98</v>
      </c>
      <c r="K592" s="78" t="n">
        <v>189</v>
      </c>
      <c r="T592" s="78" t="n">
        <v>3</v>
      </c>
      <c r="U592" s="78" t="n">
        <v>2</v>
      </c>
      <c r="V592" s="78" t="inlineStr">
        <is>
          <t>계단식</t>
        </is>
      </c>
      <c r="W592" s="78" t="inlineStr">
        <is>
          <t>81A</t>
        </is>
      </c>
      <c r="X592" s="78" t="n">
        <v>29</v>
      </c>
      <c r="Y592" s="78" t="n">
        <v>24</v>
      </c>
      <c r="Z592" s="78" t="inlineStr">
        <is>
          <t>https://new.land.naver.com/complexes/113152?tab=detail&amp;rf=Y</t>
        </is>
      </c>
      <c r="AA592" s="78" t="inlineStr">
        <is>
          <t>전라북도 군산시 조촌동 3943</t>
        </is>
      </c>
      <c r="AB592" s="78" t="inlineStr">
        <is>
          <t>전라북도</t>
        </is>
      </c>
      <c r="AC592" s="78" t="inlineStr">
        <is>
          <t>군산시</t>
        </is>
      </c>
      <c r="AD592" s="78" t="inlineStr">
        <is>
          <t>조촌동</t>
        </is>
      </c>
      <c r="AG592" s="78" t="inlineStr">
        <is>
          <t>전라북도 군산시 궁포2로 20</t>
        </is>
      </c>
      <c r="AH592" s="78" t="n">
        <v>0</v>
      </c>
      <c r="AI592" s="78" t="n">
        <v>245</v>
      </c>
      <c r="AJ592" s="78" t="n">
        <v>15</v>
      </c>
      <c r="AK592" s="78" t="n">
        <v>1770</v>
      </c>
      <c r="AL592" s="78" t="n">
        <v>1.26</v>
      </c>
    </row>
    <row r="593">
      <c r="A593" s="78" t="inlineStr">
        <is>
          <t>[조촌동]</t>
        </is>
      </c>
      <c r="B593" s="78" t="n">
        <v>113152</v>
      </c>
      <c r="C593" s="78" t="n">
        <v>2</v>
      </c>
      <c r="D593" s="78" t="inlineStr">
        <is>
          <t>군산디오션시티푸르지오</t>
        </is>
      </c>
      <c r="E593" s="78" t="inlineStr">
        <is>
          <t>2018.03.</t>
        </is>
      </c>
      <c r="F593" s="78" t="n">
        <v>1400</v>
      </c>
      <c r="G593" s="78" t="n">
        <v>24.91</v>
      </c>
      <c r="H593" s="78" t="n">
        <v>82.37</v>
      </c>
      <c r="I593" s="78" t="n">
        <v>17.91</v>
      </c>
      <c r="J593" s="78" t="n">
        <v>59.23</v>
      </c>
      <c r="K593" s="78" t="n">
        <v>55</v>
      </c>
      <c r="T593" s="78" t="n">
        <v>3</v>
      </c>
      <c r="U593" s="78" t="n">
        <v>2</v>
      </c>
      <c r="V593" s="78" t="inlineStr">
        <is>
          <t>계단식</t>
        </is>
      </c>
      <c r="W593" s="78" t="inlineStr">
        <is>
          <t>82B</t>
        </is>
      </c>
      <c r="X593" s="78" t="n">
        <v>29</v>
      </c>
      <c r="Y593" s="78" t="n">
        <v>24</v>
      </c>
      <c r="Z593" s="78" t="inlineStr">
        <is>
          <t>https://new.land.naver.com/complexes/113152?tab=detail&amp;rf=Y</t>
        </is>
      </c>
      <c r="AA593" s="78" t="inlineStr">
        <is>
          <t>전라북도 군산시 조촌동 3943</t>
        </is>
      </c>
      <c r="AB593" s="78" t="inlineStr">
        <is>
          <t>전라북도</t>
        </is>
      </c>
      <c r="AC593" s="78" t="inlineStr">
        <is>
          <t>군산시</t>
        </is>
      </c>
      <c r="AD593" s="78" t="inlineStr">
        <is>
          <t>조촌동</t>
        </is>
      </c>
      <c r="AG593" s="78" t="inlineStr">
        <is>
          <t>전라북도 군산시 궁포2로 20</t>
        </is>
      </c>
      <c r="AH593" s="78" t="n">
        <v>0</v>
      </c>
      <c r="AI593" s="78" t="n">
        <v>245</v>
      </c>
      <c r="AJ593" s="78" t="n">
        <v>15</v>
      </c>
      <c r="AK593" s="78" t="n">
        <v>1770</v>
      </c>
      <c r="AL593" s="78" t="n">
        <v>1.26</v>
      </c>
    </row>
    <row r="594">
      <c r="A594" s="78" t="inlineStr">
        <is>
          <t>[조촌동]</t>
        </is>
      </c>
      <c r="B594" s="78" t="n">
        <v>113152</v>
      </c>
      <c r="C594" s="78" t="n">
        <v>3</v>
      </c>
      <c r="D594" s="78" t="inlineStr">
        <is>
          <t>군산디오션시티푸르지오</t>
        </is>
      </c>
      <c r="E594" s="78" t="inlineStr">
        <is>
          <t>2018.03.</t>
        </is>
      </c>
      <c r="F594" s="78" t="n">
        <v>1400</v>
      </c>
      <c r="G594" s="78" t="n">
        <v>30.75</v>
      </c>
      <c r="H594" s="78" t="n">
        <v>101.67</v>
      </c>
      <c r="I594" s="78" t="n">
        <v>22.65</v>
      </c>
      <c r="J594" s="78" t="n">
        <v>74.88</v>
      </c>
      <c r="K594" s="78" t="n">
        <v>279</v>
      </c>
      <c r="T594" s="78" t="n">
        <v>3</v>
      </c>
      <c r="U594" s="78" t="n">
        <v>2</v>
      </c>
      <c r="V594" s="78" t="inlineStr">
        <is>
          <t>계단식</t>
        </is>
      </c>
      <c r="W594" s="78" t="inlineStr">
        <is>
          <t>101A</t>
        </is>
      </c>
      <c r="X594" s="78" t="n">
        <v>29</v>
      </c>
      <c r="Y594" s="78" t="n">
        <v>24</v>
      </c>
      <c r="Z594" s="78" t="inlineStr">
        <is>
          <t>https://new.land.naver.com/complexes/113152?tab=detail&amp;rf=Y</t>
        </is>
      </c>
      <c r="AA594" s="78" t="inlineStr">
        <is>
          <t>전라북도 군산시 조촌동 3943</t>
        </is>
      </c>
      <c r="AB594" s="78" t="inlineStr">
        <is>
          <t>전라북도</t>
        </is>
      </c>
      <c r="AC594" s="78" t="inlineStr">
        <is>
          <t>군산시</t>
        </is>
      </c>
      <c r="AD594" s="78" t="inlineStr">
        <is>
          <t>조촌동</t>
        </is>
      </c>
      <c r="AG594" s="78" t="inlineStr">
        <is>
          <t>전라북도 군산시 궁포2로 20</t>
        </is>
      </c>
      <c r="AH594" s="78" t="n">
        <v>0</v>
      </c>
      <c r="AI594" s="78" t="n">
        <v>245</v>
      </c>
      <c r="AJ594" s="78" t="n">
        <v>15</v>
      </c>
      <c r="AK594" s="78" t="n">
        <v>1770</v>
      </c>
      <c r="AL594" s="78" t="n">
        <v>1.26</v>
      </c>
    </row>
    <row r="595">
      <c r="A595" s="78" t="inlineStr">
        <is>
          <t>[조촌동]</t>
        </is>
      </c>
      <c r="B595" s="78" t="n">
        <v>113152</v>
      </c>
      <c r="C595" s="78" t="n">
        <v>4</v>
      </c>
      <c r="D595" s="78" t="inlineStr">
        <is>
          <t>군산디오션시티푸르지오</t>
        </is>
      </c>
      <c r="E595" s="78" t="inlineStr">
        <is>
          <t>2018.03.</t>
        </is>
      </c>
      <c r="F595" s="78" t="n">
        <v>1400</v>
      </c>
      <c r="G595" s="78" t="n">
        <v>30.93</v>
      </c>
      <c r="H595" s="78" t="n">
        <v>102.28</v>
      </c>
      <c r="I595" s="78" t="n">
        <v>22.62</v>
      </c>
      <c r="J595" s="78" t="n">
        <v>74.79000000000001</v>
      </c>
      <c r="K595" s="78" t="n">
        <v>113</v>
      </c>
      <c r="T595" s="78" t="n">
        <v>3</v>
      </c>
      <c r="U595" s="78" t="n">
        <v>2</v>
      </c>
      <c r="V595" s="78" t="inlineStr">
        <is>
          <t>계단식</t>
        </is>
      </c>
      <c r="W595" s="78" t="inlineStr">
        <is>
          <t>102C</t>
        </is>
      </c>
      <c r="X595" s="78" t="n">
        <v>29</v>
      </c>
      <c r="Y595" s="78" t="n">
        <v>24</v>
      </c>
      <c r="Z595" s="78" t="inlineStr">
        <is>
          <t>https://new.land.naver.com/complexes/113152?tab=detail&amp;rf=Y</t>
        </is>
      </c>
      <c r="AA595" s="78" t="inlineStr">
        <is>
          <t>전라북도 군산시 조촌동 3943</t>
        </is>
      </c>
      <c r="AB595" s="78" t="inlineStr">
        <is>
          <t>전라북도</t>
        </is>
      </c>
      <c r="AC595" s="78" t="inlineStr">
        <is>
          <t>군산시</t>
        </is>
      </c>
      <c r="AD595" s="78" t="inlineStr">
        <is>
          <t>조촌동</t>
        </is>
      </c>
      <c r="AG595" s="78" t="inlineStr">
        <is>
          <t>전라북도 군산시 궁포2로 20</t>
        </is>
      </c>
      <c r="AH595" s="78" t="n">
        <v>0</v>
      </c>
      <c r="AI595" s="78" t="n">
        <v>245</v>
      </c>
      <c r="AJ595" s="78" t="n">
        <v>15</v>
      </c>
      <c r="AK595" s="78" t="n">
        <v>1770</v>
      </c>
      <c r="AL595" s="78" t="n">
        <v>1.26</v>
      </c>
    </row>
    <row r="596">
      <c r="A596" s="78" t="inlineStr">
        <is>
          <t>[조촌동]</t>
        </is>
      </c>
      <c r="B596" s="78" t="n">
        <v>113152</v>
      </c>
      <c r="C596" s="78" t="n">
        <v>5</v>
      </c>
      <c r="D596" s="78" t="inlineStr">
        <is>
          <t>군산디오션시티푸르지오</t>
        </is>
      </c>
      <c r="E596" s="78" t="inlineStr">
        <is>
          <t>2018.03.</t>
        </is>
      </c>
      <c r="F596" s="78" t="n">
        <v>1400</v>
      </c>
      <c r="G596" s="78" t="n">
        <v>30.94</v>
      </c>
      <c r="H596" s="78" t="n">
        <v>102.31</v>
      </c>
      <c r="I596" s="78" t="n">
        <v>22.62</v>
      </c>
      <c r="J596" s="78" t="n">
        <v>74.79000000000001</v>
      </c>
      <c r="K596" s="78" t="n">
        <v>110</v>
      </c>
      <c r="T596" s="78" t="n">
        <v>3</v>
      </c>
      <c r="U596" s="78" t="n">
        <v>2</v>
      </c>
      <c r="V596" s="78" t="inlineStr">
        <is>
          <t>계단식</t>
        </is>
      </c>
      <c r="W596" s="78" t="inlineStr">
        <is>
          <t>102B</t>
        </is>
      </c>
      <c r="X596" s="78" t="n">
        <v>29</v>
      </c>
      <c r="Y596" s="78" t="n">
        <v>24</v>
      </c>
      <c r="Z596" s="78" t="inlineStr">
        <is>
          <t>https://new.land.naver.com/complexes/113152?tab=detail&amp;rf=Y</t>
        </is>
      </c>
      <c r="AA596" s="78" t="inlineStr">
        <is>
          <t>전라북도 군산시 조촌동 3943</t>
        </is>
      </c>
      <c r="AB596" s="78" t="inlineStr">
        <is>
          <t>전라북도</t>
        </is>
      </c>
      <c r="AC596" s="78" t="inlineStr">
        <is>
          <t>군산시</t>
        </is>
      </c>
      <c r="AD596" s="78" t="inlineStr">
        <is>
          <t>조촌동</t>
        </is>
      </c>
      <c r="AG596" s="78" t="inlineStr">
        <is>
          <t>전라북도 군산시 궁포2로 20</t>
        </is>
      </c>
      <c r="AH596" s="78" t="n">
        <v>0</v>
      </c>
      <c r="AI596" s="78" t="n">
        <v>245</v>
      </c>
      <c r="AJ596" s="78" t="n">
        <v>15</v>
      </c>
      <c r="AK596" s="78" t="n">
        <v>1770</v>
      </c>
      <c r="AL596" s="78" t="n">
        <v>1.26</v>
      </c>
    </row>
    <row r="597">
      <c r="A597" s="78" t="inlineStr">
        <is>
          <t>[조촌동]</t>
        </is>
      </c>
      <c r="B597" s="78" t="n">
        <v>113152</v>
      </c>
      <c r="C597" s="78" t="n">
        <v>6</v>
      </c>
      <c r="D597" s="78" t="inlineStr">
        <is>
          <t>군산디오션시티푸르지오</t>
        </is>
      </c>
      <c r="E597" s="78" t="inlineStr">
        <is>
          <t>2018.03.</t>
        </is>
      </c>
      <c r="F597" s="78" t="n">
        <v>1400</v>
      </c>
      <c r="G597" s="78" t="n">
        <v>34.63</v>
      </c>
      <c r="H597" s="78" t="n">
        <v>114.51</v>
      </c>
      <c r="I597" s="78" t="n">
        <v>25.62</v>
      </c>
      <c r="J597" s="78" t="n">
        <v>84.72</v>
      </c>
      <c r="K597" s="78" t="n">
        <v>215</v>
      </c>
      <c r="T597" s="78" t="n">
        <v>3</v>
      </c>
      <c r="U597" s="78" t="n">
        <v>2</v>
      </c>
      <c r="V597" s="78" t="inlineStr">
        <is>
          <t>계단식</t>
        </is>
      </c>
      <c r="W597" s="78" t="inlineStr">
        <is>
          <t>114A</t>
        </is>
      </c>
      <c r="X597" s="78" t="n">
        <v>29</v>
      </c>
      <c r="Y597" s="78" t="n">
        <v>24</v>
      </c>
      <c r="Z597" s="78" t="inlineStr">
        <is>
          <t>https://new.land.naver.com/complexes/113152?tab=detail&amp;rf=Y</t>
        </is>
      </c>
      <c r="AA597" s="78" t="inlineStr">
        <is>
          <t>전라북도 군산시 조촌동 3943</t>
        </is>
      </c>
      <c r="AB597" s="78" t="inlineStr">
        <is>
          <t>전라북도</t>
        </is>
      </c>
      <c r="AC597" s="78" t="inlineStr">
        <is>
          <t>군산시</t>
        </is>
      </c>
      <c r="AD597" s="78" t="inlineStr">
        <is>
          <t>조촌동</t>
        </is>
      </c>
      <c r="AG597" s="78" t="inlineStr">
        <is>
          <t>전라북도 군산시 궁포2로 20</t>
        </is>
      </c>
      <c r="AH597" s="78" t="n">
        <v>0</v>
      </c>
      <c r="AI597" s="78" t="n">
        <v>245</v>
      </c>
      <c r="AJ597" s="78" t="n">
        <v>15</v>
      </c>
      <c r="AK597" s="78" t="n">
        <v>1770</v>
      </c>
      <c r="AL597" s="78" t="n">
        <v>1.26</v>
      </c>
    </row>
    <row r="598">
      <c r="A598" s="78" t="inlineStr">
        <is>
          <t>[조촌동]</t>
        </is>
      </c>
      <c r="B598" s="78" t="n">
        <v>113152</v>
      </c>
      <c r="C598" s="78" t="n">
        <v>7</v>
      </c>
      <c r="D598" s="78" t="inlineStr">
        <is>
          <t>군산디오션시티푸르지오</t>
        </is>
      </c>
      <c r="E598" s="78" t="inlineStr">
        <is>
          <t>2018.03.</t>
        </is>
      </c>
      <c r="F598" s="78" t="n">
        <v>1400</v>
      </c>
      <c r="G598" s="78" t="n">
        <v>34.58</v>
      </c>
      <c r="H598" s="78" t="n">
        <v>114.33</v>
      </c>
      <c r="I598" s="78" t="n">
        <v>25.58</v>
      </c>
      <c r="J598" s="78" t="n">
        <v>84.58</v>
      </c>
      <c r="K598" s="78" t="n">
        <v>128</v>
      </c>
      <c r="T598" s="78" t="n">
        <v>3</v>
      </c>
      <c r="U598" s="78" t="n">
        <v>2</v>
      </c>
      <c r="V598" s="78" t="inlineStr">
        <is>
          <t>계단식</t>
        </is>
      </c>
      <c r="W598" s="78" t="n">
        <v>114</v>
      </c>
      <c r="X598" s="78" t="n">
        <v>29</v>
      </c>
      <c r="Y598" s="78" t="n">
        <v>24</v>
      </c>
      <c r="Z598" s="78" t="inlineStr">
        <is>
          <t>https://new.land.naver.com/complexes/113152?tab=detail&amp;rf=Y</t>
        </is>
      </c>
      <c r="AA598" s="78" t="inlineStr">
        <is>
          <t>전라북도 군산시 조촌동 3943</t>
        </is>
      </c>
      <c r="AB598" s="78" t="inlineStr">
        <is>
          <t>전라북도</t>
        </is>
      </c>
      <c r="AC598" s="78" t="inlineStr">
        <is>
          <t>군산시</t>
        </is>
      </c>
      <c r="AD598" s="78" t="inlineStr">
        <is>
          <t>조촌동</t>
        </is>
      </c>
      <c r="AG598" s="78" t="inlineStr">
        <is>
          <t>전라북도 군산시 궁포2로 20</t>
        </is>
      </c>
      <c r="AH598" s="78" t="n">
        <v>0</v>
      </c>
      <c r="AI598" s="78" t="n">
        <v>245</v>
      </c>
      <c r="AJ598" s="78" t="n">
        <v>15</v>
      </c>
      <c r="AK598" s="78" t="n">
        <v>1770</v>
      </c>
      <c r="AL598" s="78" t="n">
        <v>1.26</v>
      </c>
    </row>
    <row r="599">
      <c r="A599" s="78" t="inlineStr">
        <is>
          <t>[조촌동]</t>
        </is>
      </c>
      <c r="B599" s="78" t="n">
        <v>113152</v>
      </c>
      <c r="C599" s="78" t="n">
        <v>8</v>
      </c>
      <c r="D599" s="78" t="inlineStr">
        <is>
          <t>군산디오션시티푸르지오</t>
        </is>
      </c>
      <c r="E599" s="78" t="inlineStr">
        <is>
          <t>2018.03.</t>
        </is>
      </c>
      <c r="F599" s="78" t="n">
        <v>1400</v>
      </c>
      <c r="G599" s="78" t="n">
        <v>34.91</v>
      </c>
      <c r="H599" s="78" t="n">
        <v>115.43</v>
      </c>
      <c r="I599" s="78" t="n">
        <v>25.57</v>
      </c>
      <c r="J599" s="78" t="n">
        <v>84.55</v>
      </c>
      <c r="K599" s="78" t="n">
        <v>135</v>
      </c>
      <c r="T599" s="78" t="n">
        <v>3</v>
      </c>
      <c r="U599" s="78" t="n">
        <v>2</v>
      </c>
      <c r="V599" s="78" t="inlineStr">
        <is>
          <t>계단식</t>
        </is>
      </c>
      <c r="W599" s="78" t="inlineStr">
        <is>
          <t>115B</t>
        </is>
      </c>
      <c r="X599" s="78" t="n">
        <v>29</v>
      </c>
      <c r="Y599" s="78" t="n">
        <v>24</v>
      </c>
      <c r="Z599" s="78" t="inlineStr">
        <is>
          <t>https://new.land.naver.com/complexes/113152?tab=detail&amp;rf=Y</t>
        </is>
      </c>
      <c r="AA599" s="78" t="inlineStr">
        <is>
          <t>전라북도 군산시 조촌동 3943</t>
        </is>
      </c>
      <c r="AB599" s="78" t="inlineStr">
        <is>
          <t>전라북도</t>
        </is>
      </c>
      <c r="AC599" s="78" t="inlineStr">
        <is>
          <t>군산시</t>
        </is>
      </c>
      <c r="AD599" s="78" t="inlineStr">
        <is>
          <t>조촌동</t>
        </is>
      </c>
      <c r="AG599" s="78" t="inlineStr">
        <is>
          <t>전라북도 군산시 궁포2로 20</t>
        </is>
      </c>
      <c r="AH599" s="78" t="n">
        <v>0</v>
      </c>
      <c r="AI599" s="78" t="n">
        <v>245</v>
      </c>
      <c r="AJ599" s="78" t="n">
        <v>15</v>
      </c>
      <c r="AK599" s="78" t="n">
        <v>1770</v>
      </c>
      <c r="AL599" s="78" t="n">
        <v>1.26</v>
      </c>
    </row>
    <row r="600">
      <c r="A600" s="78" t="inlineStr">
        <is>
          <t>[조촌동]</t>
        </is>
      </c>
      <c r="B600" s="78" t="n">
        <v>113152</v>
      </c>
      <c r="C600" s="78" t="n">
        <v>9</v>
      </c>
      <c r="D600" s="78" t="inlineStr">
        <is>
          <t>군산디오션시티푸르지오</t>
        </is>
      </c>
      <c r="E600" s="78" t="inlineStr">
        <is>
          <t>2018.03.</t>
        </is>
      </c>
      <c r="F600" s="78" t="n">
        <v>1400</v>
      </c>
      <c r="G600" s="78" t="n">
        <v>34.98</v>
      </c>
      <c r="H600" s="78" t="n">
        <v>115.64</v>
      </c>
      <c r="I600" s="78" t="n">
        <v>25.42</v>
      </c>
      <c r="J600" s="78" t="n">
        <v>84.04000000000001</v>
      </c>
      <c r="K600" s="78" t="n">
        <v>127</v>
      </c>
      <c r="T600" s="78" t="n">
        <v>3</v>
      </c>
      <c r="U600" s="78" t="n">
        <v>2</v>
      </c>
      <c r="V600" s="78" t="inlineStr">
        <is>
          <t>계단식</t>
        </is>
      </c>
      <c r="W600" s="78" t="inlineStr">
        <is>
          <t>115C</t>
        </is>
      </c>
      <c r="X600" s="78" t="n">
        <v>29</v>
      </c>
      <c r="Y600" s="78" t="n">
        <v>24</v>
      </c>
      <c r="Z600" s="78" t="inlineStr">
        <is>
          <t>https://new.land.naver.com/complexes/113152?tab=detail&amp;rf=Y</t>
        </is>
      </c>
      <c r="AA600" s="78" t="inlineStr">
        <is>
          <t>전라북도 군산시 조촌동 3943</t>
        </is>
      </c>
      <c r="AB600" s="78" t="inlineStr">
        <is>
          <t>전라북도</t>
        </is>
      </c>
      <c r="AC600" s="78" t="inlineStr">
        <is>
          <t>군산시</t>
        </is>
      </c>
      <c r="AD600" s="78" t="inlineStr">
        <is>
          <t>조촌동</t>
        </is>
      </c>
      <c r="AG600" s="78" t="inlineStr">
        <is>
          <t>전라북도 군산시 궁포2로 20</t>
        </is>
      </c>
      <c r="AH600" s="78" t="n">
        <v>0</v>
      </c>
      <c r="AI600" s="78" t="n">
        <v>245</v>
      </c>
      <c r="AJ600" s="78" t="n">
        <v>15</v>
      </c>
      <c r="AK600" s="78" t="n">
        <v>1770</v>
      </c>
      <c r="AL600" s="78" t="n">
        <v>1.26</v>
      </c>
    </row>
    <row r="601">
      <c r="A601" s="78" t="inlineStr">
        <is>
          <t>[조촌동]</t>
        </is>
      </c>
      <c r="B601" s="78" t="n">
        <v>113152</v>
      </c>
      <c r="C601" s="78" t="n">
        <v>10</v>
      </c>
      <c r="D601" s="78" t="inlineStr">
        <is>
          <t>군산디오션시티푸르지오</t>
        </is>
      </c>
      <c r="E601" s="78" t="inlineStr">
        <is>
          <t>2018.03.</t>
        </is>
      </c>
      <c r="F601" s="78" t="n">
        <v>1400</v>
      </c>
      <c r="G601" s="78" t="n">
        <v>40.74</v>
      </c>
      <c r="H601" s="78" t="n">
        <v>134.68</v>
      </c>
      <c r="I601" s="78" t="n">
        <v>30.08</v>
      </c>
      <c r="J601" s="78" t="n">
        <v>99.45999999999999</v>
      </c>
      <c r="K601" s="78" t="n">
        <v>49</v>
      </c>
      <c r="T601" s="78" t="n">
        <v>4</v>
      </c>
      <c r="U601" s="78" t="n">
        <v>2</v>
      </c>
      <c r="V601" s="78" t="inlineStr">
        <is>
          <t>계단식</t>
        </is>
      </c>
      <c r="W601" s="78" t="n">
        <v>134</v>
      </c>
      <c r="X601" s="78" t="n">
        <v>29</v>
      </c>
      <c r="Y601" s="78" t="n">
        <v>24</v>
      </c>
      <c r="Z601" s="78" t="inlineStr">
        <is>
          <t>https://new.land.naver.com/complexes/113152?tab=detail&amp;rf=Y</t>
        </is>
      </c>
      <c r="AA601" s="78" t="inlineStr">
        <is>
          <t>전라북도 군산시 조촌동 3943</t>
        </is>
      </c>
      <c r="AB601" s="78" t="inlineStr">
        <is>
          <t>전라북도</t>
        </is>
      </c>
      <c r="AC601" s="78" t="inlineStr">
        <is>
          <t>군산시</t>
        </is>
      </c>
      <c r="AD601" s="78" t="inlineStr">
        <is>
          <t>조촌동</t>
        </is>
      </c>
      <c r="AG601" s="78" t="inlineStr">
        <is>
          <t>전라북도 군산시 궁포2로 20</t>
        </is>
      </c>
      <c r="AH601" s="78" t="n">
        <v>0</v>
      </c>
      <c r="AI601" s="78" t="n">
        <v>245</v>
      </c>
      <c r="AJ601" s="78" t="n">
        <v>15</v>
      </c>
      <c r="AK601" s="78" t="n">
        <v>1770</v>
      </c>
      <c r="AL601" s="78" t="n">
        <v>1.26</v>
      </c>
    </row>
    <row r="602">
      <c r="A602" s="78" t="inlineStr">
        <is>
          <t>[조촌동]</t>
        </is>
      </c>
      <c r="B602" s="78" t="n">
        <v>126738</v>
      </c>
      <c r="C602" s="78" t="n">
        <v>1</v>
      </c>
      <c r="D602" s="78" t="inlineStr">
        <is>
          <t>타워써미트</t>
        </is>
      </c>
      <c r="E602" s="78" t="inlineStr">
        <is>
          <t>2012.06.</t>
        </is>
      </c>
      <c r="F602" s="78" t="n">
        <v>770</v>
      </c>
      <c r="G602" s="78" t="n">
        <v>23.92</v>
      </c>
      <c r="H602" s="78" t="n">
        <v>79.08</v>
      </c>
      <c r="I602" s="78" t="n">
        <v>18.13</v>
      </c>
      <c r="J602" s="78" t="n">
        <v>59.94</v>
      </c>
      <c r="K602" s="78" t="n">
        <v>129</v>
      </c>
      <c r="T602" s="78" t="n">
        <v>3</v>
      </c>
      <c r="U602" s="78" t="n">
        <v>1</v>
      </c>
      <c r="V602" s="78" t="inlineStr">
        <is>
          <t>계단식</t>
        </is>
      </c>
      <c r="W602" s="78" t="n">
        <v>79</v>
      </c>
      <c r="X602" s="78" t="n">
        <v>25</v>
      </c>
      <c r="Y602" s="78" t="n">
        <v>14</v>
      </c>
      <c r="Z602" s="78" t="inlineStr">
        <is>
          <t>https://new.land.naver.com/complexes/126738?tab=detail&amp;rf=Y</t>
        </is>
      </c>
      <c r="AA602" s="78" t="inlineStr">
        <is>
          <t>전라북도 군산시 조촌동 3931</t>
        </is>
      </c>
      <c r="AB602" s="78" t="inlineStr">
        <is>
          <t>전라북도</t>
        </is>
      </c>
      <c r="AC602" s="78" t="inlineStr">
        <is>
          <t>군산시</t>
        </is>
      </c>
      <c r="AD602" s="78" t="inlineStr">
        <is>
          <t>조촌동</t>
        </is>
      </c>
      <c r="AG602" s="78" t="inlineStr">
        <is>
          <t>전라북도 군산시 공단대로 54</t>
        </is>
      </c>
      <c r="AH602" s="78" t="n">
        <v>0</v>
      </c>
      <c r="AI602" s="78" t="n">
        <v>244</v>
      </c>
      <c r="AJ602" s="78" t="n">
        <v>15</v>
      </c>
      <c r="AK602" s="78" t="n">
        <v>837</v>
      </c>
      <c r="AL602" s="78" t="n">
        <v>1.09</v>
      </c>
    </row>
    <row r="603">
      <c r="A603" s="78" t="inlineStr">
        <is>
          <t>[조촌동]</t>
        </is>
      </c>
      <c r="B603" s="78" t="n">
        <v>126738</v>
      </c>
      <c r="C603" s="78" t="n">
        <v>2</v>
      </c>
      <c r="D603" s="78" t="inlineStr">
        <is>
          <t>타워써미트</t>
        </is>
      </c>
      <c r="E603" s="78" t="inlineStr">
        <is>
          <t>2012.06.</t>
        </is>
      </c>
      <c r="F603" s="78" t="n">
        <v>770</v>
      </c>
      <c r="G603" s="78" t="n">
        <v>33.9</v>
      </c>
      <c r="H603" s="78" t="n">
        <v>112.09</v>
      </c>
      <c r="I603" s="78" t="n">
        <v>25.7</v>
      </c>
      <c r="J603" s="78" t="n">
        <v>84.95999999999999</v>
      </c>
      <c r="K603" s="78" t="n">
        <v>277</v>
      </c>
      <c r="T603" s="78" t="n">
        <v>3</v>
      </c>
      <c r="U603" s="78" t="n">
        <v>2</v>
      </c>
      <c r="V603" s="78" t="inlineStr">
        <is>
          <t>계단식</t>
        </is>
      </c>
      <c r="W603" s="78" t="inlineStr">
        <is>
          <t>112B</t>
        </is>
      </c>
      <c r="X603" s="78" t="n">
        <v>25</v>
      </c>
      <c r="Y603" s="78" t="n">
        <v>14</v>
      </c>
      <c r="Z603" s="78" t="inlineStr">
        <is>
          <t>https://new.land.naver.com/complexes/126738?tab=detail&amp;rf=Y</t>
        </is>
      </c>
      <c r="AA603" s="78" t="inlineStr">
        <is>
          <t>전라북도 군산시 조촌동 3931</t>
        </is>
      </c>
      <c r="AB603" s="78" t="inlineStr">
        <is>
          <t>전라북도</t>
        </is>
      </c>
      <c r="AC603" s="78" t="inlineStr">
        <is>
          <t>군산시</t>
        </is>
      </c>
      <c r="AD603" s="78" t="inlineStr">
        <is>
          <t>조촌동</t>
        </is>
      </c>
      <c r="AG603" s="78" t="inlineStr">
        <is>
          <t>전라북도 군산시 공단대로 54</t>
        </is>
      </c>
      <c r="AH603" s="78" t="n">
        <v>0</v>
      </c>
      <c r="AI603" s="78" t="n">
        <v>244</v>
      </c>
      <c r="AJ603" s="78" t="n">
        <v>15</v>
      </c>
      <c r="AK603" s="78" t="n">
        <v>837</v>
      </c>
      <c r="AL603" s="78" t="n">
        <v>1.09</v>
      </c>
    </row>
    <row r="604">
      <c r="A604" s="78" t="inlineStr">
        <is>
          <t>[조촌동]</t>
        </is>
      </c>
      <c r="B604" s="78" t="n">
        <v>126738</v>
      </c>
      <c r="C604" s="78" t="n">
        <v>3</v>
      </c>
      <c r="D604" s="78" t="inlineStr">
        <is>
          <t>타워써미트</t>
        </is>
      </c>
      <c r="E604" s="78" t="inlineStr">
        <is>
          <t>2012.06.</t>
        </is>
      </c>
      <c r="F604" s="78" t="n">
        <v>770</v>
      </c>
      <c r="G604" s="78" t="n">
        <v>33.88</v>
      </c>
      <c r="H604" s="78" t="n">
        <v>112.02</v>
      </c>
      <c r="I604" s="78" t="n">
        <v>25.68</v>
      </c>
      <c r="J604" s="78" t="n">
        <v>84.91</v>
      </c>
      <c r="K604" s="78" t="n">
        <v>191</v>
      </c>
      <c r="T604" s="78" t="n">
        <v>3</v>
      </c>
      <c r="U604" s="78" t="n">
        <v>2</v>
      </c>
      <c r="V604" s="78" t="inlineStr">
        <is>
          <t>계단식</t>
        </is>
      </c>
      <c r="W604" s="78" t="inlineStr">
        <is>
          <t>112A</t>
        </is>
      </c>
      <c r="X604" s="78" t="n">
        <v>25</v>
      </c>
      <c r="Y604" s="78" t="n">
        <v>14</v>
      </c>
      <c r="Z604" s="78" t="inlineStr">
        <is>
          <t>https://new.land.naver.com/complexes/126738?tab=detail&amp;rf=Y</t>
        </is>
      </c>
      <c r="AA604" s="78" t="inlineStr">
        <is>
          <t>전라북도 군산시 조촌동 3931</t>
        </is>
      </c>
      <c r="AB604" s="78" t="inlineStr">
        <is>
          <t>전라북도</t>
        </is>
      </c>
      <c r="AC604" s="78" t="inlineStr">
        <is>
          <t>군산시</t>
        </is>
      </c>
      <c r="AD604" s="78" t="inlineStr">
        <is>
          <t>조촌동</t>
        </is>
      </c>
      <c r="AG604" s="78" t="inlineStr">
        <is>
          <t>전라북도 군산시 공단대로 54</t>
        </is>
      </c>
      <c r="AH604" s="78" t="n">
        <v>0</v>
      </c>
      <c r="AI604" s="78" t="n">
        <v>244</v>
      </c>
      <c r="AJ604" s="78" t="n">
        <v>15</v>
      </c>
      <c r="AK604" s="78" t="n">
        <v>837</v>
      </c>
      <c r="AL604" s="78" t="n">
        <v>1.09</v>
      </c>
    </row>
    <row r="605">
      <c r="A605" s="78" t="inlineStr">
        <is>
          <t>[조촌동]</t>
        </is>
      </c>
      <c r="B605" s="78" t="n">
        <v>126738</v>
      </c>
      <c r="C605" s="78" t="n">
        <v>4</v>
      </c>
      <c r="D605" s="78" t="inlineStr">
        <is>
          <t>타워써미트</t>
        </is>
      </c>
      <c r="E605" s="78" t="inlineStr">
        <is>
          <t>2012.06.</t>
        </is>
      </c>
      <c r="F605" s="78" t="n">
        <v>770</v>
      </c>
      <c r="G605" s="78" t="n">
        <v>33.91</v>
      </c>
      <c r="H605" s="78" t="n">
        <v>112.13</v>
      </c>
      <c r="I605" s="78" t="n">
        <v>25.7</v>
      </c>
      <c r="J605" s="78" t="n">
        <v>84.98999999999999</v>
      </c>
      <c r="K605" s="78" t="n">
        <v>173</v>
      </c>
      <c r="T605" s="78" t="n">
        <v>3</v>
      </c>
      <c r="U605" s="78" t="n">
        <v>2</v>
      </c>
      <c r="V605" s="78" t="inlineStr">
        <is>
          <t>계단식</t>
        </is>
      </c>
      <c r="W605" s="78" t="inlineStr">
        <is>
          <t>112C</t>
        </is>
      </c>
      <c r="X605" s="78" t="n">
        <v>25</v>
      </c>
      <c r="Y605" s="78" t="n">
        <v>14</v>
      </c>
      <c r="Z605" s="78" t="inlineStr">
        <is>
          <t>https://new.land.naver.com/complexes/126738?tab=detail&amp;rf=Y</t>
        </is>
      </c>
      <c r="AA605" s="78" t="inlineStr">
        <is>
          <t>전라북도 군산시 조촌동 3931</t>
        </is>
      </c>
      <c r="AB605" s="78" t="inlineStr">
        <is>
          <t>전라북도</t>
        </is>
      </c>
      <c r="AC605" s="78" t="inlineStr">
        <is>
          <t>군산시</t>
        </is>
      </c>
      <c r="AD605" s="78" t="inlineStr">
        <is>
          <t>조촌동</t>
        </is>
      </c>
      <c r="AG605" s="78" t="inlineStr">
        <is>
          <t>전라북도 군산시 공단대로 54</t>
        </is>
      </c>
      <c r="AH605" s="78" t="n">
        <v>0</v>
      </c>
      <c r="AI605" s="78" t="n">
        <v>244</v>
      </c>
      <c r="AJ605" s="78" t="n">
        <v>15</v>
      </c>
      <c r="AK605" s="78" t="n">
        <v>837</v>
      </c>
      <c r="AL605" s="78" t="n">
        <v>1.09</v>
      </c>
    </row>
    <row r="606">
      <c r="A606" s="78" t="inlineStr">
        <is>
          <t>[조촌동]</t>
        </is>
      </c>
      <c r="B606" s="78" t="n">
        <v>106468</v>
      </c>
      <c r="C606" s="78" t="n">
        <v>1</v>
      </c>
      <c r="D606" s="78" t="inlineStr">
        <is>
          <t>현대한솔</t>
        </is>
      </c>
      <c r="E606" s="78" t="inlineStr">
        <is>
          <t>2001.02.</t>
        </is>
      </c>
      <c r="F606" s="78" t="n">
        <v>154</v>
      </c>
      <c r="G606" s="78" t="n">
        <v>18.17</v>
      </c>
      <c r="H606" s="78" t="n">
        <v>60.09</v>
      </c>
      <c r="I606" s="78" t="n">
        <v>13.44</v>
      </c>
      <c r="J606" s="78" t="n">
        <v>44.46</v>
      </c>
      <c r="K606" s="78" t="n">
        <v>28</v>
      </c>
      <c r="T606" s="78" t="n">
        <v>2</v>
      </c>
      <c r="U606" s="78" t="n">
        <v>1</v>
      </c>
      <c r="V606" s="78" t="inlineStr">
        <is>
          <t>복도식</t>
        </is>
      </c>
      <c r="W606" s="78" t="n">
        <v>60</v>
      </c>
      <c r="X606" s="78" t="n">
        <v>15</v>
      </c>
      <c r="Y606" s="78" t="n">
        <v>15</v>
      </c>
      <c r="Z606" s="78" t="inlineStr">
        <is>
          <t>https://new.land.naver.com/complexes/106468?tab=detail&amp;rf=Y</t>
        </is>
      </c>
      <c r="AA606" s="78" t="inlineStr">
        <is>
          <t>전라북도 군산시 조촌동 895-16</t>
        </is>
      </c>
      <c r="AB606" s="78" t="inlineStr">
        <is>
          <t>전라북도</t>
        </is>
      </c>
      <c r="AC606" s="78" t="inlineStr">
        <is>
          <t>군산시</t>
        </is>
      </c>
      <c r="AD606" s="78" t="inlineStr">
        <is>
          <t>조촌동</t>
        </is>
      </c>
      <c r="AG606" s="78" t="inlineStr">
        <is>
          <t>전라북도 군산시 번영로 159</t>
        </is>
      </c>
      <c r="AH606" s="78" t="n">
        <v>3</v>
      </c>
      <c r="AI606" s="78" t="n">
        <v>580</v>
      </c>
      <c r="AJ606" s="78" t="n">
        <v>56</v>
      </c>
      <c r="AK606" s="78" t="n">
        <v>151</v>
      </c>
      <c r="AL606" s="78" t="n">
        <v>0.98</v>
      </c>
    </row>
    <row r="607">
      <c r="A607" s="78" t="inlineStr">
        <is>
          <t>[조촌동]</t>
        </is>
      </c>
      <c r="B607" s="78" t="n">
        <v>106468</v>
      </c>
      <c r="C607" s="78" t="n">
        <v>2</v>
      </c>
      <c r="D607" s="78" t="inlineStr">
        <is>
          <t>현대한솔</t>
        </is>
      </c>
      <c r="E607" s="78" t="inlineStr">
        <is>
          <t>2001.02.</t>
        </is>
      </c>
      <c r="F607" s="78" t="n">
        <v>154</v>
      </c>
      <c r="G607" s="78" t="n">
        <v>27.05</v>
      </c>
      <c r="H607" s="78" t="n">
        <v>89.43000000000001</v>
      </c>
      <c r="I607" s="78" t="n">
        <v>20.06</v>
      </c>
      <c r="J607" s="78" t="n">
        <v>66.31999999999999</v>
      </c>
      <c r="K607" s="78" t="n">
        <v>27</v>
      </c>
      <c r="T607" s="78" t="n">
        <v>3</v>
      </c>
      <c r="U607" s="78" t="n">
        <v>1</v>
      </c>
      <c r="V607" s="78" t="inlineStr">
        <is>
          <t>계단식</t>
        </is>
      </c>
      <c r="W607" s="78" t="n">
        <v>89</v>
      </c>
      <c r="X607" s="78" t="n">
        <v>15</v>
      </c>
      <c r="Y607" s="78" t="n">
        <v>15</v>
      </c>
      <c r="Z607" s="78" t="inlineStr">
        <is>
          <t>https://new.land.naver.com/complexes/106468?tab=detail&amp;rf=Y</t>
        </is>
      </c>
      <c r="AA607" s="78" t="inlineStr">
        <is>
          <t>전라북도 군산시 조촌동 895-16</t>
        </is>
      </c>
      <c r="AB607" s="78" t="inlineStr">
        <is>
          <t>전라북도</t>
        </is>
      </c>
      <c r="AC607" s="78" t="inlineStr">
        <is>
          <t>군산시</t>
        </is>
      </c>
      <c r="AD607" s="78" t="inlineStr">
        <is>
          <t>조촌동</t>
        </is>
      </c>
      <c r="AG607" s="78" t="inlineStr">
        <is>
          <t>전라북도 군산시 번영로 159</t>
        </is>
      </c>
      <c r="AH607" s="78" t="n">
        <v>3</v>
      </c>
      <c r="AI607" s="78" t="n">
        <v>580</v>
      </c>
      <c r="AJ607" s="78" t="n">
        <v>56</v>
      </c>
      <c r="AK607" s="78" t="n">
        <v>151</v>
      </c>
      <c r="AL607" s="78" t="n">
        <v>0.98</v>
      </c>
    </row>
    <row r="608">
      <c r="A608" s="78" t="inlineStr">
        <is>
          <t>[조촌동]</t>
        </is>
      </c>
      <c r="B608" s="78" t="n">
        <v>106468</v>
      </c>
      <c r="C608" s="78" t="n">
        <v>3</v>
      </c>
      <c r="D608" s="78" t="inlineStr">
        <is>
          <t>현대한솔</t>
        </is>
      </c>
      <c r="E608" s="78" t="inlineStr">
        <is>
          <t>2001.02.</t>
        </is>
      </c>
      <c r="F608" s="78" t="n">
        <v>154</v>
      </c>
      <c r="G608" s="78" t="n">
        <v>34.56</v>
      </c>
      <c r="H608" s="78" t="n">
        <v>114.26</v>
      </c>
      <c r="I608" s="78" t="n">
        <v>25.6</v>
      </c>
      <c r="J608" s="78" t="n">
        <v>84.63</v>
      </c>
      <c r="K608" s="78" t="n">
        <v>96</v>
      </c>
      <c r="T608" s="78" t="n">
        <v>3</v>
      </c>
      <c r="U608" s="78" t="n">
        <v>2</v>
      </c>
      <c r="V608" s="78" t="inlineStr">
        <is>
          <t>계단식</t>
        </is>
      </c>
      <c r="W608" s="78" t="n">
        <v>114</v>
      </c>
      <c r="X608" s="78" t="n">
        <v>15</v>
      </c>
      <c r="Y608" s="78" t="n">
        <v>15</v>
      </c>
      <c r="Z608" s="78" t="inlineStr">
        <is>
          <t>https://new.land.naver.com/complexes/106468?tab=detail&amp;rf=Y</t>
        </is>
      </c>
      <c r="AA608" s="78" t="inlineStr">
        <is>
          <t>전라북도 군산시 조촌동 895-16</t>
        </is>
      </c>
      <c r="AB608" s="78" t="inlineStr">
        <is>
          <t>전라북도</t>
        </is>
      </c>
      <c r="AC608" s="78" t="inlineStr">
        <is>
          <t>군산시</t>
        </is>
      </c>
      <c r="AD608" s="78" t="inlineStr">
        <is>
          <t>조촌동</t>
        </is>
      </c>
      <c r="AG608" s="78" t="inlineStr">
        <is>
          <t>전라북도 군산시 번영로 159</t>
        </is>
      </c>
      <c r="AH608" s="78" t="n">
        <v>3</v>
      </c>
      <c r="AI608" s="78" t="n">
        <v>580</v>
      </c>
      <c r="AJ608" s="78" t="n">
        <v>56</v>
      </c>
      <c r="AK608" s="78" t="n">
        <v>151</v>
      </c>
      <c r="AL608" s="78" t="n">
        <v>0.98</v>
      </c>
    </row>
    <row r="609">
      <c r="A609" s="78" t="inlineStr">
        <is>
          <t>[조촌동]</t>
        </is>
      </c>
      <c r="B609" s="78" t="n">
        <v>5067</v>
      </c>
      <c r="C609" s="78" t="n">
        <v>1</v>
      </c>
      <c r="D609" s="78" t="inlineStr">
        <is>
          <t>삼성</t>
        </is>
      </c>
      <c r="E609" s="78" t="inlineStr">
        <is>
          <t>1992.10.</t>
        </is>
      </c>
      <c r="F609" s="78" t="n">
        <v>306</v>
      </c>
      <c r="G609" s="78" t="n">
        <v>27.91</v>
      </c>
      <c r="H609" s="78" t="n">
        <v>92.27</v>
      </c>
      <c r="I609" s="78" t="n">
        <v>22.33</v>
      </c>
      <c r="J609" s="78" t="n">
        <v>73.83</v>
      </c>
      <c r="K609" s="78" t="n">
        <v>72</v>
      </c>
      <c r="T609" s="78" t="n">
        <v>3</v>
      </c>
      <c r="U609" s="78" t="n">
        <v>1</v>
      </c>
      <c r="V609" s="78" t="inlineStr">
        <is>
          <t>계단식</t>
        </is>
      </c>
      <c r="W609" s="78" t="n">
        <v>92</v>
      </c>
      <c r="X609" s="78" t="n">
        <v>15</v>
      </c>
      <c r="Y609" s="78" t="n">
        <v>12</v>
      </c>
      <c r="Z609" s="78" t="inlineStr">
        <is>
          <t>https://new.land.naver.com/complexes/5067?tab=detail&amp;rf=Y</t>
        </is>
      </c>
      <c r="AA609" s="78" t="inlineStr">
        <is>
          <t>전라북도 군산시 조촌동 491</t>
        </is>
      </c>
      <c r="AB609" s="78" t="inlineStr">
        <is>
          <t>전라북도</t>
        </is>
      </c>
      <c r="AC609" s="78" t="inlineStr">
        <is>
          <t>군산시</t>
        </is>
      </c>
      <c r="AD609" s="78" t="inlineStr">
        <is>
          <t>조촌동</t>
        </is>
      </c>
      <c r="AG609" s="78" t="inlineStr">
        <is>
          <t>전라북도 군산시 백릉로 162</t>
        </is>
      </c>
      <c r="AH609" s="78" t="n">
        <v>0</v>
      </c>
      <c r="AI609" s="78" t="n">
        <v>226</v>
      </c>
      <c r="AJ609" s="78" t="n">
        <v>19</v>
      </c>
      <c r="AK609" s="78" t="n">
        <v>306</v>
      </c>
      <c r="AL609" s="78" t="n">
        <v>1</v>
      </c>
    </row>
    <row r="610">
      <c r="A610" s="78" t="inlineStr">
        <is>
          <t>[조촌동]</t>
        </is>
      </c>
      <c r="B610" s="78" t="n">
        <v>5067</v>
      </c>
      <c r="C610" s="78" t="n">
        <v>2</v>
      </c>
      <c r="D610" s="78" t="inlineStr">
        <is>
          <t>삼성</t>
        </is>
      </c>
      <c r="E610" s="78" t="inlineStr">
        <is>
          <t>1992.10.</t>
        </is>
      </c>
      <c r="F610" s="78" t="n">
        <v>306</v>
      </c>
      <c r="G610" s="78" t="n">
        <v>27.9</v>
      </c>
      <c r="H610" s="78" t="n">
        <v>92.23999999999999</v>
      </c>
      <c r="I610" s="78" t="n">
        <v>22.22</v>
      </c>
      <c r="J610" s="78" t="n">
        <v>73.47</v>
      </c>
      <c r="K610" s="78" t="n">
        <v>72</v>
      </c>
      <c r="T610" s="78" t="n">
        <v>3</v>
      </c>
      <c r="U610" s="78" t="n">
        <v>1</v>
      </c>
      <c r="V610" s="78" t="inlineStr">
        <is>
          <t>계단식</t>
        </is>
      </c>
      <c r="W610" s="78" t="inlineStr">
        <is>
          <t>92S</t>
        </is>
      </c>
      <c r="X610" s="78" t="n">
        <v>15</v>
      </c>
      <c r="Y610" s="78" t="n">
        <v>12</v>
      </c>
      <c r="Z610" s="78" t="inlineStr">
        <is>
          <t>https://new.land.naver.com/complexes/5067?tab=detail&amp;rf=Y</t>
        </is>
      </c>
      <c r="AA610" s="78" t="inlineStr">
        <is>
          <t>전라북도 군산시 조촌동 491</t>
        </is>
      </c>
      <c r="AB610" s="78" t="inlineStr">
        <is>
          <t>전라북도</t>
        </is>
      </c>
      <c r="AC610" s="78" t="inlineStr">
        <is>
          <t>군산시</t>
        </is>
      </c>
      <c r="AD610" s="78" t="inlineStr">
        <is>
          <t>조촌동</t>
        </is>
      </c>
      <c r="AG610" s="78" t="inlineStr">
        <is>
          <t>전라북도 군산시 백릉로 162</t>
        </is>
      </c>
      <c r="AH610" s="78" t="n">
        <v>0</v>
      </c>
      <c r="AI610" s="78" t="n">
        <v>226</v>
      </c>
      <c r="AJ610" s="78" t="n">
        <v>19</v>
      </c>
      <c r="AK610" s="78" t="n">
        <v>306</v>
      </c>
      <c r="AL610" s="78" t="n">
        <v>1</v>
      </c>
    </row>
    <row r="611">
      <c r="A611" s="78" t="inlineStr">
        <is>
          <t>[조촌동]</t>
        </is>
      </c>
      <c r="B611" s="78" t="n">
        <v>5067</v>
      </c>
      <c r="C611" s="78" t="n">
        <v>3</v>
      </c>
      <c r="D611" s="78" t="inlineStr">
        <is>
          <t>삼성</t>
        </is>
      </c>
      <c r="E611" s="78" t="inlineStr">
        <is>
          <t>1992.10.</t>
        </is>
      </c>
      <c r="F611" s="78" t="n">
        <v>306</v>
      </c>
      <c r="G611" s="78" t="n">
        <v>31.65</v>
      </c>
      <c r="H611" s="78" t="n">
        <v>104.63</v>
      </c>
      <c r="I611" s="78" t="n">
        <v>25.7</v>
      </c>
      <c r="J611" s="78" t="n">
        <v>84.98999999999999</v>
      </c>
      <c r="K611" s="78" t="n">
        <v>132</v>
      </c>
      <c r="T611" s="78" t="n">
        <v>3</v>
      </c>
      <c r="U611" s="78" t="n">
        <v>2</v>
      </c>
      <c r="V611" s="78" t="inlineStr">
        <is>
          <t>계단식</t>
        </is>
      </c>
      <c r="W611" s="78" t="n">
        <v>104</v>
      </c>
      <c r="X611" s="78" t="n">
        <v>15</v>
      </c>
      <c r="Y611" s="78" t="n">
        <v>12</v>
      </c>
      <c r="Z611" s="78" t="inlineStr">
        <is>
          <t>https://new.land.naver.com/complexes/5067?tab=detail&amp;rf=Y</t>
        </is>
      </c>
      <c r="AA611" s="78" t="inlineStr">
        <is>
          <t>전라북도 군산시 조촌동 491</t>
        </is>
      </c>
      <c r="AB611" s="78" t="inlineStr">
        <is>
          <t>전라북도</t>
        </is>
      </c>
      <c r="AC611" s="78" t="inlineStr">
        <is>
          <t>군산시</t>
        </is>
      </c>
      <c r="AD611" s="78" t="inlineStr">
        <is>
          <t>조촌동</t>
        </is>
      </c>
      <c r="AG611" s="78" t="inlineStr">
        <is>
          <t>전라북도 군산시 백릉로 162</t>
        </is>
      </c>
      <c r="AH611" s="78" t="n">
        <v>0</v>
      </c>
      <c r="AI611" s="78" t="n">
        <v>226</v>
      </c>
      <c r="AJ611" s="78" t="n">
        <v>19</v>
      </c>
      <c r="AK611" s="78" t="n">
        <v>306</v>
      </c>
      <c r="AL611" s="78" t="n">
        <v>1</v>
      </c>
    </row>
    <row r="612">
      <c r="A612" s="78" t="inlineStr">
        <is>
          <t>[조촌동]</t>
        </is>
      </c>
      <c r="B612" s="78" t="n">
        <v>5067</v>
      </c>
      <c r="C612" s="78" t="n">
        <v>4</v>
      </c>
      <c r="D612" s="78" t="inlineStr">
        <is>
          <t>삼성</t>
        </is>
      </c>
      <c r="E612" s="78" t="inlineStr">
        <is>
          <t>1992.10.</t>
        </is>
      </c>
      <c r="F612" s="78" t="n">
        <v>306</v>
      </c>
      <c r="G612" s="78" t="n">
        <v>31.6</v>
      </c>
      <c r="H612" s="78" t="n">
        <v>104.47</v>
      </c>
      <c r="I612" s="78" t="n">
        <v>25.68</v>
      </c>
      <c r="J612" s="78" t="n">
        <v>84.90000000000001</v>
      </c>
      <c r="K612" s="78" t="n">
        <v>30</v>
      </c>
      <c r="T612" s="78" t="n">
        <v>3</v>
      </c>
      <c r="U612" s="78" t="n">
        <v>2</v>
      </c>
      <c r="V612" s="78" t="inlineStr">
        <is>
          <t>계단식</t>
        </is>
      </c>
      <c r="W612" s="78" t="inlineStr">
        <is>
          <t>104S</t>
        </is>
      </c>
      <c r="X612" s="78" t="n">
        <v>15</v>
      </c>
      <c r="Y612" s="78" t="n">
        <v>12</v>
      </c>
      <c r="Z612" s="78" t="inlineStr">
        <is>
          <t>https://new.land.naver.com/complexes/5067?tab=detail&amp;rf=Y</t>
        </is>
      </c>
      <c r="AA612" s="78" t="inlineStr">
        <is>
          <t>전라북도 군산시 조촌동 491</t>
        </is>
      </c>
      <c r="AB612" s="78" t="inlineStr">
        <is>
          <t>전라북도</t>
        </is>
      </c>
      <c r="AC612" s="78" t="inlineStr">
        <is>
          <t>군산시</t>
        </is>
      </c>
      <c r="AD612" s="78" t="inlineStr">
        <is>
          <t>조촌동</t>
        </is>
      </c>
      <c r="AG612" s="78" t="inlineStr">
        <is>
          <t>전라북도 군산시 백릉로 162</t>
        </is>
      </c>
      <c r="AH612" s="78" t="n">
        <v>0</v>
      </c>
      <c r="AI612" s="78" t="n">
        <v>226</v>
      </c>
      <c r="AJ612" s="78" t="n">
        <v>19</v>
      </c>
      <c r="AK612" s="78" t="n">
        <v>306</v>
      </c>
      <c r="AL612" s="78" t="n">
        <v>1</v>
      </c>
    </row>
    <row r="613">
      <c r="A613" s="78" t="inlineStr">
        <is>
          <t>[조촌동]</t>
        </is>
      </c>
      <c r="B613" s="78" t="n">
        <v>128224</v>
      </c>
      <c r="C613" s="78" t="n">
        <v>1</v>
      </c>
      <c r="D613" s="78" t="inlineStr">
        <is>
          <t>부향하나로</t>
        </is>
      </c>
      <c r="E613" s="78" t="inlineStr">
        <is>
          <t>1996.09.</t>
        </is>
      </c>
      <c r="F613" s="78" t="n">
        <v>402</v>
      </c>
      <c r="G613" s="78" t="n">
        <v>16.24</v>
      </c>
      <c r="H613" s="78" t="n">
        <v>53.69</v>
      </c>
      <c r="I613" s="78" t="n">
        <v>12.08</v>
      </c>
      <c r="J613" s="78" t="n">
        <v>39.96</v>
      </c>
      <c r="K613" s="78" t="n">
        <v>402</v>
      </c>
      <c r="T613" s="78" t="n">
        <v>2</v>
      </c>
      <c r="U613" s="78" t="n">
        <v>1</v>
      </c>
      <c r="V613" s="78" t="inlineStr">
        <is>
          <t>계단식</t>
        </is>
      </c>
      <c r="W613" s="78" t="n">
        <v>53</v>
      </c>
      <c r="X613" s="78" t="n">
        <v>18</v>
      </c>
      <c r="Y613" s="78" t="n">
        <v>15</v>
      </c>
      <c r="Z613" s="78" t="inlineStr">
        <is>
          <t>https://new.land.naver.com/complexes/128224?tab=detail&amp;rf=Y</t>
        </is>
      </c>
      <c r="AA613" s="78" t="inlineStr">
        <is>
          <t>전라북도 군산시 조촌동 771</t>
        </is>
      </c>
      <c r="AB613" s="78" t="inlineStr">
        <is>
          <t>전라북도</t>
        </is>
      </c>
      <c r="AC613" s="78" t="inlineStr">
        <is>
          <t>군산시</t>
        </is>
      </c>
      <c r="AD613" s="78" t="inlineStr">
        <is>
          <t>조촌동</t>
        </is>
      </c>
      <c r="AG613" s="78" t="inlineStr">
        <is>
          <t>전라북도 군산시 번영로 188-22</t>
        </is>
      </c>
      <c r="AH613" s="78" t="n">
        <v>0</v>
      </c>
      <c r="AI613" s="78" t="n">
        <v>418</v>
      </c>
      <c r="AJ613" s="78" t="n">
        <v>33</v>
      </c>
      <c r="AK613" s="78" t="n">
        <v>245</v>
      </c>
      <c r="AL613" s="78" t="n">
        <v>0.61</v>
      </c>
    </row>
    <row r="614">
      <c r="A614" s="78" t="inlineStr">
        <is>
          <t>[조촌동]</t>
        </is>
      </c>
      <c r="B614" s="78" t="n">
        <v>112707</v>
      </c>
      <c r="C614" s="78" t="n">
        <v>1</v>
      </c>
      <c r="D614" s="78" t="inlineStr">
        <is>
          <t>e편한세상군산디오션시티</t>
        </is>
      </c>
      <c r="E614" s="78" t="inlineStr">
        <is>
          <t>2018.11.</t>
        </is>
      </c>
      <c r="F614" s="78" t="n">
        <v>854</v>
      </c>
      <c r="G614" s="78" t="n">
        <v>24.35</v>
      </c>
      <c r="H614" s="78" t="n">
        <v>80.5</v>
      </c>
      <c r="I614" s="78" t="n">
        <v>18.11</v>
      </c>
      <c r="J614" s="78" t="n">
        <v>59.88</v>
      </c>
      <c r="K614" s="78" t="n">
        <v>174</v>
      </c>
      <c r="T614" s="78" t="n">
        <v>3</v>
      </c>
      <c r="U614" s="78" t="n">
        <v>2</v>
      </c>
      <c r="V614" s="78" t="inlineStr">
        <is>
          <t>계단식</t>
        </is>
      </c>
      <c r="W614" s="78" t="n">
        <v>80</v>
      </c>
      <c r="X614" s="78" t="n">
        <v>29</v>
      </c>
      <c r="Y614" s="78" t="n">
        <v>29</v>
      </c>
      <c r="Z614" s="78" t="inlineStr">
        <is>
          <t>https://new.land.naver.com/complexes/112707?tab=detail&amp;rf=Y</t>
        </is>
      </c>
      <c r="AA614" s="78" t="inlineStr">
        <is>
          <t>전라북도 군산시 조촌동 3963</t>
        </is>
      </c>
      <c r="AB614" s="78" t="inlineStr">
        <is>
          <t>전라북도</t>
        </is>
      </c>
      <c r="AC614" s="78" t="inlineStr">
        <is>
          <t>군산시</t>
        </is>
      </c>
      <c r="AD614" s="78" t="inlineStr">
        <is>
          <t>조촌동</t>
        </is>
      </c>
      <c r="AG614" s="78" t="inlineStr">
        <is>
          <t>전라북도 군산시 궁포2로 25</t>
        </is>
      </c>
      <c r="AH614" s="78" t="n">
        <v>0</v>
      </c>
      <c r="AI614" s="78" t="n">
        <v>0</v>
      </c>
      <c r="AJ614" s="78" t="n">
        <v>0</v>
      </c>
      <c r="AK614" s="78" t="n">
        <v>1100</v>
      </c>
      <c r="AL614" s="78" t="n">
        <v>1.29</v>
      </c>
    </row>
    <row r="615">
      <c r="A615" s="78" t="inlineStr">
        <is>
          <t>[조촌동]</t>
        </is>
      </c>
      <c r="B615" s="78" t="n">
        <v>112707</v>
      </c>
      <c r="C615" s="78" t="n">
        <v>2</v>
      </c>
      <c r="D615" s="78" t="inlineStr">
        <is>
          <t>e편한세상군산디오션시티</t>
        </is>
      </c>
      <c r="E615" s="78" t="inlineStr">
        <is>
          <t>2018.11.</t>
        </is>
      </c>
      <c r="F615" s="78" t="n">
        <v>854</v>
      </c>
      <c r="G615" s="78" t="n">
        <v>30.38</v>
      </c>
      <c r="H615" s="78" t="n">
        <v>100.43</v>
      </c>
      <c r="I615" s="78" t="n">
        <v>22.67</v>
      </c>
      <c r="J615" s="78" t="n">
        <v>74.95999999999999</v>
      </c>
      <c r="K615" s="78" t="n">
        <v>174</v>
      </c>
      <c r="T615" s="78" t="n">
        <v>3</v>
      </c>
      <c r="U615" s="78" t="n">
        <v>2</v>
      </c>
      <c r="V615" s="78" t="inlineStr">
        <is>
          <t>계단식</t>
        </is>
      </c>
      <c r="W615" s="78" t="inlineStr">
        <is>
          <t>100B</t>
        </is>
      </c>
      <c r="X615" s="78" t="n">
        <v>29</v>
      </c>
      <c r="Y615" s="78" t="n">
        <v>29</v>
      </c>
      <c r="Z615" s="78" t="inlineStr">
        <is>
          <t>https://new.land.naver.com/complexes/112707?tab=detail&amp;rf=Y</t>
        </is>
      </c>
      <c r="AA615" s="78" t="inlineStr">
        <is>
          <t>전라북도 군산시 조촌동 3963</t>
        </is>
      </c>
      <c r="AB615" s="78" t="inlineStr">
        <is>
          <t>전라북도</t>
        </is>
      </c>
      <c r="AC615" s="78" t="inlineStr">
        <is>
          <t>군산시</t>
        </is>
      </c>
      <c r="AD615" s="78" t="inlineStr">
        <is>
          <t>조촌동</t>
        </is>
      </c>
      <c r="AG615" s="78" t="inlineStr">
        <is>
          <t>전라북도 군산시 궁포2로 25</t>
        </is>
      </c>
      <c r="AH615" s="78" t="n">
        <v>0</v>
      </c>
      <c r="AI615" s="78" t="n">
        <v>0</v>
      </c>
      <c r="AJ615" s="78" t="n">
        <v>0</v>
      </c>
      <c r="AK615" s="78" t="n">
        <v>1100</v>
      </c>
      <c r="AL615" s="78" t="n">
        <v>1.29</v>
      </c>
    </row>
    <row r="616">
      <c r="A616" s="78" t="inlineStr">
        <is>
          <t>[조촌동]</t>
        </is>
      </c>
      <c r="B616" s="78" t="n">
        <v>112707</v>
      </c>
      <c r="C616" s="78" t="n">
        <v>3</v>
      </c>
      <c r="D616" s="78" t="inlineStr">
        <is>
          <t>e편한세상군산디오션시티</t>
        </is>
      </c>
      <c r="E616" s="78" t="inlineStr">
        <is>
          <t>2018.11.</t>
        </is>
      </c>
      <c r="F616" s="78" t="n">
        <v>854</v>
      </c>
      <c r="G616" s="78" t="n">
        <v>30.27</v>
      </c>
      <c r="H616" s="78" t="n">
        <v>100.08</v>
      </c>
      <c r="I616" s="78" t="n">
        <v>22.67</v>
      </c>
      <c r="J616" s="78" t="n">
        <v>74.95999999999999</v>
      </c>
      <c r="K616" s="78" t="n">
        <v>84</v>
      </c>
      <c r="T616" s="78" t="n">
        <v>3</v>
      </c>
      <c r="U616" s="78" t="n">
        <v>2</v>
      </c>
      <c r="V616" s="78" t="inlineStr">
        <is>
          <t>계단식</t>
        </is>
      </c>
      <c r="W616" s="78" t="inlineStr">
        <is>
          <t>100A</t>
        </is>
      </c>
      <c r="X616" s="78" t="n">
        <v>29</v>
      </c>
      <c r="Y616" s="78" t="n">
        <v>29</v>
      </c>
      <c r="Z616" s="78" t="inlineStr">
        <is>
          <t>https://new.land.naver.com/complexes/112707?tab=detail&amp;rf=Y</t>
        </is>
      </c>
      <c r="AA616" s="78" t="inlineStr">
        <is>
          <t>전라북도 군산시 조촌동 3963</t>
        </is>
      </c>
      <c r="AB616" s="78" t="inlineStr">
        <is>
          <t>전라북도</t>
        </is>
      </c>
      <c r="AC616" s="78" t="inlineStr">
        <is>
          <t>군산시</t>
        </is>
      </c>
      <c r="AD616" s="78" t="inlineStr">
        <is>
          <t>조촌동</t>
        </is>
      </c>
      <c r="AG616" s="78" t="inlineStr">
        <is>
          <t>전라북도 군산시 궁포2로 25</t>
        </is>
      </c>
      <c r="AH616" s="78" t="n">
        <v>0</v>
      </c>
      <c r="AI616" s="78" t="n">
        <v>0</v>
      </c>
      <c r="AJ616" s="78" t="n">
        <v>0</v>
      </c>
      <c r="AK616" s="78" t="n">
        <v>1100</v>
      </c>
      <c r="AL616" s="78" t="n">
        <v>1.29</v>
      </c>
    </row>
    <row r="617">
      <c r="A617" s="78" t="inlineStr">
        <is>
          <t>[조촌동]</t>
        </is>
      </c>
      <c r="B617" s="78" t="n">
        <v>112707</v>
      </c>
      <c r="C617" s="78" t="n">
        <v>4</v>
      </c>
      <c r="D617" s="78" t="inlineStr">
        <is>
          <t>e편한세상군산디오션시티</t>
        </is>
      </c>
      <c r="E617" s="78" t="inlineStr">
        <is>
          <t>2018.11.</t>
        </is>
      </c>
      <c r="F617" s="78" t="n">
        <v>854</v>
      </c>
      <c r="G617" s="78" t="n">
        <v>34.23</v>
      </c>
      <c r="H617" s="78" t="n">
        <v>113.18</v>
      </c>
      <c r="I617" s="78" t="n">
        <v>25.7</v>
      </c>
      <c r="J617" s="78" t="n">
        <v>84.98999999999999</v>
      </c>
      <c r="K617" s="78" t="n">
        <v>253</v>
      </c>
      <c r="T617" s="78" t="n">
        <v>3</v>
      </c>
      <c r="U617" s="78" t="n">
        <v>2</v>
      </c>
      <c r="V617" s="78" t="inlineStr">
        <is>
          <t>계단식</t>
        </is>
      </c>
      <c r="W617" s="78" t="inlineStr">
        <is>
          <t>113A</t>
        </is>
      </c>
      <c r="X617" s="78" t="n">
        <v>29</v>
      </c>
      <c r="Y617" s="78" t="n">
        <v>29</v>
      </c>
      <c r="Z617" s="78" t="inlineStr">
        <is>
          <t>https://new.land.naver.com/complexes/112707?tab=detail&amp;rf=Y</t>
        </is>
      </c>
      <c r="AA617" s="78" t="inlineStr">
        <is>
          <t>전라북도 군산시 조촌동 3963</t>
        </is>
      </c>
      <c r="AB617" s="78" t="inlineStr">
        <is>
          <t>전라북도</t>
        </is>
      </c>
      <c r="AC617" s="78" t="inlineStr">
        <is>
          <t>군산시</t>
        </is>
      </c>
      <c r="AD617" s="78" t="inlineStr">
        <is>
          <t>조촌동</t>
        </is>
      </c>
      <c r="AG617" s="78" t="inlineStr">
        <is>
          <t>전라북도 군산시 궁포2로 25</t>
        </is>
      </c>
      <c r="AH617" s="78" t="n">
        <v>0</v>
      </c>
      <c r="AI617" s="78" t="n">
        <v>0</v>
      </c>
      <c r="AJ617" s="78" t="n">
        <v>0</v>
      </c>
      <c r="AK617" s="78" t="n">
        <v>1100</v>
      </c>
      <c r="AL617" s="78" t="n">
        <v>1.29</v>
      </c>
    </row>
    <row r="618">
      <c r="A618" s="78" t="inlineStr">
        <is>
          <t>[조촌동]</t>
        </is>
      </c>
      <c r="B618" s="78" t="n">
        <v>112707</v>
      </c>
      <c r="C618" s="78" t="n">
        <v>5</v>
      </c>
      <c r="D618" s="78" t="inlineStr">
        <is>
          <t>e편한세상군산디오션시티</t>
        </is>
      </c>
      <c r="E618" s="78" t="inlineStr">
        <is>
          <t>2018.11.</t>
        </is>
      </c>
      <c r="F618" s="78" t="n">
        <v>854</v>
      </c>
      <c r="G618" s="78" t="n">
        <v>34.46</v>
      </c>
      <c r="H618" s="78" t="n">
        <v>113.93</v>
      </c>
      <c r="I618" s="78" t="n">
        <v>25.64</v>
      </c>
      <c r="J618" s="78" t="n">
        <v>84.78</v>
      </c>
      <c r="K618" s="78" t="n">
        <v>82</v>
      </c>
      <c r="T618" s="78" t="n">
        <v>3</v>
      </c>
      <c r="U618" s="78" t="n">
        <v>2</v>
      </c>
      <c r="V618" s="78" t="inlineStr">
        <is>
          <t>계단식</t>
        </is>
      </c>
      <c r="W618" s="78" t="inlineStr">
        <is>
          <t>113B</t>
        </is>
      </c>
      <c r="X618" s="78" t="n">
        <v>29</v>
      </c>
      <c r="Y618" s="78" t="n">
        <v>29</v>
      </c>
      <c r="Z618" s="78" t="inlineStr">
        <is>
          <t>https://new.land.naver.com/complexes/112707?tab=detail&amp;rf=Y</t>
        </is>
      </c>
      <c r="AA618" s="78" t="inlineStr">
        <is>
          <t>전라북도 군산시 조촌동 3963</t>
        </is>
      </c>
      <c r="AB618" s="78" t="inlineStr">
        <is>
          <t>전라북도</t>
        </is>
      </c>
      <c r="AC618" s="78" t="inlineStr">
        <is>
          <t>군산시</t>
        </is>
      </c>
      <c r="AD618" s="78" t="inlineStr">
        <is>
          <t>조촌동</t>
        </is>
      </c>
      <c r="AG618" s="78" t="inlineStr">
        <is>
          <t>전라북도 군산시 궁포2로 25</t>
        </is>
      </c>
      <c r="AH618" s="78" t="n">
        <v>0</v>
      </c>
      <c r="AI618" s="78" t="n">
        <v>0</v>
      </c>
      <c r="AJ618" s="78" t="n">
        <v>0</v>
      </c>
      <c r="AK618" s="78" t="n">
        <v>1100</v>
      </c>
      <c r="AL618" s="78" t="n">
        <v>1.29</v>
      </c>
    </row>
    <row r="619">
      <c r="A619" s="78" t="inlineStr">
        <is>
          <t>[조촌동]</t>
        </is>
      </c>
      <c r="B619" s="78" t="n">
        <v>112707</v>
      </c>
      <c r="C619" s="78" t="n">
        <v>6</v>
      </c>
      <c r="D619" s="78" t="inlineStr">
        <is>
          <t>e편한세상군산디오션시티</t>
        </is>
      </c>
      <c r="E619" s="78" t="inlineStr">
        <is>
          <t>2018.11.</t>
        </is>
      </c>
      <c r="F619" s="78" t="n">
        <v>854</v>
      </c>
      <c r="G619" s="78" t="n">
        <v>42.42</v>
      </c>
      <c r="H619" s="78" t="n">
        <v>140.25</v>
      </c>
      <c r="I619" s="78" t="n">
        <v>32.17</v>
      </c>
      <c r="J619" s="78" t="n">
        <v>106.35</v>
      </c>
      <c r="K619" s="78" t="n">
        <v>87</v>
      </c>
      <c r="T619" s="78" t="n">
        <v>4</v>
      </c>
      <c r="U619" s="78" t="n">
        <v>2</v>
      </c>
      <c r="V619" s="78" t="inlineStr">
        <is>
          <t>계단식</t>
        </is>
      </c>
      <c r="W619" s="78" t="n">
        <v>140</v>
      </c>
      <c r="X619" s="78" t="n">
        <v>29</v>
      </c>
      <c r="Y619" s="78" t="n">
        <v>29</v>
      </c>
      <c r="Z619" s="78" t="inlineStr">
        <is>
          <t>https://new.land.naver.com/complexes/112707?tab=detail&amp;rf=Y</t>
        </is>
      </c>
      <c r="AA619" s="78" t="inlineStr">
        <is>
          <t>전라북도 군산시 조촌동 3963</t>
        </is>
      </c>
      <c r="AB619" s="78" t="inlineStr">
        <is>
          <t>전라북도</t>
        </is>
      </c>
      <c r="AC619" s="78" t="inlineStr">
        <is>
          <t>군산시</t>
        </is>
      </c>
      <c r="AD619" s="78" t="inlineStr">
        <is>
          <t>조촌동</t>
        </is>
      </c>
      <c r="AG619" s="78" t="inlineStr">
        <is>
          <t>전라북도 군산시 궁포2로 25</t>
        </is>
      </c>
      <c r="AH619" s="78" t="n">
        <v>0</v>
      </c>
      <c r="AI619" s="78" t="n">
        <v>0</v>
      </c>
      <c r="AJ619" s="78" t="n">
        <v>0</v>
      </c>
      <c r="AK619" s="78" t="n">
        <v>1100</v>
      </c>
      <c r="AL619" s="78" t="n">
        <v>1.29</v>
      </c>
    </row>
    <row r="620">
      <c r="A620" s="78" t="inlineStr">
        <is>
          <t>[조촌동]</t>
        </is>
      </c>
      <c r="B620" s="78" t="n">
        <v>5069</v>
      </c>
      <c r="C620" s="78" t="n">
        <v>1</v>
      </c>
      <c r="D620" s="78" t="inlineStr">
        <is>
          <t>시영</t>
        </is>
      </c>
      <c r="E620" s="78" t="inlineStr">
        <is>
          <t>1993.12.</t>
        </is>
      </c>
      <c r="F620" s="78" t="n">
        <v>270</v>
      </c>
      <c r="G620" s="78" t="n">
        <v>20.13</v>
      </c>
      <c r="H620" s="78" t="n">
        <v>66.55</v>
      </c>
      <c r="I620" s="78" t="n">
        <v>14.86</v>
      </c>
      <c r="J620" s="78" t="n">
        <v>49.14</v>
      </c>
      <c r="K620" s="78" t="n">
        <v>150</v>
      </c>
      <c r="T620" s="78" t="n">
        <v>2</v>
      </c>
      <c r="U620" s="78" t="n">
        <v>1</v>
      </c>
      <c r="V620" s="78" t="inlineStr">
        <is>
          <t>복도식</t>
        </is>
      </c>
      <c r="W620" s="78" t="n">
        <v>66</v>
      </c>
      <c r="X620" s="78" t="n">
        <v>15</v>
      </c>
      <c r="Y620" s="78" t="n">
        <v>15</v>
      </c>
      <c r="Z620" s="78" t="inlineStr">
        <is>
          <t>https://new.land.naver.com/complexes/5069?tab=detail&amp;rf=Y</t>
        </is>
      </c>
      <c r="AA620" s="78" t="inlineStr">
        <is>
          <t>전라북도 군산시 조촌동 903-1</t>
        </is>
      </c>
      <c r="AB620" s="78" t="inlineStr">
        <is>
          <t>전라북도</t>
        </is>
      </c>
      <c r="AC620" s="78" t="inlineStr">
        <is>
          <t>군산시</t>
        </is>
      </c>
      <c r="AD620" s="78" t="inlineStr">
        <is>
          <t>조촌동</t>
        </is>
      </c>
      <c r="AG620" s="78" t="inlineStr">
        <is>
          <t>전라북도 군산시 양안로 130</t>
        </is>
      </c>
      <c r="AH620" s="78" t="n">
        <v>0</v>
      </c>
      <c r="AI620" s="78" t="n">
        <v>189</v>
      </c>
      <c r="AJ620" s="78" t="n">
        <v>15</v>
      </c>
      <c r="AK620" s="78" t="n">
        <v>122</v>
      </c>
      <c r="AL620" s="78" t="n">
        <v>0.45</v>
      </c>
    </row>
    <row r="621">
      <c r="A621" s="78" t="inlineStr">
        <is>
          <t>[조촌동]</t>
        </is>
      </c>
      <c r="B621" s="78" t="n">
        <v>5069</v>
      </c>
      <c r="C621" s="78" t="n">
        <v>2</v>
      </c>
      <c r="D621" s="78" t="inlineStr">
        <is>
          <t>시영</t>
        </is>
      </c>
      <c r="E621" s="78" t="inlineStr">
        <is>
          <t>1993.12.</t>
        </is>
      </c>
      <c r="F621" s="78" t="n">
        <v>270</v>
      </c>
      <c r="G621" s="78" t="n">
        <v>24.02</v>
      </c>
      <c r="H621" s="78" t="n">
        <v>79.42</v>
      </c>
      <c r="I621" s="78" t="n">
        <v>17.96</v>
      </c>
      <c r="J621" s="78" t="n">
        <v>59.4</v>
      </c>
      <c r="K621" s="78" t="n">
        <v>120</v>
      </c>
      <c r="T621" s="78" t="n">
        <v>3</v>
      </c>
      <c r="U621" s="78" t="n">
        <v>1</v>
      </c>
      <c r="V621" s="78" t="inlineStr">
        <is>
          <t>복도식</t>
        </is>
      </c>
      <c r="W621" s="78" t="n">
        <v>79</v>
      </c>
      <c r="X621" s="78" t="n">
        <v>15</v>
      </c>
      <c r="Y621" s="78" t="n">
        <v>15</v>
      </c>
      <c r="Z621" s="78" t="inlineStr">
        <is>
          <t>https://new.land.naver.com/complexes/5069?tab=detail&amp;rf=Y</t>
        </is>
      </c>
      <c r="AA621" s="78" t="inlineStr">
        <is>
          <t>전라북도 군산시 조촌동 903-1</t>
        </is>
      </c>
      <c r="AB621" s="78" t="inlineStr">
        <is>
          <t>전라북도</t>
        </is>
      </c>
      <c r="AC621" s="78" t="inlineStr">
        <is>
          <t>군산시</t>
        </is>
      </c>
      <c r="AD621" s="78" t="inlineStr">
        <is>
          <t>조촌동</t>
        </is>
      </c>
      <c r="AG621" s="78" t="inlineStr">
        <is>
          <t>전라북도 군산시 양안로 130</t>
        </is>
      </c>
      <c r="AH621" s="78" t="n">
        <v>0</v>
      </c>
      <c r="AI621" s="78" t="n">
        <v>189</v>
      </c>
      <c r="AJ621" s="78" t="n">
        <v>15</v>
      </c>
      <c r="AK621" s="78" t="n">
        <v>122</v>
      </c>
      <c r="AL621" s="78" t="n">
        <v>0.45</v>
      </c>
    </row>
    <row r="622">
      <c r="A622" s="78" t="inlineStr">
        <is>
          <t>[조촌동]</t>
        </is>
      </c>
      <c r="B622" s="78" t="n">
        <v>139928</v>
      </c>
      <c r="C622" s="78" t="n">
        <v>1</v>
      </c>
      <c r="D622" s="78" t="inlineStr">
        <is>
          <t>더샵디오션시티2차</t>
        </is>
      </c>
      <c r="E622" s="78" t="inlineStr">
        <is>
          <t>2023.07.</t>
        </is>
      </c>
      <c r="F622" s="78" t="n">
        <v>771</v>
      </c>
      <c r="G622" s="78" t="n">
        <v>33.16</v>
      </c>
      <c r="H622" s="78" t="n">
        <v>109.63</v>
      </c>
      <c r="I622" s="78" t="n">
        <v>25.7</v>
      </c>
      <c r="J622" s="78" t="n">
        <v>84.98999999999999</v>
      </c>
      <c r="K622" s="78" t="n">
        <v>442</v>
      </c>
      <c r="T622" s="78" t="n">
        <v>3</v>
      </c>
      <c r="U622" s="78" t="n">
        <v>2</v>
      </c>
      <c r="V622" s="78" t="inlineStr">
        <is>
          <t>계단식</t>
        </is>
      </c>
      <c r="W622" s="78" t="inlineStr">
        <is>
          <t>109A</t>
        </is>
      </c>
      <c r="X622" s="78" t="n">
        <v>29</v>
      </c>
      <c r="Y622" s="78" t="n">
        <v>19</v>
      </c>
      <c r="Z622" s="78" t="inlineStr">
        <is>
          <t>https://new.land.naver.com/complexes/139928?tab=detail&amp;rf=Y</t>
        </is>
      </c>
      <c r="AA622" s="78" t="inlineStr">
        <is>
          <t>전라북도 군산시 조촌동 2-28번지 일원 (군산디오션시티 A5BL)</t>
        </is>
      </c>
      <c r="AB622" s="78" t="inlineStr">
        <is>
          <t>전라북도</t>
        </is>
      </c>
      <c r="AC622" s="78" t="inlineStr">
        <is>
          <t>군산시</t>
        </is>
      </c>
      <c r="AD622" s="78" t="inlineStr">
        <is>
          <t>조촌동</t>
        </is>
      </c>
      <c r="AG622" s="78" t="inlineStr">
        <is>
          <t>전라북도 군산시</t>
        </is>
      </c>
      <c r="AH622" s="78" t="n">
        <v>0</v>
      </c>
      <c r="AI622" s="78" t="n">
        <v>249</v>
      </c>
      <c r="AJ622" s="78" t="n">
        <v>17</v>
      </c>
      <c r="AK622" s="78" t="n">
        <v>1094</v>
      </c>
      <c r="AL622" s="78" t="n">
        <v>1.42</v>
      </c>
    </row>
    <row r="623">
      <c r="A623" s="78" t="inlineStr">
        <is>
          <t>[조촌동]</t>
        </is>
      </c>
      <c r="B623" s="78" t="n">
        <v>139928</v>
      </c>
      <c r="C623" s="78" t="n">
        <v>2</v>
      </c>
      <c r="D623" s="78" t="inlineStr">
        <is>
          <t>더샵디오션시티2차</t>
        </is>
      </c>
      <c r="E623" s="78" t="inlineStr">
        <is>
          <t>2023.07.</t>
        </is>
      </c>
      <c r="F623" s="78" t="n">
        <v>771</v>
      </c>
      <c r="G623" s="78" t="n">
        <v>33.16</v>
      </c>
      <c r="H623" s="78" t="n">
        <v>109.65</v>
      </c>
      <c r="I623" s="78" t="n">
        <v>25.7</v>
      </c>
      <c r="J623" s="78" t="n">
        <v>84.98999999999999</v>
      </c>
      <c r="K623" s="78" t="n">
        <v>111</v>
      </c>
      <c r="T623" s="78" t="n">
        <v>3</v>
      </c>
      <c r="U623" s="78" t="n">
        <v>2</v>
      </c>
      <c r="V623" s="78" t="inlineStr">
        <is>
          <t>계단식</t>
        </is>
      </c>
      <c r="W623" s="78" t="inlineStr">
        <is>
          <t>109B</t>
        </is>
      </c>
      <c r="X623" s="78" t="n">
        <v>29</v>
      </c>
      <c r="Y623" s="78" t="n">
        <v>19</v>
      </c>
      <c r="Z623" s="78" t="inlineStr">
        <is>
          <t>https://new.land.naver.com/complexes/139928?tab=detail&amp;rf=Y</t>
        </is>
      </c>
      <c r="AA623" s="78" t="inlineStr">
        <is>
          <t>전라북도 군산시 조촌동 2-28번지 일원 (군산디오션시티 A5BL)</t>
        </is>
      </c>
      <c r="AB623" s="78" t="inlineStr">
        <is>
          <t>전라북도</t>
        </is>
      </c>
      <c r="AC623" s="78" t="inlineStr">
        <is>
          <t>군산시</t>
        </is>
      </c>
      <c r="AD623" s="78" t="inlineStr">
        <is>
          <t>조촌동</t>
        </is>
      </c>
      <c r="AG623" s="78" t="inlineStr">
        <is>
          <t>전라북도 군산시</t>
        </is>
      </c>
      <c r="AH623" s="78" t="n">
        <v>0</v>
      </c>
      <c r="AI623" s="78" t="n">
        <v>249</v>
      </c>
      <c r="AJ623" s="78" t="n">
        <v>17</v>
      </c>
      <c r="AK623" s="78" t="n">
        <v>1094</v>
      </c>
      <c r="AL623" s="78" t="n">
        <v>1.42</v>
      </c>
    </row>
    <row r="624">
      <c r="A624" s="78" t="inlineStr">
        <is>
          <t>[조촌동]</t>
        </is>
      </c>
      <c r="B624" s="78" t="n">
        <v>139928</v>
      </c>
      <c r="C624" s="78" t="n">
        <v>3</v>
      </c>
      <c r="D624" s="78" t="inlineStr">
        <is>
          <t>더샵디오션시티2차</t>
        </is>
      </c>
      <c r="E624" s="78" t="inlineStr">
        <is>
          <t>2023.07.</t>
        </is>
      </c>
      <c r="F624" s="78" t="n">
        <v>771</v>
      </c>
      <c r="G624" s="78" t="n">
        <v>33.18</v>
      </c>
      <c r="H624" s="78" t="n">
        <v>109.7</v>
      </c>
      <c r="I624" s="78" t="n">
        <v>25.7</v>
      </c>
      <c r="J624" s="78" t="n">
        <v>84.97</v>
      </c>
      <c r="K624" s="78" t="n">
        <v>36</v>
      </c>
      <c r="T624" s="78" t="n">
        <v>3</v>
      </c>
      <c r="U624" s="78" t="n">
        <v>2</v>
      </c>
      <c r="V624" s="78" t="inlineStr">
        <is>
          <t>계단식</t>
        </is>
      </c>
      <c r="W624" s="78" t="inlineStr">
        <is>
          <t>109C</t>
        </is>
      </c>
      <c r="X624" s="78" t="n">
        <v>29</v>
      </c>
      <c r="Y624" s="78" t="n">
        <v>19</v>
      </c>
      <c r="Z624" s="78" t="inlineStr">
        <is>
          <t>https://new.land.naver.com/complexes/139928?tab=detail&amp;rf=Y</t>
        </is>
      </c>
      <c r="AA624" s="78" t="inlineStr">
        <is>
          <t>전라북도 군산시 조촌동 2-28번지 일원 (군산디오션시티 A5BL)</t>
        </is>
      </c>
      <c r="AB624" s="78" t="inlineStr">
        <is>
          <t>전라북도</t>
        </is>
      </c>
      <c r="AC624" s="78" t="inlineStr">
        <is>
          <t>군산시</t>
        </is>
      </c>
      <c r="AD624" s="78" t="inlineStr">
        <is>
          <t>조촌동</t>
        </is>
      </c>
      <c r="AG624" s="78" t="inlineStr">
        <is>
          <t>전라북도 군산시</t>
        </is>
      </c>
      <c r="AH624" s="78" t="n">
        <v>0</v>
      </c>
      <c r="AI624" s="78" t="n">
        <v>249</v>
      </c>
      <c r="AJ624" s="78" t="n">
        <v>17</v>
      </c>
      <c r="AK624" s="78" t="n">
        <v>1094</v>
      </c>
      <c r="AL624" s="78" t="n">
        <v>1.42</v>
      </c>
    </row>
    <row r="625">
      <c r="A625" s="78" t="inlineStr">
        <is>
          <t>[조촌동]</t>
        </is>
      </c>
      <c r="B625" s="78" t="n">
        <v>139928</v>
      </c>
      <c r="C625" s="78" t="n">
        <v>4</v>
      </c>
      <c r="D625" s="78" t="inlineStr">
        <is>
          <t>더샵디오션시티2차</t>
        </is>
      </c>
      <c r="E625" s="78" t="inlineStr">
        <is>
          <t>2023.07.</t>
        </is>
      </c>
      <c r="F625" s="78" t="n">
        <v>771</v>
      </c>
      <c r="G625" s="78" t="n">
        <v>40.94</v>
      </c>
      <c r="H625" s="78" t="n">
        <v>135.35</v>
      </c>
      <c r="I625" s="78" t="n">
        <v>32.35</v>
      </c>
      <c r="J625" s="78" t="n">
        <v>106.95</v>
      </c>
      <c r="K625" s="78" t="n">
        <v>125</v>
      </c>
      <c r="T625" s="78" t="n">
        <v>4</v>
      </c>
      <c r="U625" s="78" t="n">
        <v>2</v>
      </c>
      <c r="V625" s="78" t="inlineStr">
        <is>
          <t>계단식</t>
        </is>
      </c>
      <c r="W625" s="78" t="n">
        <v>135</v>
      </c>
      <c r="X625" s="78" t="n">
        <v>29</v>
      </c>
      <c r="Y625" s="78" t="n">
        <v>19</v>
      </c>
      <c r="Z625" s="78" t="inlineStr">
        <is>
          <t>https://new.land.naver.com/complexes/139928?tab=detail&amp;rf=Y</t>
        </is>
      </c>
      <c r="AA625" s="78" t="inlineStr">
        <is>
          <t>전라북도 군산시 조촌동 2-28번지 일원 (군산디오션시티 A5BL)</t>
        </is>
      </c>
      <c r="AB625" s="78" t="inlineStr">
        <is>
          <t>전라북도</t>
        </is>
      </c>
      <c r="AC625" s="78" t="inlineStr">
        <is>
          <t>군산시</t>
        </is>
      </c>
      <c r="AD625" s="78" t="inlineStr">
        <is>
          <t>조촌동</t>
        </is>
      </c>
      <c r="AG625" s="78" t="inlineStr">
        <is>
          <t>전라북도 군산시</t>
        </is>
      </c>
      <c r="AH625" s="78" t="n">
        <v>0</v>
      </c>
      <c r="AI625" s="78" t="n">
        <v>249</v>
      </c>
      <c r="AJ625" s="78" t="n">
        <v>17</v>
      </c>
      <c r="AK625" s="78" t="n">
        <v>1094</v>
      </c>
      <c r="AL625" s="78" t="n">
        <v>1.42</v>
      </c>
    </row>
    <row r="626">
      <c r="A626" s="78" t="inlineStr">
        <is>
          <t>[조촌동]</t>
        </is>
      </c>
      <c r="B626" s="78" t="n">
        <v>139928</v>
      </c>
      <c r="C626" s="78" t="n">
        <v>5</v>
      </c>
      <c r="D626" s="78" t="inlineStr">
        <is>
          <t>더샵디오션시티2차</t>
        </is>
      </c>
      <c r="E626" s="78" t="inlineStr">
        <is>
          <t>2023.07.</t>
        </is>
      </c>
      <c r="F626" s="78" t="n">
        <v>771</v>
      </c>
      <c r="G626" s="78" t="n">
        <v>47.8</v>
      </c>
      <c r="H626" s="78" t="n">
        <v>158.02</v>
      </c>
      <c r="I626" s="78" t="n">
        <v>37.79</v>
      </c>
      <c r="J626" s="78" t="n">
        <v>124.93</v>
      </c>
      <c r="K626" s="78" t="n">
        <v>54</v>
      </c>
      <c r="T626" s="78" t="n">
        <v>4</v>
      </c>
      <c r="U626" s="78" t="n">
        <v>2</v>
      </c>
      <c r="V626" s="78" t="inlineStr">
        <is>
          <t>계단식</t>
        </is>
      </c>
      <c r="W626" s="78" t="n">
        <v>158</v>
      </c>
      <c r="X626" s="78" t="n">
        <v>29</v>
      </c>
      <c r="Y626" s="78" t="n">
        <v>19</v>
      </c>
      <c r="Z626" s="78" t="inlineStr">
        <is>
          <t>https://new.land.naver.com/complexes/139928?tab=detail&amp;rf=Y</t>
        </is>
      </c>
      <c r="AA626" s="78" t="inlineStr">
        <is>
          <t>전라북도 군산시 조촌동 2-28번지 일원 (군산디오션시티 A5BL)</t>
        </is>
      </c>
      <c r="AB626" s="78" t="inlineStr">
        <is>
          <t>전라북도</t>
        </is>
      </c>
      <c r="AC626" s="78" t="inlineStr">
        <is>
          <t>군산시</t>
        </is>
      </c>
      <c r="AD626" s="78" t="inlineStr">
        <is>
          <t>조촌동</t>
        </is>
      </c>
      <c r="AG626" s="78" t="inlineStr">
        <is>
          <t>전라북도 군산시</t>
        </is>
      </c>
      <c r="AH626" s="78" t="n">
        <v>0</v>
      </c>
      <c r="AI626" s="78" t="n">
        <v>249</v>
      </c>
      <c r="AJ626" s="78" t="n">
        <v>17</v>
      </c>
      <c r="AK626" s="78" t="n">
        <v>1094</v>
      </c>
      <c r="AL626" s="78" t="n">
        <v>1.42</v>
      </c>
    </row>
    <row r="627">
      <c r="A627" s="78" t="inlineStr">
        <is>
          <t>[조촌동]</t>
        </is>
      </c>
      <c r="B627" s="78" t="n">
        <v>139928</v>
      </c>
      <c r="C627" s="78" t="n">
        <v>6</v>
      </c>
      <c r="D627" s="78" t="inlineStr">
        <is>
          <t>더샵디오션시티2차</t>
        </is>
      </c>
      <c r="E627" s="78" t="inlineStr">
        <is>
          <t>2023.07.</t>
        </is>
      </c>
      <c r="F627" s="78" t="n">
        <v>771</v>
      </c>
      <c r="G627" s="78" t="n">
        <v>55.76</v>
      </c>
      <c r="H627" s="78" t="n">
        <v>184.36</v>
      </c>
      <c r="I627" s="78" t="n">
        <v>43.28</v>
      </c>
      <c r="J627" s="78" t="n">
        <v>143.08</v>
      </c>
      <c r="K627" s="78" t="n">
        <v>1</v>
      </c>
      <c r="T627" s="78" t="n">
        <v>4</v>
      </c>
      <c r="U627" s="78" t="n">
        <v>3</v>
      </c>
      <c r="V627" s="78" t="inlineStr">
        <is>
          <t>계단식</t>
        </is>
      </c>
      <c r="W627" s="78" t="n">
        <v>184</v>
      </c>
      <c r="X627" s="78" t="n">
        <v>29</v>
      </c>
      <c r="Y627" s="78" t="n">
        <v>19</v>
      </c>
      <c r="Z627" s="78" t="inlineStr">
        <is>
          <t>https://new.land.naver.com/complexes/139928?tab=detail&amp;rf=Y</t>
        </is>
      </c>
      <c r="AA627" s="78" t="inlineStr">
        <is>
          <t>전라북도 군산시 조촌동 2-28번지 일원 (군산디오션시티 A5BL)</t>
        </is>
      </c>
      <c r="AB627" s="78" t="inlineStr">
        <is>
          <t>전라북도</t>
        </is>
      </c>
      <c r="AC627" s="78" t="inlineStr">
        <is>
          <t>군산시</t>
        </is>
      </c>
      <c r="AD627" s="78" t="inlineStr">
        <is>
          <t>조촌동</t>
        </is>
      </c>
      <c r="AG627" s="78" t="inlineStr">
        <is>
          <t>전라북도 군산시</t>
        </is>
      </c>
      <c r="AH627" s="78" t="n">
        <v>0</v>
      </c>
      <c r="AI627" s="78" t="n">
        <v>249</v>
      </c>
      <c r="AJ627" s="78" t="n">
        <v>17</v>
      </c>
      <c r="AK627" s="78" t="n">
        <v>1094</v>
      </c>
      <c r="AL627" s="78" t="n">
        <v>1.42</v>
      </c>
    </row>
    <row r="628">
      <c r="A628" s="78" t="inlineStr">
        <is>
          <t>[조촌동]</t>
        </is>
      </c>
      <c r="B628" s="78" t="n">
        <v>139928</v>
      </c>
      <c r="C628" s="78" t="n">
        <v>7</v>
      </c>
      <c r="D628" s="78" t="inlineStr">
        <is>
          <t>더샵디오션시티2차</t>
        </is>
      </c>
      <c r="E628" s="78" t="inlineStr">
        <is>
          <t>2023.07.</t>
        </is>
      </c>
      <c r="F628" s="78" t="n">
        <v>771</v>
      </c>
      <c r="G628" s="78" t="n">
        <v>59.74</v>
      </c>
      <c r="H628" s="78" t="n">
        <v>197.51</v>
      </c>
      <c r="I628" s="78" t="n">
        <v>46.88</v>
      </c>
      <c r="J628" s="78" t="n">
        <v>154.98</v>
      </c>
      <c r="K628" s="78" t="n">
        <v>2</v>
      </c>
      <c r="T628" s="78" t="n">
        <v>5</v>
      </c>
      <c r="U628" s="78" t="n">
        <v>3</v>
      </c>
      <c r="V628" s="78" t="inlineStr">
        <is>
          <t>계단식</t>
        </is>
      </c>
      <c r="W628" s="78" t="n">
        <v>197</v>
      </c>
      <c r="X628" s="78" t="n">
        <v>29</v>
      </c>
      <c r="Y628" s="78" t="n">
        <v>19</v>
      </c>
      <c r="Z628" s="78" t="inlineStr">
        <is>
          <t>https://new.land.naver.com/complexes/139928?tab=detail&amp;rf=Y</t>
        </is>
      </c>
      <c r="AA628" s="78" t="inlineStr">
        <is>
          <t>전라북도 군산시 조촌동 2-28번지 일원 (군산디오션시티 A5BL)</t>
        </is>
      </c>
      <c r="AB628" s="78" t="inlineStr">
        <is>
          <t>전라북도</t>
        </is>
      </c>
      <c r="AC628" s="78" t="inlineStr">
        <is>
          <t>군산시</t>
        </is>
      </c>
      <c r="AD628" s="78" t="inlineStr">
        <is>
          <t>조촌동</t>
        </is>
      </c>
      <c r="AG628" s="78" t="inlineStr">
        <is>
          <t>전라북도 군산시</t>
        </is>
      </c>
      <c r="AH628" s="78" t="n">
        <v>0</v>
      </c>
      <c r="AI628" s="78" t="n">
        <v>249</v>
      </c>
      <c r="AJ628" s="78" t="n">
        <v>17</v>
      </c>
      <c r="AK628" s="78" t="n">
        <v>1094</v>
      </c>
      <c r="AL628" s="78" t="n">
        <v>1.42</v>
      </c>
    </row>
    <row r="629">
      <c r="A629" s="78" t="inlineStr">
        <is>
          <t>[조촌동]</t>
        </is>
      </c>
      <c r="B629" s="78" t="n">
        <v>5065</v>
      </c>
      <c r="C629" s="78" t="n">
        <v>1</v>
      </c>
      <c r="D629" s="78" t="inlineStr">
        <is>
          <t>동신개나리</t>
        </is>
      </c>
      <c r="E629" s="78" t="inlineStr">
        <is>
          <t>1995.12.</t>
        </is>
      </c>
      <c r="F629" s="78" t="n">
        <v>383</v>
      </c>
      <c r="G629" s="78" t="n">
        <v>18.3</v>
      </c>
      <c r="H629" s="78" t="n">
        <v>60.51</v>
      </c>
      <c r="I629" s="78" t="n">
        <v>14.4</v>
      </c>
      <c r="J629" s="78" t="n">
        <v>47.62</v>
      </c>
      <c r="K629" s="78" t="n">
        <v>120</v>
      </c>
      <c r="T629" s="78" t="n">
        <v>3</v>
      </c>
      <c r="U629" s="78" t="n">
        <v>1</v>
      </c>
      <c r="V629" s="78" t="inlineStr">
        <is>
          <t>계단식</t>
        </is>
      </c>
      <c r="W629" s="78" t="n">
        <v>60</v>
      </c>
      <c r="X629" s="78" t="n">
        <v>15</v>
      </c>
      <c r="Y629" s="78" t="n">
        <v>12</v>
      </c>
      <c r="Z629" s="78" t="inlineStr">
        <is>
          <t>https://new.land.naver.com/complexes/5065?tab=detail&amp;rf=Y</t>
        </is>
      </c>
      <c r="AA629" s="78" t="inlineStr">
        <is>
          <t>전라북도 군산시 조촌동 907-2</t>
        </is>
      </c>
      <c r="AB629" s="78" t="inlineStr">
        <is>
          <t>전라북도</t>
        </is>
      </c>
      <c r="AC629" s="78" t="inlineStr">
        <is>
          <t>군산시</t>
        </is>
      </c>
      <c r="AD629" s="78" t="inlineStr">
        <is>
          <t>조촌동</t>
        </is>
      </c>
      <c r="AG629" s="78" t="inlineStr">
        <is>
          <t>전라북도 군산시 양안로 119</t>
        </is>
      </c>
      <c r="AH629" s="78" t="n">
        <v>0</v>
      </c>
      <c r="AI629" s="78" t="n">
        <v>197</v>
      </c>
      <c r="AJ629" s="78" t="n">
        <v>18</v>
      </c>
      <c r="AK629" s="78" t="n">
        <v>346</v>
      </c>
      <c r="AL629" s="78" t="n">
        <v>0.9</v>
      </c>
    </row>
    <row r="630">
      <c r="A630" s="78" t="inlineStr">
        <is>
          <t>[조촌동]</t>
        </is>
      </c>
      <c r="B630" s="78" t="n">
        <v>5065</v>
      </c>
      <c r="C630" s="78" t="n">
        <v>2</v>
      </c>
      <c r="D630" s="78" t="inlineStr">
        <is>
          <t>동신개나리</t>
        </is>
      </c>
      <c r="E630" s="78" t="inlineStr">
        <is>
          <t>1995.12.</t>
        </is>
      </c>
      <c r="F630" s="78" t="n">
        <v>383</v>
      </c>
      <c r="G630" s="78" t="n">
        <v>22.99</v>
      </c>
      <c r="H630" s="78" t="n">
        <v>76.03</v>
      </c>
      <c r="I630" s="78" t="n">
        <v>18.1</v>
      </c>
      <c r="J630" s="78" t="n">
        <v>59.84</v>
      </c>
      <c r="K630" s="78" t="n">
        <v>263</v>
      </c>
      <c r="T630" s="78" t="n">
        <v>3</v>
      </c>
      <c r="U630" s="78" t="n">
        <v>1</v>
      </c>
      <c r="V630" s="78" t="inlineStr">
        <is>
          <t>계단식</t>
        </is>
      </c>
      <c r="W630" s="78" t="n">
        <v>76</v>
      </c>
      <c r="X630" s="78" t="n">
        <v>15</v>
      </c>
      <c r="Y630" s="78" t="n">
        <v>12</v>
      </c>
      <c r="Z630" s="78" t="inlineStr">
        <is>
          <t>https://new.land.naver.com/complexes/5065?tab=detail&amp;rf=Y</t>
        </is>
      </c>
      <c r="AA630" s="78" t="inlineStr">
        <is>
          <t>전라북도 군산시 조촌동 907-2</t>
        </is>
      </c>
      <c r="AB630" s="78" t="inlineStr">
        <is>
          <t>전라북도</t>
        </is>
      </c>
      <c r="AC630" s="78" t="inlineStr">
        <is>
          <t>군산시</t>
        </is>
      </c>
      <c r="AD630" s="78" t="inlineStr">
        <is>
          <t>조촌동</t>
        </is>
      </c>
      <c r="AG630" s="78" t="inlineStr">
        <is>
          <t>전라북도 군산시 양안로 119</t>
        </is>
      </c>
      <c r="AH630" s="78" t="n">
        <v>0</v>
      </c>
      <c r="AI630" s="78" t="n">
        <v>197</v>
      </c>
      <c r="AJ630" s="78" t="n">
        <v>18</v>
      </c>
      <c r="AK630" s="78" t="n">
        <v>346</v>
      </c>
      <c r="AL630" s="78" t="n">
        <v>0.9</v>
      </c>
    </row>
    <row r="631">
      <c r="A631" s="78" t="inlineStr">
        <is>
          <t>[조촌동]</t>
        </is>
      </c>
      <c r="B631" s="78" t="n">
        <v>111158</v>
      </c>
      <c r="C631" s="78" t="n">
        <v>1</v>
      </c>
      <c r="D631" s="78" t="inlineStr">
        <is>
          <t>센트럴파크</t>
        </is>
      </c>
      <c r="E631" s="78" t="inlineStr">
        <is>
          <t>2017.10.</t>
        </is>
      </c>
      <c r="F631" s="78" t="n">
        <v>480</v>
      </c>
      <c r="G631" s="78" t="n">
        <v>33.47</v>
      </c>
      <c r="H631" s="78" t="n">
        <v>110.66</v>
      </c>
      <c r="I631" s="78" t="n">
        <v>25.67</v>
      </c>
      <c r="J631" s="78" t="n">
        <v>84.88</v>
      </c>
      <c r="K631" s="78" t="n">
        <v>251</v>
      </c>
      <c r="T631" s="78" t="n">
        <v>3</v>
      </c>
      <c r="U631" s="78" t="n">
        <v>2</v>
      </c>
      <c r="V631" s="78" t="inlineStr">
        <is>
          <t>계단식</t>
        </is>
      </c>
      <c r="W631" s="78" t="inlineStr">
        <is>
          <t>110A</t>
        </is>
      </c>
      <c r="X631" s="78" t="n">
        <v>36</v>
      </c>
      <c r="Y631" s="78" t="n">
        <v>27</v>
      </c>
      <c r="Z631" s="78" t="inlineStr">
        <is>
          <t>https://new.land.naver.com/complexes/111158?tab=detail&amp;rf=Y</t>
        </is>
      </c>
      <c r="AA631" s="78" t="inlineStr">
        <is>
          <t>전라북도 군산시 조촌동 769-4</t>
        </is>
      </c>
      <c r="AB631" s="78" t="inlineStr">
        <is>
          <t>전라북도</t>
        </is>
      </c>
      <c r="AC631" s="78" t="inlineStr">
        <is>
          <t>군산시</t>
        </is>
      </c>
      <c r="AD631" s="78" t="inlineStr">
        <is>
          <t>조촌동</t>
        </is>
      </c>
      <c r="AG631" s="78" t="inlineStr">
        <is>
          <t>전라북도 군산시 번영로 190</t>
        </is>
      </c>
      <c r="AH631" s="78" t="n">
        <v>0</v>
      </c>
      <c r="AI631" s="78" t="n">
        <v>598</v>
      </c>
      <c r="AJ631" s="78" t="n">
        <v>69</v>
      </c>
      <c r="AK631" s="78" t="n">
        <v>652</v>
      </c>
      <c r="AL631" s="78" t="n">
        <v>1.36</v>
      </c>
    </row>
    <row r="632">
      <c r="A632" s="78" t="inlineStr">
        <is>
          <t>[조촌동]</t>
        </is>
      </c>
      <c r="B632" s="78" t="n">
        <v>111158</v>
      </c>
      <c r="C632" s="78" t="n">
        <v>2</v>
      </c>
      <c r="D632" s="78" t="inlineStr">
        <is>
          <t>센트럴파크</t>
        </is>
      </c>
      <c r="E632" s="78" t="inlineStr">
        <is>
          <t>2017.10.</t>
        </is>
      </c>
      <c r="F632" s="78" t="n">
        <v>480</v>
      </c>
      <c r="G632" s="78" t="n">
        <v>33.33</v>
      </c>
      <c r="H632" s="78" t="n">
        <v>110.21</v>
      </c>
      <c r="I632" s="78" t="n">
        <v>25.7</v>
      </c>
      <c r="J632" s="78" t="n">
        <v>84.98999999999999</v>
      </c>
      <c r="K632" s="78" t="n">
        <v>229</v>
      </c>
      <c r="T632" s="78" t="n">
        <v>3</v>
      </c>
      <c r="U632" s="78" t="n">
        <v>2</v>
      </c>
      <c r="V632" s="78" t="inlineStr">
        <is>
          <t>계단식</t>
        </is>
      </c>
      <c r="W632" s="78" t="inlineStr">
        <is>
          <t>110B</t>
        </is>
      </c>
      <c r="X632" s="78" t="n">
        <v>36</v>
      </c>
      <c r="Y632" s="78" t="n">
        <v>27</v>
      </c>
      <c r="Z632" s="78" t="inlineStr">
        <is>
          <t>https://new.land.naver.com/complexes/111158?tab=detail&amp;rf=Y</t>
        </is>
      </c>
      <c r="AA632" s="78" t="inlineStr">
        <is>
          <t>전라북도 군산시 조촌동 769-4</t>
        </is>
      </c>
      <c r="AB632" s="78" t="inlineStr">
        <is>
          <t>전라북도</t>
        </is>
      </c>
      <c r="AC632" s="78" t="inlineStr">
        <is>
          <t>군산시</t>
        </is>
      </c>
      <c r="AD632" s="78" t="inlineStr">
        <is>
          <t>조촌동</t>
        </is>
      </c>
      <c r="AG632" s="78" t="inlineStr">
        <is>
          <t>전라북도 군산시 번영로 190</t>
        </is>
      </c>
      <c r="AH632" s="78" t="n">
        <v>0</v>
      </c>
      <c r="AI632" s="78" t="n">
        <v>598</v>
      </c>
      <c r="AJ632" s="78" t="n">
        <v>69</v>
      </c>
      <c r="AK632" s="78" t="n">
        <v>652</v>
      </c>
      <c r="AL632" s="78" t="n">
        <v>1.36</v>
      </c>
    </row>
    <row r="633">
      <c r="A633" s="78" t="inlineStr">
        <is>
          <t>[조촌동]</t>
        </is>
      </c>
      <c r="B633" s="78" t="n">
        <v>5073</v>
      </c>
      <c r="C633" s="78" t="n">
        <v>1</v>
      </c>
      <c r="D633" s="78" t="inlineStr">
        <is>
          <t>현대</t>
        </is>
      </c>
      <c r="E633" s="78" t="inlineStr">
        <is>
          <t>1995.09.</t>
        </is>
      </c>
      <c r="F633" s="78" t="n">
        <v>560</v>
      </c>
      <c r="G633" s="78" t="n">
        <v>27.78</v>
      </c>
      <c r="H633" s="78" t="n">
        <v>91.86</v>
      </c>
      <c r="I633" s="78" t="n">
        <v>22.72</v>
      </c>
      <c r="J633" s="78" t="n">
        <v>75.12</v>
      </c>
      <c r="K633" s="78" t="n">
        <v>112</v>
      </c>
      <c r="T633" s="78" t="n">
        <v>3</v>
      </c>
      <c r="U633" s="78" t="n">
        <v>1</v>
      </c>
      <c r="V633" s="78" t="inlineStr">
        <is>
          <t>계단식</t>
        </is>
      </c>
      <c r="W633" s="78" t="n">
        <v>91</v>
      </c>
      <c r="X633" s="78" t="n">
        <v>15</v>
      </c>
      <c r="Y633" s="78" t="n">
        <v>14</v>
      </c>
      <c r="Z633" s="78" t="inlineStr">
        <is>
          <t>https://new.land.naver.com/complexes/5073?tab=detail&amp;rf=Y</t>
        </is>
      </c>
      <c r="AA633" s="78" t="inlineStr">
        <is>
          <t>전라북도 군산시 조촌동 903-2</t>
        </is>
      </c>
      <c r="AB633" s="78" t="inlineStr">
        <is>
          <t>전라북도</t>
        </is>
      </c>
      <c r="AC633" s="78" t="inlineStr">
        <is>
          <t>군산시</t>
        </is>
      </c>
      <c r="AD633" s="78" t="inlineStr">
        <is>
          <t>조촌동</t>
        </is>
      </c>
      <c r="AG633" s="78" t="inlineStr">
        <is>
          <t>전라북도 군산시 양안로 120</t>
        </is>
      </c>
      <c r="AH633" s="78" t="n">
        <v>0</v>
      </c>
      <c r="AI633" s="78" t="n">
        <v>199</v>
      </c>
      <c r="AJ633" s="78" t="n">
        <v>18</v>
      </c>
      <c r="AK633" s="78" t="n">
        <v>560</v>
      </c>
      <c r="AL633" s="78" t="n">
        <v>1</v>
      </c>
    </row>
    <row r="634">
      <c r="A634" s="78" t="inlineStr">
        <is>
          <t>[조촌동]</t>
        </is>
      </c>
      <c r="B634" s="78" t="n">
        <v>5073</v>
      </c>
      <c r="C634" s="78" t="n">
        <v>2</v>
      </c>
      <c r="D634" s="78" t="inlineStr">
        <is>
          <t>현대</t>
        </is>
      </c>
      <c r="E634" s="78" t="inlineStr">
        <is>
          <t>1995.09.</t>
        </is>
      </c>
      <c r="F634" s="78" t="n">
        <v>560</v>
      </c>
      <c r="G634" s="78" t="n">
        <v>27.75</v>
      </c>
      <c r="H634" s="78" t="n">
        <v>91.75</v>
      </c>
      <c r="I634" s="78" t="n">
        <v>22.69</v>
      </c>
      <c r="J634" s="78" t="n">
        <v>75.03</v>
      </c>
      <c r="K634" s="78" t="n">
        <v>28</v>
      </c>
      <c r="T634" s="78" t="n">
        <v>3</v>
      </c>
      <c r="U634" s="78" t="n">
        <v>1</v>
      </c>
      <c r="V634" s="78" t="inlineStr">
        <is>
          <t>계단식</t>
        </is>
      </c>
      <c r="W634" s="78" t="n">
        <v>91</v>
      </c>
      <c r="X634" s="78" t="n">
        <v>15</v>
      </c>
      <c r="Y634" s="78" t="n">
        <v>14</v>
      </c>
      <c r="Z634" s="78" t="inlineStr">
        <is>
          <t>https://new.land.naver.com/complexes/5073?tab=detail&amp;rf=Y</t>
        </is>
      </c>
      <c r="AA634" s="78" t="inlineStr">
        <is>
          <t>전라북도 군산시 조촌동 903-2</t>
        </is>
      </c>
      <c r="AB634" s="78" t="inlineStr">
        <is>
          <t>전라북도</t>
        </is>
      </c>
      <c r="AC634" s="78" t="inlineStr">
        <is>
          <t>군산시</t>
        </is>
      </c>
      <c r="AD634" s="78" t="inlineStr">
        <is>
          <t>조촌동</t>
        </is>
      </c>
      <c r="AG634" s="78" t="inlineStr">
        <is>
          <t>전라북도 군산시 양안로 120</t>
        </is>
      </c>
      <c r="AH634" s="78" t="n">
        <v>0</v>
      </c>
      <c r="AI634" s="78" t="n">
        <v>199</v>
      </c>
      <c r="AJ634" s="78" t="n">
        <v>18</v>
      </c>
      <c r="AK634" s="78" t="n">
        <v>560</v>
      </c>
      <c r="AL634" s="78" t="n">
        <v>1</v>
      </c>
    </row>
    <row r="635">
      <c r="A635" s="78" t="inlineStr">
        <is>
          <t>[조촌동]</t>
        </is>
      </c>
      <c r="B635" s="78" t="n">
        <v>5073</v>
      </c>
      <c r="C635" s="78" t="n">
        <v>3</v>
      </c>
      <c r="D635" s="78" t="inlineStr">
        <is>
          <t>현대</t>
        </is>
      </c>
      <c r="E635" s="78" t="inlineStr">
        <is>
          <t>1995.09.</t>
        </is>
      </c>
      <c r="F635" s="78" t="n">
        <v>560</v>
      </c>
      <c r="G635" s="78" t="n">
        <v>31.42</v>
      </c>
      <c r="H635" s="78" t="n">
        <v>103.89</v>
      </c>
      <c r="I635" s="78" t="n">
        <v>25.7</v>
      </c>
      <c r="J635" s="78" t="n">
        <v>84.95999999999999</v>
      </c>
      <c r="K635" s="78" t="n">
        <v>420</v>
      </c>
      <c r="T635" s="78" t="n">
        <v>3</v>
      </c>
      <c r="U635" s="78" t="n">
        <v>2</v>
      </c>
      <c r="V635" s="78" t="inlineStr">
        <is>
          <t>계단식</t>
        </is>
      </c>
      <c r="W635" s="78" t="n">
        <v>103</v>
      </c>
      <c r="X635" s="78" t="n">
        <v>15</v>
      </c>
      <c r="Y635" s="78" t="n">
        <v>14</v>
      </c>
      <c r="Z635" s="78" t="inlineStr">
        <is>
          <t>https://new.land.naver.com/complexes/5073?tab=detail&amp;rf=Y</t>
        </is>
      </c>
      <c r="AA635" s="78" t="inlineStr">
        <is>
          <t>전라북도 군산시 조촌동 903-2</t>
        </is>
      </c>
      <c r="AB635" s="78" t="inlineStr">
        <is>
          <t>전라북도</t>
        </is>
      </c>
      <c r="AC635" s="78" t="inlineStr">
        <is>
          <t>군산시</t>
        </is>
      </c>
      <c r="AD635" s="78" t="inlineStr">
        <is>
          <t>조촌동</t>
        </is>
      </c>
      <c r="AG635" s="78" t="inlineStr">
        <is>
          <t>전라북도 군산시 양안로 120</t>
        </is>
      </c>
      <c r="AH635" s="78" t="n">
        <v>0</v>
      </c>
      <c r="AI635" s="78" t="n">
        <v>199</v>
      </c>
      <c r="AJ635" s="78" t="n">
        <v>18</v>
      </c>
      <c r="AK635" s="78" t="n">
        <v>560</v>
      </c>
      <c r="AL635" s="78" t="n">
        <v>1</v>
      </c>
    </row>
    <row r="636">
      <c r="A636" s="78" t="inlineStr">
        <is>
          <t>[조촌동]</t>
        </is>
      </c>
      <c r="B636" s="78" t="n">
        <v>126017</v>
      </c>
      <c r="C636" s="78" t="n">
        <v>1</v>
      </c>
      <c r="D636" s="78" t="inlineStr">
        <is>
          <t>미르에코리버</t>
        </is>
      </c>
      <c r="E636" s="78" t="inlineStr">
        <is>
          <t>2015.02.</t>
        </is>
      </c>
      <c r="F636" s="78" t="n">
        <v>64</v>
      </c>
      <c r="G636" s="78" t="n">
        <v>28.53</v>
      </c>
      <c r="H636" s="78" t="n">
        <v>94.34</v>
      </c>
      <c r="I636" s="78" t="n">
        <v>21.47</v>
      </c>
      <c r="J636" s="78" t="n">
        <v>70.98999999999999</v>
      </c>
      <c r="K636" s="78" t="n">
        <v>64</v>
      </c>
      <c r="T636" s="78" t="n">
        <v>3</v>
      </c>
      <c r="U636" s="78" t="n">
        <v>2</v>
      </c>
      <c r="V636" s="78" t="inlineStr">
        <is>
          <t>계단식</t>
        </is>
      </c>
      <c r="W636" s="78" t="n">
        <v>94</v>
      </c>
      <c r="X636" s="78" t="n">
        <v>12</v>
      </c>
      <c r="Y636" s="78" t="n">
        <v>11</v>
      </c>
      <c r="Z636" s="78" t="inlineStr">
        <is>
          <t>https://new.land.naver.com/complexes/126017?tab=detail&amp;rf=Y</t>
        </is>
      </c>
      <c r="AA636" s="78" t="inlineStr">
        <is>
          <t>전라북도 군산시 조촌동 952-1</t>
        </is>
      </c>
      <c r="AB636" s="78" t="inlineStr">
        <is>
          <t>전라북도</t>
        </is>
      </c>
      <c r="AC636" s="78" t="inlineStr">
        <is>
          <t>군산시</t>
        </is>
      </c>
      <c r="AD636" s="78" t="inlineStr">
        <is>
          <t>조촌동</t>
        </is>
      </c>
      <c r="AG636" s="78" t="inlineStr">
        <is>
          <t>전라북도 군산시 부골3길 20-5</t>
        </is>
      </c>
      <c r="AH636" s="78" t="n">
        <v>0</v>
      </c>
      <c r="AI636" s="78" t="n">
        <v>195</v>
      </c>
      <c r="AJ636" s="78" t="n">
        <v>24</v>
      </c>
      <c r="AK636" s="78" t="n">
        <v>64</v>
      </c>
      <c r="AL636" s="78" t="n">
        <v>1</v>
      </c>
    </row>
    <row r="637">
      <c r="A637" s="78" t="inlineStr">
        <is>
          <t>[조촌동]</t>
        </is>
      </c>
      <c r="B637" s="78" t="n">
        <v>127340</v>
      </c>
      <c r="C637" s="78" t="n">
        <v>1</v>
      </c>
      <c r="D637" s="78" t="inlineStr">
        <is>
          <t>대명3차</t>
        </is>
      </c>
      <c r="E637" s="78" t="inlineStr">
        <is>
          <t>1989.05.</t>
        </is>
      </c>
      <c r="F637" s="78" t="n">
        <v>60</v>
      </c>
      <c r="G637" s="78" t="n">
        <v>26.88</v>
      </c>
      <c r="H637" s="78" t="n">
        <v>88.86</v>
      </c>
      <c r="I637" s="78" t="n">
        <v>21.58</v>
      </c>
      <c r="J637" s="78" t="n">
        <v>71.37</v>
      </c>
      <c r="K637" s="78" t="n">
        <v>40</v>
      </c>
      <c r="T637" s="78" t="n">
        <v>3</v>
      </c>
      <c r="U637" s="78" t="n">
        <v>2</v>
      </c>
      <c r="V637" s="78" t="inlineStr">
        <is>
          <t>계단식</t>
        </is>
      </c>
      <c r="W637" s="78" t="n">
        <v>88</v>
      </c>
      <c r="X637" s="78" t="n">
        <v>10</v>
      </c>
      <c r="Y637" s="78" t="n">
        <v>10</v>
      </c>
      <c r="Z637" s="78" t="inlineStr">
        <is>
          <t>https://new.land.naver.com/complexes/127340?tab=detail&amp;rf=Y</t>
        </is>
      </c>
      <c r="AA637" s="78" t="inlineStr">
        <is>
          <t>전라북도 군산시 조촌동 759-1</t>
        </is>
      </c>
      <c r="AB637" s="78" t="inlineStr">
        <is>
          <t>전라북도</t>
        </is>
      </c>
      <c r="AC637" s="78" t="inlineStr">
        <is>
          <t>군산시</t>
        </is>
      </c>
      <c r="AD637" s="78" t="inlineStr">
        <is>
          <t>조촌동</t>
        </is>
      </c>
      <c r="AG637" s="78" t="inlineStr">
        <is>
          <t>전라북도 군산시 신촌1길 36</t>
        </is>
      </c>
      <c r="AH637" s="78" t="n">
        <v>0</v>
      </c>
      <c r="AI637" s="78" t="n">
        <v>248</v>
      </c>
      <c r="AJ637" s="78" t="n">
        <v>28</v>
      </c>
      <c r="AK637" s="78" t="n">
        <v>0</v>
      </c>
      <c r="AL637" s="78" t="n">
        <v>0</v>
      </c>
    </row>
    <row r="638">
      <c r="A638" s="78" t="inlineStr">
        <is>
          <t>[조촌동]</t>
        </is>
      </c>
      <c r="B638" s="78" t="n">
        <v>127340</v>
      </c>
      <c r="C638" s="78" t="n">
        <v>2</v>
      </c>
      <c r="D638" s="78" t="inlineStr">
        <is>
          <t>대명3차</t>
        </is>
      </c>
      <c r="E638" s="78" t="inlineStr">
        <is>
          <t>1989.05.</t>
        </is>
      </c>
      <c r="F638" s="78" t="n">
        <v>60</v>
      </c>
      <c r="G638" s="78" t="n">
        <v>28.33</v>
      </c>
      <c r="H638" s="78" t="n">
        <v>93.68000000000001</v>
      </c>
      <c r="I638" s="78" t="n">
        <v>22.76</v>
      </c>
      <c r="J638" s="78" t="n">
        <v>75.23999999999999</v>
      </c>
      <c r="K638" s="78" t="n">
        <v>20</v>
      </c>
      <c r="T638" s="78" t="n">
        <v>3</v>
      </c>
      <c r="U638" s="78" t="n">
        <v>2</v>
      </c>
      <c r="V638" s="78" t="inlineStr">
        <is>
          <t>계단식</t>
        </is>
      </c>
      <c r="W638" s="78" t="n">
        <v>93</v>
      </c>
      <c r="X638" s="78" t="n">
        <v>10</v>
      </c>
      <c r="Y638" s="78" t="n">
        <v>10</v>
      </c>
      <c r="Z638" s="78" t="inlineStr">
        <is>
          <t>https://new.land.naver.com/complexes/127340?tab=detail&amp;rf=Y</t>
        </is>
      </c>
      <c r="AA638" s="78" t="inlineStr">
        <is>
          <t>전라북도 군산시 조촌동 759-1</t>
        </is>
      </c>
      <c r="AB638" s="78" t="inlineStr">
        <is>
          <t>전라북도</t>
        </is>
      </c>
      <c r="AC638" s="78" t="inlineStr">
        <is>
          <t>군산시</t>
        </is>
      </c>
      <c r="AD638" s="78" t="inlineStr">
        <is>
          <t>조촌동</t>
        </is>
      </c>
      <c r="AG638" s="78" t="inlineStr">
        <is>
          <t>전라북도 군산시 신촌1길 36</t>
        </is>
      </c>
      <c r="AH638" s="78" t="n">
        <v>0</v>
      </c>
      <c r="AI638" s="78" t="n">
        <v>248</v>
      </c>
      <c r="AJ638" s="78" t="n">
        <v>28</v>
      </c>
      <c r="AK638" s="78" t="n">
        <v>0</v>
      </c>
      <c r="AL638" s="78" t="n">
        <v>0</v>
      </c>
    </row>
    <row r="639">
      <c r="A639" s="78" t="inlineStr">
        <is>
          <t>[조촌동]</t>
        </is>
      </c>
      <c r="B639" s="78" t="n">
        <v>125752</v>
      </c>
      <c r="C639" s="78" t="n">
        <v>1</v>
      </c>
      <c r="D639" s="78" t="inlineStr">
        <is>
          <t>더샵디오션시티</t>
        </is>
      </c>
      <c r="E639" s="78" t="inlineStr">
        <is>
          <t>2021.10.</t>
        </is>
      </c>
      <c r="F639" s="78" t="n">
        <v>973</v>
      </c>
      <c r="G639" s="78" t="n">
        <v>24.05</v>
      </c>
      <c r="H639" s="78" t="n">
        <v>79.51000000000001</v>
      </c>
      <c r="I639" s="78" t="n">
        <v>18.14</v>
      </c>
      <c r="J639" s="78" t="n">
        <v>59.99</v>
      </c>
      <c r="K639" s="78" t="n">
        <v>171</v>
      </c>
      <c r="T639" s="78" t="n">
        <v>3</v>
      </c>
      <c r="U639" s="78" t="n">
        <v>2</v>
      </c>
      <c r="V639" s="78" t="inlineStr">
        <is>
          <t>계단식</t>
        </is>
      </c>
      <c r="W639" s="78" t="inlineStr">
        <is>
          <t>79A</t>
        </is>
      </c>
      <c r="X639" s="78" t="n">
        <v>29</v>
      </c>
      <c r="Y639" s="78" t="n">
        <v>24</v>
      </c>
      <c r="Z639" s="78" t="inlineStr">
        <is>
          <t>https://new.land.naver.com/complexes/125752?tab=detail&amp;rf=Y</t>
        </is>
      </c>
      <c r="AA639" s="78" t="inlineStr">
        <is>
          <t>전라북도 군산시 조촌동 2-31</t>
        </is>
      </c>
      <c r="AB639" s="78" t="inlineStr">
        <is>
          <t>전라북도</t>
        </is>
      </c>
      <c r="AC639" s="78" t="inlineStr">
        <is>
          <t>군산시</t>
        </is>
      </c>
      <c r="AD639" s="78" t="inlineStr">
        <is>
          <t>조촌동</t>
        </is>
      </c>
      <c r="AG639" s="78" t="inlineStr">
        <is>
          <t>전라북도 군산시 궁포1로 79</t>
        </is>
      </c>
      <c r="AH639" s="78" t="n">
        <v>0</v>
      </c>
      <c r="AI639" s="78" t="n">
        <v>249</v>
      </c>
      <c r="AJ639" s="78" t="n">
        <v>17</v>
      </c>
      <c r="AK639" s="78" t="n">
        <v>1289</v>
      </c>
      <c r="AL639" s="78" t="n">
        <v>1.32</v>
      </c>
    </row>
    <row r="640">
      <c r="A640" s="78" t="inlineStr">
        <is>
          <t>[조촌동]</t>
        </is>
      </c>
      <c r="B640" s="78" t="n">
        <v>125752</v>
      </c>
      <c r="C640" s="78" t="n">
        <v>2</v>
      </c>
      <c r="D640" s="78" t="inlineStr">
        <is>
          <t>더샵디오션시티</t>
        </is>
      </c>
      <c r="E640" s="78" t="inlineStr">
        <is>
          <t>2021.10.</t>
        </is>
      </c>
      <c r="F640" s="78" t="n">
        <v>973</v>
      </c>
      <c r="G640" s="78" t="n">
        <v>24.03</v>
      </c>
      <c r="H640" s="78" t="n">
        <v>79.45999999999999</v>
      </c>
      <c r="I640" s="78" t="n">
        <v>18.14</v>
      </c>
      <c r="J640" s="78" t="n">
        <v>59.98</v>
      </c>
      <c r="K640" s="78" t="n">
        <v>58</v>
      </c>
      <c r="T640" s="78" t="n">
        <v>3</v>
      </c>
      <c r="U640" s="78" t="n">
        <v>2</v>
      </c>
      <c r="V640" s="78" t="inlineStr">
        <is>
          <t>계단식</t>
        </is>
      </c>
      <c r="W640" s="78" t="inlineStr">
        <is>
          <t>79B</t>
        </is>
      </c>
      <c r="X640" s="78" t="n">
        <v>29</v>
      </c>
      <c r="Y640" s="78" t="n">
        <v>24</v>
      </c>
      <c r="Z640" s="78" t="inlineStr">
        <is>
          <t>https://new.land.naver.com/complexes/125752?tab=detail&amp;rf=Y</t>
        </is>
      </c>
      <c r="AA640" s="78" t="inlineStr">
        <is>
          <t>전라북도 군산시 조촌동 2-31</t>
        </is>
      </c>
      <c r="AB640" s="78" t="inlineStr">
        <is>
          <t>전라북도</t>
        </is>
      </c>
      <c r="AC640" s="78" t="inlineStr">
        <is>
          <t>군산시</t>
        </is>
      </c>
      <c r="AD640" s="78" t="inlineStr">
        <is>
          <t>조촌동</t>
        </is>
      </c>
      <c r="AG640" s="78" t="inlineStr">
        <is>
          <t>전라북도 군산시 궁포1로 79</t>
        </is>
      </c>
      <c r="AH640" s="78" t="n">
        <v>0</v>
      </c>
      <c r="AI640" s="78" t="n">
        <v>249</v>
      </c>
      <c r="AJ640" s="78" t="n">
        <v>17</v>
      </c>
      <c r="AK640" s="78" t="n">
        <v>1289</v>
      </c>
      <c r="AL640" s="78" t="n">
        <v>1.32</v>
      </c>
    </row>
    <row r="641">
      <c r="A641" s="78" t="inlineStr">
        <is>
          <t>[조촌동]</t>
        </is>
      </c>
      <c r="B641" s="78" t="n">
        <v>125752</v>
      </c>
      <c r="C641" s="78" t="n">
        <v>3</v>
      </c>
      <c r="D641" s="78" t="inlineStr">
        <is>
          <t>더샵디오션시티</t>
        </is>
      </c>
      <c r="E641" s="78" t="inlineStr">
        <is>
          <t>2021.10.</t>
        </is>
      </c>
      <c r="F641" s="78" t="n">
        <v>973</v>
      </c>
      <c r="G641" s="78" t="n">
        <v>33.48</v>
      </c>
      <c r="H641" s="78" t="n">
        <v>110.68</v>
      </c>
      <c r="I641" s="78" t="n">
        <v>25.7</v>
      </c>
      <c r="J641" s="78" t="n">
        <v>84.98999999999999</v>
      </c>
      <c r="K641" s="78" t="n">
        <v>492</v>
      </c>
      <c r="T641" s="78" t="n">
        <v>3</v>
      </c>
      <c r="U641" s="78" t="n">
        <v>2</v>
      </c>
      <c r="V641" s="78" t="inlineStr">
        <is>
          <t>계단식</t>
        </is>
      </c>
      <c r="W641" s="78" t="inlineStr">
        <is>
          <t>110A</t>
        </is>
      </c>
      <c r="X641" s="78" t="n">
        <v>29</v>
      </c>
      <c r="Y641" s="78" t="n">
        <v>24</v>
      </c>
      <c r="Z641" s="78" t="inlineStr">
        <is>
          <t>https://new.land.naver.com/complexes/125752?tab=detail&amp;rf=Y</t>
        </is>
      </c>
      <c r="AA641" s="78" t="inlineStr">
        <is>
          <t>전라북도 군산시 조촌동 2-31</t>
        </is>
      </c>
      <c r="AB641" s="78" t="inlineStr">
        <is>
          <t>전라북도</t>
        </is>
      </c>
      <c r="AC641" s="78" t="inlineStr">
        <is>
          <t>군산시</t>
        </is>
      </c>
      <c r="AD641" s="78" t="inlineStr">
        <is>
          <t>조촌동</t>
        </is>
      </c>
      <c r="AG641" s="78" t="inlineStr">
        <is>
          <t>전라북도 군산시 궁포1로 79</t>
        </is>
      </c>
      <c r="AH641" s="78" t="n">
        <v>0</v>
      </c>
      <c r="AI641" s="78" t="n">
        <v>249</v>
      </c>
      <c r="AJ641" s="78" t="n">
        <v>17</v>
      </c>
      <c r="AK641" s="78" t="n">
        <v>1289</v>
      </c>
      <c r="AL641" s="78" t="n">
        <v>1.32</v>
      </c>
    </row>
    <row r="642">
      <c r="A642" s="78" t="inlineStr">
        <is>
          <t>[조촌동]</t>
        </is>
      </c>
      <c r="B642" s="78" t="n">
        <v>125752</v>
      </c>
      <c r="C642" s="78" t="n">
        <v>4</v>
      </c>
      <c r="D642" s="78" t="inlineStr">
        <is>
          <t>더샵디오션시티</t>
        </is>
      </c>
      <c r="E642" s="78" t="inlineStr">
        <is>
          <t>2021.10.</t>
        </is>
      </c>
      <c r="F642" s="78" t="n">
        <v>973</v>
      </c>
      <c r="G642" s="78" t="n">
        <v>33.57</v>
      </c>
      <c r="H642" s="78" t="n">
        <v>110.99</v>
      </c>
      <c r="I642" s="78" t="n">
        <v>25.7</v>
      </c>
      <c r="J642" s="78" t="n">
        <v>84.98999999999999</v>
      </c>
      <c r="K642" s="78" t="n">
        <v>81</v>
      </c>
      <c r="T642" s="78" t="n">
        <v>3</v>
      </c>
      <c r="U642" s="78" t="n">
        <v>2</v>
      </c>
      <c r="V642" s="78" t="inlineStr">
        <is>
          <t>계단식</t>
        </is>
      </c>
      <c r="W642" s="78" t="inlineStr">
        <is>
          <t>110B</t>
        </is>
      </c>
      <c r="X642" s="78" t="n">
        <v>29</v>
      </c>
      <c r="Y642" s="78" t="n">
        <v>24</v>
      </c>
      <c r="Z642" s="78" t="inlineStr">
        <is>
          <t>https://new.land.naver.com/complexes/125752?tab=detail&amp;rf=Y</t>
        </is>
      </c>
      <c r="AA642" s="78" t="inlineStr">
        <is>
          <t>전라북도 군산시 조촌동 2-31</t>
        </is>
      </c>
      <c r="AB642" s="78" t="inlineStr">
        <is>
          <t>전라북도</t>
        </is>
      </c>
      <c r="AC642" s="78" t="inlineStr">
        <is>
          <t>군산시</t>
        </is>
      </c>
      <c r="AD642" s="78" t="inlineStr">
        <is>
          <t>조촌동</t>
        </is>
      </c>
      <c r="AG642" s="78" t="inlineStr">
        <is>
          <t>전라북도 군산시 궁포1로 79</t>
        </is>
      </c>
      <c r="AH642" s="78" t="n">
        <v>0</v>
      </c>
      <c r="AI642" s="78" t="n">
        <v>249</v>
      </c>
      <c r="AJ642" s="78" t="n">
        <v>17</v>
      </c>
      <c r="AK642" s="78" t="n">
        <v>1289</v>
      </c>
      <c r="AL642" s="78" t="n">
        <v>1.32</v>
      </c>
    </row>
    <row r="643">
      <c r="A643" s="78" t="inlineStr">
        <is>
          <t>[조촌동]</t>
        </is>
      </c>
      <c r="B643" s="78" t="n">
        <v>125752</v>
      </c>
      <c r="C643" s="78" t="n">
        <v>5</v>
      </c>
      <c r="D643" s="78" t="inlineStr">
        <is>
          <t>더샵디오션시티</t>
        </is>
      </c>
      <c r="E643" s="78" t="inlineStr">
        <is>
          <t>2021.10.</t>
        </is>
      </c>
      <c r="F643" s="78" t="n">
        <v>973</v>
      </c>
      <c r="G643" s="78" t="n">
        <v>40.6</v>
      </c>
      <c r="H643" s="78" t="n">
        <v>134.22</v>
      </c>
      <c r="I643" s="78" t="n">
        <v>31.45</v>
      </c>
      <c r="J643" s="78" t="n">
        <v>103.97</v>
      </c>
      <c r="K643" s="78" t="n">
        <v>112</v>
      </c>
      <c r="T643" s="78" t="n">
        <v>4</v>
      </c>
      <c r="U643" s="78" t="n">
        <v>2</v>
      </c>
      <c r="V643" s="78" t="inlineStr">
        <is>
          <t>계단식</t>
        </is>
      </c>
      <c r="W643" s="78" t="n">
        <v>134</v>
      </c>
      <c r="X643" s="78" t="n">
        <v>29</v>
      </c>
      <c r="Y643" s="78" t="n">
        <v>24</v>
      </c>
      <c r="Z643" s="78" t="inlineStr">
        <is>
          <t>https://new.land.naver.com/complexes/125752?tab=detail&amp;rf=Y</t>
        </is>
      </c>
      <c r="AA643" s="78" t="inlineStr">
        <is>
          <t>전라북도 군산시 조촌동 2-31</t>
        </is>
      </c>
      <c r="AB643" s="78" t="inlineStr">
        <is>
          <t>전라북도</t>
        </is>
      </c>
      <c r="AC643" s="78" t="inlineStr">
        <is>
          <t>군산시</t>
        </is>
      </c>
      <c r="AD643" s="78" t="inlineStr">
        <is>
          <t>조촌동</t>
        </is>
      </c>
      <c r="AG643" s="78" t="inlineStr">
        <is>
          <t>전라북도 군산시 궁포1로 79</t>
        </is>
      </c>
      <c r="AH643" s="78" t="n">
        <v>0</v>
      </c>
      <c r="AI643" s="78" t="n">
        <v>249</v>
      </c>
      <c r="AJ643" s="78" t="n">
        <v>17</v>
      </c>
      <c r="AK643" s="78" t="n">
        <v>1289</v>
      </c>
      <c r="AL643" s="78" t="n">
        <v>1.32</v>
      </c>
    </row>
    <row r="644">
      <c r="A644" s="78" t="inlineStr">
        <is>
          <t>[조촌동]</t>
        </is>
      </c>
      <c r="B644" s="78" t="n">
        <v>125752</v>
      </c>
      <c r="C644" s="78" t="n">
        <v>6</v>
      </c>
      <c r="D644" s="78" t="inlineStr">
        <is>
          <t>더샵디오션시티</t>
        </is>
      </c>
      <c r="E644" s="78" t="inlineStr">
        <is>
          <t>2021.10.</t>
        </is>
      </c>
      <c r="F644" s="78" t="n">
        <v>973</v>
      </c>
      <c r="G644" s="78" t="n">
        <v>46.32</v>
      </c>
      <c r="H644" s="78" t="n">
        <v>153.15</v>
      </c>
      <c r="I644" s="78" t="n">
        <v>35.99</v>
      </c>
      <c r="J644" s="78" t="n">
        <v>118.99</v>
      </c>
      <c r="K644" s="78" t="n">
        <v>56</v>
      </c>
      <c r="T644" s="78" t="n">
        <v>4</v>
      </c>
      <c r="U644" s="78" t="n">
        <v>2</v>
      </c>
      <c r="V644" s="78" t="inlineStr">
        <is>
          <t>계단식</t>
        </is>
      </c>
      <c r="W644" s="78" t="n">
        <v>153</v>
      </c>
      <c r="X644" s="78" t="n">
        <v>29</v>
      </c>
      <c r="Y644" s="78" t="n">
        <v>24</v>
      </c>
      <c r="Z644" s="78" t="inlineStr">
        <is>
          <t>https://new.land.naver.com/complexes/125752?tab=detail&amp;rf=Y</t>
        </is>
      </c>
      <c r="AA644" s="78" t="inlineStr">
        <is>
          <t>전라북도 군산시 조촌동 2-31</t>
        </is>
      </c>
      <c r="AB644" s="78" t="inlineStr">
        <is>
          <t>전라북도</t>
        </is>
      </c>
      <c r="AC644" s="78" t="inlineStr">
        <is>
          <t>군산시</t>
        </is>
      </c>
      <c r="AD644" s="78" t="inlineStr">
        <is>
          <t>조촌동</t>
        </is>
      </c>
      <c r="AG644" s="78" t="inlineStr">
        <is>
          <t>전라북도 군산시 궁포1로 79</t>
        </is>
      </c>
      <c r="AH644" s="78" t="n">
        <v>0</v>
      </c>
      <c r="AI644" s="78" t="n">
        <v>249</v>
      </c>
      <c r="AJ644" s="78" t="n">
        <v>17</v>
      </c>
      <c r="AK644" s="78" t="n">
        <v>1289</v>
      </c>
      <c r="AL644" s="78" t="n">
        <v>1.32</v>
      </c>
    </row>
    <row r="645">
      <c r="A645" s="78" t="inlineStr">
        <is>
          <t>[조촌동]</t>
        </is>
      </c>
      <c r="B645" s="78" t="n">
        <v>125752</v>
      </c>
      <c r="C645" s="78" t="n">
        <v>7</v>
      </c>
      <c r="D645" s="78" t="inlineStr">
        <is>
          <t>더샵디오션시티</t>
        </is>
      </c>
      <c r="E645" s="78" t="inlineStr">
        <is>
          <t>2021.10.</t>
        </is>
      </c>
      <c r="F645" s="78" t="n">
        <v>973</v>
      </c>
      <c r="G645" s="78" t="n">
        <v>58.14</v>
      </c>
      <c r="H645" s="78" t="n">
        <v>192.23</v>
      </c>
      <c r="I645" s="78" t="n">
        <v>44.15</v>
      </c>
      <c r="J645" s="78" t="n">
        <v>145.96</v>
      </c>
      <c r="K645" s="78" t="n">
        <v>3</v>
      </c>
      <c r="T645" s="78" t="n">
        <v>4</v>
      </c>
      <c r="U645" s="78" t="n">
        <v>3</v>
      </c>
      <c r="V645" s="78" t="inlineStr">
        <is>
          <t>계단식</t>
        </is>
      </c>
      <c r="W645" s="78" t="n">
        <v>192</v>
      </c>
      <c r="X645" s="78" t="n">
        <v>29</v>
      </c>
      <c r="Y645" s="78" t="n">
        <v>24</v>
      </c>
      <c r="Z645" s="78" t="inlineStr">
        <is>
          <t>https://new.land.naver.com/complexes/125752?tab=detail&amp;rf=Y</t>
        </is>
      </c>
      <c r="AA645" s="78" t="inlineStr">
        <is>
          <t>전라북도 군산시 조촌동 2-31</t>
        </is>
      </c>
      <c r="AB645" s="78" t="inlineStr">
        <is>
          <t>전라북도</t>
        </is>
      </c>
      <c r="AC645" s="78" t="inlineStr">
        <is>
          <t>군산시</t>
        </is>
      </c>
      <c r="AD645" s="78" t="inlineStr">
        <is>
          <t>조촌동</t>
        </is>
      </c>
      <c r="AG645" s="78" t="inlineStr">
        <is>
          <t>전라북도 군산시 궁포1로 79</t>
        </is>
      </c>
      <c r="AH645" s="78" t="n">
        <v>0</v>
      </c>
      <c r="AI645" s="78" t="n">
        <v>249</v>
      </c>
      <c r="AJ645" s="78" t="n">
        <v>17</v>
      </c>
      <c r="AK645" s="78" t="n">
        <v>1289</v>
      </c>
      <c r="AL645" s="78" t="n">
        <v>1.32</v>
      </c>
    </row>
    <row r="646">
      <c r="A646" s="78" t="inlineStr">
        <is>
          <t>[조촌동]</t>
        </is>
      </c>
      <c r="B646" s="78" t="n">
        <v>135799</v>
      </c>
      <c r="C646" s="78" t="n">
        <v>1</v>
      </c>
      <c r="D646" s="78" t="inlineStr">
        <is>
          <t>세경</t>
        </is>
      </c>
      <c r="F646" s="78" t="n">
        <v>204</v>
      </c>
      <c r="G646" s="78" t="n">
        <v>25.37</v>
      </c>
      <c r="H646" s="78" t="n">
        <v>83.87</v>
      </c>
      <c r="I646" s="78" t="n">
        <v>18.1</v>
      </c>
      <c r="J646" s="78" t="n">
        <v>59.86</v>
      </c>
      <c r="K646" s="78" t="n">
        <v>204</v>
      </c>
      <c r="T646" s="78" t="n">
        <v>3</v>
      </c>
      <c r="U646" s="78" t="n">
        <v>2</v>
      </c>
      <c r="V646" s="78" t="inlineStr">
        <is>
          <t>계단식</t>
        </is>
      </c>
      <c r="W646" s="78" t="n">
        <v>83</v>
      </c>
      <c r="X646" s="78" t="n">
        <v>15</v>
      </c>
      <c r="Y646" s="78" t="n">
        <v>15</v>
      </c>
      <c r="Z646" s="78" t="inlineStr">
        <is>
          <t>https://new.land.naver.com/complexes/135799?tab=detail&amp;rf=Y</t>
        </is>
      </c>
      <c r="AA646" s="78" t="inlineStr">
        <is>
          <t>전라북도 군산시 조촌동 907-1</t>
        </is>
      </c>
      <c r="AB646" s="78" t="inlineStr">
        <is>
          <t>전라북도</t>
        </is>
      </c>
      <c r="AC646" s="78" t="inlineStr">
        <is>
          <t>군산시</t>
        </is>
      </c>
      <c r="AD646" s="78" t="inlineStr">
        <is>
          <t>조촌동</t>
        </is>
      </c>
      <c r="AG646" s="78" t="inlineStr">
        <is>
          <t>전라북도 군산시 양안로 123</t>
        </is>
      </c>
      <c r="AH646" s="78" t="n">
        <v>0</v>
      </c>
      <c r="AI646" s="78" t="n">
        <v>202</v>
      </c>
      <c r="AJ646" s="78" t="n">
        <v>20</v>
      </c>
      <c r="AK646" s="78" t="n">
        <v>180</v>
      </c>
      <c r="AL646" s="78" t="n">
        <v>0.88</v>
      </c>
    </row>
    <row r="647">
      <c r="A647" s="78" t="inlineStr">
        <is>
          <t>[조촌동]</t>
        </is>
      </c>
      <c r="B647" s="78" t="n">
        <v>120089</v>
      </c>
      <c r="C647" s="78" t="n">
        <v>1</v>
      </c>
      <c r="D647" s="78" t="inlineStr">
        <is>
          <t>e편한세상디오션시티2차</t>
        </is>
      </c>
      <c r="E647" s="78" t="inlineStr">
        <is>
          <t>2020.05.</t>
        </is>
      </c>
      <c r="F647" s="78" t="n">
        <v>423</v>
      </c>
      <c r="G647" s="78" t="n">
        <v>33.12</v>
      </c>
      <c r="H647" s="78" t="n">
        <v>109.51</v>
      </c>
      <c r="I647" s="78" t="n">
        <v>25.69</v>
      </c>
      <c r="J647" s="78" t="n">
        <v>84.94</v>
      </c>
      <c r="K647" s="78" t="n">
        <v>202</v>
      </c>
      <c r="T647" s="78" t="n">
        <v>3</v>
      </c>
      <c r="U647" s="78" t="n">
        <v>2</v>
      </c>
      <c r="V647" s="78" t="inlineStr">
        <is>
          <t>계단식</t>
        </is>
      </c>
      <c r="W647" s="78" t="inlineStr">
        <is>
          <t>109A</t>
        </is>
      </c>
      <c r="X647" s="78" t="n">
        <v>29</v>
      </c>
      <c r="Y647" s="78" t="n">
        <v>18</v>
      </c>
      <c r="Z647" s="78" t="inlineStr">
        <is>
          <t>https://new.land.naver.com/complexes/120089?tab=detail&amp;rf=Y</t>
        </is>
      </c>
      <c r="AA647" s="78" t="inlineStr">
        <is>
          <t>전라북도 군산시 조촌동 3967</t>
        </is>
      </c>
      <c r="AB647" s="78" t="inlineStr">
        <is>
          <t>전라북도</t>
        </is>
      </c>
      <c r="AC647" s="78" t="inlineStr">
        <is>
          <t>군산시</t>
        </is>
      </c>
      <c r="AD647" s="78" t="inlineStr">
        <is>
          <t>조촌동</t>
        </is>
      </c>
      <c r="AG647" s="78" t="inlineStr">
        <is>
          <t>전라북도 군산시 궁포1로 82</t>
        </is>
      </c>
      <c r="AH647" s="78" t="n">
        <v>0</v>
      </c>
      <c r="AI647" s="78" t="n">
        <v>0</v>
      </c>
      <c r="AJ647" s="78" t="n">
        <v>0</v>
      </c>
      <c r="AK647" s="78" t="n">
        <v>593</v>
      </c>
      <c r="AL647" s="78" t="n">
        <v>1.4</v>
      </c>
    </row>
    <row r="648">
      <c r="A648" s="78" t="inlineStr">
        <is>
          <t>[조촌동]</t>
        </is>
      </c>
      <c r="B648" s="78" t="n">
        <v>120089</v>
      </c>
      <c r="C648" s="78" t="n">
        <v>2</v>
      </c>
      <c r="D648" s="78" t="inlineStr">
        <is>
          <t>e편한세상디오션시티2차</t>
        </is>
      </c>
      <c r="E648" s="78" t="inlineStr">
        <is>
          <t>2020.05.</t>
        </is>
      </c>
      <c r="F648" s="78" t="n">
        <v>423</v>
      </c>
      <c r="G648" s="78" t="n">
        <v>33.6</v>
      </c>
      <c r="H648" s="78" t="n">
        <v>111.1</v>
      </c>
      <c r="I648" s="78" t="n">
        <v>25.69</v>
      </c>
      <c r="J648" s="78" t="n">
        <v>84.95</v>
      </c>
      <c r="K648" s="78" t="n">
        <v>109</v>
      </c>
      <c r="T648" s="78" t="n">
        <v>3</v>
      </c>
      <c r="U648" s="78" t="n">
        <v>2</v>
      </c>
      <c r="V648" s="78" t="inlineStr">
        <is>
          <t>계단식</t>
        </is>
      </c>
      <c r="W648" s="78" t="inlineStr">
        <is>
          <t>111B</t>
        </is>
      </c>
      <c r="X648" s="78" t="n">
        <v>29</v>
      </c>
      <c r="Y648" s="78" t="n">
        <v>18</v>
      </c>
      <c r="Z648" s="78" t="inlineStr">
        <is>
          <t>https://new.land.naver.com/complexes/120089?tab=detail&amp;rf=Y</t>
        </is>
      </c>
      <c r="AA648" s="78" t="inlineStr">
        <is>
          <t>전라북도 군산시 조촌동 3967</t>
        </is>
      </c>
      <c r="AB648" s="78" t="inlineStr">
        <is>
          <t>전라북도</t>
        </is>
      </c>
      <c r="AC648" s="78" t="inlineStr">
        <is>
          <t>군산시</t>
        </is>
      </c>
      <c r="AD648" s="78" t="inlineStr">
        <is>
          <t>조촌동</t>
        </is>
      </c>
      <c r="AG648" s="78" t="inlineStr">
        <is>
          <t>전라북도 군산시 궁포1로 82</t>
        </is>
      </c>
      <c r="AH648" s="78" t="n">
        <v>0</v>
      </c>
      <c r="AI648" s="78" t="n">
        <v>0</v>
      </c>
      <c r="AJ648" s="78" t="n">
        <v>0</v>
      </c>
      <c r="AK648" s="78" t="n">
        <v>593</v>
      </c>
      <c r="AL648" s="78" t="n">
        <v>1.4</v>
      </c>
    </row>
    <row r="649">
      <c r="A649" s="78" t="inlineStr">
        <is>
          <t>[조촌동]</t>
        </is>
      </c>
      <c r="B649" s="78" t="n">
        <v>120089</v>
      </c>
      <c r="C649" s="78" t="n">
        <v>3</v>
      </c>
      <c r="D649" s="78" t="inlineStr">
        <is>
          <t>e편한세상디오션시티2차</t>
        </is>
      </c>
      <c r="E649" s="78" t="inlineStr">
        <is>
          <t>2020.05.</t>
        </is>
      </c>
      <c r="F649" s="78" t="n">
        <v>423</v>
      </c>
      <c r="G649" s="78" t="n">
        <v>44.22</v>
      </c>
      <c r="H649" s="78" t="n">
        <v>146.21</v>
      </c>
      <c r="I649" s="78" t="n">
        <v>34.44</v>
      </c>
      <c r="J649" s="78" t="n">
        <v>113.88</v>
      </c>
      <c r="K649" s="78" t="n">
        <v>110</v>
      </c>
      <c r="T649" s="78" t="n">
        <v>3</v>
      </c>
      <c r="U649" s="78" t="n">
        <v>2</v>
      </c>
      <c r="V649" s="78" t="inlineStr">
        <is>
          <t>계단식</t>
        </is>
      </c>
      <c r="W649" s="78" t="n">
        <v>146</v>
      </c>
      <c r="X649" s="78" t="n">
        <v>29</v>
      </c>
      <c r="Y649" s="78" t="n">
        <v>18</v>
      </c>
      <c r="Z649" s="78" t="inlineStr">
        <is>
          <t>https://new.land.naver.com/complexes/120089?tab=detail&amp;rf=Y</t>
        </is>
      </c>
      <c r="AA649" s="78" t="inlineStr">
        <is>
          <t>전라북도 군산시 조촌동 3967</t>
        </is>
      </c>
      <c r="AB649" s="78" t="inlineStr">
        <is>
          <t>전라북도</t>
        </is>
      </c>
      <c r="AC649" s="78" t="inlineStr">
        <is>
          <t>군산시</t>
        </is>
      </c>
      <c r="AD649" s="78" t="inlineStr">
        <is>
          <t>조촌동</t>
        </is>
      </c>
      <c r="AG649" s="78" t="inlineStr">
        <is>
          <t>전라북도 군산시 궁포1로 82</t>
        </is>
      </c>
      <c r="AH649" s="78" t="n">
        <v>0</v>
      </c>
      <c r="AI649" s="78" t="n">
        <v>0</v>
      </c>
      <c r="AJ649" s="78" t="n">
        <v>0</v>
      </c>
      <c r="AK649" s="78" t="n">
        <v>593</v>
      </c>
      <c r="AL649" s="78" t="n">
        <v>1.4</v>
      </c>
    </row>
    <row r="650">
      <c r="A650" s="78" t="inlineStr">
        <is>
          <t>[조촌동]</t>
        </is>
      </c>
      <c r="B650" s="78" t="n">
        <v>120089</v>
      </c>
      <c r="C650" s="78" t="n">
        <v>4</v>
      </c>
      <c r="D650" s="78" t="inlineStr">
        <is>
          <t>e편한세상디오션시티2차</t>
        </is>
      </c>
      <c r="E650" s="78" t="inlineStr">
        <is>
          <t>2020.05.</t>
        </is>
      </c>
      <c r="F650" s="78" t="n">
        <v>423</v>
      </c>
      <c r="G650" s="78" t="n">
        <v>56.88</v>
      </c>
      <c r="H650" s="78" t="n">
        <v>188.05</v>
      </c>
      <c r="I650" s="78" t="n">
        <v>43.32</v>
      </c>
      <c r="J650" s="78" t="n">
        <v>143.23</v>
      </c>
      <c r="K650" s="78" t="n">
        <v>2</v>
      </c>
      <c r="T650" s="78" t="n">
        <v>4</v>
      </c>
      <c r="U650" s="78" t="n">
        <v>2</v>
      </c>
      <c r="V650" s="78" t="inlineStr">
        <is>
          <t>계단식</t>
        </is>
      </c>
      <c r="W650" s="78" t="inlineStr">
        <is>
          <t>188P</t>
        </is>
      </c>
      <c r="X650" s="78" t="n">
        <v>29</v>
      </c>
      <c r="Y650" s="78" t="n">
        <v>18</v>
      </c>
      <c r="Z650" s="78" t="inlineStr">
        <is>
          <t>https://new.land.naver.com/complexes/120089?tab=detail&amp;rf=Y</t>
        </is>
      </c>
      <c r="AA650" s="78" t="inlineStr">
        <is>
          <t>전라북도 군산시 조촌동 3967</t>
        </is>
      </c>
      <c r="AB650" s="78" t="inlineStr">
        <is>
          <t>전라북도</t>
        </is>
      </c>
      <c r="AC650" s="78" t="inlineStr">
        <is>
          <t>군산시</t>
        </is>
      </c>
      <c r="AD650" s="78" t="inlineStr">
        <is>
          <t>조촌동</t>
        </is>
      </c>
      <c r="AG650" s="78" t="inlineStr">
        <is>
          <t>전라북도 군산시 궁포1로 82</t>
        </is>
      </c>
      <c r="AH650" s="78" t="n">
        <v>0</v>
      </c>
      <c r="AI650" s="78" t="n">
        <v>0</v>
      </c>
      <c r="AJ650" s="78" t="n">
        <v>0</v>
      </c>
      <c r="AK650" s="78" t="n">
        <v>593</v>
      </c>
      <c r="AL650" s="78" t="n">
        <v>1.4</v>
      </c>
    </row>
    <row r="651">
      <c r="A651" s="78" t="inlineStr">
        <is>
          <t>[지곡동]</t>
        </is>
      </c>
      <c r="B651" s="78" t="n">
        <v>141761</v>
      </c>
      <c r="C651" s="78" t="n">
        <v>1</v>
      </c>
      <c r="D651" s="78" t="inlineStr">
        <is>
          <t>군산호수공원아이파크</t>
        </is>
      </c>
      <c r="E651" s="78" t="inlineStr">
        <is>
          <t>2024.01.</t>
        </is>
      </c>
      <c r="F651" s="78" t="n">
        <v>665</v>
      </c>
      <c r="G651" s="78" t="n">
        <v>33.12</v>
      </c>
      <c r="H651" s="78" t="n">
        <v>109.52</v>
      </c>
      <c r="I651" s="78" t="n">
        <v>25.69</v>
      </c>
      <c r="J651" s="78" t="n">
        <v>84.94</v>
      </c>
      <c r="K651" s="78" t="n">
        <v>255</v>
      </c>
      <c r="T651" s="78" t="n">
        <v>3</v>
      </c>
      <c r="U651" s="78" t="n">
        <v>2</v>
      </c>
      <c r="V651" s="78" t="inlineStr">
        <is>
          <t>계단식</t>
        </is>
      </c>
      <c r="W651" s="78" t="inlineStr">
        <is>
          <t>109A</t>
        </is>
      </c>
      <c r="X651" s="78" t="n">
        <v>29</v>
      </c>
      <c r="Y651" s="78" t="n">
        <v>13</v>
      </c>
      <c r="Z651" s="78" t="inlineStr">
        <is>
          <t>https://new.land.naver.com/complexes/141761?tab=detail&amp;rf=Y</t>
        </is>
      </c>
      <c r="AA651" s="78" t="inlineStr">
        <is>
          <t>전라북도 군산시 지곡동 산 66번지 일원</t>
        </is>
      </c>
      <c r="AB651" s="78" t="inlineStr">
        <is>
          <t>전라북도</t>
        </is>
      </c>
      <c r="AC651" s="78" t="inlineStr">
        <is>
          <t>군산시</t>
        </is>
      </c>
      <c r="AD651" s="78" t="inlineStr">
        <is>
          <t>지곡동</t>
        </is>
      </c>
      <c r="AG651" s="78" t="inlineStr">
        <is>
          <t>전라북도 군산시</t>
        </is>
      </c>
      <c r="AH651" s="78" t="n">
        <v>0</v>
      </c>
      <c r="AI651" s="78" t="n">
        <v>0</v>
      </c>
      <c r="AJ651" s="78" t="n">
        <v>0</v>
      </c>
      <c r="AK651" s="78" t="n">
        <v>1175</v>
      </c>
      <c r="AL651" s="78" t="n">
        <v>1.77</v>
      </c>
    </row>
    <row r="652">
      <c r="A652" s="78" t="inlineStr">
        <is>
          <t>[지곡동]</t>
        </is>
      </c>
      <c r="B652" s="78" t="n">
        <v>141761</v>
      </c>
      <c r="C652" s="78" t="n">
        <v>2</v>
      </c>
      <c r="D652" s="78" t="inlineStr">
        <is>
          <t>군산호수공원아이파크</t>
        </is>
      </c>
      <c r="E652" s="78" t="inlineStr">
        <is>
          <t>2024.01.</t>
        </is>
      </c>
      <c r="F652" s="78" t="n">
        <v>665</v>
      </c>
      <c r="G652" s="78" t="n">
        <v>33.35</v>
      </c>
      <c r="H652" s="78" t="n">
        <v>110.25</v>
      </c>
      <c r="I652" s="78" t="n">
        <v>25.67</v>
      </c>
      <c r="J652" s="78" t="n">
        <v>84.88</v>
      </c>
      <c r="K652" s="78" t="n">
        <v>118</v>
      </c>
      <c r="T652" s="78" t="n">
        <v>3</v>
      </c>
      <c r="U652" s="78" t="n">
        <v>2</v>
      </c>
      <c r="V652" s="78" t="inlineStr">
        <is>
          <t>계단식</t>
        </is>
      </c>
      <c r="W652" s="78" t="inlineStr">
        <is>
          <t>110B</t>
        </is>
      </c>
      <c r="X652" s="78" t="n">
        <v>29</v>
      </c>
      <c r="Y652" s="78" t="n">
        <v>13</v>
      </c>
      <c r="Z652" s="78" t="inlineStr">
        <is>
          <t>https://new.land.naver.com/complexes/141761?tab=detail&amp;rf=Y</t>
        </is>
      </c>
      <c r="AA652" s="78" t="inlineStr">
        <is>
          <t>전라북도 군산시 지곡동 산 66번지 일원</t>
        </is>
      </c>
      <c r="AB652" s="78" t="inlineStr">
        <is>
          <t>전라북도</t>
        </is>
      </c>
      <c r="AC652" s="78" t="inlineStr">
        <is>
          <t>군산시</t>
        </is>
      </c>
      <c r="AD652" s="78" t="inlineStr">
        <is>
          <t>지곡동</t>
        </is>
      </c>
      <c r="AG652" s="78" t="inlineStr">
        <is>
          <t>전라북도 군산시</t>
        </is>
      </c>
      <c r="AH652" s="78" t="n">
        <v>0</v>
      </c>
      <c r="AI652" s="78" t="n">
        <v>0</v>
      </c>
      <c r="AJ652" s="78" t="n">
        <v>0</v>
      </c>
      <c r="AK652" s="78" t="n">
        <v>1175</v>
      </c>
      <c r="AL652" s="78" t="n">
        <v>1.77</v>
      </c>
    </row>
    <row r="653">
      <c r="A653" s="78" t="inlineStr">
        <is>
          <t>[지곡동]</t>
        </is>
      </c>
      <c r="B653" s="78" t="n">
        <v>141761</v>
      </c>
      <c r="C653" s="78" t="n">
        <v>3</v>
      </c>
      <c r="D653" s="78" t="inlineStr">
        <is>
          <t>군산호수공원아이파크</t>
        </is>
      </c>
      <c r="E653" s="78" t="inlineStr">
        <is>
          <t>2024.01.</t>
        </is>
      </c>
      <c r="F653" s="78" t="n">
        <v>665</v>
      </c>
      <c r="G653" s="78" t="n">
        <v>46.07</v>
      </c>
      <c r="H653" s="78" t="n">
        <v>152.33</v>
      </c>
      <c r="I653" s="78" t="n">
        <v>35.96</v>
      </c>
      <c r="J653" s="78" t="n">
        <v>118.9</v>
      </c>
      <c r="K653" s="78" t="n">
        <v>157</v>
      </c>
      <c r="T653" s="78" t="n">
        <v>4</v>
      </c>
      <c r="U653" s="78" t="n">
        <v>2</v>
      </c>
      <c r="V653" s="78" t="inlineStr">
        <is>
          <t>계단식</t>
        </is>
      </c>
      <c r="W653" s="78" t="n">
        <v>152</v>
      </c>
      <c r="X653" s="78" t="n">
        <v>29</v>
      </c>
      <c r="Y653" s="78" t="n">
        <v>13</v>
      </c>
      <c r="Z653" s="78" t="inlineStr">
        <is>
          <t>https://new.land.naver.com/complexes/141761?tab=detail&amp;rf=Y</t>
        </is>
      </c>
      <c r="AA653" s="78" t="inlineStr">
        <is>
          <t>전라북도 군산시 지곡동 산 66번지 일원</t>
        </is>
      </c>
      <c r="AB653" s="78" t="inlineStr">
        <is>
          <t>전라북도</t>
        </is>
      </c>
      <c r="AC653" s="78" t="inlineStr">
        <is>
          <t>군산시</t>
        </is>
      </c>
      <c r="AD653" s="78" t="inlineStr">
        <is>
          <t>지곡동</t>
        </is>
      </c>
      <c r="AG653" s="78" t="inlineStr">
        <is>
          <t>전라북도 군산시</t>
        </is>
      </c>
      <c r="AH653" s="78" t="n">
        <v>0</v>
      </c>
      <c r="AI653" s="78" t="n">
        <v>0</v>
      </c>
      <c r="AJ653" s="78" t="n">
        <v>0</v>
      </c>
      <c r="AK653" s="78" t="n">
        <v>1175</v>
      </c>
      <c r="AL653" s="78" t="n">
        <v>1.77</v>
      </c>
    </row>
    <row r="654">
      <c r="A654" s="78" t="inlineStr">
        <is>
          <t>[지곡동]</t>
        </is>
      </c>
      <c r="B654" s="78" t="n">
        <v>141761</v>
      </c>
      <c r="C654" s="78" t="n">
        <v>4</v>
      </c>
      <c r="D654" s="78" t="inlineStr">
        <is>
          <t>군산호수공원아이파크</t>
        </is>
      </c>
      <c r="E654" s="78" t="inlineStr">
        <is>
          <t>2024.01.</t>
        </is>
      </c>
      <c r="F654" s="78" t="n">
        <v>665</v>
      </c>
      <c r="G654" s="78" t="n">
        <v>46.55</v>
      </c>
      <c r="H654" s="78" t="n">
        <v>153.89</v>
      </c>
      <c r="I654" s="78" t="n">
        <v>36.28</v>
      </c>
      <c r="J654" s="78" t="n">
        <v>119.94</v>
      </c>
      <c r="K654" s="78" t="n">
        <v>11</v>
      </c>
      <c r="T654" s="78" t="n">
        <v>4</v>
      </c>
      <c r="U654" s="78" t="n">
        <v>2</v>
      </c>
      <c r="V654" s="78" t="inlineStr">
        <is>
          <t>계단식</t>
        </is>
      </c>
      <c r="W654" s="78" t="n">
        <v>153</v>
      </c>
      <c r="X654" s="78" t="n">
        <v>29</v>
      </c>
      <c r="Y654" s="78" t="n">
        <v>13</v>
      </c>
      <c r="Z654" s="78" t="inlineStr">
        <is>
          <t>https://new.land.naver.com/complexes/141761?tab=detail&amp;rf=Y</t>
        </is>
      </c>
      <c r="AA654" s="78" t="inlineStr">
        <is>
          <t>전라북도 군산시 지곡동 산 66번지 일원</t>
        </is>
      </c>
      <c r="AB654" s="78" t="inlineStr">
        <is>
          <t>전라북도</t>
        </is>
      </c>
      <c r="AC654" s="78" t="inlineStr">
        <is>
          <t>군산시</t>
        </is>
      </c>
      <c r="AD654" s="78" t="inlineStr">
        <is>
          <t>지곡동</t>
        </is>
      </c>
      <c r="AG654" s="78" t="inlineStr">
        <is>
          <t>전라북도 군산시</t>
        </is>
      </c>
      <c r="AH654" s="78" t="n">
        <v>0</v>
      </c>
      <c r="AI654" s="78" t="n">
        <v>0</v>
      </c>
      <c r="AJ654" s="78" t="n">
        <v>0</v>
      </c>
      <c r="AK654" s="78" t="n">
        <v>1175</v>
      </c>
      <c r="AL654" s="78" t="n">
        <v>1.77</v>
      </c>
    </row>
    <row r="655">
      <c r="A655" s="78" t="inlineStr">
        <is>
          <t>[지곡동]</t>
        </is>
      </c>
      <c r="B655" s="78" t="n">
        <v>141761</v>
      </c>
      <c r="C655" s="78" t="n">
        <v>5</v>
      </c>
      <c r="D655" s="78" t="inlineStr">
        <is>
          <t>군산호수공원아이파크</t>
        </is>
      </c>
      <c r="E655" s="78" t="inlineStr">
        <is>
          <t>2024.01.</t>
        </is>
      </c>
      <c r="F655" s="78" t="n">
        <v>665</v>
      </c>
      <c r="G655" s="78" t="n">
        <v>56.36</v>
      </c>
      <c r="H655" s="78" t="n">
        <v>186.33</v>
      </c>
      <c r="I655" s="78" t="n">
        <v>44.44</v>
      </c>
      <c r="J655" s="78" t="n">
        <v>146.91</v>
      </c>
      <c r="K655" s="78" t="n">
        <v>120</v>
      </c>
      <c r="T655" s="78" t="n">
        <v>3</v>
      </c>
      <c r="U655" s="78" t="n">
        <v>3</v>
      </c>
      <c r="V655" s="78" t="inlineStr">
        <is>
          <t>계단식</t>
        </is>
      </c>
      <c r="W655" s="78" t="n">
        <v>186</v>
      </c>
      <c r="X655" s="78" t="n">
        <v>29</v>
      </c>
      <c r="Y655" s="78" t="n">
        <v>13</v>
      </c>
      <c r="Z655" s="78" t="inlineStr">
        <is>
          <t>https://new.land.naver.com/complexes/141761?tab=detail&amp;rf=Y</t>
        </is>
      </c>
      <c r="AA655" s="78" t="inlineStr">
        <is>
          <t>전라북도 군산시 지곡동 산 66번지 일원</t>
        </is>
      </c>
      <c r="AB655" s="78" t="inlineStr">
        <is>
          <t>전라북도</t>
        </is>
      </c>
      <c r="AC655" s="78" t="inlineStr">
        <is>
          <t>군산시</t>
        </is>
      </c>
      <c r="AD655" s="78" t="inlineStr">
        <is>
          <t>지곡동</t>
        </is>
      </c>
      <c r="AG655" s="78" t="inlineStr">
        <is>
          <t>전라북도 군산시</t>
        </is>
      </c>
      <c r="AH655" s="78" t="n">
        <v>0</v>
      </c>
      <c r="AI655" s="78" t="n">
        <v>0</v>
      </c>
      <c r="AJ655" s="78" t="n">
        <v>0</v>
      </c>
      <c r="AK655" s="78" t="n">
        <v>1175</v>
      </c>
      <c r="AL655" s="78" t="n">
        <v>1.77</v>
      </c>
    </row>
    <row r="656">
      <c r="A656" s="78" t="inlineStr">
        <is>
          <t>[지곡동]</t>
        </is>
      </c>
      <c r="B656" s="78" t="n">
        <v>141761</v>
      </c>
      <c r="C656" s="78" t="n">
        <v>6</v>
      </c>
      <c r="D656" s="78" t="inlineStr">
        <is>
          <t>군산호수공원아이파크</t>
        </is>
      </c>
      <c r="E656" s="78" t="inlineStr">
        <is>
          <t>2024.01.</t>
        </is>
      </c>
      <c r="F656" s="78" t="n">
        <v>665</v>
      </c>
      <c r="G656" s="78" t="n">
        <v>70.84</v>
      </c>
      <c r="H656" s="78" t="n">
        <v>234.21</v>
      </c>
      <c r="I656" s="78" t="n">
        <v>54.87</v>
      </c>
      <c r="J656" s="78" t="n">
        <v>181.42</v>
      </c>
      <c r="K656" s="78" t="n">
        <v>2</v>
      </c>
      <c r="T656" s="78" t="n">
        <v>3</v>
      </c>
      <c r="U656" s="78" t="n">
        <v>3</v>
      </c>
      <c r="V656" s="78" t="inlineStr">
        <is>
          <t>계단식</t>
        </is>
      </c>
      <c r="W656" s="78" t="inlineStr">
        <is>
          <t>234P</t>
        </is>
      </c>
      <c r="X656" s="78" t="n">
        <v>29</v>
      </c>
      <c r="Y656" s="78" t="n">
        <v>13</v>
      </c>
      <c r="Z656" s="78" t="inlineStr">
        <is>
          <t>https://new.land.naver.com/complexes/141761?tab=detail&amp;rf=Y</t>
        </is>
      </c>
      <c r="AA656" s="78" t="inlineStr">
        <is>
          <t>전라북도 군산시 지곡동 산 66번지 일원</t>
        </is>
      </c>
      <c r="AB656" s="78" t="inlineStr">
        <is>
          <t>전라북도</t>
        </is>
      </c>
      <c r="AC656" s="78" t="inlineStr">
        <is>
          <t>군산시</t>
        </is>
      </c>
      <c r="AD656" s="78" t="inlineStr">
        <is>
          <t>지곡동</t>
        </is>
      </c>
      <c r="AG656" s="78" t="inlineStr">
        <is>
          <t>전라북도 군산시</t>
        </is>
      </c>
      <c r="AH656" s="78" t="n">
        <v>0</v>
      </c>
      <c r="AI656" s="78" t="n">
        <v>0</v>
      </c>
      <c r="AJ656" s="78" t="n">
        <v>0</v>
      </c>
      <c r="AK656" s="78" t="n">
        <v>1175</v>
      </c>
      <c r="AL656" s="78" t="n">
        <v>1.77</v>
      </c>
    </row>
    <row r="657">
      <c r="A657" s="78" t="inlineStr">
        <is>
          <t>[지곡동]</t>
        </is>
      </c>
      <c r="B657" s="78" t="n">
        <v>141761</v>
      </c>
      <c r="C657" s="78" t="n">
        <v>7</v>
      </c>
      <c r="D657" s="78" t="inlineStr">
        <is>
          <t>군산호수공원아이파크</t>
        </is>
      </c>
      <c r="E657" s="78" t="inlineStr">
        <is>
          <t>2024.01.</t>
        </is>
      </c>
      <c r="F657" s="78" t="n">
        <v>665</v>
      </c>
      <c r="G657" s="78" t="n">
        <v>92.11</v>
      </c>
      <c r="H657" s="78" t="n">
        <v>304.52</v>
      </c>
      <c r="I657" s="78" t="n">
        <v>72.22</v>
      </c>
      <c r="J657" s="78" t="n">
        <v>238.75</v>
      </c>
      <c r="K657" s="78" t="n">
        <v>2</v>
      </c>
      <c r="T657" s="78" t="n">
        <v>5</v>
      </c>
      <c r="U657" s="78" t="n">
        <v>4</v>
      </c>
      <c r="V657" s="78" t="inlineStr">
        <is>
          <t>계단식</t>
        </is>
      </c>
      <c r="W657" s="78" t="inlineStr">
        <is>
          <t>304P</t>
        </is>
      </c>
      <c r="X657" s="78" t="n">
        <v>29</v>
      </c>
      <c r="Y657" s="78" t="n">
        <v>13</v>
      </c>
      <c r="Z657" s="78" t="inlineStr">
        <is>
          <t>https://new.land.naver.com/complexes/141761?tab=detail&amp;rf=Y</t>
        </is>
      </c>
      <c r="AA657" s="78" t="inlineStr">
        <is>
          <t>전라북도 군산시 지곡동 산 66번지 일원</t>
        </is>
      </c>
      <c r="AB657" s="78" t="inlineStr">
        <is>
          <t>전라북도</t>
        </is>
      </c>
      <c r="AC657" s="78" t="inlineStr">
        <is>
          <t>군산시</t>
        </is>
      </c>
      <c r="AD657" s="78" t="inlineStr">
        <is>
          <t>지곡동</t>
        </is>
      </c>
      <c r="AG657" s="78" t="inlineStr">
        <is>
          <t>전라북도 군산시</t>
        </is>
      </c>
      <c r="AH657" s="78" t="n">
        <v>0</v>
      </c>
      <c r="AI657" s="78" t="n">
        <v>0</v>
      </c>
      <c r="AJ657" s="78" t="n">
        <v>0</v>
      </c>
      <c r="AK657" s="78" t="n">
        <v>1175</v>
      </c>
      <c r="AL657" s="78" t="n">
        <v>1.77</v>
      </c>
    </row>
    <row r="658">
      <c r="A658" s="78" t="inlineStr">
        <is>
          <t>[지곡동]</t>
        </is>
      </c>
      <c r="B658" s="78" t="n">
        <v>26913</v>
      </c>
      <c r="C658" s="78" t="n">
        <v>1</v>
      </c>
      <c r="D658" s="78" t="inlineStr">
        <is>
          <t>은파코아루</t>
        </is>
      </c>
      <c r="E658" s="78" t="inlineStr">
        <is>
          <t>2006.12.</t>
        </is>
      </c>
      <c r="F658" s="78" t="n">
        <v>532</v>
      </c>
      <c r="G658" s="78" t="n">
        <v>36.21</v>
      </c>
      <c r="H658" s="78" t="n">
        <v>119.73</v>
      </c>
      <c r="I658" s="78" t="n">
        <v>25.67</v>
      </c>
      <c r="J658" s="78" t="n">
        <v>84.87</v>
      </c>
      <c r="K658" s="78" t="n">
        <v>196</v>
      </c>
      <c r="T658" s="78" t="n">
        <v>3</v>
      </c>
      <c r="U658" s="78" t="n">
        <v>2</v>
      </c>
      <c r="V658" s="78" t="inlineStr">
        <is>
          <t>계단식</t>
        </is>
      </c>
      <c r="W658" s="78" t="n">
        <v>119</v>
      </c>
      <c r="X658" s="78" t="n">
        <v>15</v>
      </c>
      <c r="Y658" s="78" t="n">
        <v>11</v>
      </c>
      <c r="Z658" s="78" t="inlineStr">
        <is>
          <t>https://new.land.naver.com/complexes/26913?tab=detail&amp;rf=Y</t>
        </is>
      </c>
      <c r="AA658" s="78" t="inlineStr">
        <is>
          <t>전라북도 군산시 지곡동 158-1</t>
        </is>
      </c>
      <c r="AB658" s="78" t="inlineStr">
        <is>
          <t>전라북도</t>
        </is>
      </c>
      <c r="AC658" s="78" t="inlineStr">
        <is>
          <t>군산시</t>
        </is>
      </c>
      <c r="AD658" s="78" t="inlineStr">
        <is>
          <t>지곡동</t>
        </is>
      </c>
      <c r="AG658" s="78" t="inlineStr">
        <is>
          <t>전라북도 군산시 동지곡길 53</t>
        </is>
      </c>
      <c r="AH658" s="78" t="n">
        <v>0</v>
      </c>
      <c r="AI658" s="78" t="n">
        <v>233</v>
      </c>
      <c r="AJ658" s="78" t="n">
        <v>20</v>
      </c>
      <c r="AK658" s="78" t="n">
        <v>849</v>
      </c>
      <c r="AL658" s="78" t="n">
        <v>1.6</v>
      </c>
    </row>
    <row r="659">
      <c r="A659" s="78" t="inlineStr">
        <is>
          <t>[지곡동]</t>
        </is>
      </c>
      <c r="B659" s="78" t="n">
        <v>26913</v>
      </c>
      <c r="C659" s="78" t="n">
        <v>2</v>
      </c>
      <c r="D659" s="78" t="inlineStr">
        <is>
          <t>은파코아루</t>
        </is>
      </c>
      <c r="E659" s="78" t="inlineStr">
        <is>
          <t>2006.12.</t>
        </is>
      </c>
      <c r="F659" s="78" t="n">
        <v>532</v>
      </c>
      <c r="G659" s="78" t="n">
        <v>47.05</v>
      </c>
      <c r="H659" s="78" t="n">
        <v>155.55</v>
      </c>
      <c r="I659" s="78" t="n">
        <v>38.99</v>
      </c>
      <c r="J659" s="78" t="n">
        <v>128.9</v>
      </c>
      <c r="K659" s="78" t="n">
        <v>198</v>
      </c>
      <c r="T659" s="78" t="n">
        <v>4</v>
      </c>
      <c r="U659" s="78" t="n">
        <v>2</v>
      </c>
      <c r="V659" s="78" t="inlineStr">
        <is>
          <t>계단식</t>
        </is>
      </c>
      <c r="W659" s="78" t="n">
        <v>155</v>
      </c>
      <c r="X659" s="78" t="n">
        <v>15</v>
      </c>
      <c r="Y659" s="78" t="n">
        <v>11</v>
      </c>
      <c r="Z659" s="78" t="inlineStr">
        <is>
          <t>https://new.land.naver.com/complexes/26913?tab=detail&amp;rf=Y</t>
        </is>
      </c>
      <c r="AA659" s="78" t="inlineStr">
        <is>
          <t>전라북도 군산시 지곡동 158-1</t>
        </is>
      </c>
      <c r="AB659" s="78" t="inlineStr">
        <is>
          <t>전라북도</t>
        </is>
      </c>
      <c r="AC659" s="78" t="inlineStr">
        <is>
          <t>군산시</t>
        </is>
      </c>
      <c r="AD659" s="78" t="inlineStr">
        <is>
          <t>지곡동</t>
        </is>
      </c>
      <c r="AG659" s="78" t="inlineStr">
        <is>
          <t>전라북도 군산시 동지곡길 53</t>
        </is>
      </c>
      <c r="AH659" s="78" t="n">
        <v>0</v>
      </c>
      <c r="AI659" s="78" t="n">
        <v>233</v>
      </c>
      <c r="AJ659" s="78" t="n">
        <v>20</v>
      </c>
      <c r="AK659" s="78" t="n">
        <v>849</v>
      </c>
      <c r="AL659" s="78" t="n">
        <v>1.6</v>
      </c>
    </row>
    <row r="660">
      <c r="A660" s="78" t="inlineStr">
        <is>
          <t>[지곡동]</t>
        </is>
      </c>
      <c r="B660" s="78" t="n">
        <v>26913</v>
      </c>
      <c r="C660" s="78" t="n">
        <v>3</v>
      </c>
      <c r="D660" s="78" t="inlineStr">
        <is>
          <t>은파코아루</t>
        </is>
      </c>
      <c r="E660" s="78" t="inlineStr">
        <is>
          <t>2006.12.</t>
        </is>
      </c>
      <c r="F660" s="78" t="n">
        <v>532</v>
      </c>
      <c r="G660" s="78" t="n">
        <v>55.42</v>
      </c>
      <c r="H660" s="78" t="n">
        <v>183.23</v>
      </c>
      <c r="I660" s="78" t="n">
        <v>46.74</v>
      </c>
      <c r="J660" s="78" t="n">
        <v>154.53</v>
      </c>
      <c r="K660" s="78" t="n">
        <v>108</v>
      </c>
      <c r="T660" s="78" t="n">
        <v>4</v>
      </c>
      <c r="U660" s="78" t="n">
        <v>2</v>
      </c>
      <c r="V660" s="78" t="inlineStr">
        <is>
          <t>계단식</t>
        </is>
      </c>
      <c r="W660" s="78" t="n">
        <v>183</v>
      </c>
      <c r="X660" s="78" t="n">
        <v>15</v>
      </c>
      <c r="Y660" s="78" t="n">
        <v>11</v>
      </c>
      <c r="Z660" s="78" t="inlineStr">
        <is>
          <t>https://new.land.naver.com/complexes/26913?tab=detail&amp;rf=Y</t>
        </is>
      </c>
      <c r="AA660" s="78" t="inlineStr">
        <is>
          <t>전라북도 군산시 지곡동 158-1</t>
        </is>
      </c>
      <c r="AB660" s="78" t="inlineStr">
        <is>
          <t>전라북도</t>
        </is>
      </c>
      <c r="AC660" s="78" t="inlineStr">
        <is>
          <t>군산시</t>
        </is>
      </c>
      <c r="AD660" s="78" t="inlineStr">
        <is>
          <t>지곡동</t>
        </is>
      </c>
      <c r="AG660" s="78" t="inlineStr">
        <is>
          <t>전라북도 군산시 동지곡길 53</t>
        </is>
      </c>
      <c r="AH660" s="78" t="n">
        <v>0</v>
      </c>
      <c r="AI660" s="78" t="n">
        <v>233</v>
      </c>
      <c r="AJ660" s="78" t="n">
        <v>20</v>
      </c>
      <c r="AK660" s="78" t="n">
        <v>849</v>
      </c>
      <c r="AL660" s="78" t="n">
        <v>1.6</v>
      </c>
    </row>
    <row r="661">
      <c r="A661" s="78" t="inlineStr">
        <is>
          <t>[지곡동]</t>
        </is>
      </c>
      <c r="B661" s="78" t="n">
        <v>26913</v>
      </c>
      <c r="C661" s="78" t="n">
        <v>4</v>
      </c>
      <c r="D661" s="78" t="inlineStr">
        <is>
          <t>은파코아루</t>
        </is>
      </c>
      <c r="E661" s="78" t="inlineStr">
        <is>
          <t>2006.12.</t>
        </is>
      </c>
      <c r="F661" s="78" t="n">
        <v>532</v>
      </c>
      <c r="G661" s="78" t="n">
        <v>64.73999999999999</v>
      </c>
      <c r="H661" s="78" t="n">
        <v>214.04</v>
      </c>
      <c r="I661" s="78" t="n">
        <v>54.81</v>
      </c>
      <c r="J661" s="78" t="n">
        <v>181.21</v>
      </c>
      <c r="K661" s="78" t="n">
        <v>30</v>
      </c>
      <c r="T661" s="78" t="n">
        <v>5</v>
      </c>
      <c r="U661" s="78" t="n">
        <v>3</v>
      </c>
      <c r="V661" s="78" t="inlineStr">
        <is>
          <t>계단식</t>
        </is>
      </c>
      <c r="W661" s="78" t="n">
        <v>214</v>
      </c>
      <c r="X661" s="78" t="n">
        <v>15</v>
      </c>
      <c r="Y661" s="78" t="n">
        <v>11</v>
      </c>
      <c r="Z661" s="78" t="inlineStr">
        <is>
          <t>https://new.land.naver.com/complexes/26913?tab=detail&amp;rf=Y</t>
        </is>
      </c>
      <c r="AA661" s="78" t="inlineStr">
        <is>
          <t>전라북도 군산시 지곡동 158-1</t>
        </is>
      </c>
      <c r="AB661" s="78" t="inlineStr">
        <is>
          <t>전라북도</t>
        </is>
      </c>
      <c r="AC661" s="78" t="inlineStr">
        <is>
          <t>군산시</t>
        </is>
      </c>
      <c r="AD661" s="78" t="inlineStr">
        <is>
          <t>지곡동</t>
        </is>
      </c>
      <c r="AG661" s="78" t="inlineStr">
        <is>
          <t>전라북도 군산시 동지곡길 53</t>
        </is>
      </c>
      <c r="AH661" s="78" t="n">
        <v>0</v>
      </c>
      <c r="AI661" s="78" t="n">
        <v>233</v>
      </c>
      <c r="AJ661" s="78" t="n">
        <v>20</v>
      </c>
      <c r="AK661" s="78" t="n">
        <v>849</v>
      </c>
      <c r="AL661" s="78" t="n">
        <v>1.6</v>
      </c>
    </row>
    <row r="662">
      <c r="A662" s="78" t="inlineStr">
        <is>
          <t>[지곡동]</t>
        </is>
      </c>
      <c r="B662" s="78" t="n">
        <v>104620</v>
      </c>
      <c r="C662" s="78" t="n">
        <v>1</v>
      </c>
      <c r="D662" s="78" t="inlineStr">
        <is>
          <t>지곡쌍용예가</t>
        </is>
      </c>
      <c r="E662" s="78" t="inlineStr">
        <is>
          <t>2014.08.</t>
        </is>
      </c>
      <c r="F662" s="78" t="n">
        <v>935</v>
      </c>
      <c r="G662" s="78" t="n">
        <v>25.5</v>
      </c>
      <c r="H662" s="78" t="n">
        <v>84.3</v>
      </c>
      <c r="I662" s="78" t="n">
        <v>18.14</v>
      </c>
      <c r="J662" s="78" t="n">
        <v>59.97</v>
      </c>
      <c r="K662" s="78" t="n">
        <v>133</v>
      </c>
      <c r="T662" s="78" t="n">
        <v>3</v>
      </c>
      <c r="U662" s="78" t="n">
        <v>2</v>
      </c>
      <c r="V662" s="78" t="inlineStr">
        <is>
          <t>계단식</t>
        </is>
      </c>
      <c r="W662" s="78" t="inlineStr">
        <is>
          <t>84A</t>
        </is>
      </c>
      <c r="X662" s="78" t="n">
        <v>25</v>
      </c>
      <c r="Y662" s="78" t="n">
        <v>18</v>
      </c>
      <c r="Z662" s="78" t="inlineStr">
        <is>
          <t>https://new.land.naver.com/complexes/104620?tab=detail&amp;rf=Y</t>
        </is>
      </c>
      <c r="AA662" s="78" t="inlineStr">
        <is>
          <t>전라북도 군산시 지곡동 607</t>
        </is>
      </c>
      <c r="AB662" s="78" t="inlineStr">
        <is>
          <t>전라북도</t>
        </is>
      </c>
      <c r="AC662" s="78" t="inlineStr">
        <is>
          <t>군산시</t>
        </is>
      </c>
      <c r="AD662" s="78" t="inlineStr">
        <is>
          <t>지곡동</t>
        </is>
      </c>
      <c r="AG662" s="78" t="inlineStr">
        <is>
          <t>전라북도 군산시 계산로 71</t>
        </is>
      </c>
      <c r="AH662" s="78" t="n">
        <v>0</v>
      </c>
      <c r="AI662" s="78" t="n">
        <v>245</v>
      </c>
      <c r="AJ662" s="78" t="n">
        <v>18</v>
      </c>
      <c r="AK662" s="78" t="n">
        <v>1135</v>
      </c>
      <c r="AL662" s="78" t="n">
        <v>1.21</v>
      </c>
    </row>
    <row r="663">
      <c r="A663" s="78" t="inlineStr">
        <is>
          <t>[지곡동]</t>
        </is>
      </c>
      <c r="B663" s="78" t="n">
        <v>104620</v>
      </c>
      <c r="C663" s="78" t="n">
        <v>2</v>
      </c>
      <c r="D663" s="78" t="inlineStr">
        <is>
          <t>지곡쌍용예가</t>
        </is>
      </c>
      <c r="E663" s="78" t="inlineStr">
        <is>
          <t>2014.08.</t>
        </is>
      </c>
      <c r="F663" s="78" t="n">
        <v>935</v>
      </c>
      <c r="G663" s="78" t="n">
        <v>25.6</v>
      </c>
      <c r="H663" s="78" t="n">
        <v>84.63</v>
      </c>
      <c r="I663" s="78" t="n">
        <v>18.12</v>
      </c>
      <c r="J663" s="78" t="n">
        <v>59.91</v>
      </c>
      <c r="K663" s="78" t="n">
        <v>48</v>
      </c>
      <c r="T663" s="78" t="n">
        <v>3</v>
      </c>
      <c r="U663" s="78" t="n">
        <v>2</v>
      </c>
      <c r="V663" s="78" t="inlineStr">
        <is>
          <t>계단식</t>
        </is>
      </c>
      <c r="W663" s="78" t="inlineStr">
        <is>
          <t>84B</t>
        </is>
      </c>
      <c r="X663" s="78" t="n">
        <v>25</v>
      </c>
      <c r="Y663" s="78" t="n">
        <v>18</v>
      </c>
      <c r="Z663" s="78" t="inlineStr">
        <is>
          <t>https://new.land.naver.com/complexes/104620?tab=detail&amp;rf=Y</t>
        </is>
      </c>
      <c r="AA663" s="78" t="inlineStr">
        <is>
          <t>전라북도 군산시 지곡동 607</t>
        </is>
      </c>
      <c r="AB663" s="78" t="inlineStr">
        <is>
          <t>전라북도</t>
        </is>
      </c>
      <c r="AC663" s="78" t="inlineStr">
        <is>
          <t>군산시</t>
        </is>
      </c>
      <c r="AD663" s="78" t="inlineStr">
        <is>
          <t>지곡동</t>
        </is>
      </c>
      <c r="AG663" s="78" t="inlineStr">
        <is>
          <t>전라북도 군산시 계산로 71</t>
        </is>
      </c>
      <c r="AH663" s="78" t="n">
        <v>0</v>
      </c>
      <c r="AI663" s="78" t="n">
        <v>245</v>
      </c>
      <c r="AJ663" s="78" t="n">
        <v>18</v>
      </c>
      <c r="AK663" s="78" t="n">
        <v>1135</v>
      </c>
      <c r="AL663" s="78" t="n">
        <v>1.21</v>
      </c>
    </row>
    <row r="664">
      <c r="A664" s="78" t="inlineStr">
        <is>
          <t>[지곡동]</t>
        </is>
      </c>
      <c r="B664" s="78" t="n">
        <v>104620</v>
      </c>
      <c r="C664" s="78" t="n">
        <v>3</v>
      </c>
      <c r="D664" s="78" t="inlineStr">
        <is>
          <t>지곡쌍용예가</t>
        </is>
      </c>
      <c r="E664" s="78" t="inlineStr">
        <is>
          <t>2014.08.</t>
        </is>
      </c>
      <c r="F664" s="78" t="n">
        <v>935</v>
      </c>
      <c r="G664" s="78" t="n">
        <v>31.3</v>
      </c>
      <c r="H664" s="78" t="n">
        <v>103.5</v>
      </c>
      <c r="I664" s="78" t="n">
        <v>22.68</v>
      </c>
      <c r="J664" s="78" t="n">
        <v>74.98999999999999</v>
      </c>
      <c r="K664" s="78" t="n">
        <v>213</v>
      </c>
      <c r="T664" s="78" t="n">
        <v>3</v>
      </c>
      <c r="U664" s="78" t="n">
        <v>2</v>
      </c>
      <c r="V664" s="78" t="inlineStr">
        <is>
          <t>계단식</t>
        </is>
      </c>
      <c r="W664" s="78" t="inlineStr">
        <is>
          <t>103B</t>
        </is>
      </c>
      <c r="X664" s="78" t="n">
        <v>25</v>
      </c>
      <c r="Y664" s="78" t="n">
        <v>18</v>
      </c>
      <c r="Z664" s="78" t="inlineStr">
        <is>
          <t>https://new.land.naver.com/complexes/104620?tab=detail&amp;rf=Y</t>
        </is>
      </c>
      <c r="AA664" s="78" t="inlineStr">
        <is>
          <t>전라북도 군산시 지곡동 607</t>
        </is>
      </c>
      <c r="AB664" s="78" t="inlineStr">
        <is>
          <t>전라북도</t>
        </is>
      </c>
      <c r="AC664" s="78" t="inlineStr">
        <is>
          <t>군산시</t>
        </is>
      </c>
      <c r="AD664" s="78" t="inlineStr">
        <is>
          <t>지곡동</t>
        </is>
      </c>
      <c r="AG664" s="78" t="inlineStr">
        <is>
          <t>전라북도 군산시 계산로 71</t>
        </is>
      </c>
      <c r="AH664" s="78" t="n">
        <v>0</v>
      </c>
      <c r="AI664" s="78" t="n">
        <v>245</v>
      </c>
      <c r="AJ664" s="78" t="n">
        <v>18</v>
      </c>
      <c r="AK664" s="78" t="n">
        <v>1135</v>
      </c>
      <c r="AL664" s="78" t="n">
        <v>1.21</v>
      </c>
    </row>
    <row r="665">
      <c r="A665" s="78" t="inlineStr">
        <is>
          <t>[지곡동]</t>
        </is>
      </c>
      <c r="B665" s="78" t="n">
        <v>104620</v>
      </c>
      <c r="C665" s="78" t="n">
        <v>4</v>
      </c>
      <c r="D665" s="78" t="inlineStr">
        <is>
          <t>지곡쌍용예가</t>
        </is>
      </c>
      <c r="E665" s="78" t="inlineStr">
        <is>
          <t>2014.08.</t>
        </is>
      </c>
      <c r="F665" s="78" t="n">
        <v>935</v>
      </c>
      <c r="G665" s="78" t="n">
        <v>31.42</v>
      </c>
      <c r="H665" s="78" t="n">
        <v>103.87</v>
      </c>
      <c r="I665" s="78" t="n">
        <v>22.67</v>
      </c>
      <c r="J665" s="78" t="n">
        <v>74.97</v>
      </c>
      <c r="K665" s="78" t="n">
        <v>71</v>
      </c>
      <c r="T665" s="78" t="n">
        <v>3</v>
      </c>
      <c r="U665" s="78" t="n">
        <v>2</v>
      </c>
      <c r="V665" s="78" t="inlineStr">
        <is>
          <t>계단식</t>
        </is>
      </c>
      <c r="W665" s="78" t="inlineStr">
        <is>
          <t>103A</t>
        </is>
      </c>
      <c r="X665" s="78" t="n">
        <v>25</v>
      </c>
      <c r="Y665" s="78" t="n">
        <v>18</v>
      </c>
      <c r="Z665" s="78" t="inlineStr">
        <is>
          <t>https://new.land.naver.com/complexes/104620?tab=detail&amp;rf=Y</t>
        </is>
      </c>
      <c r="AA665" s="78" t="inlineStr">
        <is>
          <t>전라북도 군산시 지곡동 607</t>
        </is>
      </c>
      <c r="AB665" s="78" t="inlineStr">
        <is>
          <t>전라북도</t>
        </is>
      </c>
      <c r="AC665" s="78" t="inlineStr">
        <is>
          <t>군산시</t>
        </is>
      </c>
      <c r="AD665" s="78" t="inlineStr">
        <is>
          <t>지곡동</t>
        </is>
      </c>
      <c r="AG665" s="78" t="inlineStr">
        <is>
          <t>전라북도 군산시 계산로 71</t>
        </is>
      </c>
      <c r="AH665" s="78" t="n">
        <v>0</v>
      </c>
      <c r="AI665" s="78" t="n">
        <v>245</v>
      </c>
      <c r="AJ665" s="78" t="n">
        <v>18</v>
      </c>
      <c r="AK665" s="78" t="n">
        <v>1135</v>
      </c>
      <c r="AL665" s="78" t="n">
        <v>1.21</v>
      </c>
    </row>
    <row r="666">
      <c r="A666" s="78" t="inlineStr">
        <is>
          <t>[지곡동]</t>
        </is>
      </c>
      <c r="B666" s="78" t="n">
        <v>104620</v>
      </c>
      <c r="C666" s="78" t="n">
        <v>5</v>
      </c>
      <c r="D666" s="78" t="inlineStr">
        <is>
          <t>지곡쌍용예가</t>
        </is>
      </c>
      <c r="E666" s="78" t="inlineStr">
        <is>
          <t>2014.08.</t>
        </is>
      </c>
      <c r="F666" s="78" t="n">
        <v>935</v>
      </c>
      <c r="G666" s="78" t="n">
        <v>34.68</v>
      </c>
      <c r="H666" s="78" t="n">
        <v>114.66</v>
      </c>
      <c r="I666" s="78" t="n">
        <v>25.7</v>
      </c>
      <c r="J666" s="78" t="n">
        <v>84.98</v>
      </c>
      <c r="K666" s="78" t="n">
        <v>309</v>
      </c>
      <c r="T666" s="78" t="n">
        <v>3</v>
      </c>
      <c r="U666" s="78" t="n">
        <v>2</v>
      </c>
      <c r="V666" s="78" t="inlineStr">
        <is>
          <t>계단식</t>
        </is>
      </c>
      <c r="W666" s="78" t="inlineStr">
        <is>
          <t>114B</t>
        </is>
      </c>
      <c r="X666" s="78" t="n">
        <v>25</v>
      </c>
      <c r="Y666" s="78" t="n">
        <v>18</v>
      </c>
      <c r="Z666" s="78" t="inlineStr">
        <is>
          <t>https://new.land.naver.com/complexes/104620?tab=detail&amp;rf=Y</t>
        </is>
      </c>
      <c r="AA666" s="78" t="inlineStr">
        <is>
          <t>전라북도 군산시 지곡동 607</t>
        </is>
      </c>
      <c r="AB666" s="78" t="inlineStr">
        <is>
          <t>전라북도</t>
        </is>
      </c>
      <c r="AC666" s="78" t="inlineStr">
        <is>
          <t>군산시</t>
        </is>
      </c>
      <c r="AD666" s="78" t="inlineStr">
        <is>
          <t>지곡동</t>
        </is>
      </c>
      <c r="AG666" s="78" t="inlineStr">
        <is>
          <t>전라북도 군산시 계산로 71</t>
        </is>
      </c>
      <c r="AH666" s="78" t="n">
        <v>0</v>
      </c>
      <c r="AI666" s="78" t="n">
        <v>245</v>
      </c>
      <c r="AJ666" s="78" t="n">
        <v>18</v>
      </c>
      <c r="AK666" s="78" t="n">
        <v>1135</v>
      </c>
      <c r="AL666" s="78" t="n">
        <v>1.21</v>
      </c>
    </row>
    <row r="667">
      <c r="A667" s="78" t="inlineStr">
        <is>
          <t>[지곡동]</t>
        </is>
      </c>
      <c r="B667" s="78" t="n">
        <v>104620</v>
      </c>
      <c r="C667" s="78" t="n">
        <v>6</v>
      </c>
      <c r="D667" s="78" t="inlineStr">
        <is>
          <t>지곡쌍용예가</t>
        </is>
      </c>
      <c r="E667" s="78" t="inlineStr">
        <is>
          <t>2014.08.</t>
        </is>
      </c>
      <c r="F667" s="78" t="n">
        <v>935</v>
      </c>
      <c r="G667" s="78" t="n">
        <v>34.48</v>
      </c>
      <c r="H667" s="78" t="n">
        <v>114.01</v>
      </c>
      <c r="I667" s="78" t="n">
        <v>25.7</v>
      </c>
      <c r="J667" s="78" t="n">
        <v>84.98</v>
      </c>
      <c r="K667" s="78" t="n">
        <v>161</v>
      </c>
      <c r="T667" s="78" t="n">
        <v>3</v>
      </c>
      <c r="U667" s="78" t="n">
        <v>2</v>
      </c>
      <c r="V667" s="78" t="inlineStr">
        <is>
          <t>계단식</t>
        </is>
      </c>
      <c r="W667" s="78" t="inlineStr">
        <is>
          <t>114A</t>
        </is>
      </c>
      <c r="X667" s="78" t="n">
        <v>25</v>
      </c>
      <c r="Y667" s="78" t="n">
        <v>18</v>
      </c>
      <c r="Z667" s="78" t="inlineStr">
        <is>
          <t>https://new.land.naver.com/complexes/104620?tab=detail&amp;rf=Y</t>
        </is>
      </c>
      <c r="AA667" s="78" t="inlineStr">
        <is>
          <t>전라북도 군산시 지곡동 607</t>
        </is>
      </c>
      <c r="AB667" s="78" t="inlineStr">
        <is>
          <t>전라북도</t>
        </is>
      </c>
      <c r="AC667" s="78" t="inlineStr">
        <is>
          <t>군산시</t>
        </is>
      </c>
      <c r="AD667" s="78" t="inlineStr">
        <is>
          <t>지곡동</t>
        </is>
      </c>
      <c r="AG667" s="78" t="inlineStr">
        <is>
          <t>전라북도 군산시 계산로 71</t>
        </is>
      </c>
      <c r="AH667" s="78" t="n">
        <v>0</v>
      </c>
      <c r="AI667" s="78" t="n">
        <v>245</v>
      </c>
      <c r="AJ667" s="78" t="n">
        <v>18</v>
      </c>
      <c r="AK667" s="78" t="n">
        <v>1135</v>
      </c>
      <c r="AL667" s="78" t="n">
        <v>1.21</v>
      </c>
    </row>
    <row r="668">
      <c r="A668" s="78" t="inlineStr">
        <is>
          <t>[지곡동]</t>
        </is>
      </c>
      <c r="B668" s="78" t="n">
        <v>109796</v>
      </c>
      <c r="C668" s="78" t="n">
        <v>1</v>
      </c>
      <c r="D668" s="78" t="inlineStr">
        <is>
          <t>지곡엠코타운</t>
        </is>
      </c>
      <c r="E668" s="78" t="inlineStr">
        <is>
          <t>2015.02.</t>
        </is>
      </c>
      <c r="F668" s="78" t="n">
        <v>502</v>
      </c>
      <c r="G668" s="78" t="n">
        <v>24.99</v>
      </c>
      <c r="H668" s="78" t="n">
        <v>82.63</v>
      </c>
      <c r="I668" s="78" t="n">
        <v>18.14</v>
      </c>
      <c r="J668" s="78" t="n">
        <v>59.97</v>
      </c>
      <c r="K668" s="78" t="n">
        <v>120</v>
      </c>
      <c r="T668" s="78" t="n">
        <v>3</v>
      </c>
      <c r="U668" s="78" t="n">
        <v>2</v>
      </c>
      <c r="V668" s="78" t="inlineStr">
        <is>
          <t>계단식</t>
        </is>
      </c>
      <c r="W668" s="78" t="n">
        <v>82</v>
      </c>
      <c r="X668" s="78" t="n">
        <v>20</v>
      </c>
      <c r="Y668" s="78" t="n">
        <v>16</v>
      </c>
      <c r="Z668" s="78" t="inlineStr">
        <is>
          <t>https://new.land.naver.com/complexes/109796?tab=detail&amp;rf=Y</t>
        </is>
      </c>
      <c r="AA668" s="78" t="inlineStr">
        <is>
          <t>전라북도 군산시 지곡동 609</t>
        </is>
      </c>
      <c r="AB668" s="78" t="inlineStr">
        <is>
          <t>전라북도</t>
        </is>
      </c>
      <c r="AC668" s="78" t="inlineStr">
        <is>
          <t>군산시</t>
        </is>
      </c>
      <c r="AD668" s="78" t="inlineStr">
        <is>
          <t>지곡동</t>
        </is>
      </c>
      <c r="AG668" s="78" t="inlineStr">
        <is>
          <t>전라북도 군산시 계산로 90</t>
        </is>
      </c>
      <c r="AH668" s="78" t="n">
        <v>0</v>
      </c>
      <c r="AI668" s="78" t="n">
        <v>249</v>
      </c>
      <c r="AJ668" s="78" t="n">
        <v>21</v>
      </c>
      <c r="AK668" s="78" t="n">
        <v>550</v>
      </c>
      <c r="AL668" s="78" t="n">
        <v>1.1</v>
      </c>
    </row>
    <row r="669">
      <c r="A669" s="78" t="inlineStr">
        <is>
          <t>[지곡동]</t>
        </is>
      </c>
      <c r="B669" s="78" t="n">
        <v>109796</v>
      </c>
      <c r="C669" s="78" t="n">
        <v>2</v>
      </c>
      <c r="D669" s="78" t="inlineStr">
        <is>
          <t>지곡엠코타운</t>
        </is>
      </c>
      <c r="E669" s="78" t="inlineStr">
        <is>
          <t>2015.02.</t>
        </is>
      </c>
      <c r="F669" s="78" t="n">
        <v>502</v>
      </c>
      <c r="G669" s="78" t="n">
        <v>32.8</v>
      </c>
      <c r="H669" s="78" t="n">
        <v>108.45</v>
      </c>
      <c r="I669" s="78" t="n">
        <v>25.69</v>
      </c>
      <c r="J669" s="78" t="n">
        <v>84.95</v>
      </c>
      <c r="K669" s="78" t="n">
        <v>170</v>
      </c>
      <c r="T669" s="78" t="n">
        <v>3</v>
      </c>
      <c r="U669" s="78" t="n">
        <v>2</v>
      </c>
      <c r="V669" s="78" t="inlineStr">
        <is>
          <t>계단식</t>
        </is>
      </c>
      <c r="W669" s="78" t="inlineStr">
        <is>
          <t>108A</t>
        </is>
      </c>
      <c r="X669" s="78" t="n">
        <v>20</v>
      </c>
      <c r="Y669" s="78" t="n">
        <v>16</v>
      </c>
      <c r="Z669" s="78" t="inlineStr">
        <is>
          <t>https://new.land.naver.com/complexes/109796?tab=detail&amp;rf=Y</t>
        </is>
      </c>
      <c r="AA669" s="78" t="inlineStr">
        <is>
          <t>전라북도 군산시 지곡동 609</t>
        </is>
      </c>
      <c r="AB669" s="78" t="inlineStr">
        <is>
          <t>전라북도</t>
        </is>
      </c>
      <c r="AC669" s="78" t="inlineStr">
        <is>
          <t>군산시</t>
        </is>
      </c>
      <c r="AD669" s="78" t="inlineStr">
        <is>
          <t>지곡동</t>
        </is>
      </c>
      <c r="AG669" s="78" t="inlineStr">
        <is>
          <t>전라북도 군산시 계산로 90</t>
        </is>
      </c>
      <c r="AH669" s="78" t="n">
        <v>0</v>
      </c>
      <c r="AI669" s="78" t="n">
        <v>249</v>
      </c>
      <c r="AJ669" s="78" t="n">
        <v>21</v>
      </c>
      <c r="AK669" s="78" t="n">
        <v>550</v>
      </c>
      <c r="AL669" s="78" t="n">
        <v>1.1</v>
      </c>
    </row>
    <row r="670">
      <c r="A670" s="78" t="inlineStr">
        <is>
          <t>[지곡동]</t>
        </is>
      </c>
      <c r="B670" s="78" t="n">
        <v>109796</v>
      </c>
      <c r="C670" s="78" t="n">
        <v>3</v>
      </c>
      <c r="D670" s="78" t="inlineStr">
        <is>
          <t>지곡엠코타운</t>
        </is>
      </c>
      <c r="E670" s="78" t="inlineStr">
        <is>
          <t>2015.02.</t>
        </is>
      </c>
      <c r="F670" s="78" t="n">
        <v>502</v>
      </c>
      <c r="G670" s="78" t="n">
        <v>32.79</v>
      </c>
      <c r="H670" s="78" t="n">
        <v>108.41</v>
      </c>
      <c r="I670" s="78" t="n">
        <v>25.69</v>
      </c>
      <c r="J670" s="78" t="n">
        <v>84.95</v>
      </c>
      <c r="K670" s="78" t="n">
        <v>144</v>
      </c>
      <c r="T670" s="78" t="n">
        <v>3</v>
      </c>
      <c r="U670" s="78" t="n">
        <v>2</v>
      </c>
      <c r="V670" s="78" t="inlineStr">
        <is>
          <t>계단식</t>
        </is>
      </c>
      <c r="W670" s="78" t="inlineStr">
        <is>
          <t>108C</t>
        </is>
      </c>
      <c r="X670" s="78" t="n">
        <v>20</v>
      </c>
      <c r="Y670" s="78" t="n">
        <v>16</v>
      </c>
      <c r="Z670" s="78" t="inlineStr">
        <is>
          <t>https://new.land.naver.com/complexes/109796?tab=detail&amp;rf=Y</t>
        </is>
      </c>
      <c r="AA670" s="78" t="inlineStr">
        <is>
          <t>전라북도 군산시 지곡동 609</t>
        </is>
      </c>
      <c r="AB670" s="78" t="inlineStr">
        <is>
          <t>전라북도</t>
        </is>
      </c>
      <c r="AC670" s="78" t="inlineStr">
        <is>
          <t>군산시</t>
        </is>
      </c>
      <c r="AD670" s="78" t="inlineStr">
        <is>
          <t>지곡동</t>
        </is>
      </c>
      <c r="AG670" s="78" t="inlineStr">
        <is>
          <t>전라북도 군산시 계산로 90</t>
        </is>
      </c>
      <c r="AH670" s="78" t="n">
        <v>0</v>
      </c>
      <c r="AI670" s="78" t="n">
        <v>249</v>
      </c>
      <c r="AJ670" s="78" t="n">
        <v>21</v>
      </c>
      <c r="AK670" s="78" t="n">
        <v>550</v>
      </c>
      <c r="AL670" s="78" t="n">
        <v>1.1</v>
      </c>
    </row>
    <row r="671">
      <c r="A671" s="78" t="inlineStr">
        <is>
          <t>[지곡동]</t>
        </is>
      </c>
      <c r="B671" s="78" t="n">
        <v>109796</v>
      </c>
      <c r="C671" s="78" t="n">
        <v>4</v>
      </c>
      <c r="D671" s="78" t="inlineStr">
        <is>
          <t>지곡엠코타운</t>
        </is>
      </c>
      <c r="E671" s="78" t="inlineStr">
        <is>
          <t>2015.02.</t>
        </is>
      </c>
      <c r="F671" s="78" t="n">
        <v>502</v>
      </c>
      <c r="G671" s="78" t="n">
        <v>32.89</v>
      </c>
      <c r="H671" s="78" t="n">
        <v>108.75</v>
      </c>
      <c r="I671" s="78" t="n">
        <v>25.7</v>
      </c>
      <c r="J671" s="78" t="n">
        <v>84.98</v>
      </c>
      <c r="K671" s="78" t="n">
        <v>68</v>
      </c>
      <c r="T671" s="78" t="n">
        <v>3</v>
      </c>
      <c r="U671" s="78" t="n">
        <v>2</v>
      </c>
      <c r="V671" s="78" t="inlineStr">
        <is>
          <t>계단식</t>
        </is>
      </c>
      <c r="W671" s="78" t="inlineStr">
        <is>
          <t>108B</t>
        </is>
      </c>
      <c r="X671" s="78" t="n">
        <v>20</v>
      </c>
      <c r="Y671" s="78" t="n">
        <v>16</v>
      </c>
      <c r="Z671" s="78" t="inlineStr">
        <is>
          <t>https://new.land.naver.com/complexes/109796?tab=detail&amp;rf=Y</t>
        </is>
      </c>
      <c r="AA671" s="78" t="inlineStr">
        <is>
          <t>전라북도 군산시 지곡동 609</t>
        </is>
      </c>
      <c r="AB671" s="78" t="inlineStr">
        <is>
          <t>전라북도</t>
        </is>
      </c>
      <c r="AC671" s="78" t="inlineStr">
        <is>
          <t>군산시</t>
        </is>
      </c>
      <c r="AD671" s="78" t="inlineStr">
        <is>
          <t>지곡동</t>
        </is>
      </c>
      <c r="AG671" s="78" t="inlineStr">
        <is>
          <t>전라북도 군산시 계산로 90</t>
        </is>
      </c>
      <c r="AH671" s="78" t="n">
        <v>0</v>
      </c>
      <c r="AI671" s="78" t="n">
        <v>249</v>
      </c>
      <c r="AJ671" s="78" t="n">
        <v>21</v>
      </c>
      <c r="AK671" s="78" t="n">
        <v>550</v>
      </c>
      <c r="AL671" s="78" t="n">
        <v>1.1</v>
      </c>
    </row>
    <row r="672">
      <c r="A672" s="78" t="inlineStr">
        <is>
          <t>[지곡동]</t>
        </is>
      </c>
      <c r="B672" s="78" t="n">
        <v>112195</v>
      </c>
      <c r="C672" s="78" t="n">
        <v>1</v>
      </c>
      <c r="D672" s="78" t="inlineStr">
        <is>
          <t>서희스타힐스</t>
        </is>
      </c>
      <c r="E672" s="78" t="inlineStr">
        <is>
          <t>2015.12.</t>
        </is>
      </c>
      <c r="F672" s="78" t="n">
        <v>382</v>
      </c>
      <c r="G672" s="78" t="n">
        <v>23.28</v>
      </c>
      <c r="H672" s="78" t="n">
        <v>76.98</v>
      </c>
      <c r="I672" s="78" t="n">
        <v>18.07</v>
      </c>
      <c r="J672" s="78" t="n">
        <v>59.74</v>
      </c>
      <c r="K672" s="78" t="n">
        <v>41</v>
      </c>
      <c r="T672" s="78" t="n">
        <v>3</v>
      </c>
      <c r="U672" s="78" t="n">
        <v>2</v>
      </c>
      <c r="V672" s="78" t="inlineStr">
        <is>
          <t>계단식</t>
        </is>
      </c>
      <c r="W672" s="78" t="inlineStr">
        <is>
          <t>76B</t>
        </is>
      </c>
      <c r="X672" s="78" t="n">
        <v>19</v>
      </c>
      <c r="Y672" s="78" t="n">
        <v>15</v>
      </c>
      <c r="Z672" s="78" t="inlineStr">
        <is>
          <t>https://new.land.naver.com/complexes/112195?tab=detail&amp;rf=Y</t>
        </is>
      </c>
      <c r="AA672" s="78" t="inlineStr">
        <is>
          <t>전라북도 군산시 지곡동 612</t>
        </is>
      </c>
      <c r="AB672" s="78" t="inlineStr">
        <is>
          <t>전라북도</t>
        </is>
      </c>
      <c r="AC672" s="78" t="inlineStr">
        <is>
          <t>군산시</t>
        </is>
      </c>
      <c r="AD672" s="78" t="inlineStr">
        <is>
          <t>지곡동</t>
        </is>
      </c>
      <c r="AG672" s="78" t="inlineStr">
        <is>
          <t>전라북도 군산시 지곡로 52</t>
        </is>
      </c>
      <c r="AH672" s="78" t="n">
        <v>0</v>
      </c>
      <c r="AI672" s="78" t="n">
        <v>246</v>
      </c>
      <c r="AJ672" s="78" t="n">
        <v>24</v>
      </c>
      <c r="AK672" s="78" t="n">
        <v>425</v>
      </c>
      <c r="AL672" s="78" t="n">
        <v>1.11</v>
      </c>
    </row>
    <row r="673">
      <c r="A673" s="78" t="inlineStr">
        <is>
          <t>[지곡동]</t>
        </is>
      </c>
      <c r="B673" s="78" t="n">
        <v>112195</v>
      </c>
      <c r="C673" s="78" t="n">
        <v>2</v>
      </c>
      <c r="D673" s="78" t="inlineStr">
        <is>
          <t>서희스타힐스</t>
        </is>
      </c>
      <c r="E673" s="78" t="inlineStr">
        <is>
          <t>2015.12.</t>
        </is>
      </c>
      <c r="F673" s="78" t="n">
        <v>382</v>
      </c>
      <c r="G673" s="78" t="n">
        <v>23.37</v>
      </c>
      <c r="H673" s="78" t="n">
        <v>77.26000000000001</v>
      </c>
      <c r="I673" s="78" t="n">
        <v>18.09</v>
      </c>
      <c r="J673" s="78" t="n">
        <v>59.83</v>
      </c>
      <c r="K673" s="78" t="n">
        <v>28</v>
      </c>
      <c r="T673" s="78" t="n">
        <v>3</v>
      </c>
      <c r="U673" s="78" t="n">
        <v>2</v>
      </c>
      <c r="V673" s="78" t="inlineStr">
        <is>
          <t>계단식</t>
        </is>
      </c>
      <c r="W673" s="78" t="inlineStr">
        <is>
          <t>77A</t>
        </is>
      </c>
      <c r="X673" s="78" t="n">
        <v>19</v>
      </c>
      <c r="Y673" s="78" t="n">
        <v>15</v>
      </c>
      <c r="Z673" s="78" t="inlineStr">
        <is>
          <t>https://new.land.naver.com/complexes/112195?tab=detail&amp;rf=Y</t>
        </is>
      </c>
      <c r="AA673" s="78" t="inlineStr">
        <is>
          <t>전라북도 군산시 지곡동 612</t>
        </is>
      </c>
      <c r="AB673" s="78" t="inlineStr">
        <is>
          <t>전라북도</t>
        </is>
      </c>
      <c r="AC673" s="78" t="inlineStr">
        <is>
          <t>군산시</t>
        </is>
      </c>
      <c r="AD673" s="78" t="inlineStr">
        <is>
          <t>지곡동</t>
        </is>
      </c>
      <c r="AG673" s="78" t="inlineStr">
        <is>
          <t>전라북도 군산시 지곡로 52</t>
        </is>
      </c>
      <c r="AH673" s="78" t="n">
        <v>0</v>
      </c>
      <c r="AI673" s="78" t="n">
        <v>246</v>
      </c>
      <c r="AJ673" s="78" t="n">
        <v>24</v>
      </c>
      <c r="AK673" s="78" t="n">
        <v>425</v>
      </c>
      <c r="AL673" s="78" t="n">
        <v>1.11</v>
      </c>
    </row>
    <row r="674">
      <c r="A674" s="78" t="inlineStr">
        <is>
          <t>[지곡동]</t>
        </is>
      </c>
      <c r="B674" s="78" t="n">
        <v>112195</v>
      </c>
      <c r="C674" s="78" t="n">
        <v>3</v>
      </c>
      <c r="D674" s="78" t="inlineStr">
        <is>
          <t>서희스타힐스</t>
        </is>
      </c>
      <c r="E674" s="78" t="inlineStr">
        <is>
          <t>2015.12.</t>
        </is>
      </c>
      <c r="F674" s="78" t="n">
        <v>382</v>
      </c>
      <c r="G674" s="78" t="n">
        <v>28.37</v>
      </c>
      <c r="H674" s="78" t="n">
        <v>93.8</v>
      </c>
      <c r="I674" s="78" t="n">
        <v>22.17</v>
      </c>
      <c r="J674" s="78" t="n">
        <v>73.31</v>
      </c>
      <c r="K674" s="78" t="n">
        <v>14</v>
      </c>
      <c r="T674" s="78" t="n">
        <v>3</v>
      </c>
      <c r="U674" s="78" t="n">
        <v>2</v>
      </c>
      <c r="V674" s="78" t="inlineStr">
        <is>
          <t>계단식</t>
        </is>
      </c>
      <c r="W674" s="78" t="n">
        <v>93</v>
      </c>
      <c r="X674" s="78" t="n">
        <v>19</v>
      </c>
      <c r="Y674" s="78" t="n">
        <v>15</v>
      </c>
      <c r="Z674" s="78" t="inlineStr">
        <is>
          <t>https://new.land.naver.com/complexes/112195?tab=detail&amp;rf=Y</t>
        </is>
      </c>
      <c r="AA674" s="78" t="inlineStr">
        <is>
          <t>전라북도 군산시 지곡동 612</t>
        </is>
      </c>
      <c r="AB674" s="78" t="inlineStr">
        <is>
          <t>전라북도</t>
        </is>
      </c>
      <c r="AC674" s="78" t="inlineStr">
        <is>
          <t>군산시</t>
        </is>
      </c>
      <c r="AD674" s="78" t="inlineStr">
        <is>
          <t>지곡동</t>
        </is>
      </c>
      <c r="AG674" s="78" t="inlineStr">
        <is>
          <t>전라북도 군산시 지곡로 52</t>
        </is>
      </c>
      <c r="AH674" s="78" t="n">
        <v>0</v>
      </c>
      <c r="AI674" s="78" t="n">
        <v>246</v>
      </c>
      <c r="AJ674" s="78" t="n">
        <v>24</v>
      </c>
      <c r="AK674" s="78" t="n">
        <v>425</v>
      </c>
      <c r="AL674" s="78" t="n">
        <v>1.11</v>
      </c>
    </row>
    <row r="675">
      <c r="A675" s="78" t="inlineStr">
        <is>
          <t>[지곡동]</t>
        </is>
      </c>
      <c r="B675" s="78" t="n">
        <v>112195</v>
      </c>
      <c r="C675" s="78" t="n">
        <v>4</v>
      </c>
      <c r="D675" s="78" t="inlineStr">
        <is>
          <t>서희스타힐스</t>
        </is>
      </c>
      <c r="E675" s="78" t="inlineStr">
        <is>
          <t>2015.12.</t>
        </is>
      </c>
      <c r="F675" s="78" t="n">
        <v>382</v>
      </c>
      <c r="G675" s="78" t="n">
        <v>32.63</v>
      </c>
      <c r="H675" s="78" t="n">
        <v>107.89</v>
      </c>
      <c r="I675" s="78" t="n">
        <v>25.5</v>
      </c>
      <c r="J675" s="78" t="n">
        <v>84.31999999999999</v>
      </c>
      <c r="K675" s="78" t="n">
        <v>187</v>
      </c>
      <c r="T675" s="78" t="n">
        <v>3</v>
      </c>
      <c r="U675" s="78" t="n">
        <v>2</v>
      </c>
      <c r="V675" s="78" t="inlineStr">
        <is>
          <t>계단식</t>
        </is>
      </c>
      <c r="W675" s="78" t="inlineStr">
        <is>
          <t>107A</t>
        </is>
      </c>
      <c r="X675" s="78" t="n">
        <v>19</v>
      </c>
      <c r="Y675" s="78" t="n">
        <v>15</v>
      </c>
      <c r="Z675" s="78" t="inlineStr">
        <is>
          <t>https://new.land.naver.com/complexes/112195?tab=detail&amp;rf=Y</t>
        </is>
      </c>
      <c r="AA675" s="78" t="inlineStr">
        <is>
          <t>전라북도 군산시 지곡동 612</t>
        </is>
      </c>
      <c r="AB675" s="78" t="inlineStr">
        <is>
          <t>전라북도</t>
        </is>
      </c>
      <c r="AC675" s="78" t="inlineStr">
        <is>
          <t>군산시</t>
        </is>
      </c>
      <c r="AD675" s="78" t="inlineStr">
        <is>
          <t>지곡동</t>
        </is>
      </c>
      <c r="AG675" s="78" t="inlineStr">
        <is>
          <t>전라북도 군산시 지곡로 52</t>
        </is>
      </c>
      <c r="AH675" s="78" t="n">
        <v>0</v>
      </c>
      <c r="AI675" s="78" t="n">
        <v>246</v>
      </c>
      <c r="AJ675" s="78" t="n">
        <v>24</v>
      </c>
      <c r="AK675" s="78" t="n">
        <v>425</v>
      </c>
      <c r="AL675" s="78" t="n">
        <v>1.11</v>
      </c>
    </row>
    <row r="676">
      <c r="A676" s="78" t="inlineStr">
        <is>
          <t>[지곡동]</t>
        </is>
      </c>
      <c r="B676" s="78" t="n">
        <v>112195</v>
      </c>
      <c r="C676" s="78" t="n">
        <v>5</v>
      </c>
      <c r="D676" s="78" t="inlineStr">
        <is>
          <t>서희스타힐스</t>
        </is>
      </c>
      <c r="E676" s="78" t="inlineStr">
        <is>
          <t>2015.12.</t>
        </is>
      </c>
      <c r="F676" s="78" t="n">
        <v>382</v>
      </c>
      <c r="G676" s="78" t="n">
        <v>32.83</v>
      </c>
      <c r="H676" s="78" t="n">
        <v>108.56</v>
      </c>
      <c r="I676" s="78" t="n">
        <v>25.7</v>
      </c>
      <c r="J676" s="78" t="n">
        <v>84.97</v>
      </c>
      <c r="K676" s="78" t="n">
        <v>74</v>
      </c>
      <c r="T676" s="78" t="n">
        <v>3</v>
      </c>
      <c r="U676" s="78" t="n">
        <v>2</v>
      </c>
      <c r="V676" s="78" t="inlineStr">
        <is>
          <t>계단식</t>
        </is>
      </c>
      <c r="W676" s="78" t="inlineStr">
        <is>
          <t>108B</t>
        </is>
      </c>
      <c r="X676" s="78" t="n">
        <v>19</v>
      </c>
      <c r="Y676" s="78" t="n">
        <v>15</v>
      </c>
      <c r="Z676" s="78" t="inlineStr">
        <is>
          <t>https://new.land.naver.com/complexes/112195?tab=detail&amp;rf=Y</t>
        </is>
      </c>
      <c r="AA676" s="78" t="inlineStr">
        <is>
          <t>전라북도 군산시 지곡동 612</t>
        </is>
      </c>
      <c r="AB676" s="78" t="inlineStr">
        <is>
          <t>전라북도</t>
        </is>
      </c>
      <c r="AC676" s="78" t="inlineStr">
        <is>
          <t>군산시</t>
        </is>
      </c>
      <c r="AD676" s="78" t="inlineStr">
        <is>
          <t>지곡동</t>
        </is>
      </c>
      <c r="AG676" s="78" t="inlineStr">
        <is>
          <t>전라북도 군산시 지곡로 52</t>
        </is>
      </c>
      <c r="AH676" s="78" t="n">
        <v>0</v>
      </c>
      <c r="AI676" s="78" t="n">
        <v>246</v>
      </c>
      <c r="AJ676" s="78" t="n">
        <v>24</v>
      </c>
      <c r="AK676" s="78" t="n">
        <v>425</v>
      </c>
      <c r="AL676" s="78" t="n">
        <v>1.11</v>
      </c>
    </row>
    <row r="677">
      <c r="A677" s="78" t="inlineStr">
        <is>
          <t>[지곡동]</t>
        </is>
      </c>
      <c r="B677" s="78" t="n">
        <v>112195</v>
      </c>
      <c r="C677" s="78" t="n">
        <v>6</v>
      </c>
      <c r="D677" s="78" t="inlineStr">
        <is>
          <t>서희스타힐스</t>
        </is>
      </c>
      <c r="E677" s="78" t="inlineStr">
        <is>
          <t>2015.12.</t>
        </is>
      </c>
      <c r="F677" s="78" t="n">
        <v>382</v>
      </c>
      <c r="G677" s="78" t="n">
        <v>32.71</v>
      </c>
      <c r="H677" s="78" t="n">
        <v>108.15</v>
      </c>
      <c r="I677" s="78" t="n">
        <v>25.64</v>
      </c>
      <c r="J677" s="78" t="n">
        <v>84.78</v>
      </c>
      <c r="K677" s="78" t="n">
        <v>38</v>
      </c>
      <c r="T677" s="78" t="n">
        <v>3</v>
      </c>
      <c r="U677" s="78" t="n">
        <v>2</v>
      </c>
      <c r="V677" s="78" t="inlineStr">
        <is>
          <t>계단식</t>
        </is>
      </c>
      <c r="W677" s="78" t="inlineStr">
        <is>
          <t>108C</t>
        </is>
      </c>
      <c r="X677" s="78" t="n">
        <v>19</v>
      </c>
      <c r="Y677" s="78" t="n">
        <v>15</v>
      </c>
      <c r="Z677" s="78" t="inlineStr">
        <is>
          <t>https://new.land.naver.com/complexes/112195?tab=detail&amp;rf=Y</t>
        </is>
      </c>
      <c r="AA677" s="78" t="inlineStr">
        <is>
          <t>전라북도 군산시 지곡동 612</t>
        </is>
      </c>
      <c r="AB677" s="78" t="inlineStr">
        <is>
          <t>전라북도</t>
        </is>
      </c>
      <c r="AC677" s="78" t="inlineStr">
        <is>
          <t>군산시</t>
        </is>
      </c>
      <c r="AD677" s="78" t="inlineStr">
        <is>
          <t>지곡동</t>
        </is>
      </c>
      <c r="AG677" s="78" t="inlineStr">
        <is>
          <t>전라북도 군산시 지곡로 52</t>
        </is>
      </c>
      <c r="AH677" s="78" t="n">
        <v>0</v>
      </c>
      <c r="AI677" s="78" t="n">
        <v>246</v>
      </c>
      <c r="AJ677" s="78" t="n">
        <v>24</v>
      </c>
      <c r="AK677" s="78" t="n">
        <v>425</v>
      </c>
      <c r="AL677" s="78" t="n">
        <v>1.11</v>
      </c>
    </row>
    <row r="678">
      <c r="A678" s="78" t="inlineStr">
        <is>
          <t>[지곡동]</t>
        </is>
      </c>
      <c r="B678" s="78" t="n">
        <v>26767</v>
      </c>
      <c r="C678" s="78" t="n">
        <v>1</v>
      </c>
      <c r="D678" s="78" t="inlineStr">
        <is>
          <t>도현해나지오</t>
        </is>
      </c>
      <c r="E678" s="78" t="inlineStr">
        <is>
          <t>2004.03.</t>
        </is>
      </c>
      <c r="F678" s="78" t="n">
        <v>472</v>
      </c>
      <c r="G678" s="78" t="n">
        <v>34.36</v>
      </c>
      <c r="H678" s="78" t="n">
        <v>113.61</v>
      </c>
      <c r="I678" s="78" t="n">
        <v>25.63</v>
      </c>
      <c r="J678" s="78" t="n">
        <v>84.73999999999999</v>
      </c>
      <c r="K678" s="78" t="n">
        <v>472</v>
      </c>
      <c r="T678" s="78" t="n">
        <v>3</v>
      </c>
      <c r="U678" s="78" t="n">
        <v>2</v>
      </c>
      <c r="V678" s="78" t="inlineStr">
        <is>
          <t>계단식</t>
        </is>
      </c>
      <c r="W678" s="78" t="n">
        <v>113</v>
      </c>
      <c r="X678" s="78" t="n">
        <v>15</v>
      </c>
      <c r="Y678" s="78" t="n">
        <v>14</v>
      </c>
      <c r="Z678" s="78" t="inlineStr">
        <is>
          <t>https://new.land.naver.com/complexes/26767?tab=detail&amp;rf=Y</t>
        </is>
      </c>
      <c r="AA678" s="78" t="inlineStr">
        <is>
          <t>전라북도 군산시 지곡동 42-5</t>
        </is>
      </c>
      <c r="AB678" s="78" t="inlineStr">
        <is>
          <t>전라북도</t>
        </is>
      </c>
      <c r="AC678" s="78" t="inlineStr">
        <is>
          <t>군산시</t>
        </is>
      </c>
      <c r="AD678" s="78" t="inlineStr">
        <is>
          <t>지곡동</t>
        </is>
      </c>
      <c r="AG678" s="78" t="inlineStr">
        <is>
          <t>전라북도 군산시 계산로 78</t>
        </is>
      </c>
      <c r="AH678" s="78" t="n">
        <v>0</v>
      </c>
      <c r="AI678" s="78" t="n">
        <v>229</v>
      </c>
      <c r="AJ678" s="78" t="n">
        <v>21</v>
      </c>
      <c r="AK678" s="78" t="n">
        <v>478</v>
      </c>
      <c r="AL678" s="78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새한</t>
        </is>
      </c>
      <c r="B6" s="10" t="inlineStr">
        <is>
          <t>'95.06.</t>
        </is>
      </c>
      <c r="C6" s="135" t="n">
        <v>304</v>
      </c>
      <c r="D6" s="133" t="n">
        <v>76.8</v>
      </c>
      <c r="E6" s="134" t="n">
        <v>23</v>
      </c>
      <c r="F6" s="133" t="n">
        <v>59.3</v>
      </c>
      <c r="G6" s="17" t="n">
        <v>18</v>
      </c>
      <c r="H6" s="135" t="n">
        <v>138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1</v>
      </c>
      <c r="S6" s="123" t="inlineStr">
        <is>
          <t>복</t>
        </is>
      </c>
      <c r="T6" s="5" t="n">
        <v>76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5" t="n">
        <v>304</v>
      </c>
      <c r="D7" s="133" t="n">
        <v>91.09999999999999</v>
      </c>
      <c r="E7" s="134" t="n">
        <v>28</v>
      </c>
      <c r="F7" s="133" t="n">
        <v>74.09999999999999</v>
      </c>
      <c r="G7" s="17" t="n">
        <v>22</v>
      </c>
      <c r="H7" s="135" t="n">
        <v>87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n">
        <v>91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5" t="n">
        <v>304</v>
      </c>
      <c r="D8" s="133" t="n">
        <v>105.5</v>
      </c>
      <c r="E8" s="134" t="n">
        <v>32</v>
      </c>
      <c r="F8" s="133" t="n">
        <v>85</v>
      </c>
      <c r="G8" s="17" t="n">
        <v>26</v>
      </c>
      <c r="H8" s="135" t="n">
        <v>79</v>
      </c>
      <c r="I8" s="136" t="n">
        <v>12000</v>
      </c>
      <c r="J8" s="136" t="inlineStr">
        <is>
          <t>8</t>
        </is>
      </c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n">
        <v>105</v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n"/>
      <c r="B9" s="123" t="n"/>
      <c r="C9" s="6" t="n"/>
      <c r="D9" s="9" t="n"/>
      <c r="E9" s="14" t="n"/>
      <c r="F9" s="133" t="n"/>
      <c r="G9" s="9" t="n"/>
      <c r="H9" s="9" t="n"/>
      <c r="I9" s="9" t="n"/>
      <c r="J9" s="9" t="n"/>
      <c r="K9" s="9" t="n"/>
      <c r="L9" s="9" t="n"/>
      <c r="M9" s="9" t="n"/>
      <c r="N9" s="9" t="n"/>
      <c r="O9" s="138" t="n"/>
      <c r="P9" s="138" t="n"/>
      <c r="Q9" s="134" t="n"/>
      <c r="R9" s="134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8">
        <f>IF(E9="","",E9)</f>
        <v/>
      </c>
      <c r="AJ9" s="123" t="n"/>
      <c r="AK9" s="123" t="n"/>
      <c r="AL9" s="123" t="n"/>
      <c r="AM9" s="123" t="n"/>
      <c r="AN9" s="123" t="n"/>
      <c r="AO9" s="123" t="n"/>
      <c r="AP9" s="123" t="n"/>
      <c r="AQ9" s="123" t="n"/>
      <c r="AR9" s="123" t="n"/>
      <c r="AS9" s="123" t="n"/>
      <c r="AT9" s="123" t="n"/>
      <c r="AU9" s="123" t="n"/>
      <c r="AV9" s="123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5" t="n">
        <v>352</v>
      </c>
      <c r="D10" s="133" t="n">
        <v>109</v>
      </c>
      <c r="E10" s="134" t="n">
        <v>33</v>
      </c>
      <c r="F10" s="133" t="n">
        <v>83.90000000000001</v>
      </c>
      <c r="G10" s="17" t="n">
        <v>25</v>
      </c>
      <c r="H10" s="135" t="n">
        <v>20</v>
      </c>
      <c r="I10" s="136" t="n">
        <v>29500</v>
      </c>
      <c r="J10" s="136" t="inlineStr">
        <is>
          <t>17</t>
        </is>
      </c>
      <c r="K10" s="136" t="n">
        <v>24000</v>
      </c>
      <c r="L10" s="136" t="inlineStr">
        <is>
          <t>14</t>
        </is>
      </c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inlineStr">
        <is>
          <t>108C</t>
        </is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5" t="n">
        <v>352</v>
      </c>
      <c r="D11" s="133" t="n">
        <v>109.5</v>
      </c>
      <c r="E11" s="134" t="n">
        <v>33</v>
      </c>
      <c r="F11" s="133" t="n">
        <v>85</v>
      </c>
      <c r="G11" s="17" t="n">
        <v>26</v>
      </c>
      <c r="H11" s="135" t="n">
        <v>104</v>
      </c>
      <c r="I11" s="136" t="n">
        <v>29800</v>
      </c>
      <c r="J11" s="136" t="inlineStr">
        <is>
          <t>24</t>
        </is>
      </c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2</v>
      </c>
      <c r="S11" s="123" t="inlineStr">
        <is>
          <t>계</t>
        </is>
      </c>
      <c r="T11" s="5" t="inlineStr">
        <is>
          <t>109D</t>
        </is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5" t="n">
        <v>352</v>
      </c>
      <c r="D12" s="133" t="n">
        <v>110.6</v>
      </c>
      <c r="E12" s="134" t="n">
        <v>33</v>
      </c>
      <c r="F12" s="133" t="n">
        <v>84.5</v>
      </c>
      <c r="G12" s="17" t="n">
        <v>26</v>
      </c>
      <c r="H12" s="135" t="n">
        <v>131</v>
      </c>
      <c r="I12" s="136" t="n">
        <v>27000</v>
      </c>
      <c r="J12" s="136" t="inlineStr">
        <is>
          <t>9</t>
        </is>
      </c>
      <c r="K12" s="136" t="n"/>
      <c r="L12" s="136" t="n"/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3</v>
      </c>
      <c r="R12" s="123" t="n">
        <v>2</v>
      </c>
      <c r="S12" s="123" t="inlineStr">
        <is>
          <t>계</t>
        </is>
      </c>
      <c r="T12" s="5" t="inlineStr">
        <is>
          <t>110B</t>
        </is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5" t="n">
        <v>352</v>
      </c>
      <c r="D13" s="133" t="n">
        <v>110.1</v>
      </c>
      <c r="E13" s="134" t="n">
        <v>33</v>
      </c>
      <c r="F13" s="133" t="n">
        <v>84.90000000000001</v>
      </c>
      <c r="G13" s="17" t="n">
        <v>26</v>
      </c>
      <c r="H13" s="135" t="n">
        <v>97</v>
      </c>
      <c r="I13" s="136" t="n">
        <v>27000</v>
      </c>
      <c r="J13" s="136" t="inlineStr">
        <is>
          <t>6</t>
        </is>
      </c>
      <c r="K13" s="136" t="n">
        <v>24000</v>
      </c>
      <c r="L13" s="136" t="inlineStr">
        <is>
          <t>6</t>
        </is>
      </c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3</v>
      </c>
      <c r="R13" s="123" t="n">
        <v>2</v>
      </c>
      <c r="S13" s="123" t="inlineStr">
        <is>
          <t>계</t>
        </is>
      </c>
      <c r="T13" s="5" t="inlineStr">
        <is>
          <t>110A</t>
        </is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n"/>
      <c r="B14" s="123" t="n"/>
      <c r="C14" s="6" t="n"/>
      <c r="D14" s="9" t="n"/>
      <c r="E14" s="14" t="n"/>
      <c r="F14" s="133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8" t="n"/>
      <c r="P14" s="138" t="n"/>
      <c r="Q14" s="134" t="n"/>
      <c r="R14" s="134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8">
        <f>IF(E14="","",E14)</f>
        <v/>
      </c>
      <c r="AJ14" s="123" t="n"/>
      <c r="AK14" s="123" t="n"/>
      <c r="AL14" s="123" t="n"/>
      <c r="AM14" s="123" t="n"/>
      <c r="AN14" s="123" t="n"/>
      <c r="AO14" s="123" t="n"/>
      <c r="AP14" s="123" t="n"/>
      <c r="AQ14" s="123" t="n"/>
      <c r="AR14" s="123" t="n"/>
      <c r="AS14" s="123" t="n"/>
      <c r="AT14" s="123" t="n"/>
      <c r="AU14" s="123" t="n"/>
      <c r="AV14" s="123" t="n"/>
    </row>
    <row r="15">
      <c r="A15" s="9" t="inlineStr">
        <is>
          <t>경암부향하나로</t>
        </is>
      </c>
      <c r="B15" s="10" t="inlineStr">
        <is>
          <t>'98.09.</t>
        </is>
      </c>
      <c r="C15" s="135" t="n">
        <v>880</v>
      </c>
      <c r="D15" s="133" t="n">
        <v>55</v>
      </c>
      <c r="E15" s="134" t="n">
        <v>17</v>
      </c>
      <c r="F15" s="133" t="n">
        <v>40</v>
      </c>
      <c r="G15" s="17" t="n">
        <v>12</v>
      </c>
      <c r="H15" s="135" t="n">
        <v>163</v>
      </c>
      <c r="I15" s="136" t="n">
        <v>4400</v>
      </c>
      <c r="J15" s="136" t="inlineStr">
        <is>
          <t>13</t>
        </is>
      </c>
      <c r="K15" s="136" t="n"/>
      <c r="L15" s="136" t="n"/>
      <c r="M15" s="137">
        <f>I15-K15</f>
        <v/>
      </c>
      <c r="N15" s="4">
        <f>IF(ISERROR(K15/I15),"",K15/I15)</f>
        <v/>
      </c>
      <c r="O15" s="138">
        <f>I15/E15</f>
        <v/>
      </c>
      <c r="P15" s="138">
        <f>K15/E15</f>
        <v/>
      </c>
      <c r="Q15" s="123" t="n">
        <v>3</v>
      </c>
      <c r="R15" s="123" t="n">
        <v>1</v>
      </c>
      <c r="S15" s="123" t="inlineStr">
        <is>
          <t>계</t>
        </is>
      </c>
      <c r="T15" s="5" t="n">
        <v>54</v>
      </c>
      <c r="U15" s="9" t="n"/>
      <c r="W15" s="133">
        <f>D15</f>
        <v/>
      </c>
      <c r="X15" s="134">
        <f>E15</f>
        <v/>
      </c>
      <c r="Y15" s="139">
        <f>H15</f>
        <v/>
      </c>
      <c r="Z15" s="137">
        <f>I15</f>
        <v/>
      </c>
      <c r="AA15" s="137">
        <f>K15</f>
        <v/>
      </c>
      <c r="AB15" s="137">
        <f>M15</f>
        <v/>
      </c>
      <c r="AC15" s="4">
        <f>N15</f>
        <v/>
      </c>
      <c r="AD15" s="138">
        <f>O15</f>
        <v/>
      </c>
      <c r="AE15" s="123">
        <f>S15</f>
        <v/>
      </c>
      <c r="AF15" s="123">
        <f>Q15&amp;"/"&amp;R15</f>
        <v/>
      </c>
      <c r="AH15" s="20">
        <f>IF(A15="","",A15)</f>
        <v/>
      </c>
      <c r="AI15" s="134">
        <f>IF(E15="","",E15)</f>
        <v/>
      </c>
      <c r="AJ15" s="123">
        <f>IF(AI15="","",$AJ$2)</f>
        <v/>
      </c>
      <c r="AK15" s="123" t="inlineStr">
        <is>
          <t>A</t>
        </is>
      </c>
      <c r="AL15" s="123" t="inlineStr">
        <is>
          <t>A+</t>
        </is>
      </c>
      <c r="AM15" s="123" t="inlineStr">
        <is>
          <t>B+</t>
        </is>
      </c>
      <c r="AN15" s="123">
        <f>IF(AI15="","",$AN$2)</f>
        <v/>
      </c>
      <c r="AO15" s="123">
        <f>IF(N15="","",IF(N15&gt;=$AO$1/100,"O","X"))</f>
        <v/>
      </c>
      <c r="AP15" s="123">
        <f>IF(I15="","",IF(I15&lt;=$AP$1,"O","X"))</f>
        <v/>
      </c>
      <c r="AQ15" s="123">
        <f>IF(O15="","",IF(O15&lt;=$AQ$1,"O","X"))</f>
        <v/>
      </c>
      <c r="AR15" s="123">
        <f>IF(M15="","",IF(M15&lt;=$AR$1,"O","X"))</f>
        <v/>
      </c>
      <c r="AS15" s="123" t="inlineStr">
        <is>
          <t>X</t>
        </is>
      </c>
      <c r="AT15" s="123">
        <f>IF(OR(F15="",AI15=""),"",IF(AND((F15&lt;=85),(AI15&gt;=15)),"O","X"))</f>
        <v/>
      </c>
      <c r="AU15" s="123">
        <f>IF(C15="","",IF(C15&gt;=$AU$1,"O","X"))</f>
        <v/>
      </c>
      <c r="AV15" s="123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7">
      <formula>AV4="X"</formula>
    </cfRule>
    <cfRule type="expression" priority="154" dxfId="16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7">
      <formula>AV7="X"</formula>
    </cfRule>
    <cfRule type="expression" priority="134" dxfId="16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7">
      <formula>AV8="X"</formula>
    </cfRule>
    <cfRule type="expression" priority="116" dxfId="16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7">
      <formula>AV9="X"</formula>
    </cfRule>
    <cfRule type="expression" priority="98" dxfId="16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7">
      <formula>AV10="X"</formula>
    </cfRule>
    <cfRule type="expression" priority="94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7">
      <formula>AV12="X"</formula>
    </cfRule>
    <cfRule type="expression" priority="58" dxfId="16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7">
      <formula>AV13="X"</formula>
    </cfRule>
    <cfRule type="expression" priority="40" dxfId="16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7">
      <formula>AV14="X"</formula>
    </cfRule>
    <cfRule type="expression" priority="22" dxfId="16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7">
      <formula>AV15="X"</formula>
    </cfRule>
    <cfRule type="expression" priority="18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현대</t>
        </is>
      </c>
      <c r="B6" s="10" t="inlineStr">
        <is>
          <t>'94.03.</t>
        </is>
      </c>
      <c r="C6" s="135" t="n">
        <v>1084</v>
      </c>
      <c r="D6" s="133" t="n">
        <v>80.09999999999999</v>
      </c>
      <c r="E6" s="134" t="n">
        <v>24</v>
      </c>
      <c r="F6" s="133" t="n">
        <v>59.9</v>
      </c>
      <c r="G6" s="17" t="n">
        <v>18</v>
      </c>
      <c r="H6" s="135" t="n">
        <v>427</v>
      </c>
      <c r="I6" s="136" t="n">
        <v>7000</v>
      </c>
      <c r="J6" s="136" t="inlineStr">
        <is>
          <t>고</t>
        </is>
      </c>
      <c r="K6" s="136" t="n">
        <v>7500</v>
      </c>
      <c r="L6" s="136" t="inlineStr">
        <is>
          <t>13</t>
        </is>
      </c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1</v>
      </c>
      <c r="S6" s="123" t="inlineStr">
        <is>
          <t>계</t>
        </is>
      </c>
      <c r="T6" s="5" t="n">
        <v>80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5" t="n">
        <v>1084</v>
      </c>
      <c r="D7" s="133" t="n">
        <v>102.5</v>
      </c>
      <c r="E7" s="134" t="n">
        <v>31</v>
      </c>
      <c r="F7" s="133" t="n">
        <v>84.90000000000001</v>
      </c>
      <c r="G7" s="17" t="n">
        <v>26</v>
      </c>
      <c r="H7" s="135" t="n">
        <v>537</v>
      </c>
      <c r="I7" s="136" t="n">
        <v>12000</v>
      </c>
      <c r="J7" s="136" t="inlineStr">
        <is>
          <t>12</t>
        </is>
      </c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n">
        <v>102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5" t="n">
        <v>1084</v>
      </c>
      <c r="D8" s="133" t="n">
        <v>146.3</v>
      </c>
      <c r="E8" s="134" t="n">
        <v>44</v>
      </c>
      <c r="F8" s="133" t="n">
        <v>125.9</v>
      </c>
      <c r="G8" s="17" t="n">
        <v>38</v>
      </c>
      <c r="H8" s="135" t="n">
        <v>120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4</v>
      </c>
      <c r="R8" s="123" t="n">
        <v>2</v>
      </c>
      <c r="S8" s="123" t="inlineStr">
        <is>
          <t>계</t>
        </is>
      </c>
      <c r="T8" s="5" t="n">
        <v>146</v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n"/>
      <c r="B9" s="123" t="n"/>
      <c r="C9" s="6" t="n"/>
      <c r="D9" s="9" t="n"/>
      <c r="E9" s="14" t="n"/>
      <c r="F9" s="133" t="n"/>
      <c r="G9" s="9" t="n"/>
      <c r="H9" s="9" t="n"/>
      <c r="I9" s="9" t="n"/>
      <c r="J9" s="9" t="n"/>
      <c r="K9" s="9" t="n"/>
      <c r="L9" s="9" t="n"/>
      <c r="M9" s="9" t="n"/>
      <c r="N9" s="9" t="n"/>
      <c r="O9" s="138" t="n"/>
      <c r="P9" s="138" t="n"/>
      <c r="Q9" s="134" t="n"/>
      <c r="R9" s="134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8">
        <f>IF(E9="","",E9)</f>
        <v/>
      </c>
      <c r="AJ9" s="123" t="n"/>
      <c r="AK9" s="123" t="n"/>
      <c r="AL9" s="123" t="n"/>
      <c r="AM9" s="123" t="n"/>
      <c r="AN9" s="123" t="n"/>
      <c r="AO9" s="123" t="n"/>
      <c r="AP9" s="123" t="n"/>
      <c r="AQ9" s="123" t="n"/>
      <c r="AR9" s="123" t="n"/>
      <c r="AS9" s="123" t="n"/>
      <c r="AT9" s="123" t="n"/>
      <c r="AU9" s="123" t="n"/>
      <c r="AV9" s="123" t="n"/>
    </row>
    <row r="10">
      <c r="A10" s="9" t="inlineStr">
        <is>
          <t>세풍</t>
        </is>
      </c>
      <c r="B10" s="10" t="inlineStr">
        <is>
          <t>'97.01.</t>
        </is>
      </c>
      <c r="C10" s="135" t="n">
        <v>437</v>
      </c>
      <c r="D10" s="133" t="n">
        <v>74.7</v>
      </c>
      <c r="E10" s="134" t="n">
        <v>23</v>
      </c>
      <c r="F10" s="133" t="n">
        <v>59.9</v>
      </c>
      <c r="G10" s="17" t="n">
        <v>18</v>
      </c>
      <c r="H10" s="135" t="n">
        <v>164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1</v>
      </c>
      <c r="S10" s="123" t="inlineStr">
        <is>
          <t>계</t>
        </is>
      </c>
      <c r="T10" s="5" t="inlineStr">
        <is>
          <t>74B</t>
        </is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5" t="n">
        <v>437</v>
      </c>
      <c r="D11" s="133" t="n">
        <v>74.2</v>
      </c>
      <c r="E11" s="134" t="n">
        <v>22</v>
      </c>
      <c r="F11" s="133" t="n">
        <v>59.5</v>
      </c>
      <c r="G11" s="17" t="n">
        <v>18</v>
      </c>
      <c r="H11" s="135" t="n">
        <v>11</v>
      </c>
      <c r="I11" s="136" t="n"/>
      <c r="J11" s="136" t="n"/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1</v>
      </c>
      <c r="S11" s="123" t="inlineStr">
        <is>
          <t>계</t>
        </is>
      </c>
      <c r="T11" s="5" t="inlineStr">
        <is>
          <t>74A</t>
        </is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5" t="n">
        <v>437</v>
      </c>
      <c r="D12" s="133" t="n">
        <v>106</v>
      </c>
      <c r="E12" s="134" t="n">
        <v>32</v>
      </c>
      <c r="F12" s="133" t="n">
        <v>85</v>
      </c>
      <c r="G12" s="17" t="n">
        <v>26</v>
      </c>
      <c r="H12" s="135" t="n">
        <v>208</v>
      </c>
      <c r="I12" s="136" t="n">
        <v>12500</v>
      </c>
      <c r="J12" s="136" t="inlineStr">
        <is>
          <t>10</t>
        </is>
      </c>
      <c r="K12" s="136" t="n"/>
      <c r="L12" s="136" t="n"/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3</v>
      </c>
      <c r="R12" s="123" t="n">
        <v>2</v>
      </c>
      <c r="S12" s="123" t="inlineStr">
        <is>
          <t>계</t>
        </is>
      </c>
      <c r="T12" s="5" t="inlineStr">
        <is>
          <t>106B</t>
        </is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5" t="n">
        <v>437</v>
      </c>
      <c r="D13" s="133" t="n">
        <v>106</v>
      </c>
      <c r="E13" s="134" t="n">
        <v>32</v>
      </c>
      <c r="F13" s="133" t="n">
        <v>85</v>
      </c>
      <c r="G13" s="17" t="n">
        <v>26</v>
      </c>
      <c r="H13" s="135" t="n">
        <v>32</v>
      </c>
      <c r="I13" s="136" t="n">
        <v>12500</v>
      </c>
      <c r="J13" s="136" t="inlineStr">
        <is>
          <t>10</t>
        </is>
      </c>
      <c r="K13" s="136" t="n"/>
      <c r="L13" s="136" t="n"/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3</v>
      </c>
      <c r="R13" s="123" t="n">
        <v>2</v>
      </c>
      <c r="S13" s="123" t="inlineStr">
        <is>
          <t>계</t>
        </is>
      </c>
      <c r="T13" s="5" t="inlineStr">
        <is>
          <t>106A</t>
        </is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5" t="n">
        <v>437</v>
      </c>
      <c r="D14" s="133" t="n">
        <v>124.8</v>
      </c>
      <c r="E14" s="134" t="n">
        <v>38</v>
      </c>
      <c r="F14" s="133" t="n">
        <v>100.1</v>
      </c>
      <c r="G14" s="17" t="n">
        <v>30</v>
      </c>
      <c r="H14" s="135" t="n">
        <v>22</v>
      </c>
      <c r="I14" s="136" t="n"/>
      <c r="J14" s="136" t="n"/>
      <c r="K14" s="136" t="n"/>
      <c r="L14" s="136" t="n"/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3</v>
      </c>
      <c r="R14" s="123" t="n">
        <v>2</v>
      </c>
      <c r="S14" s="123" t="inlineStr">
        <is>
          <t>계</t>
        </is>
      </c>
      <c r="T14" s="5" t="n">
        <v>124</v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7">
      <formula>AV4="X"</formula>
    </cfRule>
    <cfRule type="expression" priority="150" dxfId="16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7">
      <formula>AV7="X"</formula>
    </cfRule>
    <cfRule type="expression" priority="130" dxfId="16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7">
      <formula>AV8="X"</formula>
    </cfRule>
    <cfRule type="expression" priority="112" dxfId="16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7">
      <formula>AV9="X"</formula>
    </cfRule>
    <cfRule type="expression" priority="94" dxfId="16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7">
      <formula>AV10="X"</formula>
    </cfRule>
    <cfRule type="expression" priority="90" dxfId="16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7">
      <formula>AV11="X"</formula>
    </cfRule>
    <cfRule type="expression" priority="72" dxfId="16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7">
      <formula>AV12="X"</formula>
    </cfRule>
    <cfRule type="expression" priority="54" dxfId="16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7">
      <formula>AV13="X"</formula>
    </cfRule>
    <cfRule type="expression" priority="36" dxfId="16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7">
      <formula>AV14="X"</formula>
    </cfRule>
    <cfRule type="expression" priority="18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삼성</t>
        </is>
      </c>
      <c r="B6" s="10" t="inlineStr">
        <is>
          <t>'90.11.</t>
        </is>
      </c>
      <c r="C6" s="135" t="n">
        <v>424</v>
      </c>
      <c r="D6" s="133" t="n">
        <v>106.7</v>
      </c>
      <c r="E6" s="134" t="n">
        <v>32</v>
      </c>
      <c r="F6" s="133" t="n">
        <v>84.90000000000001</v>
      </c>
      <c r="G6" s="17" t="n">
        <v>26</v>
      </c>
      <c r="H6" s="135" t="n">
        <v>192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inlineStr">
        <is>
          <t>106B</t>
        </is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5" t="n">
        <v>424</v>
      </c>
      <c r="D7" s="133" t="n">
        <v>106.9</v>
      </c>
      <c r="E7" s="134" t="n">
        <v>32</v>
      </c>
      <c r="F7" s="133" t="n">
        <v>84.90000000000001</v>
      </c>
      <c r="G7" s="17" t="n">
        <v>26</v>
      </c>
      <c r="H7" s="135" t="n">
        <v>66</v>
      </c>
      <c r="I7" s="136" t="n">
        <v>12500</v>
      </c>
      <c r="J7" s="136" t="inlineStr">
        <is>
          <t>8</t>
        </is>
      </c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inlineStr">
        <is>
          <t>106A</t>
        </is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5" t="n">
        <v>424</v>
      </c>
      <c r="D8" s="133" t="n">
        <v>154.9</v>
      </c>
      <c r="E8" s="134" t="n">
        <v>47</v>
      </c>
      <c r="F8" s="133" t="n">
        <v>127.7</v>
      </c>
      <c r="G8" s="17" t="n">
        <v>39</v>
      </c>
      <c r="H8" s="135" t="n">
        <v>78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4</v>
      </c>
      <c r="R8" s="123" t="n">
        <v>2</v>
      </c>
      <c r="S8" s="123" t="inlineStr">
        <is>
          <t>계</t>
        </is>
      </c>
      <c r="T8" s="5" t="n">
        <v>154</v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5" t="n">
        <v>424</v>
      </c>
      <c r="D9" s="133" t="n">
        <v>155.4</v>
      </c>
      <c r="E9" s="134" t="n">
        <v>47</v>
      </c>
      <c r="F9" s="133" t="n">
        <v>128.5</v>
      </c>
      <c r="G9" s="17" t="n">
        <v>39</v>
      </c>
      <c r="H9" s="135" t="n">
        <v>88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4</v>
      </c>
      <c r="R9" s="123" t="n">
        <v>2</v>
      </c>
      <c r="S9" s="123" t="inlineStr">
        <is>
          <t>복</t>
        </is>
      </c>
      <c r="T9" s="5" t="n">
        <v>155</v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7">
      <formula>AV4="X"</formula>
    </cfRule>
    <cfRule type="expression" priority="74" dxfId="16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7">
      <formula>AV7="X"</formula>
    </cfRule>
    <cfRule type="expression" priority="54" dxfId="16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7">
      <formula>AV8="X"</formula>
    </cfRule>
    <cfRule type="expression" priority="36" dxfId="16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7">
      <formula>AV9="X"</formula>
    </cfRule>
    <cfRule type="expression" priority="18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5" t="n">
        <v>993</v>
      </c>
      <c r="D6" s="133" t="n">
        <v>80.5</v>
      </c>
      <c r="E6" s="134" t="n">
        <v>24</v>
      </c>
      <c r="F6" s="133" t="n">
        <v>59.8</v>
      </c>
      <c r="G6" s="17" t="n">
        <v>18</v>
      </c>
      <c r="H6" s="135" t="n">
        <v>178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inlineStr">
        <is>
          <t>80A</t>
        </is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5" t="n">
        <v>993</v>
      </c>
      <c r="D7" s="133" t="n">
        <v>80.59999999999999</v>
      </c>
      <c r="E7" s="134" t="n">
        <v>24</v>
      </c>
      <c r="F7" s="133" t="n">
        <v>60</v>
      </c>
      <c r="G7" s="17" t="n">
        <v>18</v>
      </c>
      <c r="H7" s="135" t="n">
        <v>82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inlineStr">
        <is>
          <t>80B</t>
        </is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5" t="n">
        <v>993</v>
      </c>
      <c r="D8" s="133" t="n">
        <v>98.3</v>
      </c>
      <c r="E8" s="134" t="n">
        <v>30</v>
      </c>
      <c r="F8" s="133" t="n">
        <v>73.40000000000001</v>
      </c>
      <c r="G8" s="17" t="n">
        <v>22</v>
      </c>
      <c r="H8" s="135" t="n">
        <v>86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n">
        <v>98</v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5" t="n">
        <v>993</v>
      </c>
      <c r="D9" s="133" t="n">
        <v>112.4</v>
      </c>
      <c r="E9" s="134" t="n">
        <v>34</v>
      </c>
      <c r="F9" s="133" t="n">
        <v>85</v>
      </c>
      <c r="G9" s="17" t="n">
        <v>26</v>
      </c>
      <c r="H9" s="135" t="n">
        <v>36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inlineStr">
        <is>
          <t>112A</t>
        </is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5" t="n">
        <v>993</v>
      </c>
      <c r="D10" s="133" t="n">
        <v>113.4</v>
      </c>
      <c r="E10" s="134" t="n">
        <v>34</v>
      </c>
      <c r="F10" s="133" t="n">
        <v>84.90000000000001</v>
      </c>
      <c r="G10" s="17" t="n">
        <v>26</v>
      </c>
      <c r="H10" s="135" t="n">
        <v>4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inlineStr">
        <is>
          <t>113B</t>
        </is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5" t="n">
        <v>993</v>
      </c>
      <c r="D11" s="133" t="n">
        <v>115.3</v>
      </c>
      <c r="E11" s="134" t="n">
        <v>35</v>
      </c>
      <c r="F11" s="133" t="n">
        <v>84.90000000000001</v>
      </c>
      <c r="G11" s="17" t="n">
        <v>26</v>
      </c>
      <c r="H11" s="135" t="n">
        <v>6</v>
      </c>
      <c r="I11" s="136" t="n"/>
      <c r="J11" s="136" t="n"/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2</v>
      </c>
      <c r="S11" s="123" t="inlineStr">
        <is>
          <t>계</t>
        </is>
      </c>
      <c r="T11" s="5" t="inlineStr">
        <is>
          <t>115C</t>
        </is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n"/>
      <c r="B12" s="123" t="n"/>
      <c r="C12" s="6" t="n"/>
      <c r="D12" s="9" t="n"/>
      <c r="E12" s="14" t="n"/>
      <c r="F12" s="133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8" t="n"/>
      <c r="P12" s="138" t="n"/>
      <c r="Q12" s="134" t="n"/>
      <c r="R12" s="134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8">
        <f>IF(E12="","",E12)</f>
        <v/>
      </c>
      <c r="AJ12" s="123" t="n"/>
      <c r="AK12" s="123" t="n"/>
      <c r="AL12" s="123" t="n"/>
      <c r="AM12" s="123" t="n"/>
      <c r="AN12" s="123" t="n"/>
      <c r="AO12" s="123" t="n"/>
      <c r="AP12" s="123" t="n"/>
      <c r="AQ12" s="123" t="n"/>
      <c r="AR12" s="123" t="n"/>
      <c r="AS12" s="123" t="n"/>
      <c r="AT12" s="123" t="n"/>
      <c r="AU12" s="123" t="n"/>
      <c r="AV12" s="123" t="n"/>
    </row>
    <row r="13">
      <c r="A13" s="9" t="inlineStr">
        <is>
          <t>세경</t>
        </is>
      </c>
      <c r="B13" s="10" t="inlineStr">
        <is>
          <t>'02.12.</t>
        </is>
      </c>
      <c r="C13" s="135" t="n">
        <v>1186</v>
      </c>
      <c r="D13" s="133" t="n">
        <v>51.7</v>
      </c>
      <c r="E13" s="134" t="n">
        <v>16</v>
      </c>
      <c r="F13" s="133" t="n">
        <v>40.3</v>
      </c>
      <c r="G13" s="17" t="n">
        <v>12</v>
      </c>
      <c r="H13" s="135" t="n">
        <v>230</v>
      </c>
      <c r="I13" s="136" t="n">
        <v>4500</v>
      </c>
      <c r="J13" s="136" t="inlineStr">
        <is>
          <t>9</t>
        </is>
      </c>
      <c r="K13" s="136" t="n">
        <v>5500</v>
      </c>
      <c r="L13" s="136" t="inlineStr">
        <is>
          <t>10</t>
        </is>
      </c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1</v>
      </c>
      <c r="R13" s="123" t="n">
        <v>1</v>
      </c>
      <c r="S13" s="123" t="inlineStr">
        <is>
          <t>복</t>
        </is>
      </c>
      <c r="T13" s="5" t="n">
        <v>51</v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5" t="n">
        <v>1186</v>
      </c>
      <c r="D14" s="133" t="n">
        <v>69</v>
      </c>
      <c r="E14" s="134" t="n">
        <v>21</v>
      </c>
      <c r="F14" s="133" t="n">
        <v>53.8</v>
      </c>
      <c r="G14" s="17" t="n">
        <v>16</v>
      </c>
      <c r="H14" s="135" t="n">
        <v>941</v>
      </c>
      <c r="I14" s="136" t="n">
        <v>5700</v>
      </c>
      <c r="J14" s="136" t="inlineStr">
        <is>
          <t>15</t>
        </is>
      </c>
      <c r="K14" s="136" t="n">
        <v>6500</v>
      </c>
      <c r="L14" s="136" t="inlineStr">
        <is>
          <t>10</t>
        </is>
      </c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2</v>
      </c>
      <c r="R14" s="123" t="n">
        <v>1</v>
      </c>
      <c r="S14" s="123" t="inlineStr">
        <is>
          <t>복</t>
        </is>
      </c>
      <c r="T14" s="5" t="n">
        <v>68</v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  <row r="15">
      <c r="A15" s="9" t="n"/>
      <c r="B15" s="123" t="n"/>
      <c r="C15" s="6" t="n"/>
      <c r="D15" s="9" t="n"/>
      <c r="E15" s="14" t="n"/>
      <c r="F15" s="133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8" t="n"/>
      <c r="P15" s="138" t="n"/>
      <c r="Q15" s="134" t="n"/>
      <c r="R15" s="134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8">
        <f>IF(E15="","",E15)</f>
        <v/>
      </c>
      <c r="AJ15" s="123" t="n"/>
      <c r="AK15" s="123" t="n"/>
      <c r="AL15" s="123" t="n"/>
      <c r="AM15" s="123" t="n"/>
      <c r="AN15" s="123" t="n"/>
      <c r="AO15" s="123" t="n"/>
      <c r="AP15" s="123" t="n"/>
      <c r="AQ15" s="123" t="n"/>
      <c r="AR15" s="123" t="n"/>
      <c r="AS15" s="123" t="n"/>
      <c r="AT15" s="123" t="n"/>
      <c r="AU15" s="123" t="n"/>
      <c r="AV15" s="123" t="n"/>
    </row>
    <row r="16">
      <c r="A16" s="9" t="inlineStr">
        <is>
          <t>수송코아루</t>
        </is>
      </c>
      <c r="B16" s="10" t="inlineStr">
        <is>
          <t>'09.03.</t>
        </is>
      </c>
      <c r="C16" s="135" t="n">
        <v>392</v>
      </c>
      <c r="D16" s="133" t="n">
        <v>87.09999999999999</v>
      </c>
      <c r="E16" s="134" t="n">
        <v>26</v>
      </c>
      <c r="F16" s="133" t="n">
        <v>59.6</v>
      </c>
      <c r="G16" s="17" t="n">
        <v>18</v>
      </c>
      <c r="H16" s="135" t="n">
        <v>392</v>
      </c>
      <c r="I16" s="136" t="n">
        <v>19800</v>
      </c>
      <c r="J16" s="136" t="inlineStr">
        <is>
          <t>5</t>
        </is>
      </c>
      <c r="K16" s="136" t="n"/>
      <c r="L16" s="136" t="n"/>
      <c r="M16" s="137">
        <f>I16-K16</f>
        <v/>
      </c>
      <c r="N16" s="4">
        <f>IF(ISERROR(K16/I16),"",K16/I16)</f>
        <v/>
      </c>
      <c r="O16" s="138">
        <f>I16/E16</f>
        <v/>
      </c>
      <c r="P16" s="138">
        <f>K16/E16</f>
        <v/>
      </c>
      <c r="Q16" s="123" t="n">
        <v>3</v>
      </c>
      <c r="R16" s="123" t="n">
        <v>2</v>
      </c>
      <c r="S16" s="123" t="inlineStr">
        <is>
          <t>계</t>
        </is>
      </c>
      <c r="T16" s="5" t="n">
        <v>87</v>
      </c>
      <c r="U16" s="9" t="n"/>
      <c r="W16" s="133">
        <f>D16</f>
        <v/>
      </c>
      <c r="X16" s="134">
        <f>E16</f>
        <v/>
      </c>
      <c r="Y16" s="139">
        <f>H16</f>
        <v/>
      </c>
      <c r="Z16" s="137">
        <f>I16</f>
        <v/>
      </c>
      <c r="AA16" s="137">
        <f>K16</f>
        <v/>
      </c>
      <c r="AB16" s="137">
        <f>M16</f>
        <v/>
      </c>
      <c r="AC16" s="4">
        <f>N16</f>
        <v/>
      </c>
      <c r="AD16" s="138">
        <f>O16</f>
        <v/>
      </c>
      <c r="AE16" s="123">
        <f>S16</f>
        <v/>
      </c>
      <c r="AF16" s="123">
        <f>Q16&amp;"/"&amp;R16</f>
        <v/>
      </c>
      <c r="AH16" s="20">
        <f>IF(A16="","",A16)</f>
        <v/>
      </c>
      <c r="AI16" s="134">
        <f>IF(E16="","",E16)</f>
        <v/>
      </c>
      <c r="AJ16" s="123">
        <f>IF(AI16="","",$AJ$2)</f>
        <v/>
      </c>
      <c r="AK16" s="123" t="inlineStr">
        <is>
          <t>A</t>
        </is>
      </c>
      <c r="AL16" s="123" t="inlineStr">
        <is>
          <t>A+</t>
        </is>
      </c>
      <c r="AM16" s="123" t="inlineStr">
        <is>
          <t>B+</t>
        </is>
      </c>
      <c r="AN16" s="123">
        <f>IF(AI16="","",$AN$2)</f>
        <v/>
      </c>
      <c r="AO16" s="123">
        <f>IF(N16="","",IF(N16&gt;=$AO$1/100,"O","X"))</f>
        <v/>
      </c>
      <c r="AP16" s="123">
        <f>IF(I16="","",IF(I16&lt;=$AP$1,"O","X"))</f>
        <v/>
      </c>
      <c r="AQ16" s="123">
        <f>IF(O16="","",IF(O16&lt;=$AQ$1,"O","X"))</f>
        <v/>
      </c>
      <c r="AR16" s="123">
        <f>IF(M16="","",IF(M16&lt;=$AR$1,"O","X"))</f>
        <v/>
      </c>
      <c r="AS16" s="123" t="inlineStr">
        <is>
          <t>X</t>
        </is>
      </c>
      <c r="AT16" s="123">
        <f>IF(OR(F16="",AI16=""),"",IF(AND((F16&lt;=85),(AI16&gt;=15)),"O","X"))</f>
        <v/>
      </c>
      <c r="AU16" s="123">
        <f>IF(C16="","",IF(C16&gt;=$AU$1,"O","X"))</f>
        <v/>
      </c>
      <c r="AV16" s="123">
        <f>IF(AO16="","",IF(AND(AO16="O",AP16="O",AR16="O",AT16="O",AU16="O"),"후보","X"))</f>
        <v/>
      </c>
    </row>
    <row r="17">
      <c r="A17" s="9" t="n"/>
      <c r="B17" s="123" t="n"/>
      <c r="C17" s="6" t="n"/>
      <c r="D17" s="9" t="n"/>
      <c r="E17" s="14" t="n"/>
      <c r="F17" s="133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8" t="n"/>
      <c r="P17" s="138" t="n"/>
      <c r="Q17" s="134" t="n"/>
      <c r="R17" s="134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8">
        <f>IF(E17="","",E17)</f>
        <v/>
      </c>
      <c r="AJ17" s="123" t="n"/>
      <c r="AK17" s="123" t="n"/>
      <c r="AL17" s="123" t="n"/>
      <c r="AM17" s="123" t="n"/>
      <c r="AN17" s="123" t="n"/>
      <c r="AO17" s="123" t="n"/>
      <c r="AP17" s="123" t="n"/>
      <c r="AQ17" s="123" t="n"/>
      <c r="AR17" s="123" t="n"/>
      <c r="AS17" s="123" t="n"/>
      <c r="AT17" s="123" t="n"/>
      <c r="AU17" s="123" t="n"/>
      <c r="AV17" s="123" t="n"/>
    </row>
    <row r="18">
      <c r="A18" s="9" t="inlineStr">
        <is>
          <t>금호타운2차</t>
        </is>
      </c>
      <c r="B18" s="10" t="inlineStr">
        <is>
          <t>'94.09.</t>
        </is>
      </c>
      <c r="C18" s="135" t="n">
        <v>336</v>
      </c>
      <c r="D18" s="133" t="n">
        <v>83.8</v>
      </c>
      <c r="E18" s="134" t="n">
        <v>25</v>
      </c>
      <c r="F18" s="133" t="n">
        <v>59.9</v>
      </c>
      <c r="G18" s="17" t="n">
        <v>18</v>
      </c>
      <c r="H18" s="135" t="n">
        <v>120</v>
      </c>
      <c r="I18" s="136" t="n">
        <v>9300</v>
      </c>
      <c r="J18" s="136" t="inlineStr">
        <is>
          <t>6</t>
        </is>
      </c>
      <c r="K18" s="136" t="n"/>
      <c r="L18" s="136" t="n"/>
      <c r="M18" s="137">
        <f>I18-K18</f>
        <v/>
      </c>
      <c r="N18" s="4">
        <f>IF(ISERROR(K18/I18),"",K18/I18)</f>
        <v/>
      </c>
      <c r="O18" s="138">
        <f>I18/E18</f>
        <v/>
      </c>
      <c r="P18" s="138">
        <f>K18/E18</f>
        <v/>
      </c>
      <c r="Q18" s="123" t="n">
        <v>2</v>
      </c>
      <c r="R18" s="123" t="n">
        <v>1</v>
      </c>
      <c r="S18" s="123" t="inlineStr">
        <is>
          <t>계</t>
        </is>
      </c>
      <c r="T18" s="5" t="n">
        <v>83</v>
      </c>
      <c r="U18" s="9" t="n"/>
      <c r="W18" s="133">
        <f>D18</f>
        <v/>
      </c>
      <c r="X18" s="134">
        <f>E18</f>
        <v/>
      </c>
      <c r="Y18" s="139">
        <f>H18</f>
        <v/>
      </c>
      <c r="Z18" s="137">
        <f>I18</f>
        <v/>
      </c>
      <c r="AA18" s="137">
        <f>K18</f>
        <v/>
      </c>
      <c r="AB18" s="137">
        <f>M18</f>
        <v/>
      </c>
      <c r="AC18" s="4">
        <f>N18</f>
        <v/>
      </c>
      <c r="AD18" s="138">
        <f>O18</f>
        <v/>
      </c>
      <c r="AE18" s="123">
        <f>S18</f>
        <v/>
      </c>
      <c r="AF18" s="123">
        <f>Q18&amp;"/"&amp;R18</f>
        <v/>
      </c>
      <c r="AH18" s="20">
        <f>IF(A18="","",A18)</f>
        <v/>
      </c>
      <c r="AI18" s="134">
        <f>IF(E18="","",E18)</f>
        <v/>
      </c>
      <c r="AJ18" s="123">
        <f>IF(AI18="","",$AJ$2)</f>
        <v/>
      </c>
      <c r="AK18" s="123" t="inlineStr">
        <is>
          <t>A</t>
        </is>
      </c>
      <c r="AL18" s="123" t="inlineStr">
        <is>
          <t>A+</t>
        </is>
      </c>
      <c r="AM18" s="123" t="inlineStr">
        <is>
          <t>B+</t>
        </is>
      </c>
      <c r="AN18" s="123">
        <f>IF(AI18="","",$AN$2)</f>
        <v/>
      </c>
      <c r="AO18" s="123">
        <f>IF(N18="","",IF(N18&gt;=$AO$1/100,"O","X"))</f>
        <v/>
      </c>
      <c r="AP18" s="123">
        <f>IF(I18="","",IF(I18&lt;=$AP$1,"O","X"))</f>
        <v/>
      </c>
      <c r="AQ18" s="123">
        <f>IF(O18="","",IF(O18&lt;=$AQ$1,"O","X"))</f>
        <v/>
      </c>
      <c r="AR18" s="123">
        <f>IF(M18="","",IF(M18&lt;=$AR$1,"O","X"))</f>
        <v/>
      </c>
      <c r="AS18" s="123" t="inlineStr">
        <is>
          <t>X</t>
        </is>
      </c>
      <c r="AT18" s="123">
        <f>IF(OR(F18="",AI18=""),"",IF(AND((F18&lt;=85),(AI18&gt;=15)),"O","X"))</f>
        <v/>
      </c>
      <c r="AU18" s="123">
        <f>IF(C18="","",IF(C18&gt;=$AU$1,"O","X"))</f>
        <v/>
      </c>
      <c r="AV18" s="123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5" t="n">
        <v>336</v>
      </c>
      <c r="D19" s="133" t="n">
        <v>103</v>
      </c>
      <c r="E19" s="134" t="n">
        <v>31</v>
      </c>
      <c r="F19" s="133" t="n">
        <v>84.8</v>
      </c>
      <c r="G19" s="17" t="n">
        <v>26</v>
      </c>
      <c r="H19" s="135" t="n">
        <v>120</v>
      </c>
      <c r="I19" s="136" t="n">
        <v>17300</v>
      </c>
      <c r="J19" s="136" t="inlineStr">
        <is>
          <t>8</t>
        </is>
      </c>
      <c r="K19" s="136" t="n"/>
      <c r="L19" s="136" t="n"/>
      <c r="M19" s="137">
        <f>I19-K19</f>
        <v/>
      </c>
      <c r="N19" s="4">
        <f>IF(ISERROR(K19/I19),"",K19/I19)</f>
        <v/>
      </c>
      <c r="O19" s="138">
        <f>I19/E19</f>
        <v/>
      </c>
      <c r="P19" s="138">
        <f>K19/E19</f>
        <v/>
      </c>
      <c r="Q19" s="123" t="n">
        <v>3</v>
      </c>
      <c r="R19" s="123" t="n">
        <v>2</v>
      </c>
      <c r="S19" s="123" t="inlineStr">
        <is>
          <t>계</t>
        </is>
      </c>
      <c r="T19" s="5" t="n">
        <v>103</v>
      </c>
      <c r="U19" s="9" t="n"/>
      <c r="W19" s="133">
        <f>D19</f>
        <v/>
      </c>
      <c r="X19" s="134">
        <f>E19</f>
        <v/>
      </c>
      <c r="Y19" s="139">
        <f>H19</f>
        <v/>
      </c>
      <c r="Z19" s="137">
        <f>I19</f>
        <v/>
      </c>
      <c r="AA19" s="137">
        <f>K19</f>
        <v/>
      </c>
      <c r="AB19" s="137">
        <f>M19</f>
        <v/>
      </c>
      <c r="AC19" s="4">
        <f>N19</f>
        <v/>
      </c>
      <c r="AD19" s="138">
        <f>O19</f>
        <v/>
      </c>
      <c r="AE19" s="123">
        <f>S19</f>
        <v/>
      </c>
      <c r="AF19" s="123">
        <f>Q19&amp;"/"&amp;R19</f>
        <v/>
      </c>
      <c r="AH19" s="20">
        <f>IF(A19="","",A19)</f>
        <v/>
      </c>
      <c r="AI19" s="134">
        <f>IF(E19="","",E19)</f>
        <v/>
      </c>
      <c r="AJ19" s="123">
        <f>IF(AI19="","",$AJ$2)</f>
        <v/>
      </c>
      <c r="AK19" s="123" t="inlineStr">
        <is>
          <t>A</t>
        </is>
      </c>
      <c r="AL19" s="123" t="inlineStr">
        <is>
          <t>A+</t>
        </is>
      </c>
      <c r="AM19" s="123" t="inlineStr">
        <is>
          <t>B+</t>
        </is>
      </c>
      <c r="AN19" s="123">
        <f>IF(AI19="","",$AN$2)</f>
        <v/>
      </c>
      <c r="AO19" s="123">
        <f>IF(N19="","",IF(N19&gt;=$AO$1/100,"O","X"))</f>
        <v/>
      </c>
      <c r="AP19" s="123">
        <f>IF(I19="","",IF(I19&lt;=$AP$1,"O","X"))</f>
        <v/>
      </c>
      <c r="AQ19" s="123">
        <f>IF(O19="","",IF(O19&lt;=$AQ$1,"O","X"))</f>
        <v/>
      </c>
      <c r="AR19" s="123">
        <f>IF(M19="","",IF(M19&lt;=$AR$1,"O","X"))</f>
        <v/>
      </c>
      <c r="AS19" s="123" t="inlineStr">
        <is>
          <t>X</t>
        </is>
      </c>
      <c r="AT19" s="123">
        <f>IF(OR(F19="",AI19=""),"",IF(AND((F19&lt;=85),(AI19&gt;=15)),"O","X"))</f>
        <v/>
      </c>
      <c r="AU19" s="123">
        <f>IF(C19="","",IF(C19&gt;=$AU$1,"O","X"))</f>
        <v/>
      </c>
      <c r="AV19" s="123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5" t="n">
        <v>336</v>
      </c>
      <c r="D20" s="133" t="n">
        <v>148.8</v>
      </c>
      <c r="E20" s="134" t="n">
        <v>45</v>
      </c>
      <c r="F20" s="133" t="n">
        <v>126.6</v>
      </c>
      <c r="G20" s="17" t="n">
        <v>38</v>
      </c>
      <c r="H20" s="135" t="n">
        <v>96</v>
      </c>
      <c r="I20" s="136" t="n"/>
      <c r="J20" s="136" t="n"/>
      <c r="K20" s="136" t="n"/>
      <c r="L20" s="136" t="n"/>
      <c r="M20" s="137">
        <f>I20-K20</f>
        <v/>
      </c>
      <c r="N20" s="4">
        <f>IF(ISERROR(K20/I20),"",K20/I20)</f>
        <v/>
      </c>
      <c r="O20" s="138">
        <f>I20/E20</f>
        <v/>
      </c>
      <c r="P20" s="138">
        <f>K20/E20</f>
        <v/>
      </c>
      <c r="Q20" s="123" t="n">
        <v>4</v>
      </c>
      <c r="R20" s="123" t="n">
        <v>2</v>
      </c>
      <c r="S20" s="123" t="inlineStr">
        <is>
          <t>계</t>
        </is>
      </c>
      <c r="T20" s="5" t="n">
        <v>148</v>
      </c>
      <c r="U20" s="9" t="n"/>
      <c r="W20" s="133">
        <f>D20</f>
        <v/>
      </c>
      <c r="X20" s="134">
        <f>E20</f>
        <v/>
      </c>
      <c r="Y20" s="139">
        <f>H20</f>
        <v/>
      </c>
      <c r="Z20" s="137">
        <f>I20</f>
        <v/>
      </c>
      <c r="AA20" s="137">
        <f>K20</f>
        <v/>
      </c>
      <c r="AB20" s="137">
        <f>M20</f>
        <v/>
      </c>
      <c r="AC20" s="4">
        <f>N20</f>
        <v/>
      </c>
      <c r="AD20" s="138">
        <f>O20</f>
        <v/>
      </c>
      <c r="AE20" s="123">
        <f>S20</f>
        <v/>
      </c>
      <c r="AF20" s="123">
        <f>Q20&amp;"/"&amp;R20</f>
        <v/>
      </c>
      <c r="AH20" s="20">
        <f>IF(A20="","",A20)</f>
        <v/>
      </c>
      <c r="AI20" s="134">
        <f>IF(E20="","",E20)</f>
        <v/>
      </c>
      <c r="AJ20" s="123">
        <f>IF(AI20="","",$AJ$2)</f>
        <v/>
      </c>
      <c r="AK20" s="123" t="inlineStr">
        <is>
          <t>A</t>
        </is>
      </c>
      <c r="AL20" s="123" t="inlineStr">
        <is>
          <t>A+</t>
        </is>
      </c>
      <c r="AM20" s="123" t="inlineStr">
        <is>
          <t>B+</t>
        </is>
      </c>
      <c r="AN20" s="123">
        <f>IF(AI20="","",$AN$2)</f>
        <v/>
      </c>
      <c r="AO20" s="123">
        <f>IF(N20="","",IF(N20&gt;=$AO$1/100,"O","X"))</f>
        <v/>
      </c>
      <c r="AP20" s="123">
        <f>IF(I20="","",IF(I20&lt;=$AP$1,"O","X"))</f>
        <v/>
      </c>
      <c r="AQ20" s="123">
        <f>IF(O20="","",IF(O20&lt;=$AQ$1,"O","X"))</f>
        <v/>
      </c>
      <c r="AR20" s="123">
        <f>IF(M20="","",IF(M20&lt;=$AR$1,"O","X"))</f>
        <v/>
      </c>
      <c r="AS20" s="123" t="inlineStr">
        <is>
          <t>X</t>
        </is>
      </c>
      <c r="AT20" s="123">
        <f>IF(OR(F20="",AI20=""),"",IF(AND((F20&lt;=85),(AI20&gt;=15)),"O","X"))</f>
        <v/>
      </c>
      <c r="AU20" s="123">
        <f>IF(C20="","",IF(C20&gt;=$AU$1,"O","X"))</f>
        <v/>
      </c>
      <c r="AV20" s="123">
        <f>IF(AO20="","",IF(AND(AO20="O",AP20="O",AR20="O",AT20="O",AU20="O"),"후보","X"))</f>
        <v/>
      </c>
    </row>
    <row r="21">
      <c r="A21" s="9" t="n"/>
      <c r="B21" s="123" t="n"/>
      <c r="C21" s="6" t="n"/>
      <c r="D21" s="9" t="n"/>
      <c r="E21" s="14" t="n"/>
      <c r="F21" s="133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8" t="n"/>
      <c r="P21" s="138" t="n"/>
      <c r="Q21" s="134" t="n"/>
      <c r="R21" s="134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8">
        <f>IF(E21="","",E21)</f>
        <v/>
      </c>
      <c r="AJ21" s="123" t="n"/>
      <c r="AK21" s="123" t="n"/>
      <c r="AL21" s="123" t="n"/>
      <c r="AM21" s="123" t="n"/>
      <c r="AN21" s="123" t="n"/>
      <c r="AO21" s="123" t="n"/>
      <c r="AP21" s="123" t="n"/>
      <c r="AQ21" s="123" t="n"/>
      <c r="AR21" s="123" t="n"/>
      <c r="AS21" s="123" t="n"/>
      <c r="AT21" s="123" t="n"/>
      <c r="AU21" s="123" t="n"/>
      <c r="AV21" s="123" t="n"/>
    </row>
    <row r="22">
      <c r="A22" s="9" t="inlineStr">
        <is>
          <t>나운현대2차</t>
        </is>
      </c>
      <c r="B22" s="10" t="inlineStr">
        <is>
          <t>'93.10.</t>
        </is>
      </c>
      <c r="C22" s="135" t="n">
        <v>899</v>
      </c>
      <c r="D22" s="133" t="n">
        <v>74.2</v>
      </c>
      <c r="E22" s="134" t="n">
        <v>22</v>
      </c>
      <c r="F22" s="133" t="n">
        <v>59.4</v>
      </c>
      <c r="G22" s="17" t="n">
        <v>18</v>
      </c>
      <c r="H22" s="135" t="n">
        <v>344</v>
      </c>
      <c r="I22" s="136" t="n">
        <v>8700</v>
      </c>
      <c r="J22" s="136" t="inlineStr">
        <is>
          <t>13</t>
        </is>
      </c>
      <c r="K22" s="136" t="n">
        <v>7900</v>
      </c>
      <c r="L22" s="136" t="inlineStr">
        <is>
          <t>6</t>
        </is>
      </c>
      <c r="M22" s="137">
        <f>I22-K22</f>
        <v/>
      </c>
      <c r="N22" s="4">
        <f>IF(ISERROR(K22/I22),"",K22/I22)</f>
        <v/>
      </c>
      <c r="O22" s="138">
        <f>I22/E22</f>
        <v/>
      </c>
      <c r="P22" s="138">
        <f>K22/E22</f>
        <v/>
      </c>
      <c r="Q22" s="123" t="n">
        <v>3</v>
      </c>
      <c r="R22" s="123" t="n">
        <v>1</v>
      </c>
      <c r="S22" s="123" t="inlineStr">
        <is>
          <t>계</t>
        </is>
      </c>
      <c r="T22" s="5" t="n">
        <v>74</v>
      </c>
      <c r="U22" s="9" t="n"/>
      <c r="W22" s="133">
        <f>D22</f>
        <v/>
      </c>
      <c r="X22" s="134">
        <f>E22</f>
        <v/>
      </c>
      <c r="Y22" s="139">
        <f>H22</f>
        <v/>
      </c>
      <c r="Z22" s="137">
        <f>I22</f>
        <v/>
      </c>
      <c r="AA22" s="137">
        <f>K22</f>
        <v/>
      </c>
      <c r="AB22" s="137">
        <f>M22</f>
        <v/>
      </c>
      <c r="AC22" s="4">
        <f>N22</f>
        <v/>
      </c>
      <c r="AD22" s="138">
        <f>O22</f>
        <v/>
      </c>
      <c r="AE22" s="123">
        <f>S22</f>
        <v/>
      </c>
      <c r="AF22" s="123">
        <f>Q22&amp;"/"&amp;R22</f>
        <v/>
      </c>
      <c r="AH22" s="20">
        <f>IF(A22="","",A22)</f>
        <v/>
      </c>
      <c r="AI22" s="134">
        <f>IF(E22="","",E22)</f>
        <v/>
      </c>
      <c r="AJ22" s="123">
        <f>IF(AI22="","",$AJ$2)</f>
        <v/>
      </c>
      <c r="AK22" s="123" t="inlineStr">
        <is>
          <t>A</t>
        </is>
      </c>
      <c r="AL22" s="123" t="inlineStr">
        <is>
          <t>A+</t>
        </is>
      </c>
      <c r="AM22" s="123" t="inlineStr">
        <is>
          <t>B+</t>
        </is>
      </c>
      <c r="AN22" s="123">
        <f>IF(AI22="","",$AN$2)</f>
        <v/>
      </c>
      <c r="AO22" s="123">
        <f>IF(N22="","",IF(N22&gt;=$AO$1/100,"O","X"))</f>
        <v/>
      </c>
      <c r="AP22" s="123">
        <f>IF(I22="","",IF(I22&lt;=$AP$1,"O","X"))</f>
        <v/>
      </c>
      <c r="AQ22" s="123">
        <f>IF(O22="","",IF(O22&lt;=$AQ$1,"O","X"))</f>
        <v/>
      </c>
      <c r="AR22" s="123">
        <f>IF(M22="","",IF(M22&lt;=$AR$1,"O","X"))</f>
        <v/>
      </c>
      <c r="AS22" s="123" t="inlineStr">
        <is>
          <t>X</t>
        </is>
      </c>
      <c r="AT22" s="123">
        <f>IF(OR(F22="",AI22=""),"",IF(AND((F22&lt;=85),(AI22&gt;=15)),"O","X"))</f>
        <v/>
      </c>
      <c r="AU22" s="123">
        <f>IF(C22="","",IF(C22&gt;=$AU$1,"O","X"))</f>
        <v/>
      </c>
      <c r="AV22" s="123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5" t="n">
        <v>899</v>
      </c>
      <c r="D23" s="133" t="n">
        <v>94.09999999999999</v>
      </c>
      <c r="E23" s="134" t="n">
        <v>28</v>
      </c>
      <c r="F23" s="133" t="n">
        <v>75.3</v>
      </c>
      <c r="G23" s="17" t="n">
        <v>23</v>
      </c>
      <c r="H23" s="135" t="n">
        <v>119</v>
      </c>
      <c r="I23" s="136" t="n"/>
      <c r="J23" s="136" t="n"/>
      <c r="K23" s="136" t="n"/>
      <c r="L23" s="136" t="n"/>
      <c r="M23" s="137">
        <f>I23-K23</f>
        <v/>
      </c>
      <c r="N23" s="4">
        <f>IF(ISERROR(K23/I23),"",K23/I23)</f>
        <v/>
      </c>
      <c r="O23" s="138">
        <f>I23/E23</f>
        <v/>
      </c>
      <c r="P23" s="138">
        <f>K23/E23</f>
        <v/>
      </c>
      <c r="Q23" s="123" t="n">
        <v>3</v>
      </c>
      <c r="R23" s="123" t="n">
        <v>1</v>
      </c>
      <c r="S23" s="123" t="inlineStr">
        <is>
          <t>계</t>
        </is>
      </c>
      <c r="T23" s="5" t="n">
        <v>94</v>
      </c>
      <c r="U23" s="9" t="n"/>
      <c r="W23" s="133">
        <f>D23</f>
        <v/>
      </c>
      <c r="X23" s="134">
        <f>E23</f>
        <v/>
      </c>
      <c r="Y23" s="139">
        <f>H23</f>
        <v/>
      </c>
      <c r="Z23" s="137">
        <f>I23</f>
        <v/>
      </c>
      <c r="AA23" s="137">
        <f>K23</f>
        <v/>
      </c>
      <c r="AB23" s="137">
        <f>M23</f>
        <v/>
      </c>
      <c r="AC23" s="4">
        <f>N23</f>
        <v/>
      </c>
      <c r="AD23" s="138">
        <f>O23</f>
        <v/>
      </c>
      <c r="AE23" s="123">
        <f>S23</f>
        <v/>
      </c>
      <c r="AF23" s="123">
        <f>Q23&amp;"/"&amp;R23</f>
        <v/>
      </c>
      <c r="AH23" s="20">
        <f>IF(A23="","",A23)</f>
        <v/>
      </c>
      <c r="AI23" s="134">
        <f>IF(E23="","",E23)</f>
        <v/>
      </c>
      <c r="AJ23" s="123">
        <f>IF(AI23="","",$AJ$2)</f>
        <v/>
      </c>
      <c r="AK23" s="123" t="inlineStr">
        <is>
          <t>A</t>
        </is>
      </c>
      <c r="AL23" s="123" t="inlineStr">
        <is>
          <t>A+</t>
        </is>
      </c>
      <c r="AM23" s="123" t="inlineStr">
        <is>
          <t>B+</t>
        </is>
      </c>
      <c r="AN23" s="123">
        <f>IF(AI23="","",$AN$2)</f>
        <v/>
      </c>
      <c r="AO23" s="123">
        <f>IF(N23="","",IF(N23&gt;=$AO$1/100,"O","X"))</f>
        <v/>
      </c>
      <c r="AP23" s="123">
        <f>IF(I23="","",IF(I23&lt;=$AP$1,"O","X"))</f>
        <v/>
      </c>
      <c r="AQ23" s="123">
        <f>IF(O23="","",IF(O23&lt;=$AQ$1,"O","X"))</f>
        <v/>
      </c>
      <c r="AR23" s="123">
        <f>IF(M23="","",IF(M23&lt;=$AR$1,"O","X"))</f>
        <v/>
      </c>
      <c r="AS23" s="123" t="inlineStr">
        <is>
          <t>X</t>
        </is>
      </c>
      <c r="AT23" s="123">
        <f>IF(OR(F23="",AI23=""),"",IF(AND((F23&lt;=85),(AI23&gt;=15)),"O","X"))</f>
        <v/>
      </c>
      <c r="AU23" s="123">
        <f>IF(C23="","",IF(C23&gt;=$AU$1,"O","X"))</f>
        <v/>
      </c>
      <c r="AV23" s="123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5" t="n">
        <v>899</v>
      </c>
      <c r="D24" s="133" t="n">
        <v>105.9</v>
      </c>
      <c r="E24" s="134" t="n">
        <v>32</v>
      </c>
      <c r="F24" s="133" t="n">
        <v>84.7</v>
      </c>
      <c r="G24" s="17" t="n">
        <v>26</v>
      </c>
      <c r="H24" s="135" t="n">
        <v>377</v>
      </c>
      <c r="I24" s="136" t="n">
        <v>14000</v>
      </c>
      <c r="J24" s="136" t="inlineStr">
        <is>
          <t>6</t>
        </is>
      </c>
      <c r="K24" s="136" t="n">
        <v>12500</v>
      </c>
      <c r="L24" s="136" t="inlineStr">
        <is>
          <t>고</t>
        </is>
      </c>
      <c r="M24" s="137">
        <f>I24-K24</f>
        <v/>
      </c>
      <c r="N24" s="4">
        <f>IF(ISERROR(K24/I24),"",K24/I24)</f>
        <v/>
      </c>
      <c r="O24" s="138">
        <f>I24/E24</f>
        <v/>
      </c>
      <c r="P24" s="138">
        <f>K24/E24</f>
        <v/>
      </c>
      <c r="Q24" s="123" t="n">
        <v>3</v>
      </c>
      <c r="R24" s="123" t="n">
        <v>2</v>
      </c>
      <c r="S24" s="123" t="inlineStr">
        <is>
          <t>계</t>
        </is>
      </c>
      <c r="T24" s="5" t="n">
        <v>105</v>
      </c>
      <c r="U24" s="9" t="n"/>
      <c r="W24" s="133">
        <f>D24</f>
        <v/>
      </c>
      <c r="X24" s="134">
        <f>E24</f>
        <v/>
      </c>
      <c r="Y24" s="139">
        <f>H24</f>
        <v/>
      </c>
      <c r="Z24" s="137">
        <f>I24</f>
        <v/>
      </c>
      <c r="AA24" s="137">
        <f>K24</f>
        <v/>
      </c>
      <c r="AB24" s="137">
        <f>M24</f>
        <v/>
      </c>
      <c r="AC24" s="4">
        <f>N24</f>
        <v/>
      </c>
      <c r="AD24" s="138">
        <f>O24</f>
        <v/>
      </c>
      <c r="AE24" s="123">
        <f>S24</f>
        <v/>
      </c>
      <c r="AF24" s="123">
        <f>Q24&amp;"/"&amp;R24</f>
        <v/>
      </c>
      <c r="AH24" s="20">
        <f>IF(A24="","",A24)</f>
        <v/>
      </c>
      <c r="AI24" s="134">
        <f>IF(E24="","",E24)</f>
        <v/>
      </c>
      <c r="AJ24" s="123">
        <f>IF(AI24="","",$AJ$2)</f>
        <v/>
      </c>
      <c r="AK24" s="123" t="inlineStr">
        <is>
          <t>A</t>
        </is>
      </c>
      <c r="AL24" s="123" t="inlineStr">
        <is>
          <t>A+</t>
        </is>
      </c>
      <c r="AM24" s="123" t="inlineStr">
        <is>
          <t>B+</t>
        </is>
      </c>
      <c r="AN24" s="123">
        <f>IF(AI24="","",$AN$2)</f>
        <v/>
      </c>
      <c r="AO24" s="123">
        <f>IF(N24="","",IF(N24&gt;=$AO$1/100,"O","X"))</f>
        <v/>
      </c>
      <c r="AP24" s="123">
        <f>IF(I24="","",IF(I24&lt;=$AP$1,"O","X"))</f>
        <v/>
      </c>
      <c r="AQ24" s="123">
        <f>IF(O24="","",IF(O24&lt;=$AQ$1,"O","X"))</f>
        <v/>
      </c>
      <c r="AR24" s="123">
        <f>IF(M24="","",IF(M24&lt;=$AR$1,"O","X"))</f>
        <v/>
      </c>
      <c r="AS24" s="123" t="inlineStr">
        <is>
          <t>X</t>
        </is>
      </c>
      <c r="AT24" s="123">
        <f>IF(OR(F24="",AI24=""),"",IF(AND((F24&lt;=85),(AI24&gt;=15)),"O","X"))</f>
        <v/>
      </c>
      <c r="AU24" s="123">
        <f>IF(C24="","",IF(C24&gt;=$AU$1,"O","X"))</f>
        <v/>
      </c>
      <c r="AV24" s="123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5" t="n">
        <v>899</v>
      </c>
      <c r="D25" s="133" t="n">
        <v>168.1</v>
      </c>
      <c r="E25" s="134" t="n">
        <v>51</v>
      </c>
      <c r="F25" s="133" t="n">
        <v>134.6</v>
      </c>
      <c r="G25" s="17" t="n">
        <v>41</v>
      </c>
      <c r="H25" s="135" t="n">
        <v>59</v>
      </c>
      <c r="I25" s="136" t="n"/>
      <c r="J25" s="136" t="n"/>
      <c r="K25" s="136" t="n"/>
      <c r="L25" s="136" t="n"/>
      <c r="M25" s="137">
        <f>I25-K25</f>
        <v/>
      </c>
      <c r="N25" s="4">
        <f>IF(ISERROR(K25/I25),"",K25/I25)</f>
        <v/>
      </c>
      <c r="O25" s="138">
        <f>I25/E25</f>
        <v/>
      </c>
      <c r="P25" s="138">
        <f>K25/E25</f>
        <v/>
      </c>
      <c r="Q25" s="123" t="n">
        <v>4</v>
      </c>
      <c r="R25" s="123" t="n">
        <v>2</v>
      </c>
      <c r="S25" s="123" t="inlineStr">
        <is>
          <t>계</t>
        </is>
      </c>
      <c r="T25" s="5" t="n">
        <v>168</v>
      </c>
      <c r="U25" s="9" t="n"/>
      <c r="W25" s="133">
        <f>D25</f>
        <v/>
      </c>
      <c r="X25" s="134">
        <f>E25</f>
        <v/>
      </c>
      <c r="Y25" s="139">
        <f>H25</f>
        <v/>
      </c>
      <c r="Z25" s="137">
        <f>I25</f>
        <v/>
      </c>
      <c r="AA25" s="137">
        <f>K25</f>
        <v/>
      </c>
      <c r="AB25" s="137">
        <f>M25</f>
        <v/>
      </c>
      <c r="AC25" s="4">
        <f>N25</f>
        <v/>
      </c>
      <c r="AD25" s="138">
        <f>O25</f>
        <v/>
      </c>
      <c r="AE25" s="123">
        <f>S25</f>
        <v/>
      </c>
      <c r="AF25" s="123">
        <f>Q25&amp;"/"&amp;R25</f>
        <v/>
      </c>
      <c r="AH25" s="20">
        <f>IF(A25="","",A25)</f>
        <v/>
      </c>
      <c r="AI25" s="134">
        <f>IF(E25="","",E25)</f>
        <v/>
      </c>
      <c r="AJ25" s="123">
        <f>IF(AI25="","",$AJ$2)</f>
        <v/>
      </c>
      <c r="AK25" s="123" t="inlineStr">
        <is>
          <t>A</t>
        </is>
      </c>
      <c r="AL25" s="123" t="inlineStr">
        <is>
          <t>A+</t>
        </is>
      </c>
      <c r="AM25" s="123" t="inlineStr">
        <is>
          <t>B+</t>
        </is>
      </c>
      <c r="AN25" s="123">
        <f>IF(AI25="","",$AN$2)</f>
        <v/>
      </c>
      <c r="AO25" s="123">
        <f>IF(N25="","",IF(N25&gt;=$AO$1/100,"O","X"))</f>
        <v/>
      </c>
      <c r="AP25" s="123">
        <f>IF(I25="","",IF(I25&lt;=$AP$1,"O","X"))</f>
        <v/>
      </c>
      <c r="AQ25" s="123">
        <f>IF(O25="","",IF(O25&lt;=$AQ$1,"O","X"))</f>
        <v/>
      </c>
      <c r="AR25" s="123">
        <f>IF(M25="","",IF(M25&lt;=$AR$1,"O","X"))</f>
        <v/>
      </c>
      <c r="AS25" s="123" t="inlineStr">
        <is>
          <t>X</t>
        </is>
      </c>
      <c r="AT25" s="123">
        <f>IF(OR(F25="",AI25=""),"",IF(AND((F25&lt;=85),(AI25&gt;=15)),"O","X"))</f>
        <v/>
      </c>
      <c r="AU25" s="123">
        <f>IF(C25="","",IF(C25&gt;=$AU$1,"O","X"))</f>
        <v/>
      </c>
      <c r="AV25" s="123">
        <f>IF(AO25="","",IF(AND(AO25="O",AP25="O",AR25="O",AT25="O",AU25="O"),"후보","X"))</f>
        <v/>
      </c>
    </row>
    <row r="26">
      <c r="A26" s="9" t="n"/>
      <c r="B26" s="123" t="n"/>
      <c r="C26" s="6" t="n"/>
      <c r="D26" s="9" t="n"/>
      <c r="E26" s="14" t="n"/>
      <c r="F26" s="133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8" t="n"/>
      <c r="P26" s="138" t="n"/>
      <c r="Q26" s="134" t="n"/>
      <c r="R26" s="134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8">
        <f>IF(E26="","",E26)</f>
        <v/>
      </c>
      <c r="AJ26" s="123" t="n"/>
      <c r="AK26" s="123" t="n"/>
      <c r="AL26" s="123" t="n"/>
      <c r="AM26" s="123" t="n"/>
      <c r="AN26" s="123" t="n"/>
      <c r="AO26" s="123" t="n"/>
      <c r="AP26" s="123" t="n"/>
      <c r="AQ26" s="123" t="n"/>
      <c r="AR26" s="123" t="n"/>
      <c r="AS26" s="123" t="n"/>
      <c r="AT26" s="123" t="n"/>
      <c r="AU26" s="123" t="n"/>
      <c r="AV26" s="123" t="n"/>
    </row>
    <row r="27">
      <c r="A27" s="9" t="inlineStr">
        <is>
          <t>현대1차</t>
        </is>
      </c>
      <c r="B27" s="10" t="inlineStr">
        <is>
          <t>'90.04.</t>
        </is>
      </c>
      <c r="C27" s="135" t="n">
        <v>498</v>
      </c>
      <c r="D27" s="133" t="n">
        <v>89.5</v>
      </c>
      <c r="E27" s="134" t="n">
        <v>27</v>
      </c>
      <c r="F27" s="133" t="n">
        <v>72.2</v>
      </c>
      <c r="G27" s="17" t="n">
        <v>22</v>
      </c>
      <c r="H27" s="135" t="n">
        <v>112</v>
      </c>
      <c r="I27" s="136" t="n"/>
      <c r="J27" s="136" t="n"/>
      <c r="K27" s="136" t="n"/>
      <c r="L27" s="136" t="n"/>
      <c r="M27" s="137">
        <f>I27-K27</f>
        <v/>
      </c>
      <c r="N27" s="4">
        <f>IF(ISERROR(K27/I27),"",K27/I27)</f>
        <v/>
      </c>
      <c r="O27" s="138">
        <f>I27/E27</f>
        <v/>
      </c>
      <c r="P27" s="138">
        <f>K27/E27</f>
        <v/>
      </c>
      <c r="Q27" s="123" t="n">
        <v>3</v>
      </c>
      <c r="R27" s="123" t="n">
        <v>1</v>
      </c>
      <c r="S27" s="123" t="inlineStr">
        <is>
          <t>계</t>
        </is>
      </c>
      <c r="T27" s="5" t="n">
        <v>89</v>
      </c>
      <c r="U27" s="9" t="n"/>
      <c r="W27" s="133">
        <f>D27</f>
        <v/>
      </c>
      <c r="X27" s="134">
        <f>E27</f>
        <v/>
      </c>
      <c r="Y27" s="139">
        <f>H27</f>
        <v/>
      </c>
      <c r="Z27" s="137">
        <f>I27</f>
        <v/>
      </c>
      <c r="AA27" s="137">
        <f>K27</f>
        <v/>
      </c>
      <c r="AB27" s="137">
        <f>M27</f>
        <v/>
      </c>
      <c r="AC27" s="4">
        <f>N27</f>
        <v/>
      </c>
      <c r="AD27" s="138">
        <f>O27</f>
        <v/>
      </c>
      <c r="AE27" s="123">
        <f>S27</f>
        <v/>
      </c>
      <c r="AF27" s="123">
        <f>Q27&amp;"/"&amp;R27</f>
        <v/>
      </c>
      <c r="AH27" s="20">
        <f>IF(A27="","",A27)</f>
        <v/>
      </c>
      <c r="AI27" s="134">
        <f>IF(E27="","",E27)</f>
        <v/>
      </c>
      <c r="AJ27" s="123">
        <f>IF(AI27="","",$AJ$2)</f>
        <v/>
      </c>
      <c r="AK27" s="123" t="inlineStr">
        <is>
          <t>A</t>
        </is>
      </c>
      <c r="AL27" s="123" t="inlineStr">
        <is>
          <t>A+</t>
        </is>
      </c>
      <c r="AM27" s="123" t="inlineStr">
        <is>
          <t>B+</t>
        </is>
      </c>
      <c r="AN27" s="123">
        <f>IF(AI27="","",$AN$2)</f>
        <v/>
      </c>
      <c r="AO27" s="123">
        <f>IF(N27="","",IF(N27&gt;=$AO$1/100,"O","X"))</f>
        <v/>
      </c>
      <c r="AP27" s="123">
        <f>IF(I27="","",IF(I27&lt;=$AP$1,"O","X"))</f>
        <v/>
      </c>
      <c r="AQ27" s="123">
        <f>IF(O27="","",IF(O27&lt;=$AQ$1,"O","X"))</f>
        <v/>
      </c>
      <c r="AR27" s="123">
        <f>IF(M27="","",IF(M27&lt;=$AR$1,"O","X"))</f>
        <v/>
      </c>
      <c r="AS27" s="123" t="inlineStr">
        <is>
          <t>X</t>
        </is>
      </c>
      <c r="AT27" s="123">
        <f>IF(OR(F27="",AI27=""),"",IF(AND((F27&lt;=85),(AI27&gt;=15)),"O","X"))</f>
        <v/>
      </c>
      <c r="AU27" s="123">
        <f>IF(C27="","",IF(C27&gt;=$AU$1,"O","X"))</f>
        <v/>
      </c>
      <c r="AV27" s="123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5" t="n">
        <v>498</v>
      </c>
      <c r="D28" s="133" t="n">
        <v>104.1</v>
      </c>
      <c r="E28" s="134" t="n">
        <v>31</v>
      </c>
      <c r="F28" s="133" t="n">
        <v>84.7</v>
      </c>
      <c r="G28" s="17" t="n">
        <v>26</v>
      </c>
      <c r="H28" s="135" t="n">
        <v>330</v>
      </c>
      <c r="I28" s="136" t="n"/>
      <c r="J28" s="136" t="n"/>
      <c r="K28" s="136" t="n"/>
      <c r="L28" s="136" t="n"/>
      <c r="M28" s="137">
        <f>I28-K28</f>
        <v/>
      </c>
      <c r="N28" s="4">
        <f>IF(ISERROR(K28/I28),"",K28/I28)</f>
        <v/>
      </c>
      <c r="O28" s="138">
        <f>I28/E28</f>
        <v/>
      </c>
      <c r="P28" s="138">
        <f>K28/E28</f>
        <v/>
      </c>
      <c r="Q28" s="123" t="n">
        <v>3</v>
      </c>
      <c r="R28" s="123" t="n">
        <v>1</v>
      </c>
      <c r="S28" s="123" t="inlineStr">
        <is>
          <t>계</t>
        </is>
      </c>
      <c r="T28" s="5" t="n">
        <v>104</v>
      </c>
      <c r="U28" s="9" t="n"/>
      <c r="W28" s="133">
        <f>D28</f>
        <v/>
      </c>
      <c r="X28" s="134">
        <f>E28</f>
        <v/>
      </c>
      <c r="Y28" s="139">
        <f>H28</f>
        <v/>
      </c>
      <c r="Z28" s="137">
        <f>I28</f>
        <v/>
      </c>
      <c r="AA28" s="137">
        <f>K28</f>
        <v/>
      </c>
      <c r="AB28" s="137">
        <f>M28</f>
        <v/>
      </c>
      <c r="AC28" s="4">
        <f>N28</f>
        <v/>
      </c>
      <c r="AD28" s="138">
        <f>O28</f>
        <v/>
      </c>
      <c r="AE28" s="123">
        <f>S28</f>
        <v/>
      </c>
      <c r="AF28" s="123">
        <f>Q28&amp;"/"&amp;R28</f>
        <v/>
      </c>
      <c r="AH28" s="20">
        <f>IF(A28="","",A28)</f>
        <v/>
      </c>
      <c r="AI28" s="134">
        <f>IF(E28="","",E28)</f>
        <v/>
      </c>
      <c r="AJ28" s="123">
        <f>IF(AI28="","",$AJ$2)</f>
        <v/>
      </c>
      <c r="AK28" s="123" t="inlineStr">
        <is>
          <t>A</t>
        </is>
      </c>
      <c r="AL28" s="123" t="inlineStr">
        <is>
          <t>A+</t>
        </is>
      </c>
      <c r="AM28" s="123" t="inlineStr">
        <is>
          <t>B+</t>
        </is>
      </c>
      <c r="AN28" s="123">
        <f>IF(AI28="","",$AN$2)</f>
        <v/>
      </c>
      <c r="AO28" s="123">
        <f>IF(N28="","",IF(N28&gt;=$AO$1/100,"O","X"))</f>
        <v/>
      </c>
      <c r="AP28" s="123">
        <f>IF(I28="","",IF(I28&lt;=$AP$1,"O","X"))</f>
        <v/>
      </c>
      <c r="AQ28" s="123">
        <f>IF(O28="","",IF(O28&lt;=$AQ$1,"O","X"))</f>
        <v/>
      </c>
      <c r="AR28" s="123">
        <f>IF(M28="","",IF(M28&lt;=$AR$1,"O","X"))</f>
        <v/>
      </c>
      <c r="AS28" s="123" t="inlineStr">
        <is>
          <t>X</t>
        </is>
      </c>
      <c r="AT28" s="123">
        <f>IF(OR(F28="",AI28=""),"",IF(AND((F28&lt;=85),(AI28&gt;=15)),"O","X"))</f>
        <v/>
      </c>
      <c r="AU28" s="123">
        <f>IF(C28="","",IF(C28&gt;=$AU$1,"O","X"))</f>
        <v/>
      </c>
      <c r="AV28" s="123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5" t="n">
        <v>498</v>
      </c>
      <c r="D29" s="133" t="n">
        <v>149.3</v>
      </c>
      <c r="E29" s="134" t="n">
        <v>45</v>
      </c>
      <c r="F29" s="133" t="n">
        <v>126.2</v>
      </c>
      <c r="G29" s="17" t="n">
        <v>38</v>
      </c>
      <c r="H29" s="135" t="n">
        <v>56</v>
      </c>
      <c r="I29" s="136" t="n"/>
      <c r="J29" s="136" t="n"/>
      <c r="K29" s="136" t="n"/>
      <c r="L29" s="136" t="n"/>
      <c r="M29" s="137">
        <f>I29-K29</f>
        <v/>
      </c>
      <c r="N29" s="4">
        <f>IF(ISERROR(K29/I29),"",K29/I29)</f>
        <v/>
      </c>
      <c r="O29" s="138">
        <f>I29/E29</f>
        <v/>
      </c>
      <c r="P29" s="138">
        <f>K29/E29</f>
        <v/>
      </c>
      <c r="Q29" s="123" t="n">
        <v>4</v>
      </c>
      <c r="R29" s="123" t="n">
        <v>2</v>
      </c>
      <c r="S29" s="123" t="inlineStr">
        <is>
          <t>계</t>
        </is>
      </c>
      <c r="T29" s="5" t="n">
        <v>149</v>
      </c>
      <c r="U29" s="9" t="n"/>
      <c r="W29" s="133">
        <f>D29</f>
        <v/>
      </c>
      <c r="X29" s="134">
        <f>E29</f>
        <v/>
      </c>
      <c r="Y29" s="139">
        <f>H29</f>
        <v/>
      </c>
      <c r="Z29" s="137">
        <f>I29</f>
        <v/>
      </c>
      <c r="AA29" s="137">
        <f>K29</f>
        <v/>
      </c>
      <c r="AB29" s="137">
        <f>M29</f>
        <v/>
      </c>
      <c r="AC29" s="4">
        <f>N29</f>
        <v/>
      </c>
      <c r="AD29" s="138">
        <f>O29</f>
        <v/>
      </c>
      <c r="AE29" s="123">
        <f>S29</f>
        <v/>
      </c>
      <c r="AF29" s="123">
        <f>Q29&amp;"/"&amp;R29</f>
        <v/>
      </c>
      <c r="AH29" s="20">
        <f>IF(A29="","",A29)</f>
        <v/>
      </c>
      <c r="AI29" s="134">
        <f>IF(E29="","",E29)</f>
        <v/>
      </c>
      <c r="AJ29" s="123">
        <f>IF(AI29="","",$AJ$2)</f>
        <v/>
      </c>
      <c r="AK29" s="123" t="inlineStr">
        <is>
          <t>A</t>
        </is>
      </c>
      <c r="AL29" s="123" t="inlineStr">
        <is>
          <t>A+</t>
        </is>
      </c>
      <c r="AM29" s="123" t="inlineStr">
        <is>
          <t>B+</t>
        </is>
      </c>
      <c r="AN29" s="123">
        <f>IF(AI29="","",$AN$2)</f>
        <v/>
      </c>
      <c r="AO29" s="123">
        <f>IF(N29="","",IF(N29&gt;=$AO$1/100,"O","X"))</f>
        <v/>
      </c>
      <c r="AP29" s="123">
        <f>IF(I29="","",IF(I29&lt;=$AP$1,"O","X"))</f>
        <v/>
      </c>
      <c r="AQ29" s="123">
        <f>IF(O29="","",IF(O29&lt;=$AQ$1,"O","X"))</f>
        <v/>
      </c>
      <c r="AR29" s="123">
        <f>IF(M29="","",IF(M29&lt;=$AR$1,"O","X"))</f>
        <v/>
      </c>
      <c r="AS29" s="123" t="inlineStr">
        <is>
          <t>X</t>
        </is>
      </c>
      <c r="AT29" s="123">
        <f>IF(OR(F29="",AI29=""),"",IF(AND((F29&lt;=85),(AI29&gt;=15)),"O","X"))</f>
        <v/>
      </c>
      <c r="AU29" s="123">
        <f>IF(C29="","",IF(C29&gt;=$AU$1,"O","X"))</f>
        <v/>
      </c>
      <c r="AV29" s="123">
        <f>IF(AO29="","",IF(AND(AO29="O",AP29="O",AR29="O",AT29="O",AU29="O"),"후보","X"))</f>
        <v/>
      </c>
    </row>
    <row r="30">
      <c r="A30" s="9" t="n"/>
      <c r="B30" s="123" t="n"/>
      <c r="C30" s="6" t="n"/>
      <c r="D30" s="9" t="n"/>
      <c r="E30" s="14" t="n"/>
      <c r="F30" s="133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8" t="n"/>
      <c r="P30" s="138" t="n"/>
      <c r="Q30" s="134" t="n"/>
      <c r="R30" s="134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8">
        <f>IF(E30="","",E30)</f>
        <v/>
      </c>
      <c r="AJ30" s="123" t="n"/>
      <c r="AK30" s="123" t="n"/>
      <c r="AL30" s="123" t="n"/>
      <c r="AM30" s="123" t="n"/>
      <c r="AN30" s="123" t="n"/>
      <c r="AO30" s="123" t="n"/>
      <c r="AP30" s="123" t="n"/>
      <c r="AQ30" s="123" t="n"/>
      <c r="AR30" s="123" t="n"/>
      <c r="AS30" s="123" t="n"/>
      <c r="AT30" s="123" t="n"/>
      <c r="AU30" s="123" t="n"/>
      <c r="AV30" s="123" t="n"/>
    </row>
    <row r="31">
      <c r="A31" s="9" t="inlineStr">
        <is>
          <t>나운청솔</t>
        </is>
      </c>
      <c r="B31" s="10" t="inlineStr">
        <is>
          <t>'02.12.</t>
        </is>
      </c>
      <c r="C31" s="135" t="n">
        <v>495</v>
      </c>
      <c r="D31" s="133" t="n">
        <v>63.7</v>
      </c>
      <c r="E31" s="134" t="n">
        <v>19</v>
      </c>
      <c r="F31" s="133" t="n">
        <v>49.7</v>
      </c>
      <c r="G31" s="17" t="n">
        <v>15</v>
      </c>
      <c r="H31" s="135" t="n">
        <v>495</v>
      </c>
      <c r="I31" s="136" t="n"/>
      <c r="J31" s="136" t="n"/>
      <c r="K31" s="136" t="n"/>
      <c r="L31" s="136" t="n"/>
      <c r="M31" s="137">
        <f>I31-K31</f>
        <v/>
      </c>
      <c r="N31" s="4">
        <f>IF(ISERROR(K31/I31),"",K31/I31)</f>
        <v/>
      </c>
      <c r="O31" s="138">
        <f>I31/E31</f>
        <v/>
      </c>
      <c r="P31" s="138">
        <f>K31/E31</f>
        <v/>
      </c>
      <c r="Q31" s="123" t="n">
        <v>2</v>
      </c>
      <c r="R31" s="123" t="n">
        <v>1</v>
      </c>
      <c r="S31" s="123" t="inlineStr">
        <is>
          <t>계</t>
        </is>
      </c>
      <c r="T31" s="5" t="n">
        <v>63</v>
      </c>
      <c r="U31" s="9" t="n"/>
      <c r="W31" s="133">
        <f>D31</f>
        <v/>
      </c>
      <c r="X31" s="134">
        <f>E31</f>
        <v/>
      </c>
      <c r="Y31" s="139">
        <f>H31</f>
        <v/>
      </c>
      <c r="Z31" s="137">
        <f>I31</f>
        <v/>
      </c>
      <c r="AA31" s="137">
        <f>K31</f>
        <v/>
      </c>
      <c r="AB31" s="137">
        <f>M31</f>
        <v/>
      </c>
      <c r="AC31" s="4">
        <f>N31</f>
        <v/>
      </c>
      <c r="AD31" s="138">
        <f>O31</f>
        <v/>
      </c>
      <c r="AE31" s="123">
        <f>S31</f>
        <v/>
      </c>
      <c r="AF31" s="123">
        <f>Q31&amp;"/"&amp;R31</f>
        <v/>
      </c>
      <c r="AH31" s="20">
        <f>IF(A31="","",A31)</f>
        <v/>
      </c>
      <c r="AI31" s="134">
        <f>IF(E31="","",E31)</f>
        <v/>
      </c>
      <c r="AJ31" s="123">
        <f>IF(AI31="","",$AJ$2)</f>
        <v/>
      </c>
      <c r="AK31" s="123" t="inlineStr">
        <is>
          <t>A</t>
        </is>
      </c>
      <c r="AL31" s="123" t="inlineStr">
        <is>
          <t>A+</t>
        </is>
      </c>
      <c r="AM31" s="123" t="inlineStr">
        <is>
          <t>B+</t>
        </is>
      </c>
      <c r="AN31" s="123">
        <f>IF(AI31="","",$AN$2)</f>
        <v/>
      </c>
      <c r="AO31" s="123">
        <f>IF(N31="","",IF(N31&gt;=$AO$1/100,"O","X"))</f>
        <v/>
      </c>
      <c r="AP31" s="123">
        <f>IF(I31="","",IF(I31&lt;=$AP$1,"O","X"))</f>
        <v/>
      </c>
      <c r="AQ31" s="123">
        <f>IF(O31="","",IF(O31&lt;=$AQ$1,"O","X"))</f>
        <v/>
      </c>
      <c r="AR31" s="123">
        <f>IF(M31="","",IF(M31&lt;=$AR$1,"O","X"))</f>
        <v/>
      </c>
      <c r="AS31" s="123" t="inlineStr">
        <is>
          <t>X</t>
        </is>
      </c>
      <c r="AT31" s="123">
        <f>IF(OR(F31="",AI31=""),"",IF(AND((F31&lt;=85),(AI31&gt;=15)),"O","X"))</f>
        <v/>
      </c>
      <c r="AU31" s="123">
        <f>IF(C31="","",IF(C31&gt;=$AU$1,"O","X"))</f>
        <v/>
      </c>
      <c r="AV31" s="123">
        <f>IF(AO31="","",IF(AND(AO31="O",AP31="O",AR31="O",AT31="O",AU31="O"),"후보","X"))</f>
        <v/>
      </c>
    </row>
    <row r="32">
      <c r="A32" s="9" t="n"/>
      <c r="B32" s="123" t="n"/>
      <c r="C32" s="6" t="n"/>
      <c r="D32" s="9" t="n"/>
      <c r="E32" s="14" t="n"/>
      <c r="F32" s="133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8" t="n"/>
      <c r="P32" s="138" t="n"/>
      <c r="Q32" s="134" t="n"/>
      <c r="R32" s="134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8">
        <f>IF(E32="","",E32)</f>
        <v/>
      </c>
      <c r="AJ32" s="123" t="n"/>
      <c r="AK32" s="123" t="n"/>
      <c r="AL32" s="123" t="n"/>
      <c r="AM32" s="123" t="n"/>
      <c r="AN32" s="123" t="n"/>
      <c r="AO32" s="123" t="n"/>
      <c r="AP32" s="123" t="n"/>
      <c r="AQ32" s="123" t="n"/>
      <c r="AR32" s="123" t="n"/>
      <c r="AS32" s="123" t="n"/>
      <c r="AT32" s="123" t="n"/>
      <c r="AU32" s="123" t="n"/>
      <c r="AV32" s="123" t="n"/>
    </row>
    <row r="33">
      <c r="A33" s="9" t="inlineStr">
        <is>
          <t>신일</t>
        </is>
      </c>
      <c r="B33" s="10" t="inlineStr">
        <is>
          <t>'95.12.</t>
        </is>
      </c>
      <c r="C33" s="135" t="n">
        <v>600</v>
      </c>
      <c r="D33" s="133" t="n">
        <v>75.09999999999999</v>
      </c>
      <c r="E33" s="134" t="n">
        <v>23</v>
      </c>
      <c r="F33" s="133" t="n">
        <v>59.9</v>
      </c>
      <c r="G33" s="17" t="n">
        <v>18</v>
      </c>
      <c r="H33" s="135" t="n">
        <v>600</v>
      </c>
      <c r="I33" s="136" t="n">
        <v>12000</v>
      </c>
      <c r="J33" s="136" t="inlineStr">
        <is>
          <t>15</t>
        </is>
      </c>
      <c r="K33" s="136" t="n">
        <v>10500</v>
      </c>
      <c r="L33" s="136" t="inlineStr">
        <is>
          <t>5</t>
        </is>
      </c>
      <c r="M33" s="137">
        <f>I33-K33</f>
        <v/>
      </c>
      <c r="N33" s="4">
        <f>IF(ISERROR(K33/I33),"",K33/I33)</f>
        <v/>
      </c>
      <c r="O33" s="138">
        <f>I33/E33</f>
        <v/>
      </c>
      <c r="P33" s="138">
        <f>K33/E33</f>
        <v/>
      </c>
      <c r="Q33" s="123" t="n">
        <v>3</v>
      </c>
      <c r="R33" s="123" t="n">
        <v>1</v>
      </c>
      <c r="S33" s="123" t="inlineStr">
        <is>
          <t>계</t>
        </is>
      </c>
      <c r="T33" s="5" t="n">
        <v>75</v>
      </c>
      <c r="U33" s="9" t="n"/>
      <c r="W33" s="133">
        <f>D33</f>
        <v/>
      </c>
      <c r="X33" s="134">
        <f>E33</f>
        <v/>
      </c>
      <c r="Y33" s="139">
        <f>H33</f>
        <v/>
      </c>
      <c r="Z33" s="137">
        <f>I33</f>
        <v/>
      </c>
      <c r="AA33" s="137">
        <f>K33</f>
        <v/>
      </c>
      <c r="AB33" s="137">
        <f>M33</f>
        <v/>
      </c>
      <c r="AC33" s="4">
        <f>N33</f>
        <v/>
      </c>
      <c r="AD33" s="138">
        <f>O33</f>
        <v/>
      </c>
      <c r="AE33" s="123">
        <f>S33</f>
        <v/>
      </c>
      <c r="AF33" s="123">
        <f>Q33&amp;"/"&amp;R33</f>
        <v/>
      </c>
      <c r="AH33" s="20">
        <f>IF(A33="","",A33)</f>
        <v/>
      </c>
      <c r="AI33" s="134">
        <f>IF(E33="","",E33)</f>
        <v/>
      </c>
      <c r="AJ33" s="123">
        <f>IF(AI33="","",$AJ$2)</f>
        <v/>
      </c>
      <c r="AK33" s="123" t="inlineStr">
        <is>
          <t>A</t>
        </is>
      </c>
      <c r="AL33" s="123" t="inlineStr">
        <is>
          <t>A+</t>
        </is>
      </c>
      <c r="AM33" s="123" t="inlineStr">
        <is>
          <t>B+</t>
        </is>
      </c>
      <c r="AN33" s="123">
        <f>IF(AI33="","",$AN$2)</f>
        <v/>
      </c>
      <c r="AO33" s="123">
        <f>IF(N33="","",IF(N33&gt;=$AO$1/100,"O","X"))</f>
        <v/>
      </c>
      <c r="AP33" s="123">
        <f>IF(I33="","",IF(I33&lt;=$AP$1,"O","X"))</f>
        <v/>
      </c>
      <c r="AQ33" s="123">
        <f>IF(O33="","",IF(O33&lt;=$AQ$1,"O","X"))</f>
        <v/>
      </c>
      <c r="AR33" s="123">
        <f>IF(M33="","",IF(M33&lt;=$AR$1,"O","X"))</f>
        <v/>
      </c>
      <c r="AS33" s="123" t="inlineStr">
        <is>
          <t>X</t>
        </is>
      </c>
      <c r="AT33" s="123">
        <f>IF(OR(F33="",AI33=""),"",IF(AND((F33&lt;=85),(AI33&gt;=15)),"O","X"))</f>
        <v/>
      </c>
      <c r="AU33" s="123">
        <f>IF(C33="","",IF(C33&gt;=$AU$1,"O","X"))</f>
        <v/>
      </c>
      <c r="AV33" s="123">
        <f>IF(AO33="","",IF(AND(AO33="O",AP33="O",AR33="O",AT33="O",AU33="O"),"후보","X"))</f>
        <v/>
      </c>
    </row>
    <row r="34">
      <c r="A34" s="9" t="n"/>
      <c r="B34" s="123" t="n"/>
      <c r="C34" s="6" t="n"/>
      <c r="D34" s="9" t="n"/>
      <c r="E34" s="14" t="n"/>
      <c r="F34" s="133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8" t="n"/>
      <c r="P34" s="138" t="n"/>
      <c r="Q34" s="134" t="n"/>
      <c r="R34" s="134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8">
        <f>IF(E34="","",E34)</f>
        <v/>
      </c>
      <c r="AJ34" s="123" t="n"/>
      <c r="AK34" s="123" t="n"/>
      <c r="AL34" s="123" t="n"/>
      <c r="AM34" s="123" t="n"/>
      <c r="AN34" s="123" t="n"/>
      <c r="AO34" s="123" t="n"/>
      <c r="AP34" s="123" t="n"/>
      <c r="AQ34" s="123" t="n"/>
      <c r="AR34" s="123" t="n"/>
      <c r="AS34" s="123" t="n"/>
      <c r="AT34" s="123" t="n"/>
      <c r="AU34" s="123" t="n"/>
      <c r="AV34" s="123" t="n"/>
    </row>
    <row r="35">
      <c r="A35" s="9" t="inlineStr">
        <is>
          <t>롯데4차</t>
        </is>
      </c>
      <c r="B35" s="10" t="inlineStr">
        <is>
          <t>'96.04.</t>
        </is>
      </c>
      <c r="C35" s="135" t="n">
        <v>210</v>
      </c>
      <c r="D35" s="133" t="n">
        <v>122.5</v>
      </c>
      <c r="E35" s="134" t="n">
        <v>37</v>
      </c>
      <c r="F35" s="133" t="n">
        <v>99.90000000000001</v>
      </c>
      <c r="G35" s="17" t="n">
        <v>30</v>
      </c>
      <c r="H35" s="135" t="n">
        <v>90</v>
      </c>
      <c r="I35" s="136" t="n"/>
      <c r="J35" s="136" t="n"/>
      <c r="K35" s="136" t="n"/>
      <c r="L35" s="136" t="n"/>
      <c r="M35" s="137">
        <f>I35-K35</f>
        <v/>
      </c>
      <c r="N35" s="4">
        <f>IF(ISERROR(K35/I35),"",K35/I35)</f>
        <v/>
      </c>
      <c r="O35" s="138">
        <f>I35/E35</f>
        <v/>
      </c>
      <c r="P35" s="138">
        <f>K35/E35</f>
        <v/>
      </c>
      <c r="Q35" s="123" t="n">
        <v>4</v>
      </c>
      <c r="R35" s="123" t="n">
        <v>2</v>
      </c>
      <c r="S35" s="123" t="inlineStr">
        <is>
          <t>계</t>
        </is>
      </c>
      <c r="T35" s="5" t="n">
        <v>122</v>
      </c>
      <c r="U35" s="9" t="n"/>
      <c r="W35" s="133">
        <f>D35</f>
        <v/>
      </c>
      <c r="X35" s="134">
        <f>E35</f>
        <v/>
      </c>
      <c r="Y35" s="139">
        <f>H35</f>
        <v/>
      </c>
      <c r="Z35" s="137">
        <f>I35</f>
        <v/>
      </c>
      <c r="AA35" s="137">
        <f>K35</f>
        <v/>
      </c>
      <c r="AB35" s="137">
        <f>M35</f>
        <v/>
      </c>
      <c r="AC35" s="4">
        <f>N35</f>
        <v/>
      </c>
      <c r="AD35" s="138">
        <f>O35</f>
        <v/>
      </c>
      <c r="AE35" s="123">
        <f>S35</f>
        <v/>
      </c>
      <c r="AF35" s="123">
        <f>Q35&amp;"/"&amp;R35</f>
        <v/>
      </c>
      <c r="AH35" s="20">
        <f>IF(A35="","",A35)</f>
        <v/>
      </c>
      <c r="AI35" s="134">
        <f>IF(E35="","",E35)</f>
        <v/>
      </c>
      <c r="AJ35" s="123">
        <f>IF(AI35="","",$AJ$2)</f>
        <v/>
      </c>
      <c r="AK35" s="123" t="inlineStr">
        <is>
          <t>A</t>
        </is>
      </c>
      <c r="AL35" s="123" t="inlineStr">
        <is>
          <t>A+</t>
        </is>
      </c>
      <c r="AM35" s="123" t="inlineStr">
        <is>
          <t>B+</t>
        </is>
      </c>
      <c r="AN35" s="123">
        <f>IF(AI35="","",$AN$2)</f>
        <v/>
      </c>
      <c r="AO35" s="123">
        <f>IF(N35="","",IF(N35&gt;=$AO$1/100,"O","X"))</f>
        <v/>
      </c>
      <c r="AP35" s="123">
        <f>IF(I35="","",IF(I35&lt;=$AP$1,"O","X"))</f>
        <v/>
      </c>
      <c r="AQ35" s="123">
        <f>IF(O35="","",IF(O35&lt;=$AQ$1,"O","X"))</f>
        <v/>
      </c>
      <c r="AR35" s="123">
        <f>IF(M35="","",IF(M35&lt;=$AR$1,"O","X"))</f>
        <v/>
      </c>
      <c r="AS35" s="123" t="inlineStr">
        <is>
          <t>X</t>
        </is>
      </c>
      <c r="AT35" s="123">
        <f>IF(OR(F35="",AI35=""),"",IF(AND((F35&lt;=85),(AI35&gt;=15)),"O","X"))</f>
        <v/>
      </c>
      <c r="AU35" s="123">
        <f>IF(C35="","",IF(C35&gt;=$AU$1,"O","X"))</f>
        <v/>
      </c>
      <c r="AV35" s="123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5" t="n">
        <v>210</v>
      </c>
      <c r="D36" s="133" t="n">
        <v>160</v>
      </c>
      <c r="E36" s="134" t="n">
        <v>48</v>
      </c>
      <c r="F36" s="133" t="n">
        <v>134.9</v>
      </c>
      <c r="G36" s="17" t="n">
        <v>41</v>
      </c>
      <c r="H36" s="135" t="n">
        <v>90</v>
      </c>
      <c r="I36" s="136" t="n"/>
      <c r="J36" s="136" t="n"/>
      <c r="K36" s="136" t="n"/>
      <c r="L36" s="136" t="n"/>
      <c r="M36" s="137">
        <f>I36-K36</f>
        <v/>
      </c>
      <c r="N36" s="4">
        <f>IF(ISERROR(K36/I36),"",K36/I36)</f>
        <v/>
      </c>
      <c r="O36" s="138">
        <f>I36/E36</f>
        <v/>
      </c>
      <c r="P36" s="138">
        <f>K36/E36</f>
        <v/>
      </c>
      <c r="Q36" s="123" t="n">
        <v>4</v>
      </c>
      <c r="R36" s="123" t="n">
        <v>2</v>
      </c>
      <c r="S36" s="123" t="inlineStr">
        <is>
          <t>계</t>
        </is>
      </c>
      <c r="T36" s="5" t="n">
        <v>160</v>
      </c>
      <c r="U36" s="9" t="n"/>
      <c r="W36" s="133">
        <f>D36</f>
        <v/>
      </c>
      <c r="X36" s="134">
        <f>E36</f>
        <v/>
      </c>
      <c r="Y36" s="139">
        <f>H36</f>
        <v/>
      </c>
      <c r="Z36" s="137">
        <f>I36</f>
        <v/>
      </c>
      <c r="AA36" s="137">
        <f>K36</f>
        <v/>
      </c>
      <c r="AB36" s="137">
        <f>M36</f>
        <v/>
      </c>
      <c r="AC36" s="4">
        <f>N36</f>
        <v/>
      </c>
      <c r="AD36" s="138">
        <f>O36</f>
        <v/>
      </c>
      <c r="AE36" s="123">
        <f>S36</f>
        <v/>
      </c>
      <c r="AF36" s="123">
        <f>Q36&amp;"/"&amp;R36</f>
        <v/>
      </c>
      <c r="AH36" s="20">
        <f>IF(A36="","",A36)</f>
        <v/>
      </c>
      <c r="AI36" s="134">
        <f>IF(E36="","",E36)</f>
        <v/>
      </c>
      <c r="AJ36" s="123">
        <f>IF(AI36="","",$AJ$2)</f>
        <v/>
      </c>
      <c r="AK36" s="123" t="inlineStr">
        <is>
          <t>A</t>
        </is>
      </c>
      <c r="AL36" s="123" t="inlineStr">
        <is>
          <t>A+</t>
        </is>
      </c>
      <c r="AM36" s="123" t="inlineStr">
        <is>
          <t>B+</t>
        </is>
      </c>
      <c r="AN36" s="123">
        <f>IF(AI36="","",$AN$2)</f>
        <v/>
      </c>
      <c r="AO36" s="123">
        <f>IF(N36="","",IF(N36&gt;=$AO$1/100,"O","X"))</f>
        <v/>
      </c>
      <c r="AP36" s="123">
        <f>IF(I36="","",IF(I36&lt;=$AP$1,"O","X"))</f>
        <v/>
      </c>
      <c r="AQ36" s="123">
        <f>IF(O36="","",IF(O36&lt;=$AQ$1,"O","X"))</f>
        <v/>
      </c>
      <c r="AR36" s="123">
        <f>IF(M36="","",IF(M36&lt;=$AR$1,"O","X"))</f>
        <v/>
      </c>
      <c r="AS36" s="123" t="inlineStr">
        <is>
          <t>X</t>
        </is>
      </c>
      <c r="AT36" s="123">
        <f>IF(OR(F36="",AI36=""),"",IF(AND((F36&lt;=85),(AI36&gt;=15)),"O","X"))</f>
        <v/>
      </c>
      <c r="AU36" s="123">
        <f>IF(C36="","",IF(C36&gt;=$AU$1,"O","X"))</f>
        <v/>
      </c>
      <c r="AV36" s="123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5" t="n">
        <v>210</v>
      </c>
      <c r="D37" s="133" t="n">
        <v>197.4</v>
      </c>
      <c r="E37" s="134" t="n">
        <v>60</v>
      </c>
      <c r="F37" s="133" t="n">
        <v>164.9</v>
      </c>
      <c r="G37" s="17" t="n">
        <v>50</v>
      </c>
      <c r="H37" s="135" t="n">
        <v>30</v>
      </c>
      <c r="I37" s="136" t="n"/>
      <c r="J37" s="136" t="n"/>
      <c r="K37" s="136" t="n"/>
      <c r="L37" s="136" t="n"/>
      <c r="M37" s="137">
        <f>I37-K37</f>
        <v/>
      </c>
      <c r="N37" s="4">
        <f>IF(ISERROR(K37/I37),"",K37/I37)</f>
        <v/>
      </c>
      <c r="O37" s="138">
        <f>I37/E37</f>
        <v/>
      </c>
      <c r="P37" s="138">
        <f>K37/E37</f>
        <v/>
      </c>
      <c r="Q37" s="123" t="n">
        <v>4</v>
      </c>
      <c r="R37" s="123" t="n">
        <v>2</v>
      </c>
      <c r="S37" s="123" t="inlineStr">
        <is>
          <t>계</t>
        </is>
      </c>
      <c r="T37" s="5" t="n">
        <v>197</v>
      </c>
      <c r="U37" s="9" t="n"/>
      <c r="W37" s="133">
        <f>D37</f>
        <v/>
      </c>
      <c r="X37" s="134">
        <f>E37</f>
        <v/>
      </c>
      <c r="Y37" s="139">
        <f>H37</f>
        <v/>
      </c>
      <c r="Z37" s="137">
        <f>I37</f>
        <v/>
      </c>
      <c r="AA37" s="137">
        <f>K37</f>
        <v/>
      </c>
      <c r="AB37" s="137">
        <f>M37</f>
        <v/>
      </c>
      <c r="AC37" s="4">
        <f>N37</f>
        <v/>
      </c>
      <c r="AD37" s="138">
        <f>O37</f>
        <v/>
      </c>
      <c r="AE37" s="123">
        <f>S37</f>
        <v/>
      </c>
      <c r="AF37" s="123">
        <f>Q37&amp;"/"&amp;R37</f>
        <v/>
      </c>
      <c r="AH37" s="20">
        <f>IF(A37="","",A37)</f>
        <v/>
      </c>
      <c r="AI37" s="134">
        <f>IF(E37="","",E37)</f>
        <v/>
      </c>
      <c r="AJ37" s="123">
        <f>IF(AI37="","",$AJ$2)</f>
        <v/>
      </c>
      <c r="AK37" s="123" t="inlineStr">
        <is>
          <t>A</t>
        </is>
      </c>
      <c r="AL37" s="123" t="inlineStr">
        <is>
          <t>A+</t>
        </is>
      </c>
      <c r="AM37" s="123" t="inlineStr">
        <is>
          <t>B+</t>
        </is>
      </c>
      <c r="AN37" s="123">
        <f>IF(AI37="","",$AN$2)</f>
        <v/>
      </c>
      <c r="AO37" s="123">
        <f>IF(N37="","",IF(N37&gt;=$AO$1/100,"O","X"))</f>
        <v/>
      </c>
      <c r="AP37" s="123">
        <f>IF(I37="","",IF(I37&lt;=$AP$1,"O","X"))</f>
        <v/>
      </c>
      <c r="AQ37" s="123">
        <f>IF(O37="","",IF(O37&lt;=$AQ$1,"O","X"))</f>
        <v/>
      </c>
      <c r="AR37" s="123">
        <f>IF(M37="","",IF(M37&lt;=$AR$1,"O","X"))</f>
        <v/>
      </c>
      <c r="AS37" s="123" t="inlineStr">
        <is>
          <t>X</t>
        </is>
      </c>
      <c r="AT37" s="123">
        <f>IF(OR(F37="",AI37=""),"",IF(AND((F37&lt;=85),(AI37&gt;=15)),"O","X"))</f>
        <v/>
      </c>
      <c r="AU37" s="123">
        <f>IF(C37="","",IF(C37&gt;=$AU$1,"O","X"))</f>
        <v/>
      </c>
      <c r="AV37" s="123">
        <f>IF(AO37="","",IF(AND(AO37="O",AP37="O",AR37="O",AT37="O",AU37="O"),"후보","X"))</f>
        <v/>
      </c>
    </row>
    <row r="38">
      <c r="A38" s="9" t="n"/>
      <c r="B38" s="123" t="n"/>
      <c r="C38" s="6" t="n"/>
      <c r="D38" s="9" t="n"/>
      <c r="E38" s="14" t="n"/>
      <c r="F38" s="133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8" t="n"/>
      <c r="P38" s="138" t="n"/>
      <c r="Q38" s="134" t="n"/>
      <c r="R38" s="134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8">
        <f>IF(E38="","",E38)</f>
        <v/>
      </c>
      <c r="AJ38" s="123" t="n"/>
      <c r="AK38" s="123" t="n"/>
      <c r="AL38" s="123" t="n"/>
      <c r="AM38" s="123" t="n"/>
      <c r="AN38" s="123" t="n"/>
      <c r="AO38" s="123" t="n"/>
      <c r="AP38" s="123" t="n"/>
      <c r="AQ38" s="123" t="n"/>
      <c r="AR38" s="123" t="n"/>
      <c r="AS38" s="123" t="n"/>
      <c r="AT38" s="123" t="n"/>
      <c r="AU38" s="123" t="n"/>
      <c r="AV38" s="123" t="n"/>
    </row>
    <row r="39">
      <c r="A39" s="9" t="inlineStr">
        <is>
          <t>롯데2차</t>
        </is>
      </c>
      <c r="B39" s="10" t="inlineStr">
        <is>
          <t>'92.08.</t>
        </is>
      </c>
      <c r="C39" s="135" t="n">
        <v>460</v>
      </c>
      <c r="D39" s="133" t="n">
        <v>92</v>
      </c>
      <c r="E39" s="134" t="n">
        <v>28</v>
      </c>
      <c r="F39" s="133" t="n">
        <v>74</v>
      </c>
      <c r="G39" s="17" t="n">
        <v>22</v>
      </c>
      <c r="H39" s="135" t="n">
        <v>104</v>
      </c>
      <c r="I39" s="136" t="n">
        <v>10500</v>
      </c>
      <c r="J39" s="136" t="inlineStr">
        <is>
          <t>13</t>
        </is>
      </c>
      <c r="K39" s="136" t="n"/>
      <c r="L39" s="136" t="n"/>
      <c r="M39" s="137">
        <f>I39-K39</f>
        <v/>
      </c>
      <c r="N39" s="4">
        <f>IF(ISERROR(K39/I39),"",K39/I39)</f>
        <v/>
      </c>
      <c r="O39" s="138">
        <f>I39/E39</f>
        <v/>
      </c>
      <c r="P39" s="138">
        <f>K39/E39</f>
        <v/>
      </c>
      <c r="Q39" s="123" t="n">
        <v>3</v>
      </c>
      <c r="R39" s="123" t="n">
        <v>1</v>
      </c>
      <c r="S39" s="123" t="inlineStr">
        <is>
          <t>계</t>
        </is>
      </c>
      <c r="T39" s="5" t="n">
        <v>91</v>
      </c>
      <c r="U39" s="9" t="n"/>
      <c r="W39" s="133">
        <f>D39</f>
        <v/>
      </c>
      <c r="X39" s="134">
        <f>E39</f>
        <v/>
      </c>
      <c r="Y39" s="139">
        <f>H39</f>
        <v/>
      </c>
      <c r="Z39" s="137">
        <f>I39</f>
        <v/>
      </c>
      <c r="AA39" s="137">
        <f>K39</f>
        <v/>
      </c>
      <c r="AB39" s="137">
        <f>M39</f>
        <v/>
      </c>
      <c r="AC39" s="4">
        <f>N39</f>
        <v/>
      </c>
      <c r="AD39" s="138">
        <f>O39</f>
        <v/>
      </c>
      <c r="AE39" s="123">
        <f>S39</f>
        <v/>
      </c>
      <c r="AF39" s="123">
        <f>Q39&amp;"/"&amp;R39</f>
        <v/>
      </c>
      <c r="AH39" s="20">
        <f>IF(A39="","",A39)</f>
        <v/>
      </c>
      <c r="AI39" s="134">
        <f>IF(E39="","",E39)</f>
        <v/>
      </c>
      <c r="AJ39" s="123">
        <f>IF(AI39="","",$AJ$2)</f>
        <v/>
      </c>
      <c r="AK39" s="123" t="inlineStr">
        <is>
          <t>A</t>
        </is>
      </c>
      <c r="AL39" s="123" t="inlineStr">
        <is>
          <t>A+</t>
        </is>
      </c>
      <c r="AM39" s="123" t="inlineStr">
        <is>
          <t>B+</t>
        </is>
      </c>
      <c r="AN39" s="123">
        <f>IF(AI39="","",$AN$2)</f>
        <v/>
      </c>
      <c r="AO39" s="123">
        <f>IF(N39="","",IF(N39&gt;=$AO$1/100,"O","X"))</f>
        <v/>
      </c>
      <c r="AP39" s="123">
        <f>IF(I39="","",IF(I39&lt;=$AP$1,"O","X"))</f>
        <v/>
      </c>
      <c r="AQ39" s="123">
        <f>IF(O39="","",IF(O39&lt;=$AQ$1,"O","X"))</f>
        <v/>
      </c>
      <c r="AR39" s="123">
        <f>IF(M39="","",IF(M39&lt;=$AR$1,"O","X"))</f>
        <v/>
      </c>
      <c r="AS39" s="123" t="inlineStr">
        <is>
          <t>X</t>
        </is>
      </c>
      <c r="AT39" s="123">
        <f>IF(OR(F39="",AI39=""),"",IF(AND((F39&lt;=85),(AI39&gt;=15)),"O","X"))</f>
        <v/>
      </c>
      <c r="AU39" s="123">
        <f>IF(C39="","",IF(C39&gt;=$AU$1,"O","X"))</f>
        <v/>
      </c>
      <c r="AV39" s="123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5" t="n">
        <v>460</v>
      </c>
      <c r="D40" s="133" t="n">
        <v>106</v>
      </c>
      <c r="E40" s="134" t="n">
        <v>32</v>
      </c>
      <c r="F40" s="133" t="n">
        <v>84.8</v>
      </c>
      <c r="G40" s="17" t="n">
        <v>26</v>
      </c>
      <c r="H40" s="135" t="n">
        <v>278</v>
      </c>
      <c r="I40" s="136" t="n">
        <v>13800</v>
      </c>
      <c r="J40" s="136" t="inlineStr">
        <is>
          <t>중</t>
        </is>
      </c>
      <c r="K40" s="136" t="n"/>
      <c r="L40" s="136" t="n"/>
      <c r="M40" s="137">
        <f>I40-K40</f>
        <v/>
      </c>
      <c r="N40" s="4">
        <f>IF(ISERROR(K40/I40),"",K40/I40)</f>
        <v/>
      </c>
      <c r="O40" s="138">
        <f>I40/E40</f>
        <v/>
      </c>
      <c r="P40" s="138">
        <f>K40/E40</f>
        <v/>
      </c>
      <c r="Q40" s="123" t="n">
        <v>3</v>
      </c>
      <c r="R40" s="123" t="n">
        <v>2</v>
      </c>
      <c r="S40" s="123" t="inlineStr">
        <is>
          <t>계</t>
        </is>
      </c>
      <c r="T40" s="5" t="n">
        <v>105</v>
      </c>
      <c r="U40" s="9" t="n"/>
      <c r="W40" s="133">
        <f>D40</f>
        <v/>
      </c>
      <c r="X40" s="134">
        <f>E40</f>
        <v/>
      </c>
      <c r="Y40" s="139">
        <f>H40</f>
        <v/>
      </c>
      <c r="Z40" s="137">
        <f>I40</f>
        <v/>
      </c>
      <c r="AA40" s="137">
        <f>K40</f>
        <v/>
      </c>
      <c r="AB40" s="137">
        <f>M40</f>
        <v/>
      </c>
      <c r="AC40" s="4">
        <f>N40</f>
        <v/>
      </c>
      <c r="AD40" s="138">
        <f>O40</f>
        <v/>
      </c>
      <c r="AE40" s="123">
        <f>S40</f>
        <v/>
      </c>
      <c r="AF40" s="123">
        <f>Q40&amp;"/"&amp;R40</f>
        <v/>
      </c>
      <c r="AH40" s="20">
        <f>IF(A40="","",A40)</f>
        <v/>
      </c>
      <c r="AI40" s="134">
        <f>IF(E40="","",E40)</f>
        <v/>
      </c>
      <c r="AJ40" s="123">
        <f>IF(AI40="","",$AJ$2)</f>
        <v/>
      </c>
      <c r="AK40" s="123" t="inlineStr">
        <is>
          <t>A</t>
        </is>
      </c>
      <c r="AL40" s="123" t="inlineStr">
        <is>
          <t>A+</t>
        </is>
      </c>
      <c r="AM40" s="123" t="inlineStr">
        <is>
          <t>B+</t>
        </is>
      </c>
      <c r="AN40" s="123">
        <f>IF(AI40="","",$AN$2)</f>
        <v/>
      </c>
      <c r="AO40" s="123">
        <f>IF(N40="","",IF(N40&gt;=$AO$1/100,"O","X"))</f>
        <v/>
      </c>
      <c r="AP40" s="123">
        <f>IF(I40="","",IF(I40&lt;=$AP$1,"O","X"))</f>
        <v/>
      </c>
      <c r="AQ40" s="123">
        <f>IF(O40="","",IF(O40&lt;=$AQ$1,"O","X"))</f>
        <v/>
      </c>
      <c r="AR40" s="123">
        <f>IF(M40="","",IF(M40&lt;=$AR$1,"O","X"))</f>
        <v/>
      </c>
      <c r="AS40" s="123" t="inlineStr">
        <is>
          <t>X</t>
        </is>
      </c>
      <c r="AT40" s="123">
        <f>IF(OR(F40="",AI40=""),"",IF(AND((F40&lt;=85),(AI40&gt;=15)),"O","X"))</f>
        <v/>
      </c>
      <c r="AU40" s="123">
        <f>IF(C40="","",IF(C40&gt;=$AU$1,"O","X"))</f>
        <v/>
      </c>
      <c r="AV40" s="123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5" t="n">
        <v>460</v>
      </c>
      <c r="D41" s="133" t="n">
        <v>155.6</v>
      </c>
      <c r="E41" s="134" t="n">
        <v>47</v>
      </c>
      <c r="F41" s="133" t="n">
        <v>131.8</v>
      </c>
      <c r="G41" s="17" t="n">
        <v>40</v>
      </c>
      <c r="H41" s="135" t="n">
        <v>78</v>
      </c>
      <c r="I41" s="136" t="n"/>
      <c r="J41" s="136" t="n"/>
      <c r="K41" s="136" t="n"/>
      <c r="L41" s="136" t="n"/>
      <c r="M41" s="137">
        <f>I41-K41</f>
        <v/>
      </c>
      <c r="N41" s="4">
        <f>IF(ISERROR(K41/I41),"",K41/I41)</f>
        <v/>
      </c>
      <c r="O41" s="138">
        <f>I41/E41</f>
        <v/>
      </c>
      <c r="P41" s="138">
        <f>K41/E41</f>
        <v/>
      </c>
      <c r="Q41" s="123" t="n">
        <v>4</v>
      </c>
      <c r="R41" s="123" t="n">
        <v>2</v>
      </c>
      <c r="S41" s="123" t="inlineStr">
        <is>
          <t>계</t>
        </is>
      </c>
      <c r="T41" s="5" t="n">
        <v>155</v>
      </c>
      <c r="U41" s="9" t="n"/>
      <c r="W41" s="133">
        <f>D41</f>
        <v/>
      </c>
      <c r="X41" s="134">
        <f>E41</f>
        <v/>
      </c>
      <c r="Y41" s="139">
        <f>H41</f>
        <v/>
      </c>
      <c r="Z41" s="137">
        <f>I41</f>
        <v/>
      </c>
      <c r="AA41" s="137">
        <f>K41</f>
        <v/>
      </c>
      <c r="AB41" s="137">
        <f>M41</f>
        <v/>
      </c>
      <c r="AC41" s="4">
        <f>N41</f>
        <v/>
      </c>
      <c r="AD41" s="138">
        <f>O41</f>
        <v/>
      </c>
      <c r="AE41" s="123">
        <f>S41</f>
        <v/>
      </c>
      <c r="AF41" s="123">
        <f>Q41&amp;"/"&amp;R41</f>
        <v/>
      </c>
      <c r="AH41" s="20">
        <f>IF(A41="","",A41)</f>
        <v/>
      </c>
      <c r="AI41" s="134">
        <f>IF(E41="","",E41)</f>
        <v/>
      </c>
      <c r="AJ41" s="123">
        <f>IF(AI41="","",$AJ$2)</f>
        <v/>
      </c>
      <c r="AK41" s="123" t="inlineStr">
        <is>
          <t>A</t>
        </is>
      </c>
      <c r="AL41" s="123" t="inlineStr">
        <is>
          <t>A+</t>
        </is>
      </c>
      <c r="AM41" s="123" t="inlineStr">
        <is>
          <t>B+</t>
        </is>
      </c>
      <c r="AN41" s="123">
        <f>IF(AI41="","",$AN$2)</f>
        <v/>
      </c>
      <c r="AO41" s="123">
        <f>IF(N41="","",IF(N41&gt;=$AO$1/100,"O","X"))</f>
        <v/>
      </c>
      <c r="AP41" s="123">
        <f>IF(I41="","",IF(I41&lt;=$AP$1,"O","X"))</f>
        <v/>
      </c>
      <c r="AQ41" s="123">
        <f>IF(O41="","",IF(O41&lt;=$AQ$1,"O","X"))</f>
        <v/>
      </c>
      <c r="AR41" s="123">
        <f>IF(M41="","",IF(M41&lt;=$AR$1,"O","X"))</f>
        <v/>
      </c>
      <c r="AS41" s="123" t="inlineStr">
        <is>
          <t>X</t>
        </is>
      </c>
      <c r="AT41" s="123">
        <f>IF(OR(F41="",AI41=""),"",IF(AND((F41&lt;=85),(AI41&gt;=15)),"O","X"))</f>
        <v/>
      </c>
      <c r="AU41" s="123">
        <f>IF(C41="","",IF(C41&gt;=$AU$1,"O","X"))</f>
        <v/>
      </c>
      <c r="AV41" s="123">
        <f>IF(AO41="","",IF(AND(AO41="O",AP41="O",AR41="O",AT41="O",AU41="O"),"후보","X"))</f>
        <v/>
      </c>
    </row>
    <row r="42">
      <c r="A42" s="9" t="n"/>
      <c r="B42" s="123" t="n"/>
      <c r="C42" s="6" t="n"/>
      <c r="D42" s="9" t="n"/>
      <c r="E42" s="14" t="n"/>
      <c r="F42" s="133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8" t="n"/>
      <c r="P42" s="138" t="n"/>
      <c r="Q42" s="134" t="n"/>
      <c r="R42" s="134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8">
        <f>IF(E42="","",E42)</f>
        <v/>
      </c>
      <c r="AJ42" s="123" t="n"/>
      <c r="AK42" s="123" t="n"/>
      <c r="AL42" s="123" t="n"/>
      <c r="AM42" s="123" t="n"/>
      <c r="AN42" s="123" t="n"/>
      <c r="AO42" s="123" t="n"/>
      <c r="AP42" s="123" t="n"/>
      <c r="AQ42" s="123" t="n"/>
      <c r="AR42" s="123" t="n"/>
      <c r="AS42" s="123" t="n"/>
      <c r="AT42" s="123" t="n"/>
      <c r="AU42" s="123" t="n"/>
      <c r="AV42" s="123" t="n"/>
    </row>
    <row r="43">
      <c r="A43" s="9" t="inlineStr">
        <is>
          <t>우성</t>
        </is>
      </c>
      <c r="B43" s="10" t="inlineStr">
        <is>
          <t>'95.06.</t>
        </is>
      </c>
      <c r="C43" s="135" t="n">
        <v>345</v>
      </c>
      <c r="D43" s="133" t="n">
        <v>115.7</v>
      </c>
      <c r="E43" s="134" t="n">
        <v>35</v>
      </c>
      <c r="F43" s="133" t="n">
        <v>93.59999999999999</v>
      </c>
      <c r="G43" s="17" t="n">
        <v>28</v>
      </c>
      <c r="H43" s="135" t="n">
        <v>75</v>
      </c>
      <c r="I43" s="136" t="n">
        <v>18500</v>
      </c>
      <c r="J43" s="136" t="inlineStr">
        <is>
          <t>6</t>
        </is>
      </c>
      <c r="K43" s="136" t="n"/>
      <c r="L43" s="136" t="n"/>
      <c r="M43" s="137">
        <f>I43-K43</f>
        <v/>
      </c>
      <c r="N43" s="4">
        <f>IF(ISERROR(K43/I43),"",K43/I43)</f>
        <v/>
      </c>
      <c r="O43" s="138">
        <f>I43/E43</f>
        <v/>
      </c>
      <c r="P43" s="138">
        <f>K43/E43</f>
        <v/>
      </c>
      <c r="Q43" s="123" t="n">
        <v>3</v>
      </c>
      <c r="R43" s="123" t="n">
        <v>2</v>
      </c>
      <c r="S43" s="123" t="inlineStr">
        <is>
          <t>계</t>
        </is>
      </c>
      <c r="T43" s="5" t="n">
        <v>115</v>
      </c>
      <c r="U43" s="9" t="n"/>
      <c r="W43" s="133">
        <f>D43</f>
        <v/>
      </c>
      <c r="X43" s="134">
        <f>E43</f>
        <v/>
      </c>
      <c r="Y43" s="139">
        <f>H43</f>
        <v/>
      </c>
      <c r="Z43" s="137">
        <f>I43</f>
        <v/>
      </c>
      <c r="AA43" s="137">
        <f>K43</f>
        <v/>
      </c>
      <c r="AB43" s="137">
        <f>M43</f>
        <v/>
      </c>
      <c r="AC43" s="4">
        <f>N43</f>
        <v/>
      </c>
      <c r="AD43" s="138">
        <f>O43</f>
        <v/>
      </c>
      <c r="AE43" s="123">
        <f>S43</f>
        <v/>
      </c>
      <c r="AF43" s="123">
        <f>Q43&amp;"/"&amp;R43</f>
        <v/>
      </c>
      <c r="AH43" s="20">
        <f>IF(A43="","",A43)</f>
        <v/>
      </c>
      <c r="AI43" s="134">
        <f>IF(E43="","",E43)</f>
        <v/>
      </c>
      <c r="AJ43" s="123">
        <f>IF(AI43="","",$AJ$2)</f>
        <v/>
      </c>
      <c r="AK43" s="123" t="inlineStr">
        <is>
          <t>A</t>
        </is>
      </c>
      <c r="AL43" s="123" t="inlineStr">
        <is>
          <t>A+</t>
        </is>
      </c>
      <c r="AM43" s="123" t="inlineStr">
        <is>
          <t>B+</t>
        </is>
      </c>
      <c r="AN43" s="123">
        <f>IF(AI43="","",$AN$2)</f>
        <v/>
      </c>
      <c r="AO43" s="123">
        <f>IF(N43="","",IF(N43&gt;=$AO$1/100,"O","X"))</f>
        <v/>
      </c>
      <c r="AP43" s="123">
        <f>IF(I43="","",IF(I43&lt;=$AP$1,"O","X"))</f>
        <v/>
      </c>
      <c r="AQ43" s="123">
        <f>IF(O43="","",IF(O43&lt;=$AQ$1,"O","X"))</f>
        <v/>
      </c>
      <c r="AR43" s="123">
        <f>IF(M43="","",IF(M43&lt;=$AR$1,"O","X"))</f>
        <v/>
      </c>
      <c r="AS43" s="123" t="inlineStr">
        <is>
          <t>X</t>
        </is>
      </c>
      <c r="AT43" s="123">
        <f>IF(OR(F43="",AI43=""),"",IF(AND((F43&lt;=85),(AI43&gt;=15)),"O","X"))</f>
        <v/>
      </c>
      <c r="AU43" s="123">
        <f>IF(C43="","",IF(C43&gt;=$AU$1,"O","X"))</f>
        <v/>
      </c>
      <c r="AV43" s="123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5" t="n">
        <v>345</v>
      </c>
      <c r="D44" s="133" t="n">
        <v>120.2</v>
      </c>
      <c r="E44" s="134" t="n">
        <v>36</v>
      </c>
      <c r="F44" s="133" t="n">
        <v>100</v>
      </c>
      <c r="G44" s="17" t="n">
        <v>30</v>
      </c>
      <c r="H44" s="135" t="n">
        <v>270</v>
      </c>
      <c r="I44" s="136" t="n">
        <v>18000</v>
      </c>
      <c r="J44" s="136" t="inlineStr">
        <is>
          <t>5</t>
        </is>
      </c>
      <c r="K44" s="136" t="n"/>
      <c r="L44" s="136" t="n"/>
      <c r="M44" s="137">
        <f>I44-K44</f>
        <v/>
      </c>
      <c r="N44" s="4">
        <f>IF(ISERROR(K44/I44),"",K44/I44)</f>
        <v/>
      </c>
      <c r="O44" s="138">
        <f>I44/E44</f>
        <v/>
      </c>
      <c r="P44" s="138">
        <f>K44/E44</f>
        <v/>
      </c>
      <c r="Q44" s="123" t="n">
        <v>3</v>
      </c>
      <c r="R44" s="123" t="n">
        <v>2</v>
      </c>
      <c r="S44" s="123" t="inlineStr">
        <is>
          <t>계</t>
        </is>
      </c>
      <c r="T44" s="5" t="n">
        <v>120</v>
      </c>
      <c r="U44" s="9" t="n"/>
      <c r="W44" s="133">
        <f>D44</f>
        <v/>
      </c>
      <c r="X44" s="134">
        <f>E44</f>
        <v/>
      </c>
      <c r="Y44" s="139">
        <f>H44</f>
        <v/>
      </c>
      <c r="Z44" s="137">
        <f>I44</f>
        <v/>
      </c>
      <c r="AA44" s="137">
        <f>K44</f>
        <v/>
      </c>
      <c r="AB44" s="137">
        <f>M44</f>
        <v/>
      </c>
      <c r="AC44" s="4">
        <f>N44</f>
        <v/>
      </c>
      <c r="AD44" s="138">
        <f>O44</f>
        <v/>
      </c>
      <c r="AE44" s="123">
        <f>S44</f>
        <v/>
      </c>
      <c r="AF44" s="123">
        <f>Q44&amp;"/"&amp;R44</f>
        <v/>
      </c>
      <c r="AH44" s="20">
        <f>IF(A44="","",A44)</f>
        <v/>
      </c>
      <c r="AI44" s="134">
        <f>IF(E44="","",E44)</f>
        <v/>
      </c>
      <c r="AJ44" s="123">
        <f>IF(AI44="","",$AJ$2)</f>
        <v/>
      </c>
      <c r="AK44" s="123" t="inlineStr">
        <is>
          <t>A</t>
        </is>
      </c>
      <c r="AL44" s="123" t="inlineStr">
        <is>
          <t>A+</t>
        </is>
      </c>
      <c r="AM44" s="123" t="inlineStr">
        <is>
          <t>B+</t>
        </is>
      </c>
      <c r="AN44" s="123">
        <f>IF(AI44="","",$AN$2)</f>
        <v/>
      </c>
      <c r="AO44" s="123">
        <f>IF(N44="","",IF(N44&gt;=$AO$1/100,"O","X"))</f>
        <v/>
      </c>
      <c r="AP44" s="123">
        <f>IF(I44="","",IF(I44&lt;=$AP$1,"O","X"))</f>
        <v/>
      </c>
      <c r="AQ44" s="123">
        <f>IF(O44="","",IF(O44&lt;=$AQ$1,"O","X"))</f>
        <v/>
      </c>
      <c r="AR44" s="123">
        <f>IF(M44="","",IF(M44&lt;=$AR$1,"O","X"))</f>
        <v/>
      </c>
      <c r="AS44" s="123" t="inlineStr">
        <is>
          <t>X</t>
        </is>
      </c>
      <c r="AT44" s="123">
        <f>IF(OR(F44="",AI44=""),"",IF(AND((F44&lt;=85),(AI44&gt;=15)),"O","X"))</f>
        <v/>
      </c>
      <c r="AU44" s="123">
        <f>IF(C44="","",IF(C44&gt;=$AU$1,"O","X"))</f>
        <v/>
      </c>
      <c r="AV44" s="123">
        <f>IF(AO44="","",IF(AND(AO44="O",AP44="O",AR44="O",AT44="O",AU44="O"),"후보","X"))</f>
        <v/>
      </c>
    </row>
    <row r="45">
      <c r="A45" s="9" t="n"/>
      <c r="B45" s="123" t="n"/>
      <c r="C45" s="6" t="n"/>
      <c r="D45" s="9" t="n"/>
      <c r="E45" s="14" t="n"/>
      <c r="F45" s="133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8" t="n"/>
      <c r="P45" s="138" t="n"/>
      <c r="Q45" s="134" t="n"/>
      <c r="R45" s="134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8">
        <f>IF(E45="","",E45)</f>
        <v/>
      </c>
      <c r="AJ45" s="123" t="n"/>
      <c r="AK45" s="123" t="n"/>
      <c r="AL45" s="123" t="n"/>
      <c r="AM45" s="123" t="n"/>
      <c r="AN45" s="123" t="n"/>
      <c r="AO45" s="123" t="n"/>
      <c r="AP45" s="123" t="n"/>
      <c r="AQ45" s="123" t="n"/>
      <c r="AR45" s="123" t="n"/>
      <c r="AS45" s="123" t="n"/>
      <c r="AT45" s="123" t="n"/>
      <c r="AU45" s="123" t="n"/>
      <c r="AV45" s="123" t="n"/>
    </row>
    <row r="46">
      <c r="A46" s="9" t="inlineStr">
        <is>
          <t>금호타운1차</t>
        </is>
      </c>
      <c r="B46" s="10" t="inlineStr">
        <is>
          <t>'91.09.</t>
        </is>
      </c>
      <c r="C46" s="135" t="n">
        <v>930</v>
      </c>
      <c r="D46" s="133" t="n">
        <v>89.09999999999999</v>
      </c>
      <c r="E46" s="134" t="n">
        <v>27</v>
      </c>
      <c r="F46" s="133" t="n">
        <v>73.09999999999999</v>
      </c>
      <c r="G46" s="17" t="n">
        <v>22</v>
      </c>
      <c r="H46" s="135" t="n">
        <v>330</v>
      </c>
      <c r="I46" s="136" t="n">
        <v>12800</v>
      </c>
      <c r="J46" s="136" t="inlineStr">
        <is>
          <t>11</t>
        </is>
      </c>
      <c r="K46" s="136" t="n">
        <v>12000</v>
      </c>
      <c r="L46" s="136" t="inlineStr">
        <is>
          <t>13</t>
        </is>
      </c>
      <c r="M46" s="137">
        <f>I46-K46</f>
        <v/>
      </c>
      <c r="N46" s="4">
        <f>IF(ISERROR(K46/I46),"",K46/I46)</f>
        <v/>
      </c>
      <c r="O46" s="138">
        <f>I46/E46</f>
        <v/>
      </c>
      <c r="P46" s="138">
        <f>K46/E46</f>
        <v/>
      </c>
      <c r="Q46" s="123" t="n">
        <v>3</v>
      </c>
      <c r="R46" s="123" t="n">
        <v>2</v>
      </c>
      <c r="S46" s="123" t="inlineStr">
        <is>
          <t>계</t>
        </is>
      </c>
      <c r="T46" s="5" t="n">
        <v>89</v>
      </c>
      <c r="U46" s="9" t="n"/>
      <c r="W46" s="133">
        <f>D46</f>
        <v/>
      </c>
      <c r="X46" s="134">
        <f>E46</f>
        <v/>
      </c>
      <c r="Y46" s="139">
        <f>H46</f>
        <v/>
      </c>
      <c r="Z46" s="137">
        <f>I46</f>
        <v/>
      </c>
      <c r="AA46" s="137">
        <f>K46</f>
        <v/>
      </c>
      <c r="AB46" s="137">
        <f>M46</f>
        <v/>
      </c>
      <c r="AC46" s="4">
        <f>N46</f>
        <v/>
      </c>
      <c r="AD46" s="138">
        <f>O46</f>
        <v/>
      </c>
      <c r="AE46" s="123">
        <f>S46</f>
        <v/>
      </c>
      <c r="AF46" s="123">
        <f>Q46&amp;"/"&amp;R46</f>
        <v/>
      </c>
      <c r="AH46" s="20">
        <f>IF(A46="","",A46)</f>
        <v/>
      </c>
      <c r="AI46" s="134">
        <f>IF(E46="","",E46)</f>
        <v/>
      </c>
      <c r="AJ46" s="123">
        <f>IF(AI46="","",$AJ$2)</f>
        <v/>
      </c>
      <c r="AK46" s="123" t="inlineStr">
        <is>
          <t>A</t>
        </is>
      </c>
      <c r="AL46" s="123" t="inlineStr">
        <is>
          <t>A+</t>
        </is>
      </c>
      <c r="AM46" s="123" t="inlineStr">
        <is>
          <t>B+</t>
        </is>
      </c>
      <c r="AN46" s="123">
        <f>IF(AI46="","",$AN$2)</f>
        <v/>
      </c>
      <c r="AO46" s="123">
        <f>IF(N46="","",IF(N46&gt;=$AO$1/100,"O","X"))</f>
        <v/>
      </c>
      <c r="AP46" s="123">
        <f>IF(I46="","",IF(I46&lt;=$AP$1,"O","X"))</f>
        <v/>
      </c>
      <c r="AQ46" s="123">
        <f>IF(O46="","",IF(O46&lt;=$AQ$1,"O","X"))</f>
        <v/>
      </c>
      <c r="AR46" s="123">
        <f>IF(M46="","",IF(M46&lt;=$AR$1,"O","X"))</f>
        <v/>
      </c>
      <c r="AS46" s="123" t="inlineStr">
        <is>
          <t>X</t>
        </is>
      </c>
      <c r="AT46" s="123">
        <f>IF(OR(F46="",AI46=""),"",IF(AND((F46&lt;=85),(AI46&gt;=15)),"O","X"))</f>
        <v/>
      </c>
      <c r="AU46" s="123">
        <f>IF(C46="","",IF(C46&gt;=$AU$1,"O","X"))</f>
        <v/>
      </c>
      <c r="AV46" s="123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5" t="n">
        <v>930</v>
      </c>
      <c r="D47" s="133" t="n">
        <v>101.7</v>
      </c>
      <c r="E47" s="134" t="n">
        <v>31</v>
      </c>
      <c r="F47" s="133" t="n">
        <v>84.8</v>
      </c>
      <c r="G47" s="17" t="n">
        <v>26</v>
      </c>
      <c r="H47" s="135" t="n">
        <v>600</v>
      </c>
      <c r="I47" s="136" t="n">
        <v>14000</v>
      </c>
      <c r="J47" s="136" t="inlineStr">
        <is>
          <t>9</t>
        </is>
      </c>
      <c r="K47" s="136" t="n">
        <v>12000</v>
      </c>
      <c r="L47" s="136" t="inlineStr">
        <is>
          <t>14</t>
        </is>
      </c>
      <c r="M47" s="137">
        <f>I47-K47</f>
        <v/>
      </c>
      <c r="N47" s="4">
        <f>IF(ISERROR(K47/I47),"",K47/I47)</f>
        <v/>
      </c>
      <c r="O47" s="138">
        <f>I47/E47</f>
        <v/>
      </c>
      <c r="P47" s="138">
        <f>K47/E47</f>
        <v/>
      </c>
      <c r="Q47" s="123" t="n">
        <v>3</v>
      </c>
      <c r="R47" s="123" t="n">
        <v>2</v>
      </c>
      <c r="S47" s="123" t="inlineStr">
        <is>
          <t>계</t>
        </is>
      </c>
      <c r="T47" s="5" t="n">
        <v>101</v>
      </c>
      <c r="U47" s="9" t="n"/>
      <c r="W47" s="133">
        <f>D47</f>
        <v/>
      </c>
      <c r="X47" s="134">
        <f>E47</f>
        <v/>
      </c>
      <c r="Y47" s="139">
        <f>H47</f>
        <v/>
      </c>
      <c r="Z47" s="137">
        <f>I47</f>
        <v/>
      </c>
      <c r="AA47" s="137">
        <f>K47</f>
        <v/>
      </c>
      <c r="AB47" s="137">
        <f>M47</f>
        <v/>
      </c>
      <c r="AC47" s="4">
        <f>N47</f>
        <v/>
      </c>
      <c r="AD47" s="138">
        <f>O47</f>
        <v/>
      </c>
      <c r="AE47" s="123">
        <f>S47</f>
        <v/>
      </c>
      <c r="AF47" s="123">
        <f>Q47&amp;"/"&amp;R47</f>
        <v/>
      </c>
      <c r="AH47" s="20">
        <f>IF(A47="","",A47)</f>
        <v/>
      </c>
      <c r="AI47" s="134">
        <f>IF(E47="","",E47)</f>
        <v/>
      </c>
      <c r="AJ47" s="123">
        <f>IF(AI47="","",$AJ$2)</f>
        <v/>
      </c>
      <c r="AK47" s="123" t="inlineStr">
        <is>
          <t>A</t>
        </is>
      </c>
      <c r="AL47" s="123" t="inlineStr">
        <is>
          <t>A+</t>
        </is>
      </c>
      <c r="AM47" s="123" t="inlineStr">
        <is>
          <t>B+</t>
        </is>
      </c>
      <c r="AN47" s="123">
        <f>IF(AI47="","",$AN$2)</f>
        <v/>
      </c>
      <c r="AO47" s="123">
        <f>IF(N47="","",IF(N47&gt;=$AO$1/100,"O","X"))</f>
        <v/>
      </c>
      <c r="AP47" s="123">
        <f>IF(I47="","",IF(I47&lt;=$AP$1,"O","X"))</f>
        <v/>
      </c>
      <c r="AQ47" s="123">
        <f>IF(O47="","",IF(O47&lt;=$AQ$1,"O","X"))</f>
        <v/>
      </c>
      <c r="AR47" s="123">
        <f>IF(M47="","",IF(M47&lt;=$AR$1,"O","X"))</f>
        <v/>
      </c>
      <c r="AS47" s="123" t="inlineStr">
        <is>
          <t>X</t>
        </is>
      </c>
      <c r="AT47" s="123">
        <f>IF(OR(F47="",AI47=""),"",IF(AND((F47&lt;=85),(AI47&gt;=15)),"O","X"))</f>
        <v/>
      </c>
      <c r="AU47" s="123">
        <f>IF(C47="","",IF(C47&gt;=$AU$1,"O","X"))</f>
        <v/>
      </c>
      <c r="AV47" s="123">
        <f>IF(AO47="","",IF(AND(AO47="O",AP47="O",AR47="O",AT47="O",AU47="O"),"후보","X"))</f>
        <v/>
      </c>
    </row>
    <row r="48">
      <c r="A48" s="9" t="n"/>
      <c r="B48" s="123" t="n"/>
      <c r="C48" s="6" t="n"/>
      <c r="D48" s="9" t="n"/>
      <c r="E48" s="14" t="n"/>
      <c r="F48" s="133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8" t="n"/>
      <c r="P48" s="138" t="n"/>
      <c r="Q48" s="134" t="n"/>
      <c r="R48" s="134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8">
        <f>IF(E48="","",E48)</f>
        <v/>
      </c>
      <c r="AJ48" s="123" t="n"/>
      <c r="AK48" s="123" t="n"/>
      <c r="AL48" s="123" t="n"/>
      <c r="AM48" s="123" t="n"/>
      <c r="AN48" s="123" t="n"/>
      <c r="AO48" s="123" t="n"/>
      <c r="AP48" s="123" t="n"/>
      <c r="AQ48" s="123" t="n"/>
      <c r="AR48" s="123" t="n"/>
      <c r="AS48" s="123" t="n"/>
      <c r="AT48" s="123" t="n"/>
      <c r="AU48" s="123" t="n"/>
      <c r="AV48" s="123" t="n"/>
    </row>
    <row r="49">
      <c r="A49" s="9" t="inlineStr">
        <is>
          <t>서호</t>
        </is>
      </c>
      <c r="B49" s="10" t="inlineStr">
        <is>
          <t>'95.06.</t>
        </is>
      </c>
      <c r="C49" s="135" t="n">
        <v>490</v>
      </c>
      <c r="D49" s="133" t="n">
        <v>83.8</v>
      </c>
      <c r="E49" s="134" t="n">
        <v>25</v>
      </c>
      <c r="F49" s="133" t="n">
        <v>67.90000000000001</v>
      </c>
      <c r="G49" s="17" t="n">
        <v>21</v>
      </c>
      <c r="H49" s="135" t="n">
        <v>262</v>
      </c>
      <c r="I49" s="136" t="n">
        <v>11500</v>
      </c>
      <c r="J49" s="136" t="inlineStr">
        <is>
          <t>5</t>
        </is>
      </c>
      <c r="K49" s="136" t="n">
        <v>11500</v>
      </c>
      <c r="L49" s="136" t="inlineStr">
        <is>
          <t>8</t>
        </is>
      </c>
      <c r="M49" s="137">
        <f>I49-K49</f>
        <v/>
      </c>
      <c r="N49" s="4">
        <f>IF(ISERROR(K49/I49),"",K49/I49)</f>
        <v/>
      </c>
      <c r="O49" s="138">
        <f>I49/E49</f>
        <v/>
      </c>
      <c r="P49" s="138">
        <f>K49/E49</f>
        <v/>
      </c>
      <c r="Q49" s="123" t="n">
        <v>3</v>
      </c>
      <c r="R49" s="123" t="n">
        <v>1</v>
      </c>
      <c r="S49" s="123" t="inlineStr">
        <is>
          <t>계</t>
        </is>
      </c>
      <c r="T49" s="5" t="n">
        <v>83</v>
      </c>
      <c r="U49" s="9" t="n"/>
      <c r="W49" s="133">
        <f>D49</f>
        <v/>
      </c>
      <c r="X49" s="134">
        <f>E49</f>
        <v/>
      </c>
      <c r="Y49" s="139">
        <f>H49</f>
        <v/>
      </c>
      <c r="Z49" s="137">
        <f>I49</f>
        <v/>
      </c>
      <c r="AA49" s="137">
        <f>K49</f>
        <v/>
      </c>
      <c r="AB49" s="137">
        <f>M49</f>
        <v/>
      </c>
      <c r="AC49" s="4">
        <f>N49</f>
        <v/>
      </c>
      <c r="AD49" s="138">
        <f>O49</f>
        <v/>
      </c>
      <c r="AE49" s="123">
        <f>S49</f>
        <v/>
      </c>
      <c r="AF49" s="123">
        <f>Q49&amp;"/"&amp;R49</f>
        <v/>
      </c>
      <c r="AH49" s="20">
        <f>IF(A49="","",A49)</f>
        <v/>
      </c>
      <c r="AI49" s="134">
        <f>IF(E49="","",E49)</f>
        <v/>
      </c>
      <c r="AJ49" s="123">
        <f>IF(AI49="","",$AJ$2)</f>
        <v/>
      </c>
      <c r="AK49" s="123" t="inlineStr">
        <is>
          <t>A</t>
        </is>
      </c>
      <c r="AL49" s="123" t="inlineStr">
        <is>
          <t>A+</t>
        </is>
      </c>
      <c r="AM49" s="123" t="inlineStr">
        <is>
          <t>B+</t>
        </is>
      </c>
      <c r="AN49" s="123">
        <f>IF(AI49="","",$AN$2)</f>
        <v/>
      </c>
      <c r="AO49" s="123">
        <f>IF(N49="","",IF(N49&gt;=$AO$1/100,"O","X"))</f>
        <v/>
      </c>
      <c r="AP49" s="123">
        <f>IF(I49="","",IF(I49&lt;=$AP$1,"O","X"))</f>
        <v/>
      </c>
      <c r="AQ49" s="123">
        <f>IF(O49="","",IF(O49&lt;=$AQ$1,"O","X"))</f>
        <v/>
      </c>
      <c r="AR49" s="123">
        <f>IF(M49="","",IF(M49&lt;=$AR$1,"O","X"))</f>
        <v/>
      </c>
      <c r="AS49" s="123" t="inlineStr">
        <is>
          <t>X</t>
        </is>
      </c>
      <c r="AT49" s="123">
        <f>IF(OR(F49="",AI49=""),"",IF(AND((F49&lt;=85),(AI49&gt;=15)),"O","X"))</f>
        <v/>
      </c>
      <c r="AU49" s="123">
        <f>IF(C49="","",IF(C49&gt;=$AU$1,"O","X"))</f>
        <v/>
      </c>
      <c r="AV49" s="123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5" t="n">
        <v>490</v>
      </c>
      <c r="D50" s="133" t="n">
        <v>103.8</v>
      </c>
      <c r="E50" s="134" t="n">
        <v>31</v>
      </c>
      <c r="F50" s="133" t="n">
        <v>85</v>
      </c>
      <c r="G50" s="17" t="n">
        <v>26</v>
      </c>
      <c r="H50" s="135" t="n">
        <v>228</v>
      </c>
      <c r="I50" s="136" t="n">
        <v>15700</v>
      </c>
      <c r="J50" s="136" t="inlineStr">
        <is>
          <t>8</t>
        </is>
      </c>
      <c r="K50" s="136" t="n">
        <v>14000</v>
      </c>
      <c r="L50" s="136" t="inlineStr">
        <is>
          <t>7</t>
        </is>
      </c>
      <c r="M50" s="137">
        <f>I50-K50</f>
        <v/>
      </c>
      <c r="N50" s="4">
        <f>IF(ISERROR(K50/I50),"",K50/I50)</f>
        <v/>
      </c>
      <c r="O50" s="138">
        <f>I50/E50</f>
        <v/>
      </c>
      <c r="P50" s="138">
        <f>K50/E50</f>
        <v/>
      </c>
      <c r="Q50" s="123" t="n">
        <v>3</v>
      </c>
      <c r="R50" s="123" t="n">
        <v>2</v>
      </c>
      <c r="S50" s="123" t="inlineStr">
        <is>
          <t>계</t>
        </is>
      </c>
      <c r="T50" s="5" t="n">
        <v>103</v>
      </c>
      <c r="U50" s="9" t="n"/>
      <c r="W50" s="133">
        <f>D50</f>
        <v/>
      </c>
      <c r="X50" s="134">
        <f>E50</f>
        <v/>
      </c>
      <c r="Y50" s="139">
        <f>H50</f>
        <v/>
      </c>
      <c r="Z50" s="137">
        <f>I50</f>
        <v/>
      </c>
      <c r="AA50" s="137">
        <f>K50</f>
        <v/>
      </c>
      <c r="AB50" s="137">
        <f>M50</f>
        <v/>
      </c>
      <c r="AC50" s="4">
        <f>N50</f>
        <v/>
      </c>
      <c r="AD50" s="138">
        <f>O50</f>
        <v/>
      </c>
      <c r="AE50" s="123">
        <f>S50</f>
        <v/>
      </c>
      <c r="AF50" s="123">
        <f>Q50&amp;"/"&amp;R50</f>
        <v/>
      </c>
      <c r="AH50" s="20">
        <f>IF(A50="","",A50)</f>
        <v/>
      </c>
      <c r="AI50" s="134">
        <f>IF(E50="","",E50)</f>
        <v/>
      </c>
      <c r="AJ50" s="123">
        <f>IF(AI50="","",$AJ$2)</f>
        <v/>
      </c>
      <c r="AK50" s="123" t="inlineStr">
        <is>
          <t>A</t>
        </is>
      </c>
      <c r="AL50" s="123" t="inlineStr">
        <is>
          <t>A+</t>
        </is>
      </c>
      <c r="AM50" s="123" t="inlineStr">
        <is>
          <t>B+</t>
        </is>
      </c>
      <c r="AN50" s="123">
        <f>IF(AI50="","",$AN$2)</f>
        <v/>
      </c>
      <c r="AO50" s="123">
        <f>IF(N50="","",IF(N50&gt;=$AO$1/100,"O","X"))</f>
        <v/>
      </c>
      <c r="AP50" s="123">
        <f>IF(I50="","",IF(I50&lt;=$AP$1,"O","X"))</f>
        <v/>
      </c>
      <c r="AQ50" s="123">
        <f>IF(O50="","",IF(O50&lt;=$AQ$1,"O","X"))</f>
        <v/>
      </c>
      <c r="AR50" s="123">
        <f>IF(M50="","",IF(M50&lt;=$AR$1,"O","X"))</f>
        <v/>
      </c>
      <c r="AS50" s="123" t="inlineStr">
        <is>
          <t>X</t>
        </is>
      </c>
      <c r="AT50" s="123">
        <f>IF(OR(F50="",AI50=""),"",IF(AND((F50&lt;=85),(AI50&gt;=15)),"O","X"))</f>
        <v/>
      </c>
      <c r="AU50" s="123">
        <f>IF(C50="","",IF(C50&gt;=$AU$1,"O","X"))</f>
        <v/>
      </c>
      <c r="AV50" s="123">
        <f>IF(AO50="","",IF(AND(AO50="O",AP50="O",AR50="O",AT50="O",AU50="O"),"후보","X"))</f>
        <v/>
      </c>
    </row>
    <row r="51">
      <c r="A51" s="9" t="n"/>
      <c r="B51" s="123" t="n"/>
      <c r="C51" s="6" t="n"/>
      <c r="D51" s="9" t="n"/>
      <c r="E51" s="14" t="n"/>
      <c r="F51" s="133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8" t="n"/>
      <c r="P51" s="138" t="n"/>
      <c r="Q51" s="134" t="n"/>
      <c r="R51" s="134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8">
        <f>IF(E51="","",E51)</f>
        <v/>
      </c>
      <c r="AJ51" s="123" t="n"/>
      <c r="AK51" s="123" t="n"/>
      <c r="AL51" s="123" t="n"/>
      <c r="AM51" s="123" t="n"/>
      <c r="AN51" s="123" t="n"/>
      <c r="AO51" s="123" t="n"/>
      <c r="AP51" s="123" t="n"/>
      <c r="AQ51" s="123" t="n"/>
      <c r="AR51" s="123" t="n"/>
      <c r="AS51" s="123" t="n"/>
      <c r="AT51" s="123" t="n"/>
      <c r="AU51" s="123" t="n"/>
      <c r="AV51" s="123" t="n"/>
    </row>
    <row r="52">
      <c r="A52" s="9" t="inlineStr">
        <is>
          <t>주공3단지</t>
        </is>
      </c>
      <c r="B52" s="10" t="inlineStr">
        <is>
          <t>'83.12.</t>
        </is>
      </c>
      <c r="C52" s="135" t="n">
        <v>800</v>
      </c>
      <c r="D52" s="133" t="n">
        <v>47.6</v>
      </c>
      <c r="E52" s="134" t="n">
        <v>14</v>
      </c>
      <c r="F52" s="133" t="n">
        <v>47.6</v>
      </c>
      <c r="G52" s="17" t="n">
        <v>14</v>
      </c>
      <c r="H52" s="135" t="n">
        <v>25</v>
      </c>
      <c r="I52" s="136" t="n"/>
      <c r="J52" s="136" t="n"/>
      <c r="K52" s="136" t="n"/>
      <c r="L52" s="136" t="n"/>
      <c r="M52" s="137">
        <f>I52-K52</f>
        <v/>
      </c>
      <c r="N52" s="4">
        <f>IF(ISERROR(K52/I52),"",K52/I52)</f>
        <v/>
      </c>
      <c r="O52" s="138">
        <f>I52/E52</f>
        <v/>
      </c>
      <c r="P52" s="138">
        <f>K52/E52</f>
        <v/>
      </c>
      <c r="Q52" s="123" t="n">
        <v>1</v>
      </c>
      <c r="R52" s="123" t="n">
        <v>1</v>
      </c>
      <c r="S52" s="123" t="inlineStr">
        <is>
          <t>계</t>
        </is>
      </c>
      <c r="T52" s="5" t="n">
        <v>47</v>
      </c>
      <c r="U52" s="9" t="n"/>
      <c r="W52" s="133">
        <f>D52</f>
        <v/>
      </c>
      <c r="X52" s="134">
        <f>E52</f>
        <v/>
      </c>
      <c r="Y52" s="139">
        <f>H52</f>
        <v/>
      </c>
      <c r="Z52" s="137">
        <f>I52</f>
        <v/>
      </c>
      <c r="AA52" s="137">
        <f>K52</f>
        <v/>
      </c>
      <c r="AB52" s="137">
        <f>M52</f>
        <v/>
      </c>
      <c r="AC52" s="4">
        <f>N52</f>
        <v/>
      </c>
      <c r="AD52" s="138">
        <f>O52</f>
        <v/>
      </c>
      <c r="AE52" s="123">
        <f>S52</f>
        <v/>
      </c>
      <c r="AF52" s="123">
        <f>Q52&amp;"/"&amp;R52</f>
        <v/>
      </c>
      <c r="AH52" s="20">
        <f>IF(A52="","",A52)</f>
        <v/>
      </c>
      <c r="AI52" s="134">
        <f>IF(E52="","",E52)</f>
        <v/>
      </c>
      <c r="AJ52" s="123">
        <f>IF(AI52="","",$AJ$2)</f>
        <v/>
      </c>
      <c r="AK52" s="123" t="inlineStr">
        <is>
          <t>A</t>
        </is>
      </c>
      <c r="AL52" s="123" t="inlineStr">
        <is>
          <t>A+</t>
        </is>
      </c>
      <c r="AM52" s="123" t="inlineStr">
        <is>
          <t>B+</t>
        </is>
      </c>
      <c r="AN52" s="123">
        <f>IF(AI52="","",$AN$2)</f>
        <v/>
      </c>
      <c r="AO52" s="123">
        <f>IF(N52="","",IF(N52&gt;=$AO$1/100,"O","X"))</f>
        <v/>
      </c>
      <c r="AP52" s="123">
        <f>IF(I52="","",IF(I52&lt;=$AP$1,"O","X"))</f>
        <v/>
      </c>
      <c r="AQ52" s="123">
        <f>IF(O52="","",IF(O52&lt;=$AQ$1,"O","X"))</f>
        <v/>
      </c>
      <c r="AR52" s="123">
        <f>IF(M52="","",IF(M52&lt;=$AR$1,"O","X"))</f>
        <v/>
      </c>
      <c r="AS52" s="123" t="inlineStr">
        <is>
          <t>X</t>
        </is>
      </c>
      <c r="AT52" s="123">
        <f>IF(OR(F52="",AI52=""),"",IF(AND((F52&lt;=85),(AI52&gt;=15)),"O","X"))</f>
        <v/>
      </c>
      <c r="AU52" s="123">
        <f>IF(C52="","",IF(C52&gt;=$AU$1,"O","X"))</f>
        <v/>
      </c>
      <c r="AV52" s="123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5" t="n">
        <v>800</v>
      </c>
      <c r="D53" s="133" t="n">
        <v>53.6</v>
      </c>
      <c r="E53" s="134" t="n">
        <v>16</v>
      </c>
      <c r="F53" s="133" t="n">
        <v>48.6</v>
      </c>
      <c r="G53" s="17" t="n">
        <v>15</v>
      </c>
      <c r="H53" s="135" t="n">
        <v>136</v>
      </c>
      <c r="I53" s="136" t="n">
        <v>17500</v>
      </c>
      <c r="J53" s="136" t="inlineStr">
        <is>
          <t>5</t>
        </is>
      </c>
      <c r="K53" s="136" t="n"/>
      <c r="L53" s="136" t="n"/>
      <c r="M53" s="137">
        <f>I53-K53</f>
        <v/>
      </c>
      <c r="N53" s="4">
        <f>IF(ISERROR(K53/I53),"",K53/I53)</f>
        <v/>
      </c>
      <c r="O53" s="138">
        <f>I53/E53</f>
        <v/>
      </c>
      <c r="P53" s="138">
        <f>K53/E53</f>
        <v/>
      </c>
      <c r="Q53" s="123" t="n">
        <v>2</v>
      </c>
      <c r="R53" s="123" t="n">
        <v>1</v>
      </c>
      <c r="S53" s="123" t="inlineStr">
        <is>
          <t>계</t>
        </is>
      </c>
      <c r="T53" s="5" t="inlineStr">
        <is>
          <t>53A</t>
        </is>
      </c>
      <c r="U53" s="9" t="n"/>
      <c r="W53" s="133">
        <f>D53</f>
        <v/>
      </c>
      <c r="X53" s="134">
        <f>E53</f>
        <v/>
      </c>
      <c r="Y53" s="139">
        <f>H53</f>
        <v/>
      </c>
      <c r="Z53" s="137">
        <f>I53</f>
        <v/>
      </c>
      <c r="AA53" s="137">
        <f>K53</f>
        <v/>
      </c>
      <c r="AB53" s="137">
        <f>M53</f>
        <v/>
      </c>
      <c r="AC53" s="4">
        <f>N53</f>
        <v/>
      </c>
      <c r="AD53" s="138">
        <f>O53</f>
        <v/>
      </c>
      <c r="AE53" s="123">
        <f>S53</f>
        <v/>
      </c>
      <c r="AF53" s="123">
        <f>Q53&amp;"/"&amp;R53</f>
        <v/>
      </c>
      <c r="AH53" s="20">
        <f>IF(A53="","",A53)</f>
        <v/>
      </c>
      <c r="AI53" s="134">
        <f>IF(E53="","",E53)</f>
        <v/>
      </c>
      <c r="AJ53" s="123">
        <f>IF(AI53="","",$AJ$2)</f>
        <v/>
      </c>
      <c r="AK53" s="123" t="inlineStr">
        <is>
          <t>A</t>
        </is>
      </c>
      <c r="AL53" s="123" t="inlineStr">
        <is>
          <t>A+</t>
        </is>
      </c>
      <c r="AM53" s="123" t="inlineStr">
        <is>
          <t>B+</t>
        </is>
      </c>
      <c r="AN53" s="123">
        <f>IF(AI53="","",$AN$2)</f>
        <v/>
      </c>
      <c r="AO53" s="123">
        <f>IF(N53="","",IF(N53&gt;=$AO$1/100,"O","X"))</f>
        <v/>
      </c>
      <c r="AP53" s="123">
        <f>IF(I53="","",IF(I53&lt;=$AP$1,"O","X"))</f>
        <v/>
      </c>
      <c r="AQ53" s="123">
        <f>IF(O53="","",IF(O53&lt;=$AQ$1,"O","X"))</f>
        <v/>
      </c>
      <c r="AR53" s="123">
        <f>IF(M53="","",IF(M53&lt;=$AR$1,"O","X"))</f>
        <v/>
      </c>
      <c r="AS53" s="123" t="inlineStr">
        <is>
          <t>X</t>
        </is>
      </c>
      <c r="AT53" s="123">
        <f>IF(OR(F53="",AI53=""),"",IF(AND((F53&lt;=85),(AI53&gt;=15)),"O","X"))</f>
        <v/>
      </c>
      <c r="AU53" s="123">
        <f>IF(C53="","",IF(C53&gt;=$AU$1,"O","X"))</f>
        <v/>
      </c>
      <c r="AV53" s="123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5" t="n">
        <v>800</v>
      </c>
      <c r="D54" s="133" t="n">
        <v>54.1</v>
      </c>
      <c r="E54" s="134" t="n">
        <v>16</v>
      </c>
      <c r="F54" s="133" t="n">
        <v>54.1</v>
      </c>
      <c r="G54" s="17" t="n">
        <v>16</v>
      </c>
      <c r="H54" s="135" t="n">
        <v>115</v>
      </c>
      <c r="I54" s="136" t="n">
        <v>18000</v>
      </c>
      <c r="J54" s="136" t="inlineStr">
        <is>
          <t>5</t>
        </is>
      </c>
      <c r="K54" s="136" t="n"/>
      <c r="L54" s="136" t="n"/>
      <c r="M54" s="137">
        <f>I54-K54</f>
        <v/>
      </c>
      <c r="N54" s="4">
        <f>IF(ISERROR(K54/I54),"",K54/I54)</f>
        <v/>
      </c>
      <c r="O54" s="138">
        <f>I54/E54</f>
        <v/>
      </c>
      <c r="P54" s="138">
        <f>K54/E54</f>
        <v/>
      </c>
      <c r="Q54" s="123" t="n">
        <v>2</v>
      </c>
      <c r="R54" s="123" t="n">
        <v>1</v>
      </c>
      <c r="S54" s="123" t="inlineStr">
        <is>
          <t>계</t>
        </is>
      </c>
      <c r="T54" s="5" t="inlineStr">
        <is>
          <t>54B</t>
        </is>
      </c>
      <c r="U54" s="9" t="n"/>
      <c r="W54" s="133">
        <f>D54</f>
        <v/>
      </c>
      <c r="X54" s="134">
        <f>E54</f>
        <v/>
      </c>
      <c r="Y54" s="139">
        <f>H54</f>
        <v/>
      </c>
      <c r="Z54" s="137">
        <f>I54</f>
        <v/>
      </c>
      <c r="AA54" s="137">
        <f>K54</f>
        <v/>
      </c>
      <c r="AB54" s="137">
        <f>M54</f>
        <v/>
      </c>
      <c r="AC54" s="4">
        <f>N54</f>
        <v/>
      </c>
      <c r="AD54" s="138">
        <f>O54</f>
        <v/>
      </c>
      <c r="AE54" s="123">
        <f>S54</f>
        <v/>
      </c>
      <c r="AF54" s="123">
        <f>Q54&amp;"/"&amp;R54</f>
        <v/>
      </c>
      <c r="AH54" s="20">
        <f>IF(A54="","",A54)</f>
        <v/>
      </c>
      <c r="AI54" s="134">
        <f>IF(E54="","",E54)</f>
        <v/>
      </c>
      <c r="AJ54" s="123">
        <f>IF(AI54="","",$AJ$2)</f>
        <v/>
      </c>
      <c r="AK54" s="123" t="inlineStr">
        <is>
          <t>A</t>
        </is>
      </c>
      <c r="AL54" s="123" t="inlineStr">
        <is>
          <t>A+</t>
        </is>
      </c>
      <c r="AM54" s="123" t="inlineStr">
        <is>
          <t>B+</t>
        </is>
      </c>
      <c r="AN54" s="123">
        <f>IF(AI54="","",$AN$2)</f>
        <v/>
      </c>
      <c r="AO54" s="123">
        <f>IF(N54="","",IF(N54&gt;=$AO$1/100,"O","X"))</f>
        <v/>
      </c>
      <c r="AP54" s="123">
        <f>IF(I54="","",IF(I54&lt;=$AP$1,"O","X"))</f>
        <v/>
      </c>
      <c r="AQ54" s="123">
        <f>IF(O54="","",IF(O54&lt;=$AQ$1,"O","X"))</f>
        <v/>
      </c>
      <c r="AR54" s="123">
        <f>IF(M54="","",IF(M54&lt;=$AR$1,"O","X"))</f>
        <v/>
      </c>
      <c r="AS54" s="123" t="inlineStr">
        <is>
          <t>X</t>
        </is>
      </c>
      <c r="AT54" s="123">
        <f>IF(OR(F54="",AI54=""),"",IF(AND((F54&lt;=85),(AI54&gt;=15)),"O","X"))</f>
        <v/>
      </c>
      <c r="AU54" s="123">
        <f>IF(C54="","",IF(C54&gt;=$AU$1,"O","X"))</f>
        <v/>
      </c>
      <c r="AV54" s="123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5" t="n">
        <v>800</v>
      </c>
      <c r="D55" s="133" t="n">
        <v>54.8</v>
      </c>
      <c r="E55" s="134" t="n">
        <v>17</v>
      </c>
      <c r="F55" s="133" t="n">
        <v>54.8</v>
      </c>
      <c r="G55" s="17" t="n">
        <v>17</v>
      </c>
      <c r="H55" s="135" t="n">
        <v>100</v>
      </c>
      <c r="I55" s="136" t="n"/>
      <c r="J55" s="136" t="n"/>
      <c r="K55" s="136" t="n"/>
      <c r="L55" s="136" t="n"/>
      <c r="M55" s="137">
        <f>I55-K55</f>
        <v/>
      </c>
      <c r="N55" s="4">
        <f>IF(ISERROR(K55/I55),"",K55/I55)</f>
        <v/>
      </c>
      <c r="O55" s="138">
        <f>I55/E55</f>
        <v/>
      </c>
      <c r="P55" s="138">
        <f>K55/E55</f>
        <v/>
      </c>
      <c r="Q55" s="123" t="n">
        <v>2</v>
      </c>
      <c r="R55" s="123" t="n">
        <v>1</v>
      </c>
      <c r="S55" s="123" t="inlineStr">
        <is>
          <t>계</t>
        </is>
      </c>
      <c r="T55" s="5" t="n">
        <v>54</v>
      </c>
      <c r="U55" s="9" t="n"/>
      <c r="W55" s="133">
        <f>D55</f>
        <v/>
      </c>
      <c r="X55" s="134">
        <f>E55</f>
        <v/>
      </c>
      <c r="Y55" s="139">
        <f>H55</f>
        <v/>
      </c>
      <c r="Z55" s="137">
        <f>I55</f>
        <v/>
      </c>
      <c r="AA55" s="137">
        <f>K55</f>
        <v/>
      </c>
      <c r="AB55" s="137">
        <f>M55</f>
        <v/>
      </c>
      <c r="AC55" s="4">
        <f>N55</f>
        <v/>
      </c>
      <c r="AD55" s="138">
        <f>O55</f>
        <v/>
      </c>
      <c r="AE55" s="123">
        <f>S55</f>
        <v/>
      </c>
      <c r="AF55" s="123">
        <f>Q55&amp;"/"&amp;R55</f>
        <v/>
      </c>
      <c r="AH55" s="20">
        <f>IF(A55="","",A55)</f>
        <v/>
      </c>
      <c r="AI55" s="134">
        <f>IF(E55="","",E55)</f>
        <v/>
      </c>
      <c r="AJ55" s="123">
        <f>IF(AI55="","",$AJ$2)</f>
        <v/>
      </c>
      <c r="AK55" s="123" t="inlineStr">
        <is>
          <t>A</t>
        </is>
      </c>
      <c r="AL55" s="123" t="inlineStr">
        <is>
          <t>A+</t>
        </is>
      </c>
      <c r="AM55" s="123" t="inlineStr">
        <is>
          <t>B+</t>
        </is>
      </c>
      <c r="AN55" s="123">
        <f>IF(AI55="","",$AN$2)</f>
        <v/>
      </c>
      <c r="AO55" s="123">
        <f>IF(N55="","",IF(N55&gt;=$AO$1/100,"O","X"))</f>
        <v/>
      </c>
      <c r="AP55" s="123">
        <f>IF(I55="","",IF(I55&lt;=$AP$1,"O","X"))</f>
        <v/>
      </c>
      <c r="AQ55" s="123">
        <f>IF(O55="","",IF(O55&lt;=$AQ$1,"O","X"))</f>
        <v/>
      </c>
      <c r="AR55" s="123">
        <f>IF(M55="","",IF(M55&lt;=$AR$1,"O","X"))</f>
        <v/>
      </c>
      <c r="AS55" s="123" t="inlineStr">
        <is>
          <t>X</t>
        </is>
      </c>
      <c r="AT55" s="123">
        <f>IF(OR(F55="",AI55=""),"",IF(AND((F55&lt;=85),(AI55&gt;=15)),"O","X"))</f>
        <v/>
      </c>
      <c r="AU55" s="123">
        <f>IF(C55="","",IF(C55&gt;=$AU$1,"O","X"))</f>
        <v/>
      </c>
      <c r="AV55" s="123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5" t="n">
        <v>800</v>
      </c>
      <c r="D56" s="133" t="n">
        <v>54.4</v>
      </c>
      <c r="E56" s="134" t="n">
        <v>16</v>
      </c>
      <c r="F56" s="133" t="n">
        <v>54.4</v>
      </c>
      <c r="G56" s="17" t="n">
        <v>16</v>
      </c>
      <c r="H56" s="135" t="n">
        <v>43</v>
      </c>
      <c r="I56" s="136" t="n"/>
      <c r="J56" s="136" t="n"/>
      <c r="K56" s="136" t="n"/>
      <c r="L56" s="136" t="n"/>
      <c r="M56" s="137">
        <f>I56-K56</f>
        <v/>
      </c>
      <c r="N56" s="4">
        <f>IF(ISERROR(K56/I56),"",K56/I56)</f>
        <v/>
      </c>
      <c r="O56" s="138">
        <f>I56/E56</f>
        <v/>
      </c>
      <c r="P56" s="138">
        <f>K56/E56</f>
        <v/>
      </c>
      <c r="Q56" s="123" t="n">
        <v>3</v>
      </c>
      <c r="R56" s="123" t="n">
        <v>1</v>
      </c>
      <c r="S56" s="123" t="inlineStr">
        <is>
          <t>계</t>
        </is>
      </c>
      <c r="T56" s="5" t="inlineStr">
        <is>
          <t>54C</t>
        </is>
      </c>
      <c r="U56" s="9" t="n"/>
      <c r="W56" s="133">
        <f>D56</f>
        <v/>
      </c>
      <c r="X56" s="134">
        <f>E56</f>
        <v/>
      </c>
      <c r="Y56" s="139">
        <f>H56</f>
        <v/>
      </c>
      <c r="Z56" s="137">
        <f>I56</f>
        <v/>
      </c>
      <c r="AA56" s="137">
        <f>K56</f>
        <v/>
      </c>
      <c r="AB56" s="137">
        <f>M56</f>
        <v/>
      </c>
      <c r="AC56" s="4">
        <f>N56</f>
        <v/>
      </c>
      <c r="AD56" s="138">
        <f>O56</f>
        <v/>
      </c>
      <c r="AE56" s="123">
        <f>S56</f>
        <v/>
      </c>
      <c r="AF56" s="123">
        <f>Q56&amp;"/"&amp;R56</f>
        <v/>
      </c>
      <c r="AH56" s="20">
        <f>IF(A56="","",A56)</f>
        <v/>
      </c>
      <c r="AI56" s="134">
        <f>IF(E56="","",E56)</f>
        <v/>
      </c>
      <c r="AJ56" s="123">
        <f>IF(AI56="","",$AJ$2)</f>
        <v/>
      </c>
      <c r="AK56" s="123" t="inlineStr">
        <is>
          <t>A</t>
        </is>
      </c>
      <c r="AL56" s="123" t="inlineStr">
        <is>
          <t>A+</t>
        </is>
      </c>
      <c r="AM56" s="123" t="inlineStr">
        <is>
          <t>B+</t>
        </is>
      </c>
      <c r="AN56" s="123">
        <f>IF(AI56="","",$AN$2)</f>
        <v/>
      </c>
      <c r="AO56" s="123">
        <f>IF(N56="","",IF(N56&gt;=$AO$1/100,"O","X"))</f>
        <v/>
      </c>
      <c r="AP56" s="123">
        <f>IF(I56="","",IF(I56&lt;=$AP$1,"O","X"))</f>
        <v/>
      </c>
      <c r="AQ56" s="123">
        <f>IF(O56="","",IF(O56&lt;=$AQ$1,"O","X"))</f>
        <v/>
      </c>
      <c r="AR56" s="123">
        <f>IF(M56="","",IF(M56&lt;=$AR$1,"O","X"))</f>
        <v/>
      </c>
      <c r="AS56" s="123" t="inlineStr">
        <is>
          <t>X</t>
        </is>
      </c>
      <c r="AT56" s="123">
        <f>IF(OR(F56="",AI56=""),"",IF(AND((F56&lt;=85),(AI56&gt;=15)),"O","X"))</f>
        <v/>
      </c>
      <c r="AU56" s="123">
        <f>IF(C56="","",IF(C56&gt;=$AU$1,"O","X"))</f>
        <v/>
      </c>
      <c r="AV56" s="123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5" t="n">
        <v>800</v>
      </c>
      <c r="D57" s="133" t="n">
        <v>61.6</v>
      </c>
      <c r="E57" s="134" t="n">
        <v>19</v>
      </c>
      <c r="F57" s="133" t="n">
        <v>55.8</v>
      </c>
      <c r="G57" s="17" t="n">
        <v>17</v>
      </c>
      <c r="H57" s="135" t="n">
        <v>112</v>
      </c>
      <c r="I57" s="136" t="n"/>
      <c r="J57" s="136" t="n"/>
      <c r="K57" s="136" t="n"/>
      <c r="L57" s="136" t="n"/>
      <c r="M57" s="137">
        <f>I57-K57</f>
        <v/>
      </c>
      <c r="N57" s="4">
        <f>IF(ISERROR(K57/I57),"",K57/I57)</f>
        <v/>
      </c>
      <c r="O57" s="138">
        <f>I57/E57</f>
        <v/>
      </c>
      <c r="P57" s="138">
        <f>K57/E57</f>
        <v/>
      </c>
      <c r="Q57" s="123" t="n">
        <v>3</v>
      </c>
      <c r="R57" s="123" t="n">
        <v>1</v>
      </c>
      <c r="S57" s="123" t="inlineStr">
        <is>
          <t>계</t>
        </is>
      </c>
      <c r="T57" s="5" t="inlineStr">
        <is>
          <t>61A</t>
        </is>
      </c>
      <c r="U57" s="9" t="n"/>
      <c r="W57" s="133">
        <f>D57</f>
        <v/>
      </c>
      <c r="X57" s="134">
        <f>E57</f>
        <v/>
      </c>
      <c r="Y57" s="139">
        <f>H57</f>
        <v/>
      </c>
      <c r="Z57" s="137">
        <f>I57</f>
        <v/>
      </c>
      <c r="AA57" s="137">
        <f>K57</f>
        <v/>
      </c>
      <c r="AB57" s="137">
        <f>M57</f>
        <v/>
      </c>
      <c r="AC57" s="4">
        <f>N57</f>
        <v/>
      </c>
      <c r="AD57" s="138">
        <f>O57</f>
        <v/>
      </c>
      <c r="AE57" s="123">
        <f>S57</f>
        <v/>
      </c>
      <c r="AF57" s="123">
        <f>Q57&amp;"/"&amp;R57</f>
        <v/>
      </c>
      <c r="AH57" s="20">
        <f>IF(A57="","",A57)</f>
        <v/>
      </c>
      <c r="AI57" s="134">
        <f>IF(E57="","",E57)</f>
        <v/>
      </c>
      <c r="AJ57" s="123">
        <f>IF(AI57="","",$AJ$2)</f>
        <v/>
      </c>
      <c r="AK57" s="123" t="inlineStr">
        <is>
          <t>A</t>
        </is>
      </c>
      <c r="AL57" s="123" t="inlineStr">
        <is>
          <t>A+</t>
        </is>
      </c>
      <c r="AM57" s="123" t="inlineStr">
        <is>
          <t>B+</t>
        </is>
      </c>
      <c r="AN57" s="123">
        <f>IF(AI57="","",$AN$2)</f>
        <v/>
      </c>
      <c r="AO57" s="123">
        <f>IF(N57="","",IF(N57&gt;=$AO$1/100,"O","X"))</f>
        <v/>
      </c>
      <c r="AP57" s="123">
        <f>IF(I57="","",IF(I57&lt;=$AP$1,"O","X"))</f>
        <v/>
      </c>
      <c r="AQ57" s="123">
        <f>IF(O57="","",IF(O57&lt;=$AQ$1,"O","X"))</f>
        <v/>
      </c>
      <c r="AR57" s="123">
        <f>IF(M57="","",IF(M57&lt;=$AR$1,"O","X"))</f>
        <v/>
      </c>
      <c r="AS57" s="123" t="inlineStr">
        <is>
          <t>X</t>
        </is>
      </c>
      <c r="AT57" s="123">
        <f>IF(OR(F57="",AI57=""),"",IF(AND((F57&lt;=85),(AI57&gt;=15)),"O","X"))</f>
        <v/>
      </c>
      <c r="AU57" s="123">
        <f>IF(C57="","",IF(C57&gt;=$AU$1,"O","X"))</f>
        <v/>
      </c>
      <c r="AV57" s="123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5" t="n">
        <v>800</v>
      </c>
      <c r="D58" s="133" t="n">
        <v>61.6</v>
      </c>
      <c r="E58" s="134" t="n">
        <v>19</v>
      </c>
      <c r="F58" s="133" t="n">
        <v>61.6</v>
      </c>
      <c r="G58" s="17" t="n">
        <v>19</v>
      </c>
      <c r="H58" s="135" t="n">
        <v>1</v>
      </c>
      <c r="I58" s="136" t="n"/>
      <c r="J58" s="136" t="n"/>
      <c r="K58" s="136" t="n"/>
      <c r="L58" s="136" t="n"/>
      <c r="M58" s="137">
        <f>I58-K58</f>
        <v/>
      </c>
      <c r="N58" s="4">
        <f>IF(ISERROR(K58/I58),"",K58/I58)</f>
        <v/>
      </c>
      <c r="O58" s="138">
        <f>I58/E58</f>
        <v/>
      </c>
      <c r="P58" s="138">
        <f>K58/E58</f>
        <v/>
      </c>
      <c r="Q58" s="123" t="n">
        <v>3</v>
      </c>
      <c r="R58" s="123" t="n">
        <v>1</v>
      </c>
      <c r="S58" s="123" t="inlineStr">
        <is>
          <t>계</t>
        </is>
      </c>
      <c r="T58" s="5" t="inlineStr">
        <is>
          <t>61B</t>
        </is>
      </c>
      <c r="U58" s="9" t="n"/>
      <c r="W58" s="133">
        <f>D58</f>
        <v/>
      </c>
      <c r="X58" s="134">
        <f>E58</f>
        <v/>
      </c>
      <c r="Y58" s="139">
        <f>H58</f>
        <v/>
      </c>
      <c r="Z58" s="137">
        <f>I58</f>
        <v/>
      </c>
      <c r="AA58" s="137">
        <f>K58</f>
        <v/>
      </c>
      <c r="AB58" s="137">
        <f>M58</f>
        <v/>
      </c>
      <c r="AC58" s="4">
        <f>N58</f>
        <v/>
      </c>
      <c r="AD58" s="138">
        <f>O58</f>
        <v/>
      </c>
      <c r="AE58" s="123">
        <f>S58</f>
        <v/>
      </c>
      <c r="AF58" s="123">
        <f>Q58&amp;"/"&amp;R58</f>
        <v/>
      </c>
      <c r="AH58" s="20">
        <f>IF(A58="","",A58)</f>
        <v/>
      </c>
      <c r="AI58" s="134">
        <f>IF(E58="","",E58)</f>
        <v/>
      </c>
      <c r="AJ58" s="123">
        <f>IF(AI58="","",$AJ$2)</f>
        <v/>
      </c>
      <c r="AK58" s="123" t="inlineStr">
        <is>
          <t>A</t>
        </is>
      </c>
      <c r="AL58" s="123" t="inlineStr">
        <is>
          <t>A+</t>
        </is>
      </c>
      <c r="AM58" s="123" t="inlineStr">
        <is>
          <t>B+</t>
        </is>
      </c>
      <c r="AN58" s="123">
        <f>IF(AI58="","",$AN$2)</f>
        <v/>
      </c>
      <c r="AO58" s="123">
        <f>IF(N58="","",IF(N58&gt;=$AO$1/100,"O","X"))</f>
        <v/>
      </c>
      <c r="AP58" s="123">
        <f>IF(I58="","",IF(I58&lt;=$AP$1,"O","X"))</f>
        <v/>
      </c>
      <c r="AQ58" s="123">
        <f>IF(O58="","",IF(O58&lt;=$AQ$1,"O","X"))</f>
        <v/>
      </c>
      <c r="AR58" s="123">
        <f>IF(M58="","",IF(M58&lt;=$AR$1,"O","X"))</f>
        <v/>
      </c>
      <c r="AS58" s="123" t="inlineStr">
        <is>
          <t>X</t>
        </is>
      </c>
      <c r="AT58" s="123">
        <f>IF(OR(F58="",AI58=""),"",IF(AND((F58&lt;=85),(AI58&gt;=15)),"O","X"))</f>
        <v/>
      </c>
      <c r="AU58" s="123">
        <f>IF(C58="","",IF(C58&gt;=$AU$1,"O","X"))</f>
        <v/>
      </c>
      <c r="AV58" s="123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5" t="n">
        <v>800</v>
      </c>
      <c r="D59" s="133" t="n">
        <v>62.4</v>
      </c>
      <c r="E59" s="134" t="n">
        <v>19</v>
      </c>
      <c r="F59" s="133" t="n">
        <v>62.4</v>
      </c>
      <c r="G59" s="17" t="n">
        <v>19</v>
      </c>
      <c r="H59" s="135" t="n">
        <v>28</v>
      </c>
      <c r="I59" s="136" t="n"/>
      <c r="J59" s="136" t="n"/>
      <c r="K59" s="136" t="n"/>
      <c r="L59" s="136" t="n"/>
      <c r="M59" s="137">
        <f>I59-K59</f>
        <v/>
      </c>
      <c r="N59" s="4">
        <f>IF(ISERROR(K59/I59),"",K59/I59)</f>
        <v/>
      </c>
      <c r="O59" s="138">
        <f>I59/E59</f>
        <v/>
      </c>
      <c r="P59" s="138">
        <f>K59/E59</f>
        <v/>
      </c>
      <c r="Q59" s="123" t="n">
        <v>3</v>
      </c>
      <c r="R59" s="123" t="n">
        <v>1</v>
      </c>
      <c r="S59" s="123" t="inlineStr">
        <is>
          <t>계</t>
        </is>
      </c>
      <c r="T59" s="5" t="inlineStr">
        <is>
          <t>62C</t>
        </is>
      </c>
      <c r="U59" s="9" t="n"/>
      <c r="W59" s="133">
        <f>D59</f>
        <v/>
      </c>
      <c r="X59" s="134">
        <f>E59</f>
        <v/>
      </c>
      <c r="Y59" s="139">
        <f>H59</f>
        <v/>
      </c>
      <c r="Z59" s="137">
        <f>I59</f>
        <v/>
      </c>
      <c r="AA59" s="137">
        <f>K59</f>
        <v/>
      </c>
      <c r="AB59" s="137">
        <f>M59</f>
        <v/>
      </c>
      <c r="AC59" s="4">
        <f>N59</f>
        <v/>
      </c>
      <c r="AD59" s="138">
        <f>O59</f>
        <v/>
      </c>
      <c r="AE59" s="123">
        <f>S59</f>
        <v/>
      </c>
      <c r="AF59" s="123">
        <f>Q59&amp;"/"&amp;R59</f>
        <v/>
      </c>
      <c r="AH59" s="20">
        <f>IF(A59="","",A59)</f>
        <v/>
      </c>
      <c r="AI59" s="134">
        <f>IF(E59="","",E59)</f>
        <v/>
      </c>
      <c r="AJ59" s="123">
        <f>IF(AI59="","",$AJ$2)</f>
        <v/>
      </c>
      <c r="AK59" s="123" t="inlineStr">
        <is>
          <t>A</t>
        </is>
      </c>
      <c r="AL59" s="123" t="inlineStr">
        <is>
          <t>A+</t>
        </is>
      </c>
      <c r="AM59" s="123" t="inlineStr">
        <is>
          <t>B+</t>
        </is>
      </c>
      <c r="AN59" s="123">
        <f>IF(AI59="","",$AN$2)</f>
        <v/>
      </c>
      <c r="AO59" s="123">
        <f>IF(N59="","",IF(N59&gt;=$AO$1/100,"O","X"))</f>
        <v/>
      </c>
      <c r="AP59" s="123">
        <f>IF(I59="","",IF(I59&lt;=$AP$1,"O","X"))</f>
        <v/>
      </c>
      <c r="AQ59" s="123">
        <f>IF(O59="","",IF(O59&lt;=$AQ$1,"O","X"))</f>
        <v/>
      </c>
      <c r="AR59" s="123">
        <f>IF(M59="","",IF(M59&lt;=$AR$1,"O","X"))</f>
        <v/>
      </c>
      <c r="AS59" s="123" t="inlineStr">
        <is>
          <t>X</t>
        </is>
      </c>
      <c r="AT59" s="123">
        <f>IF(OR(F59="",AI59=""),"",IF(AND((F59&lt;=85),(AI59&gt;=15)),"O","X"))</f>
        <v/>
      </c>
      <c r="AU59" s="123">
        <f>IF(C59="","",IF(C59&gt;=$AU$1,"O","X"))</f>
        <v/>
      </c>
      <c r="AV59" s="123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5" t="n">
        <v>800</v>
      </c>
      <c r="D60" s="133" t="n">
        <v>66</v>
      </c>
      <c r="E60" s="134" t="n">
        <v>20</v>
      </c>
      <c r="F60" s="133" t="n">
        <v>66</v>
      </c>
      <c r="G60" s="17" t="n">
        <v>20</v>
      </c>
      <c r="H60" s="135" t="n">
        <v>125</v>
      </c>
      <c r="I60" s="136" t="n">
        <v>22000</v>
      </c>
      <c r="J60" s="136" t="inlineStr">
        <is>
          <t>고</t>
        </is>
      </c>
      <c r="K60" s="136" t="n"/>
      <c r="L60" s="136" t="n"/>
      <c r="M60" s="137">
        <f>I60-K60</f>
        <v/>
      </c>
      <c r="N60" s="4">
        <f>IF(ISERROR(K60/I60),"",K60/I60)</f>
        <v/>
      </c>
      <c r="O60" s="138">
        <f>I60/E60</f>
        <v/>
      </c>
      <c r="P60" s="138">
        <f>K60/E60</f>
        <v/>
      </c>
      <c r="Q60" s="123" t="n">
        <v>3</v>
      </c>
      <c r="R60" s="123" t="n">
        <v>1</v>
      </c>
      <c r="S60" s="123" t="inlineStr">
        <is>
          <t>계</t>
        </is>
      </c>
      <c r="T60" s="5" t="inlineStr">
        <is>
          <t>65B</t>
        </is>
      </c>
      <c r="U60" s="9" t="n"/>
      <c r="W60" s="133">
        <f>D60</f>
        <v/>
      </c>
      <c r="X60" s="134">
        <f>E60</f>
        <v/>
      </c>
      <c r="Y60" s="139">
        <f>H60</f>
        <v/>
      </c>
      <c r="Z60" s="137">
        <f>I60</f>
        <v/>
      </c>
      <c r="AA60" s="137">
        <f>K60</f>
        <v/>
      </c>
      <c r="AB60" s="137">
        <f>M60</f>
        <v/>
      </c>
      <c r="AC60" s="4">
        <f>N60</f>
        <v/>
      </c>
      <c r="AD60" s="138">
        <f>O60</f>
        <v/>
      </c>
      <c r="AE60" s="123">
        <f>S60</f>
        <v/>
      </c>
      <c r="AF60" s="123">
        <f>Q60&amp;"/"&amp;R60</f>
        <v/>
      </c>
      <c r="AH60" s="20">
        <f>IF(A60="","",A60)</f>
        <v/>
      </c>
      <c r="AI60" s="134">
        <f>IF(E60="","",E60)</f>
        <v/>
      </c>
      <c r="AJ60" s="123">
        <f>IF(AI60="","",$AJ$2)</f>
        <v/>
      </c>
      <c r="AK60" s="123" t="inlineStr">
        <is>
          <t>A</t>
        </is>
      </c>
      <c r="AL60" s="123" t="inlineStr">
        <is>
          <t>A+</t>
        </is>
      </c>
      <c r="AM60" s="123" t="inlineStr">
        <is>
          <t>B+</t>
        </is>
      </c>
      <c r="AN60" s="123">
        <f>IF(AI60="","",$AN$2)</f>
        <v/>
      </c>
      <c r="AO60" s="123">
        <f>IF(N60="","",IF(N60&gt;=$AO$1/100,"O","X"))</f>
        <v/>
      </c>
      <c r="AP60" s="123">
        <f>IF(I60="","",IF(I60&lt;=$AP$1,"O","X"))</f>
        <v/>
      </c>
      <c r="AQ60" s="123">
        <f>IF(O60="","",IF(O60&lt;=$AQ$1,"O","X"))</f>
        <v/>
      </c>
      <c r="AR60" s="123">
        <f>IF(M60="","",IF(M60&lt;=$AR$1,"O","X"))</f>
        <v/>
      </c>
      <c r="AS60" s="123" t="inlineStr">
        <is>
          <t>X</t>
        </is>
      </c>
      <c r="AT60" s="123">
        <f>IF(OR(F60="",AI60=""),"",IF(AND((F60&lt;=85),(AI60&gt;=15)),"O","X"))</f>
        <v/>
      </c>
      <c r="AU60" s="123">
        <f>IF(C60="","",IF(C60&gt;=$AU$1,"O","X"))</f>
        <v/>
      </c>
      <c r="AV60" s="123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5" t="n">
        <v>800</v>
      </c>
      <c r="D61" s="133" t="n">
        <v>65.2</v>
      </c>
      <c r="E61" s="134" t="n">
        <v>20</v>
      </c>
      <c r="F61" s="133" t="n">
        <v>65.2</v>
      </c>
      <c r="G61" s="17" t="n">
        <v>20</v>
      </c>
      <c r="H61" s="135" t="n">
        <v>115</v>
      </c>
      <c r="I61" s="136" t="n">
        <v>22000</v>
      </c>
      <c r="J61" s="136" t="inlineStr">
        <is>
          <t>5</t>
        </is>
      </c>
      <c r="K61" s="136" t="n"/>
      <c r="L61" s="136" t="n"/>
      <c r="M61" s="137">
        <f>I61-K61</f>
        <v/>
      </c>
      <c r="N61" s="4">
        <f>IF(ISERROR(K61/I61),"",K61/I61)</f>
        <v/>
      </c>
      <c r="O61" s="138">
        <f>I61/E61</f>
        <v/>
      </c>
      <c r="P61" s="138">
        <f>K61/E61</f>
        <v/>
      </c>
      <c r="Q61" s="123" t="n">
        <v>3</v>
      </c>
      <c r="R61" s="123" t="n">
        <v>1</v>
      </c>
      <c r="S61" s="123" t="inlineStr">
        <is>
          <t>계</t>
        </is>
      </c>
      <c r="T61" s="5" t="inlineStr">
        <is>
          <t>65A</t>
        </is>
      </c>
      <c r="U61" s="9" t="n"/>
      <c r="W61" s="133">
        <f>D61</f>
        <v/>
      </c>
      <c r="X61" s="134">
        <f>E61</f>
        <v/>
      </c>
      <c r="Y61" s="139">
        <f>H61</f>
        <v/>
      </c>
      <c r="Z61" s="137">
        <f>I61</f>
        <v/>
      </c>
      <c r="AA61" s="137">
        <f>K61</f>
        <v/>
      </c>
      <c r="AB61" s="137">
        <f>M61</f>
        <v/>
      </c>
      <c r="AC61" s="4">
        <f>N61</f>
        <v/>
      </c>
      <c r="AD61" s="138">
        <f>O61</f>
        <v/>
      </c>
      <c r="AE61" s="123">
        <f>S61</f>
        <v/>
      </c>
      <c r="AF61" s="123">
        <f>Q61&amp;"/"&amp;R61</f>
        <v/>
      </c>
      <c r="AH61" s="20">
        <f>IF(A61="","",A61)</f>
        <v/>
      </c>
      <c r="AI61" s="134">
        <f>IF(E61="","",E61)</f>
        <v/>
      </c>
      <c r="AJ61" s="123">
        <f>IF(AI61="","",$AJ$2)</f>
        <v/>
      </c>
      <c r="AK61" s="123" t="inlineStr">
        <is>
          <t>A</t>
        </is>
      </c>
      <c r="AL61" s="123" t="inlineStr">
        <is>
          <t>A+</t>
        </is>
      </c>
      <c r="AM61" s="123" t="inlineStr">
        <is>
          <t>B+</t>
        </is>
      </c>
      <c r="AN61" s="123">
        <f>IF(AI61="","",$AN$2)</f>
        <v/>
      </c>
      <c r="AO61" s="123">
        <f>IF(N61="","",IF(N61&gt;=$AO$1/100,"O","X"))</f>
        <v/>
      </c>
      <c r="AP61" s="123">
        <f>IF(I61="","",IF(I61&lt;=$AP$1,"O","X"))</f>
        <v/>
      </c>
      <c r="AQ61" s="123">
        <f>IF(O61="","",IF(O61&lt;=$AQ$1,"O","X"))</f>
        <v/>
      </c>
      <c r="AR61" s="123">
        <f>IF(M61="","",IF(M61&lt;=$AR$1,"O","X"))</f>
        <v/>
      </c>
      <c r="AS61" s="123" t="inlineStr">
        <is>
          <t>X</t>
        </is>
      </c>
      <c r="AT61" s="123">
        <f>IF(OR(F61="",AI61=""),"",IF(AND((F61&lt;=85),(AI61&gt;=15)),"O","X"))</f>
        <v/>
      </c>
      <c r="AU61" s="123">
        <f>IF(C61="","",IF(C61&gt;=$AU$1,"O","X"))</f>
        <v/>
      </c>
      <c r="AV61" s="123">
        <f>IF(AO61="","",IF(AND(AO61="O",AP61="O",AR61="O",AT61="O",AU61="O"),"후보","X"))</f>
        <v/>
      </c>
    </row>
    <row r="62">
      <c r="A62" s="9" t="n"/>
      <c r="B62" s="123" t="n"/>
      <c r="C62" s="6" t="n"/>
      <c r="D62" s="9" t="n"/>
      <c r="E62" s="14" t="n"/>
      <c r="F62" s="133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8" t="n"/>
      <c r="P62" s="138" t="n"/>
      <c r="Q62" s="134" t="n"/>
      <c r="R62" s="134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8">
        <f>IF(E62="","",E62)</f>
        <v/>
      </c>
      <c r="AJ62" s="123" t="n"/>
      <c r="AK62" s="123" t="n"/>
      <c r="AL62" s="123" t="n"/>
      <c r="AM62" s="123" t="n"/>
      <c r="AN62" s="123" t="n"/>
      <c r="AO62" s="123" t="n"/>
      <c r="AP62" s="123" t="n"/>
      <c r="AQ62" s="123" t="n"/>
      <c r="AR62" s="123" t="n"/>
      <c r="AS62" s="123" t="n"/>
      <c r="AT62" s="123" t="n"/>
      <c r="AU62" s="123" t="n"/>
      <c r="AV62" s="123" t="n"/>
    </row>
    <row r="63">
      <c r="A63" s="9" t="inlineStr">
        <is>
          <t>나운보람더하임</t>
        </is>
      </c>
      <c r="B63" s="10" t="inlineStr">
        <is>
          <t>'10.03.</t>
        </is>
      </c>
      <c r="C63" s="135" t="n">
        <v>437</v>
      </c>
      <c r="D63" s="133" t="n">
        <v>78</v>
      </c>
      <c r="E63" s="134" t="n">
        <v>24</v>
      </c>
      <c r="F63" s="133" t="n">
        <v>59.9</v>
      </c>
      <c r="G63" s="17" t="n">
        <v>18</v>
      </c>
      <c r="H63" s="135" t="n">
        <v>155</v>
      </c>
      <c r="I63" s="136" t="n">
        <v>14200</v>
      </c>
      <c r="J63" s="136" t="inlineStr">
        <is>
          <t>5</t>
        </is>
      </c>
      <c r="K63" s="136" t="n">
        <v>13000</v>
      </c>
      <c r="L63" s="136" t="inlineStr">
        <is>
          <t>10</t>
        </is>
      </c>
      <c r="M63" s="137">
        <f>I63-K63</f>
        <v/>
      </c>
      <c r="N63" s="4">
        <f>IF(ISERROR(K63/I63),"",K63/I63)</f>
        <v/>
      </c>
      <c r="O63" s="138">
        <f>I63/E63</f>
        <v/>
      </c>
      <c r="P63" s="138">
        <f>K63/E63</f>
        <v/>
      </c>
      <c r="Q63" s="123" t="n">
        <v>3</v>
      </c>
      <c r="R63" s="123" t="n">
        <v>2</v>
      </c>
      <c r="S63" s="123" t="inlineStr">
        <is>
          <t>계</t>
        </is>
      </c>
      <c r="T63" s="5" t="n">
        <v>77</v>
      </c>
      <c r="U63" s="9" t="n"/>
      <c r="W63" s="133">
        <f>D63</f>
        <v/>
      </c>
      <c r="X63" s="134">
        <f>E63</f>
        <v/>
      </c>
      <c r="Y63" s="139">
        <f>H63</f>
        <v/>
      </c>
      <c r="Z63" s="137">
        <f>I63</f>
        <v/>
      </c>
      <c r="AA63" s="137">
        <f>K63</f>
        <v/>
      </c>
      <c r="AB63" s="137">
        <f>M63</f>
        <v/>
      </c>
      <c r="AC63" s="4">
        <f>N63</f>
        <v/>
      </c>
      <c r="AD63" s="138">
        <f>O63</f>
        <v/>
      </c>
      <c r="AE63" s="123">
        <f>S63</f>
        <v/>
      </c>
      <c r="AF63" s="123">
        <f>Q63&amp;"/"&amp;R63</f>
        <v/>
      </c>
      <c r="AH63" s="20">
        <f>IF(A63="","",A63)</f>
        <v/>
      </c>
      <c r="AI63" s="134">
        <f>IF(E63="","",E63)</f>
        <v/>
      </c>
      <c r="AJ63" s="123">
        <f>IF(AI63="","",$AJ$2)</f>
        <v/>
      </c>
      <c r="AK63" s="123" t="inlineStr">
        <is>
          <t>A</t>
        </is>
      </c>
      <c r="AL63" s="123" t="inlineStr">
        <is>
          <t>A+</t>
        </is>
      </c>
      <c r="AM63" s="123" t="inlineStr">
        <is>
          <t>B+</t>
        </is>
      </c>
      <c r="AN63" s="123">
        <f>IF(AI63="","",$AN$2)</f>
        <v/>
      </c>
      <c r="AO63" s="123">
        <f>IF(N63="","",IF(N63&gt;=$AO$1/100,"O","X"))</f>
        <v/>
      </c>
      <c r="AP63" s="123">
        <f>IF(I63="","",IF(I63&lt;=$AP$1,"O","X"))</f>
        <v/>
      </c>
      <c r="AQ63" s="123">
        <f>IF(O63="","",IF(O63&lt;=$AQ$1,"O","X"))</f>
        <v/>
      </c>
      <c r="AR63" s="123">
        <f>IF(M63="","",IF(M63&lt;=$AR$1,"O","X"))</f>
        <v/>
      </c>
      <c r="AS63" s="123" t="inlineStr">
        <is>
          <t>X</t>
        </is>
      </c>
      <c r="AT63" s="123">
        <f>IF(OR(F63="",AI63=""),"",IF(AND((F63&lt;=85),(AI63&gt;=15)),"O","X"))</f>
        <v/>
      </c>
      <c r="AU63" s="123">
        <f>IF(C63="","",IF(C63&gt;=$AU$1,"O","X"))</f>
        <v/>
      </c>
      <c r="AV63" s="123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5" t="n">
        <v>437</v>
      </c>
      <c r="D64" s="133" t="n">
        <v>110.6</v>
      </c>
      <c r="E64" s="134" t="n">
        <v>33</v>
      </c>
      <c r="F64" s="133" t="n">
        <v>85</v>
      </c>
      <c r="G64" s="17" t="n">
        <v>26</v>
      </c>
      <c r="H64" s="135" t="n">
        <v>202</v>
      </c>
      <c r="I64" s="136" t="n"/>
      <c r="J64" s="136" t="n"/>
      <c r="K64" s="136" t="n"/>
      <c r="L64" s="136" t="n"/>
      <c r="M64" s="137">
        <f>I64-K64</f>
        <v/>
      </c>
      <c r="N64" s="4">
        <f>IF(ISERROR(K64/I64),"",K64/I64)</f>
        <v/>
      </c>
      <c r="O64" s="138">
        <f>I64/E64</f>
        <v/>
      </c>
      <c r="P64" s="138">
        <f>K64/E64</f>
        <v/>
      </c>
      <c r="Q64" s="123" t="n">
        <v>3</v>
      </c>
      <c r="R64" s="123" t="n">
        <v>2</v>
      </c>
      <c r="S64" s="123" t="inlineStr">
        <is>
          <t>계</t>
        </is>
      </c>
      <c r="T64" s="5" t="inlineStr">
        <is>
          <t>110A</t>
        </is>
      </c>
      <c r="U64" s="9" t="n"/>
      <c r="W64" s="133">
        <f>D64</f>
        <v/>
      </c>
      <c r="X64" s="134">
        <f>E64</f>
        <v/>
      </c>
      <c r="Y64" s="139">
        <f>H64</f>
        <v/>
      </c>
      <c r="Z64" s="137">
        <f>I64</f>
        <v/>
      </c>
      <c r="AA64" s="137">
        <f>K64</f>
        <v/>
      </c>
      <c r="AB64" s="137">
        <f>M64</f>
        <v/>
      </c>
      <c r="AC64" s="4">
        <f>N64</f>
        <v/>
      </c>
      <c r="AD64" s="138">
        <f>O64</f>
        <v/>
      </c>
      <c r="AE64" s="123">
        <f>S64</f>
        <v/>
      </c>
      <c r="AF64" s="123">
        <f>Q64&amp;"/"&amp;R64</f>
        <v/>
      </c>
      <c r="AH64" s="20">
        <f>IF(A64="","",A64)</f>
        <v/>
      </c>
      <c r="AI64" s="134">
        <f>IF(E64="","",E64)</f>
        <v/>
      </c>
      <c r="AJ64" s="123">
        <f>IF(AI64="","",$AJ$2)</f>
        <v/>
      </c>
      <c r="AK64" s="123" t="inlineStr">
        <is>
          <t>A</t>
        </is>
      </c>
      <c r="AL64" s="123" t="inlineStr">
        <is>
          <t>A+</t>
        </is>
      </c>
      <c r="AM64" s="123" t="inlineStr">
        <is>
          <t>B+</t>
        </is>
      </c>
      <c r="AN64" s="123">
        <f>IF(AI64="","",$AN$2)</f>
        <v/>
      </c>
      <c r="AO64" s="123">
        <f>IF(N64="","",IF(N64&gt;=$AO$1/100,"O","X"))</f>
        <v/>
      </c>
      <c r="AP64" s="123">
        <f>IF(I64="","",IF(I64&lt;=$AP$1,"O","X"))</f>
        <v/>
      </c>
      <c r="AQ64" s="123">
        <f>IF(O64="","",IF(O64&lt;=$AQ$1,"O","X"))</f>
        <v/>
      </c>
      <c r="AR64" s="123">
        <f>IF(M64="","",IF(M64&lt;=$AR$1,"O","X"))</f>
        <v/>
      </c>
      <c r="AS64" s="123" t="inlineStr">
        <is>
          <t>X</t>
        </is>
      </c>
      <c r="AT64" s="123">
        <f>IF(OR(F64="",AI64=""),"",IF(AND((F64&lt;=85),(AI64&gt;=15)),"O","X"))</f>
        <v/>
      </c>
      <c r="AU64" s="123">
        <f>IF(C64="","",IF(C64&gt;=$AU$1,"O","X"))</f>
        <v/>
      </c>
      <c r="AV64" s="123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5" t="n">
        <v>437</v>
      </c>
      <c r="D65" s="133" t="n">
        <v>110.7</v>
      </c>
      <c r="E65" s="134" t="n">
        <v>33</v>
      </c>
      <c r="F65" s="133" t="n">
        <v>84.90000000000001</v>
      </c>
      <c r="G65" s="17" t="n">
        <v>26</v>
      </c>
      <c r="H65" s="135" t="n">
        <v>14</v>
      </c>
      <c r="I65" s="136" t="n"/>
      <c r="J65" s="136" t="n"/>
      <c r="K65" s="136" t="n"/>
      <c r="L65" s="136" t="n"/>
      <c r="M65" s="137">
        <f>I65-K65</f>
        <v/>
      </c>
      <c r="N65" s="4">
        <f>IF(ISERROR(K65/I65),"",K65/I65)</f>
        <v/>
      </c>
      <c r="O65" s="138">
        <f>I65/E65</f>
        <v/>
      </c>
      <c r="P65" s="138">
        <f>K65/E65</f>
        <v/>
      </c>
      <c r="Q65" s="123" t="n">
        <v>3</v>
      </c>
      <c r="R65" s="123" t="n">
        <v>2</v>
      </c>
      <c r="S65" s="123" t="inlineStr">
        <is>
          <t>계</t>
        </is>
      </c>
      <c r="T65" s="5" t="inlineStr">
        <is>
          <t>110B</t>
        </is>
      </c>
      <c r="U65" s="9" t="n"/>
      <c r="W65" s="133">
        <f>D65</f>
        <v/>
      </c>
      <c r="X65" s="134">
        <f>E65</f>
        <v/>
      </c>
      <c r="Y65" s="139">
        <f>H65</f>
        <v/>
      </c>
      <c r="Z65" s="137">
        <f>I65</f>
        <v/>
      </c>
      <c r="AA65" s="137">
        <f>K65</f>
        <v/>
      </c>
      <c r="AB65" s="137">
        <f>M65</f>
        <v/>
      </c>
      <c r="AC65" s="4">
        <f>N65</f>
        <v/>
      </c>
      <c r="AD65" s="138">
        <f>O65</f>
        <v/>
      </c>
      <c r="AE65" s="123">
        <f>S65</f>
        <v/>
      </c>
      <c r="AF65" s="123">
        <f>Q65&amp;"/"&amp;R65</f>
        <v/>
      </c>
      <c r="AH65" s="20">
        <f>IF(A65="","",A65)</f>
        <v/>
      </c>
      <c r="AI65" s="134">
        <f>IF(E65="","",E65)</f>
        <v/>
      </c>
      <c r="AJ65" s="123">
        <f>IF(AI65="","",$AJ$2)</f>
        <v/>
      </c>
      <c r="AK65" s="123" t="inlineStr">
        <is>
          <t>A</t>
        </is>
      </c>
      <c r="AL65" s="123" t="inlineStr">
        <is>
          <t>A+</t>
        </is>
      </c>
      <c r="AM65" s="123" t="inlineStr">
        <is>
          <t>B+</t>
        </is>
      </c>
      <c r="AN65" s="123">
        <f>IF(AI65="","",$AN$2)</f>
        <v/>
      </c>
      <c r="AO65" s="123">
        <f>IF(N65="","",IF(N65&gt;=$AO$1/100,"O","X"))</f>
        <v/>
      </c>
      <c r="AP65" s="123">
        <f>IF(I65="","",IF(I65&lt;=$AP$1,"O","X"))</f>
        <v/>
      </c>
      <c r="AQ65" s="123">
        <f>IF(O65="","",IF(O65&lt;=$AQ$1,"O","X"))</f>
        <v/>
      </c>
      <c r="AR65" s="123">
        <f>IF(M65="","",IF(M65&lt;=$AR$1,"O","X"))</f>
        <v/>
      </c>
      <c r="AS65" s="123" t="inlineStr">
        <is>
          <t>X</t>
        </is>
      </c>
      <c r="AT65" s="123">
        <f>IF(OR(F65="",AI65=""),"",IF(AND((F65&lt;=85),(AI65&gt;=15)),"O","X"))</f>
        <v/>
      </c>
      <c r="AU65" s="123">
        <f>IF(C65="","",IF(C65&gt;=$AU$1,"O","X"))</f>
        <v/>
      </c>
      <c r="AV65" s="123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5" t="n">
        <v>437</v>
      </c>
      <c r="D66" s="133" t="n">
        <v>110.5</v>
      </c>
      <c r="E66" s="134" t="n">
        <v>33</v>
      </c>
      <c r="F66" s="133" t="n">
        <v>84.5</v>
      </c>
      <c r="G66" s="17" t="n">
        <v>26</v>
      </c>
      <c r="H66" s="135" t="n">
        <v>12</v>
      </c>
      <c r="I66" s="136" t="n"/>
      <c r="J66" s="136" t="n"/>
      <c r="K66" s="136" t="n"/>
      <c r="L66" s="136" t="n"/>
      <c r="M66" s="137">
        <f>I66-K66</f>
        <v/>
      </c>
      <c r="N66" s="4">
        <f>IF(ISERROR(K66/I66),"",K66/I66)</f>
        <v/>
      </c>
      <c r="O66" s="138">
        <f>I66/E66</f>
        <v/>
      </c>
      <c r="P66" s="138">
        <f>K66/E66</f>
        <v/>
      </c>
      <c r="Q66" s="123" t="n">
        <v>3</v>
      </c>
      <c r="R66" s="123" t="n">
        <v>2</v>
      </c>
      <c r="S66" s="123" t="inlineStr">
        <is>
          <t>계</t>
        </is>
      </c>
      <c r="T66" s="5" t="inlineStr">
        <is>
          <t>110C</t>
        </is>
      </c>
      <c r="U66" s="9" t="n"/>
      <c r="W66" s="133">
        <f>D66</f>
        <v/>
      </c>
      <c r="X66" s="134">
        <f>E66</f>
        <v/>
      </c>
      <c r="Y66" s="139">
        <f>H66</f>
        <v/>
      </c>
      <c r="Z66" s="137">
        <f>I66</f>
        <v/>
      </c>
      <c r="AA66" s="137">
        <f>K66</f>
        <v/>
      </c>
      <c r="AB66" s="137">
        <f>M66</f>
        <v/>
      </c>
      <c r="AC66" s="4">
        <f>N66</f>
        <v/>
      </c>
      <c r="AD66" s="138">
        <f>O66</f>
        <v/>
      </c>
      <c r="AE66" s="123">
        <f>S66</f>
        <v/>
      </c>
      <c r="AF66" s="123">
        <f>Q66&amp;"/"&amp;R66</f>
        <v/>
      </c>
      <c r="AH66" s="20">
        <f>IF(A66="","",A66)</f>
        <v/>
      </c>
      <c r="AI66" s="134">
        <f>IF(E66="","",E66)</f>
        <v/>
      </c>
      <c r="AJ66" s="123">
        <f>IF(AI66="","",$AJ$2)</f>
        <v/>
      </c>
      <c r="AK66" s="123" t="inlineStr">
        <is>
          <t>A</t>
        </is>
      </c>
      <c r="AL66" s="123" t="inlineStr">
        <is>
          <t>A+</t>
        </is>
      </c>
      <c r="AM66" s="123" t="inlineStr">
        <is>
          <t>B+</t>
        </is>
      </c>
      <c r="AN66" s="123">
        <f>IF(AI66="","",$AN$2)</f>
        <v/>
      </c>
      <c r="AO66" s="123">
        <f>IF(N66="","",IF(N66&gt;=$AO$1/100,"O","X"))</f>
        <v/>
      </c>
      <c r="AP66" s="123">
        <f>IF(I66="","",IF(I66&lt;=$AP$1,"O","X"))</f>
        <v/>
      </c>
      <c r="AQ66" s="123">
        <f>IF(O66="","",IF(O66&lt;=$AQ$1,"O","X"))</f>
        <v/>
      </c>
      <c r="AR66" s="123">
        <f>IF(M66="","",IF(M66&lt;=$AR$1,"O","X"))</f>
        <v/>
      </c>
      <c r="AS66" s="123" t="inlineStr">
        <is>
          <t>X</t>
        </is>
      </c>
      <c r="AT66" s="123">
        <f>IF(OR(F66="",AI66=""),"",IF(AND((F66&lt;=85),(AI66&gt;=15)),"O","X"))</f>
        <v/>
      </c>
      <c r="AU66" s="123">
        <f>IF(C66="","",IF(C66&gt;=$AU$1,"O","X"))</f>
        <v/>
      </c>
      <c r="AV66" s="123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5" t="n">
        <v>437</v>
      </c>
      <c r="D67" s="133" t="n">
        <v>152.7</v>
      </c>
      <c r="E67" s="134" t="n">
        <v>46</v>
      </c>
      <c r="F67" s="133" t="n">
        <v>118.6</v>
      </c>
      <c r="G67" s="17" t="n">
        <v>36</v>
      </c>
      <c r="H67" s="135" t="n">
        <v>54</v>
      </c>
      <c r="I67" s="136" t="n">
        <v>29500</v>
      </c>
      <c r="J67" s="136" t="inlineStr">
        <is>
          <t>5</t>
        </is>
      </c>
      <c r="K67" s="136" t="n"/>
      <c r="L67" s="136" t="n"/>
      <c r="M67" s="137">
        <f>I67-K67</f>
        <v/>
      </c>
      <c r="N67" s="4">
        <f>IF(ISERROR(K67/I67),"",K67/I67)</f>
        <v/>
      </c>
      <c r="O67" s="138">
        <f>I67/E67</f>
        <v/>
      </c>
      <c r="P67" s="138">
        <f>K67/E67</f>
        <v/>
      </c>
      <c r="Q67" s="123" t="n">
        <v>4</v>
      </c>
      <c r="R67" s="123" t="n">
        <v>2</v>
      </c>
      <c r="S67" s="123" t="inlineStr">
        <is>
          <t>계</t>
        </is>
      </c>
      <c r="T67" s="5" t="n">
        <v>152</v>
      </c>
      <c r="U67" s="9" t="n"/>
      <c r="W67" s="133">
        <f>D67</f>
        <v/>
      </c>
      <c r="X67" s="134">
        <f>E67</f>
        <v/>
      </c>
      <c r="Y67" s="139">
        <f>H67</f>
        <v/>
      </c>
      <c r="Z67" s="137">
        <f>I67</f>
        <v/>
      </c>
      <c r="AA67" s="137">
        <f>K67</f>
        <v/>
      </c>
      <c r="AB67" s="137">
        <f>M67</f>
        <v/>
      </c>
      <c r="AC67" s="4">
        <f>N67</f>
        <v/>
      </c>
      <c r="AD67" s="138">
        <f>O67</f>
        <v/>
      </c>
      <c r="AE67" s="123">
        <f>S67</f>
        <v/>
      </c>
      <c r="AF67" s="123">
        <f>Q67&amp;"/"&amp;R67</f>
        <v/>
      </c>
      <c r="AH67" s="20">
        <f>IF(A67="","",A67)</f>
        <v/>
      </c>
      <c r="AI67" s="134">
        <f>IF(E67="","",E67)</f>
        <v/>
      </c>
      <c r="AJ67" s="123">
        <f>IF(AI67="","",$AJ$2)</f>
        <v/>
      </c>
      <c r="AK67" s="123" t="inlineStr">
        <is>
          <t>A</t>
        </is>
      </c>
      <c r="AL67" s="123" t="inlineStr">
        <is>
          <t>A+</t>
        </is>
      </c>
      <c r="AM67" s="123" t="inlineStr">
        <is>
          <t>B+</t>
        </is>
      </c>
      <c r="AN67" s="123">
        <f>IF(AI67="","",$AN$2)</f>
        <v/>
      </c>
      <c r="AO67" s="123">
        <f>IF(N67="","",IF(N67&gt;=$AO$1/100,"O","X"))</f>
        <v/>
      </c>
      <c r="AP67" s="123">
        <f>IF(I67="","",IF(I67&lt;=$AP$1,"O","X"))</f>
        <v/>
      </c>
      <c r="AQ67" s="123">
        <f>IF(O67="","",IF(O67&lt;=$AQ$1,"O","X"))</f>
        <v/>
      </c>
      <c r="AR67" s="123">
        <f>IF(M67="","",IF(M67&lt;=$AR$1,"O","X"))</f>
        <v/>
      </c>
      <c r="AS67" s="123" t="inlineStr">
        <is>
          <t>X</t>
        </is>
      </c>
      <c r="AT67" s="123">
        <f>IF(OR(F67="",AI67=""),"",IF(AND((F67&lt;=85),(AI67&gt;=15)),"O","X"))</f>
        <v/>
      </c>
      <c r="AU67" s="123">
        <f>IF(C67="","",IF(C67&gt;=$AU$1,"O","X"))</f>
        <v/>
      </c>
      <c r="AV67" s="123">
        <f>IF(AO67="","",IF(AND(AO67="O",AP67="O",AR67="O",AT67="O",AU67="O"),"후보","X"))</f>
        <v/>
      </c>
    </row>
    <row r="68">
      <c r="A68" s="9" t="n"/>
      <c r="B68" s="123" t="n"/>
      <c r="C68" s="6" t="n"/>
      <c r="D68" s="9" t="n"/>
      <c r="E68" s="14" t="n"/>
      <c r="F68" s="133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8" t="n"/>
      <c r="P68" s="138" t="n"/>
      <c r="Q68" s="134" t="n"/>
      <c r="R68" s="134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8">
        <f>IF(E68="","",E68)</f>
        <v/>
      </c>
      <c r="AJ68" s="123" t="n"/>
      <c r="AK68" s="123" t="n"/>
      <c r="AL68" s="123" t="n"/>
      <c r="AM68" s="123" t="n"/>
      <c r="AN68" s="123" t="n"/>
      <c r="AO68" s="123" t="n"/>
      <c r="AP68" s="123" t="n"/>
      <c r="AQ68" s="123" t="n"/>
      <c r="AR68" s="123" t="n"/>
      <c r="AS68" s="123" t="n"/>
      <c r="AT68" s="123" t="n"/>
      <c r="AU68" s="123" t="n"/>
      <c r="AV68" s="123" t="n"/>
    </row>
    <row r="69">
      <c r="A69" s="9" t="inlineStr">
        <is>
          <t>동신</t>
        </is>
      </c>
      <c r="B69" s="10" t="inlineStr">
        <is>
          <t>'97.12.</t>
        </is>
      </c>
      <c r="C69" s="135" t="n">
        <v>420</v>
      </c>
      <c r="D69" s="133" t="n">
        <v>112.4</v>
      </c>
      <c r="E69" s="134" t="n">
        <v>34</v>
      </c>
      <c r="F69" s="133" t="n">
        <v>92.3</v>
      </c>
      <c r="G69" s="17" t="n">
        <v>28</v>
      </c>
      <c r="H69" s="135" t="n">
        <v>270</v>
      </c>
      <c r="I69" s="136" t="n">
        <v>18000</v>
      </c>
      <c r="J69" s="136" t="inlineStr">
        <is>
          <t>15</t>
        </is>
      </c>
      <c r="K69" s="136" t="n"/>
      <c r="L69" s="136" t="n"/>
      <c r="M69" s="137">
        <f>I69-K69</f>
        <v/>
      </c>
      <c r="N69" s="4">
        <f>IF(ISERROR(K69/I69),"",K69/I69)</f>
        <v/>
      </c>
      <c r="O69" s="138">
        <f>I69/E69</f>
        <v/>
      </c>
      <c r="P69" s="138">
        <f>K69/E69</f>
        <v/>
      </c>
      <c r="Q69" s="123" t="n">
        <v>3</v>
      </c>
      <c r="R69" s="123" t="n">
        <v>2</v>
      </c>
      <c r="S69" s="123" t="inlineStr">
        <is>
          <t>계</t>
        </is>
      </c>
      <c r="T69" s="5" t="n">
        <v>112</v>
      </c>
      <c r="U69" s="9" t="n"/>
      <c r="W69" s="133">
        <f>D69</f>
        <v/>
      </c>
      <c r="X69" s="134">
        <f>E69</f>
        <v/>
      </c>
      <c r="Y69" s="139">
        <f>H69</f>
        <v/>
      </c>
      <c r="Z69" s="137">
        <f>I69</f>
        <v/>
      </c>
      <c r="AA69" s="137">
        <f>K69</f>
        <v/>
      </c>
      <c r="AB69" s="137">
        <f>M69</f>
        <v/>
      </c>
      <c r="AC69" s="4">
        <f>N69</f>
        <v/>
      </c>
      <c r="AD69" s="138">
        <f>O69</f>
        <v/>
      </c>
      <c r="AE69" s="123">
        <f>S69</f>
        <v/>
      </c>
      <c r="AF69" s="123">
        <f>Q69&amp;"/"&amp;R69</f>
        <v/>
      </c>
      <c r="AH69" s="20">
        <f>IF(A69="","",A69)</f>
        <v/>
      </c>
      <c r="AI69" s="134">
        <f>IF(E69="","",E69)</f>
        <v/>
      </c>
      <c r="AJ69" s="123">
        <f>IF(AI69="","",$AJ$2)</f>
        <v/>
      </c>
      <c r="AK69" s="123" t="inlineStr">
        <is>
          <t>A</t>
        </is>
      </c>
      <c r="AL69" s="123" t="inlineStr">
        <is>
          <t>A+</t>
        </is>
      </c>
      <c r="AM69" s="123" t="inlineStr">
        <is>
          <t>B+</t>
        </is>
      </c>
      <c r="AN69" s="123">
        <f>IF(AI69="","",$AN$2)</f>
        <v/>
      </c>
      <c r="AO69" s="123">
        <f>IF(N69="","",IF(N69&gt;=$AO$1/100,"O","X"))</f>
        <v/>
      </c>
      <c r="AP69" s="123">
        <f>IF(I69="","",IF(I69&lt;=$AP$1,"O","X"))</f>
        <v/>
      </c>
      <c r="AQ69" s="123">
        <f>IF(O69="","",IF(O69&lt;=$AQ$1,"O","X"))</f>
        <v/>
      </c>
      <c r="AR69" s="123">
        <f>IF(M69="","",IF(M69&lt;=$AR$1,"O","X"))</f>
        <v/>
      </c>
      <c r="AS69" s="123" t="inlineStr">
        <is>
          <t>X</t>
        </is>
      </c>
      <c r="AT69" s="123">
        <f>IF(OR(F69="",AI69=""),"",IF(AND((F69&lt;=85),(AI69&gt;=15)),"O","X"))</f>
        <v/>
      </c>
      <c r="AU69" s="123">
        <f>IF(C69="","",IF(C69&gt;=$AU$1,"O","X"))</f>
        <v/>
      </c>
      <c r="AV69" s="123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5" t="n">
        <v>420</v>
      </c>
      <c r="D70" s="133" t="n">
        <v>136.5</v>
      </c>
      <c r="E70" s="134" t="n">
        <v>41</v>
      </c>
      <c r="F70" s="133" t="n">
        <v>114.6</v>
      </c>
      <c r="G70" s="17" t="n">
        <v>35</v>
      </c>
      <c r="H70" s="135" t="n">
        <v>150</v>
      </c>
      <c r="I70" s="136" t="n"/>
      <c r="J70" s="136" t="n"/>
      <c r="K70" s="136" t="n"/>
      <c r="L70" s="136" t="n"/>
      <c r="M70" s="137">
        <f>I70-K70</f>
        <v/>
      </c>
      <c r="N70" s="4">
        <f>IF(ISERROR(K70/I70),"",K70/I70)</f>
        <v/>
      </c>
      <c r="O70" s="138">
        <f>I70/E70</f>
        <v/>
      </c>
      <c r="P70" s="138">
        <f>K70/E70</f>
        <v/>
      </c>
      <c r="Q70" s="123" t="n">
        <v>4</v>
      </c>
      <c r="R70" s="123" t="n">
        <v>2</v>
      </c>
      <c r="S70" s="123" t="inlineStr">
        <is>
          <t>계</t>
        </is>
      </c>
      <c r="T70" s="5" t="n">
        <v>136</v>
      </c>
      <c r="U70" s="9" t="n"/>
      <c r="W70" s="133">
        <f>D70</f>
        <v/>
      </c>
      <c r="X70" s="134">
        <f>E70</f>
        <v/>
      </c>
      <c r="Y70" s="139">
        <f>H70</f>
        <v/>
      </c>
      <c r="Z70" s="137">
        <f>I70</f>
        <v/>
      </c>
      <c r="AA70" s="137">
        <f>K70</f>
        <v/>
      </c>
      <c r="AB70" s="137">
        <f>M70</f>
        <v/>
      </c>
      <c r="AC70" s="4">
        <f>N70</f>
        <v/>
      </c>
      <c r="AD70" s="138">
        <f>O70</f>
        <v/>
      </c>
      <c r="AE70" s="123">
        <f>S70</f>
        <v/>
      </c>
      <c r="AF70" s="123">
        <f>Q70&amp;"/"&amp;R70</f>
        <v/>
      </c>
      <c r="AH70" s="20">
        <f>IF(A70="","",A70)</f>
        <v/>
      </c>
      <c r="AI70" s="134">
        <f>IF(E70="","",E70)</f>
        <v/>
      </c>
      <c r="AJ70" s="123">
        <f>IF(AI70="","",$AJ$2)</f>
        <v/>
      </c>
      <c r="AK70" s="123" t="inlineStr">
        <is>
          <t>A</t>
        </is>
      </c>
      <c r="AL70" s="123" t="inlineStr">
        <is>
          <t>A+</t>
        </is>
      </c>
      <c r="AM70" s="123" t="inlineStr">
        <is>
          <t>B+</t>
        </is>
      </c>
      <c r="AN70" s="123">
        <f>IF(AI70="","",$AN$2)</f>
        <v/>
      </c>
      <c r="AO70" s="123">
        <f>IF(N70="","",IF(N70&gt;=$AO$1/100,"O","X"))</f>
        <v/>
      </c>
      <c r="AP70" s="123">
        <f>IF(I70="","",IF(I70&lt;=$AP$1,"O","X"))</f>
        <v/>
      </c>
      <c r="AQ70" s="123">
        <f>IF(O70="","",IF(O70&lt;=$AQ$1,"O","X"))</f>
        <v/>
      </c>
      <c r="AR70" s="123">
        <f>IF(M70="","",IF(M70&lt;=$AR$1,"O","X"))</f>
        <v/>
      </c>
      <c r="AS70" s="123" t="inlineStr">
        <is>
          <t>X</t>
        </is>
      </c>
      <c r="AT70" s="123">
        <f>IF(OR(F70="",AI70=""),"",IF(AND((F70&lt;=85),(AI70&gt;=15)),"O","X"))</f>
        <v/>
      </c>
      <c r="AU70" s="123">
        <f>IF(C70="","",IF(C70&gt;=$AU$1,"O","X"))</f>
        <v/>
      </c>
      <c r="AV70" s="123">
        <f>IF(AO70="","",IF(AND(AO70="O",AP70="O",AR70="O",AT70="O",AU70="O"),"후보","X"))</f>
        <v/>
      </c>
    </row>
    <row r="71">
      <c r="A71" s="9" t="n"/>
      <c r="B71" s="123" t="n"/>
      <c r="C71" s="6" t="n"/>
      <c r="D71" s="9" t="n"/>
      <c r="E71" s="14" t="n"/>
      <c r="F71" s="133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8" t="n"/>
      <c r="P71" s="138" t="n"/>
      <c r="Q71" s="134" t="n"/>
      <c r="R71" s="134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8">
        <f>IF(E71="","",E71)</f>
        <v/>
      </c>
      <c r="AJ71" s="123" t="n"/>
      <c r="AK71" s="123" t="n"/>
      <c r="AL71" s="123" t="n"/>
      <c r="AM71" s="123" t="n"/>
      <c r="AN71" s="123" t="n"/>
      <c r="AO71" s="123" t="n"/>
      <c r="AP71" s="123" t="n"/>
      <c r="AQ71" s="123" t="n"/>
      <c r="AR71" s="123" t="n"/>
      <c r="AS71" s="123" t="n"/>
      <c r="AT71" s="123" t="n"/>
      <c r="AU71" s="123" t="n"/>
      <c r="AV71" s="123" t="n"/>
    </row>
    <row r="72">
      <c r="A72" s="9" t="inlineStr">
        <is>
          <t>대우</t>
        </is>
      </c>
      <c r="B72" s="10" t="inlineStr">
        <is>
          <t>'97.02.</t>
        </is>
      </c>
      <c r="C72" s="135" t="n">
        <v>260</v>
      </c>
      <c r="D72" s="133" t="n">
        <v>105.3</v>
      </c>
      <c r="E72" s="134" t="n">
        <v>32</v>
      </c>
      <c r="F72" s="133" t="n">
        <v>85</v>
      </c>
      <c r="G72" s="17" t="n">
        <v>26</v>
      </c>
      <c r="H72" s="135" t="n">
        <v>230</v>
      </c>
      <c r="I72" s="136" t="n"/>
      <c r="J72" s="136" t="n"/>
      <c r="K72" s="136" t="n"/>
      <c r="L72" s="136" t="n"/>
      <c r="M72" s="137">
        <f>I72-K72</f>
        <v/>
      </c>
      <c r="N72" s="4">
        <f>IF(ISERROR(K72/I72),"",K72/I72)</f>
        <v/>
      </c>
      <c r="O72" s="138">
        <f>I72/E72</f>
        <v/>
      </c>
      <c r="P72" s="138">
        <f>K72/E72</f>
        <v/>
      </c>
      <c r="Q72" s="123" t="n">
        <v>3</v>
      </c>
      <c r="R72" s="123" t="n">
        <v>2</v>
      </c>
      <c r="S72" s="123" t="inlineStr">
        <is>
          <t>계</t>
        </is>
      </c>
      <c r="T72" s="5" t="n">
        <v>105</v>
      </c>
      <c r="U72" s="9" t="n"/>
      <c r="W72" s="133">
        <f>D72</f>
        <v/>
      </c>
      <c r="X72" s="134">
        <f>E72</f>
        <v/>
      </c>
      <c r="Y72" s="139">
        <f>H72</f>
        <v/>
      </c>
      <c r="Z72" s="137">
        <f>I72</f>
        <v/>
      </c>
      <c r="AA72" s="137">
        <f>K72</f>
        <v/>
      </c>
      <c r="AB72" s="137">
        <f>M72</f>
        <v/>
      </c>
      <c r="AC72" s="4">
        <f>N72</f>
        <v/>
      </c>
      <c r="AD72" s="138">
        <f>O72</f>
        <v/>
      </c>
      <c r="AE72" s="123">
        <f>S72</f>
        <v/>
      </c>
      <c r="AF72" s="123">
        <f>Q72&amp;"/"&amp;R72</f>
        <v/>
      </c>
      <c r="AH72" s="20">
        <f>IF(A72="","",A72)</f>
        <v/>
      </c>
      <c r="AI72" s="134">
        <f>IF(E72="","",E72)</f>
        <v/>
      </c>
      <c r="AJ72" s="123">
        <f>IF(AI72="","",$AJ$2)</f>
        <v/>
      </c>
      <c r="AK72" s="123" t="inlineStr">
        <is>
          <t>A</t>
        </is>
      </c>
      <c r="AL72" s="123" t="inlineStr">
        <is>
          <t>A+</t>
        </is>
      </c>
      <c r="AM72" s="123" t="inlineStr">
        <is>
          <t>B+</t>
        </is>
      </c>
      <c r="AN72" s="123">
        <f>IF(AI72="","",$AN$2)</f>
        <v/>
      </c>
      <c r="AO72" s="123">
        <f>IF(N72="","",IF(N72&gt;=$AO$1/100,"O","X"))</f>
        <v/>
      </c>
      <c r="AP72" s="123">
        <f>IF(I72="","",IF(I72&lt;=$AP$1,"O","X"))</f>
        <v/>
      </c>
      <c r="AQ72" s="123">
        <f>IF(O72="","",IF(O72&lt;=$AQ$1,"O","X"))</f>
        <v/>
      </c>
      <c r="AR72" s="123">
        <f>IF(M72="","",IF(M72&lt;=$AR$1,"O","X"))</f>
        <v/>
      </c>
      <c r="AS72" s="123" t="inlineStr">
        <is>
          <t>X</t>
        </is>
      </c>
      <c r="AT72" s="123">
        <f>IF(OR(F72="",AI72=""),"",IF(AND((F72&lt;=85),(AI72&gt;=15)),"O","X"))</f>
        <v/>
      </c>
      <c r="AU72" s="123">
        <f>IF(C72="","",IF(C72&gt;=$AU$1,"O","X"))</f>
        <v/>
      </c>
      <c r="AV72" s="123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5" t="n">
        <v>260</v>
      </c>
      <c r="D73" s="133" t="n">
        <v>225.8</v>
      </c>
      <c r="E73" s="134" t="n">
        <v>68</v>
      </c>
      <c r="F73" s="133" t="n">
        <v>187.1</v>
      </c>
      <c r="G73" s="17" t="n">
        <v>57</v>
      </c>
      <c r="H73" s="135" t="n">
        <v>30</v>
      </c>
      <c r="I73" s="136" t="n"/>
      <c r="J73" s="136" t="n"/>
      <c r="K73" s="136" t="n"/>
      <c r="L73" s="136" t="n"/>
      <c r="M73" s="137">
        <f>I73-K73</f>
        <v/>
      </c>
      <c r="N73" s="4">
        <f>IF(ISERROR(K73/I73),"",K73/I73)</f>
        <v/>
      </c>
      <c r="O73" s="138">
        <f>I73/E73</f>
        <v/>
      </c>
      <c r="P73" s="138">
        <f>K73/E73</f>
        <v/>
      </c>
      <c r="Q73" s="123" t="n">
        <v>5</v>
      </c>
      <c r="R73" s="123" t="n">
        <v>2</v>
      </c>
      <c r="S73" s="123" t="inlineStr">
        <is>
          <t>계</t>
        </is>
      </c>
      <c r="T73" s="5" t="n">
        <v>225</v>
      </c>
      <c r="U73" s="9" t="n"/>
      <c r="W73" s="133">
        <f>D73</f>
        <v/>
      </c>
      <c r="X73" s="134">
        <f>E73</f>
        <v/>
      </c>
      <c r="Y73" s="139">
        <f>H73</f>
        <v/>
      </c>
      <c r="Z73" s="137">
        <f>I73</f>
        <v/>
      </c>
      <c r="AA73" s="137">
        <f>K73</f>
        <v/>
      </c>
      <c r="AB73" s="137">
        <f>M73</f>
        <v/>
      </c>
      <c r="AC73" s="4">
        <f>N73</f>
        <v/>
      </c>
      <c r="AD73" s="138">
        <f>O73</f>
        <v/>
      </c>
      <c r="AE73" s="123">
        <f>S73</f>
        <v/>
      </c>
      <c r="AF73" s="123">
        <f>Q73&amp;"/"&amp;R73</f>
        <v/>
      </c>
      <c r="AH73" s="20">
        <f>IF(A73="","",A73)</f>
        <v/>
      </c>
      <c r="AI73" s="134">
        <f>IF(E73="","",E73)</f>
        <v/>
      </c>
      <c r="AJ73" s="123">
        <f>IF(AI73="","",$AJ$2)</f>
        <v/>
      </c>
      <c r="AK73" s="123" t="inlineStr">
        <is>
          <t>A</t>
        </is>
      </c>
      <c r="AL73" s="123" t="inlineStr">
        <is>
          <t>A+</t>
        </is>
      </c>
      <c r="AM73" s="123" t="inlineStr">
        <is>
          <t>B+</t>
        </is>
      </c>
      <c r="AN73" s="123">
        <f>IF(AI73="","",$AN$2)</f>
        <v/>
      </c>
      <c r="AO73" s="123">
        <f>IF(N73="","",IF(N73&gt;=$AO$1/100,"O","X"))</f>
        <v/>
      </c>
      <c r="AP73" s="123">
        <f>IF(I73="","",IF(I73&lt;=$AP$1,"O","X"))</f>
        <v/>
      </c>
      <c r="AQ73" s="123">
        <f>IF(O73="","",IF(O73&lt;=$AQ$1,"O","X"))</f>
        <v/>
      </c>
      <c r="AR73" s="123">
        <f>IF(M73="","",IF(M73&lt;=$AR$1,"O","X"))</f>
        <v/>
      </c>
      <c r="AS73" s="123" t="inlineStr">
        <is>
          <t>X</t>
        </is>
      </c>
      <c r="AT73" s="123">
        <f>IF(OR(F73="",AI73=""),"",IF(AND((F73&lt;=85),(AI73&gt;=15)),"O","X"))</f>
        <v/>
      </c>
      <c r="AU73" s="123">
        <f>IF(C73="","",IF(C73&gt;=$AU$1,"O","X"))</f>
        <v/>
      </c>
      <c r="AV73" s="123">
        <f>IF(AO73="","",IF(AND(AO73="O",AP73="O",AR73="O",AT73="O",AU73="O"),"후보","X"))</f>
        <v/>
      </c>
    </row>
    <row r="74">
      <c r="A74" s="9" t="n"/>
      <c r="B74" s="123" t="n"/>
      <c r="C74" s="6" t="n"/>
      <c r="D74" s="9" t="n"/>
      <c r="E74" s="14" t="n"/>
      <c r="F74" s="133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8" t="n"/>
      <c r="P74" s="138" t="n"/>
      <c r="Q74" s="134" t="n"/>
      <c r="R74" s="134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8">
        <f>IF(E74="","",E74)</f>
        <v/>
      </c>
      <c r="AJ74" s="123" t="n"/>
      <c r="AK74" s="123" t="n"/>
      <c r="AL74" s="123" t="n"/>
      <c r="AM74" s="123" t="n"/>
      <c r="AN74" s="123" t="n"/>
      <c r="AO74" s="123" t="n"/>
      <c r="AP74" s="123" t="n"/>
      <c r="AQ74" s="123" t="n"/>
      <c r="AR74" s="123" t="n"/>
      <c r="AS74" s="123" t="n"/>
      <c r="AT74" s="123" t="n"/>
      <c r="AU74" s="123" t="n"/>
      <c r="AV74" s="123" t="n"/>
    </row>
    <row r="75">
      <c r="A75" s="9" t="inlineStr">
        <is>
          <t>롯데1차</t>
        </is>
      </c>
      <c r="B75" s="10" t="inlineStr">
        <is>
          <t>'91.03.</t>
        </is>
      </c>
      <c r="C75" s="135" t="n">
        <v>420</v>
      </c>
      <c r="D75" s="133" t="n">
        <v>91.90000000000001</v>
      </c>
      <c r="E75" s="134" t="n">
        <v>28</v>
      </c>
      <c r="F75" s="133" t="n">
        <v>74</v>
      </c>
      <c r="G75" s="17" t="n">
        <v>22</v>
      </c>
      <c r="H75" s="135" t="n">
        <v>104</v>
      </c>
      <c r="I75" s="136" t="n">
        <v>12200</v>
      </c>
      <c r="J75" s="136" t="inlineStr">
        <is>
          <t>9</t>
        </is>
      </c>
      <c r="K75" s="136" t="n"/>
      <c r="L75" s="136" t="n"/>
      <c r="M75" s="137">
        <f>I75-K75</f>
        <v/>
      </c>
      <c r="N75" s="4">
        <f>IF(ISERROR(K75/I75),"",K75/I75)</f>
        <v/>
      </c>
      <c r="O75" s="138">
        <f>I75/E75</f>
        <v/>
      </c>
      <c r="P75" s="138">
        <f>K75/E75</f>
        <v/>
      </c>
      <c r="Q75" s="123" t="n">
        <v>3</v>
      </c>
      <c r="R75" s="123" t="n">
        <v>1</v>
      </c>
      <c r="S75" s="123" t="inlineStr">
        <is>
          <t>계</t>
        </is>
      </c>
      <c r="T75" s="5" t="n">
        <v>91</v>
      </c>
      <c r="U75" s="9" t="n"/>
      <c r="W75" s="133">
        <f>D75</f>
        <v/>
      </c>
      <c r="X75" s="134">
        <f>E75</f>
        <v/>
      </c>
      <c r="Y75" s="139">
        <f>H75</f>
        <v/>
      </c>
      <c r="Z75" s="137">
        <f>I75</f>
        <v/>
      </c>
      <c r="AA75" s="137">
        <f>K75</f>
        <v/>
      </c>
      <c r="AB75" s="137">
        <f>M75</f>
        <v/>
      </c>
      <c r="AC75" s="4">
        <f>N75</f>
        <v/>
      </c>
      <c r="AD75" s="138">
        <f>O75</f>
        <v/>
      </c>
      <c r="AE75" s="123">
        <f>S75</f>
        <v/>
      </c>
      <c r="AF75" s="123">
        <f>Q75&amp;"/"&amp;R75</f>
        <v/>
      </c>
      <c r="AH75" s="20">
        <f>IF(A75="","",A75)</f>
        <v/>
      </c>
      <c r="AI75" s="134">
        <f>IF(E75="","",E75)</f>
        <v/>
      </c>
      <c r="AJ75" s="123">
        <f>IF(AI75="","",$AJ$2)</f>
        <v/>
      </c>
      <c r="AK75" s="123" t="inlineStr">
        <is>
          <t>A</t>
        </is>
      </c>
      <c r="AL75" s="123" t="inlineStr">
        <is>
          <t>A+</t>
        </is>
      </c>
      <c r="AM75" s="123" t="inlineStr">
        <is>
          <t>B+</t>
        </is>
      </c>
      <c r="AN75" s="123">
        <f>IF(AI75="","",$AN$2)</f>
        <v/>
      </c>
      <c r="AO75" s="123">
        <f>IF(N75="","",IF(N75&gt;=$AO$1/100,"O","X"))</f>
        <v/>
      </c>
      <c r="AP75" s="123">
        <f>IF(I75="","",IF(I75&lt;=$AP$1,"O","X"))</f>
        <v/>
      </c>
      <c r="AQ75" s="123">
        <f>IF(O75="","",IF(O75&lt;=$AQ$1,"O","X"))</f>
        <v/>
      </c>
      <c r="AR75" s="123">
        <f>IF(M75="","",IF(M75&lt;=$AR$1,"O","X"))</f>
        <v/>
      </c>
      <c r="AS75" s="123" t="inlineStr">
        <is>
          <t>X</t>
        </is>
      </c>
      <c r="AT75" s="123">
        <f>IF(OR(F75="",AI75=""),"",IF(AND((F75&lt;=85),(AI75&gt;=15)),"O","X"))</f>
        <v/>
      </c>
      <c r="AU75" s="123">
        <f>IF(C75="","",IF(C75&gt;=$AU$1,"O","X"))</f>
        <v/>
      </c>
      <c r="AV75" s="123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5" t="n">
        <v>420</v>
      </c>
      <c r="D76" s="133" t="n">
        <v>105.9</v>
      </c>
      <c r="E76" s="134" t="n">
        <v>32</v>
      </c>
      <c r="F76" s="133" t="n">
        <v>84.8</v>
      </c>
      <c r="G76" s="17" t="n">
        <v>26</v>
      </c>
      <c r="H76" s="135" t="n">
        <v>182</v>
      </c>
      <c r="I76" s="136" t="n">
        <v>13500</v>
      </c>
      <c r="J76" s="136" t="inlineStr">
        <is>
          <t>6</t>
        </is>
      </c>
      <c r="K76" s="136" t="n"/>
      <c r="L76" s="136" t="n"/>
      <c r="M76" s="137">
        <f>I76-K76</f>
        <v/>
      </c>
      <c r="N76" s="4">
        <f>IF(ISERROR(K76/I76),"",K76/I76)</f>
        <v/>
      </c>
      <c r="O76" s="138">
        <f>I76/E76</f>
        <v/>
      </c>
      <c r="P76" s="138">
        <f>K76/E76</f>
        <v/>
      </c>
      <c r="Q76" s="123" t="n">
        <v>3</v>
      </c>
      <c r="R76" s="123" t="n">
        <v>2</v>
      </c>
      <c r="S76" s="123" t="inlineStr">
        <is>
          <t>계</t>
        </is>
      </c>
      <c r="T76" s="5" t="n">
        <v>105</v>
      </c>
      <c r="U76" s="9" t="n"/>
      <c r="W76" s="133">
        <f>D76</f>
        <v/>
      </c>
      <c r="X76" s="134">
        <f>E76</f>
        <v/>
      </c>
      <c r="Y76" s="139">
        <f>H76</f>
        <v/>
      </c>
      <c r="Z76" s="137">
        <f>I76</f>
        <v/>
      </c>
      <c r="AA76" s="137">
        <f>K76</f>
        <v/>
      </c>
      <c r="AB76" s="137">
        <f>M76</f>
        <v/>
      </c>
      <c r="AC76" s="4">
        <f>N76</f>
        <v/>
      </c>
      <c r="AD76" s="138">
        <f>O76</f>
        <v/>
      </c>
      <c r="AE76" s="123">
        <f>S76</f>
        <v/>
      </c>
      <c r="AF76" s="123">
        <f>Q76&amp;"/"&amp;R76</f>
        <v/>
      </c>
      <c r="AH76" s="20">
        <f>IF(A76="","",A76)</f>
        <v/>
      </c>
      <c r="AI76" s="134">
        <f>IF(E76="","",E76)</f>
        <v/>
      </c>
      <c r="AJ76" s="123">
        <f>IF(AI76="","",$AJ$2)</f>
        <v/>
      </c>
      <c r="AK76" s="123" t="inlineStr">
        <is>
          <t>A</t>
        </is>
      </c>
      <c r="AL76" s="123" t="inlineStr">
        <is>
          <t>A+</t>
        </is>
      </c>
      <c r="AM76" s="123" t="inlineStr">
        <is>
          <t>B+</t>
        </is>
      </c>
      <c r="AN76" s="123">
        <f>IF(AI76="","",$AN$2)</f>
        <v/>
      </c>
      <c r="AO76" s="123">
        <f>IF(N76="","",IF(N76&gt;=$AO$1/100,"O","X"))</f>
        <v/>
      </c>
      <c r="AP76" s="123">
        <f>IF(I76="","",IF(I76&lt;=$AP$1,"O","X"))</f>
        <v/>
      </c>
      <c r="AQ76" s="123">
        <f>IF(O76="","",IF(O76&lt;=$AQ$1,"O","X"))</f>
        <v/>
      </c>
      <c r="AR76" s="123">
        <f>IF(M76="","",IF(M76&lt;=$AR$1,"O","X"))</f>
        <v/>
      </c>
      <c r="AS76" s="123" t="inlineStr">
        <is>
          <t>X</t>
        </is>
      </c>
      <c r="AT76" s="123">
        <f>IF(OR(F76="",AI76=""),"",IF(AND((F76&lt;=85),(AI76&gt;=15)),"O","X"))</f>
        <v/>
      </c>
      <c r="AU76" s="123">
        <f>IF(C76="","",IF(C76&gt;=$AU$1,"O","X"))</f>
        <v/>
      </c>
      <c r="AV76" s="123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5" t="n">
        <v>420</v>
      </c>
      <c r="D77" s="133" t="n">
        <v>155.4</v>
      </c>
      <c r="E77" s="134" t="n">
        <v>47</v>
      </c>
      <c r="F77" s="133" t="n">
        <v>131.8</v>
      </c>
      <c r="G77" s="17" t="n">
        <v>40</v>
      </c>
      <c r="H77" s="135" t="n">
        <v>78</v>
      </c>
      <c r="I77" s="136" t="n"/>
      <c r="J77" s="136" t="n"/>
      <c r="K77" s="136" t="n"/>
      <c r="L77" s="136" t="n"/>
      <c r="M77" s="137">
        <f>I77-K77</f>
        <v/>
      </c>
      <c r="N77" s="4">
        <f>IF(ISERROR(K77/I77),"",K77/I77)</f>
        <v/>
      </c>
      <c r="O77" s="138">
        <f>I77/E77</f>
        <v/>
      </c>
      <c r="P77" s="138">
        <f>K77/E77</f>
        <v/>
      </c>
      <c r="Q77" s="123" t="n">
        <v>4</v>
      </c>
      <c r="R77" s="123" t="n">
        <v>2</v>
      </c>
      <c r="S77" s="123" t="inlineStr">
        <is>
          <t>계</t>
        </is>
      </c>
      <c r="T77" s="5" t="n">
        <v>155</v>
      </c>
      <c r="U77" s="9" t="n"/>
      <c r="W77" s="133">
        <f>D77</f>
        <v/>
      </c>
      <c r="X77" s="134">
        <f>E77</f>
        <v/>
      </c>
      <c r="Y77" s="139">
        <f>H77</f>
        <v/>
      </c>
      <c r="Z77" s="137">
        <f>I77</f>
        <v/>
      </c>
      <c r="AA77" s="137">
        <f>K77</f>
        <v/>
      </c>
      <c r="AB77" s="137">
        <f>M77</f>
        <v/>
      </c>
      <c r="AC77" s="4">
        <f>N77</f>
        <v/>
      </c>
      <c r="AD77" s="138">
        <f>O77</f>
        <v/>
      </c>
      <c r="AE77" s="123">
        <f>S77</f>
        <v/>
      </c>
      <c r="AF77" s="123">
        <f>Q77&amp;"/"&amp;R77</f>
        <v/>
      </c>
      <c r="AH77" s="20">
        <f>IF(A77="","",A77)</f>
        <v/>
      </c>
      <c r="AI77" s="134">
        <f>IF(E77="","",E77)</f>
        <v/>
      </c>
      <c r="AJ77" s="123">
        <f>IF(AI77="","",$AJ$2)</f>
        <v/>
      </c>
      <c r="AK77" s="123" t="inlineStr">
        <is>
          <t>A</t>
        </is>
      </c>
      <c r="AL77" s="123" t="inlineStr">
        <is>
          <t>A+</t>
        </is>
      </c>
      <c r="AM77" s="123" t="inlineStr">
        <is>
          <t>B+</t>
        </is>
      </c>
      <c r="AN77" s="123">
        <f>IF(AI77="","",$AN$2)</f>
        <v/>
      </c>
      <c r="AO77" s="123">
        <f>IF(N77="","",IF(N77&gt;=$AO$1/100,"O","X"))</f>
        <v/>
      </c>
      <c r="AP77" s="123">
        <f>IF(I77="","",IF(I77&lt;=$AP$1,"O","X"))</f>
        <v/>
      </c>
      <c r="AQ77" s="123">
        <f>IF(O77="","",IF(O77&lt;=$AQ$1,"O","X"))</f>
        <v/>
      </c>
      <c r="AR77" s="123">
        <f>IF(M77="","",IF(M77&lt;=$AR$1,"O","X"))</f>
        <v/>
      </c>
      <c r="AS77" s="123" t="inlineStr">
        <is>
          <t>X</t>
        </is>
      </c>
      <c r="AT77" s="123">
        <f>IF(OR(F77="",AI77=""),"",IF(AND((F77&lt;=85),(AI77&gt;=15)),"O","X"))</f>
        <v/>
      </c>
      <c r="AU77" s="123">
        <f>IF(C77="","",IF(C77&gt;=$AU$1,"O","X"))</f>
        <v/>
      </c>
      <c r="AV77" s="123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5" t="n">
        <v>420</v>
      </c>
      <c r="D78" s="133" t="n">
        <v>191.8</v>
      </c>
      <c r="E78" s="134" t="n">
        <v>58</v>
      </c>
      <c r="F78" s="133" t="n">
        <v>162.9</v>
      </c>
      <c r="G78" s="17" t="n">
        <v>49</v>
      </c>
      <c r="H78" s="135" t="n">
        <v>56</v>
      </c>
      <c r="I78" s="136" t="n"/>
      <c r="J78" s="136" t="n"/>
      <c r="K78" s="136" t="n"/>
      <c r="L78" s="136" t="n"/>
      <c r="M78" s="137">
        <f>I78-K78</f>
        <v/>
      </c>
      <c r="N78" s="4">
        <f>IF(ISERROR(K78/I78),"",K78/I78)</f>
        <v/>
      </c>
      <c r="O78" s="138">
        <f>I78/E78</f>
        <v/>
      </c>
      <c r="P78" s="138">
        <f>K78/E78</f>
        <v/>
      </c>
      <c r="Q78" s="123" t="n">
        <v>5</v>
      </c>
      <c r="R78" s="123" t="n">
        <v>2</v>
      </c>
      <c r="S78" s="123" t="inlineStr">
        <is>
          <t>계</t>
        </is>
      </c>
      <c r="T78" s="5" t="n">
        <v>191</v>
      </c>
      <c r="U78" s="9" t="n"/>
      <c r="W78" s="133">
        <f>D78</f>
        <v/>
      </c>
      <c r="X78" s="134">
        <f>E78</f>
        <v/>
      </c>
      <c r="Y78" s="139">
        <f>H78</f>
        <v/>
      </c>
      <c r="Z78" s="137">
        <f>I78</f>
        <v/>
      </c>
      <c r="AA78" s="137">
        <f>K78</f>
        <v/>
      </c>
      <c r="AB78" s="137">
        <f>M78</f>
        <v/>
      </c>
      <c r="AC78" s="4">
        <f>N78</f>
        <v/>
      </c>
      <c r="AD78" s="138">
        <f>O78</f>
        <v/>
      </c>
      <c r="AE78" s="123">
        <f>S78</f>
        <v/>
      </c>
      <c r="AF78" s="123">
        <f>Q78&amp;"/"&amp;R78</f>
        <v/>
      </c>
      <c r="AH78" s="20">
        <f>IF(A78="","",A78)</f>
        <v/>
      </c>
      <c r="AI78" s="134">
        <f>IF(E78="","",E78)</f>
        <v/>
      </c>
      <c r="AJ78" s="123">
        <f>IF(AI78="","",$AJ$2)</f>
        <v/>
      </c>
      <c r="AK78" s="123" t="inlineStr">
        <is>
          <t>A</t>
        </is>
      </c>
      <c r="AL78" s="123" t="inlineStr">
        <is>
          <t>A+</t>
        </is>
      </c>
      <c r="AM78" s="123" t="inlineStr">
        <is>
          <t>B+</t>
        </is>
      </c>
      <c r="AN78" s="123">
        <f>IF(AI78="","",$AN$2)</f>
        <v/>
      </c>
      <c r="AO78" s="123">
        <f>IF(N78="","",IF(N78&gt;=$AO$1/100,"O","X"))</f>
        <v/>
      </c>
      <c r="AP78" s="123">
        <f>IF(I78="","",IF(I78&lt;=$AP$1,"O","X"))</f>
        <v/>
      </c>
      <c r="AQ78" s="123">
        <f>IF(O78="","",IF(O78&lt;=$AQ$1,"O","X"))</f>
        <v/>
      </c>
      <c r="AR78" s="123">
        <f>IF(M78="","",IF(M78&lt;=$AR$1,"O","X"))</f>
        <v/>
      </c>
      <c r="AS78" s="123" t="inlineStr">
        <is>
          <t>X</t>
        </is>
      </c>
      <c r="AT78" s="123">
        <f>IF(OR(F78="",AI78=""),"",IF(AND((F78&lt;=85),(AI78&gt;=15)),"O","X"))</f>
        <v/>
      </c>
      <c r="AU78" s="123">
        <f>IF(C78="","",IF(C78&gt;=$AU$1,"O","X"))</f>
        <v/>
      </c>
      <c r="AV78" s="123">
        <f>IF(AO78="","",IF(AND(AO78="O",AP78="O",AR78="O",AT78="O",AU78="O"),"후보","X"))</f>
        <v/>
      </c>
    </row>
    <row r="79">
      <c r="A79" s="9" t="n"/>
      <c r="B79" s="123" t="n"/>
      <c r="C79" s="6" t="n"/>
      <c r="D79" s="9" t="n"/>
      <c r="E79" s="14" t="n"/>
      <c r="F79" s="133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8" t="n"/>
      <c r="P79" s="138" t="n"/>
      <c r="Q79" s="134" t="n"/>
      <c r="R79" s="134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8">
        <f>IF(E79="","",E79)</f>
        <v/>
      </c>
      <c r="AJ79" s="123" t="n"/>
      <c r="AK79" s="123" t="n"/>
      <c r="AL79" s="123" t="n"/>
      <c r="AM79" s="123" t="n"/>
      <c r="AN79" s="123" t="n"/>
      <c r="AO79" s="123" t="n"/>
      <c r="AP79" s="123" t="n"/>
      <c r="AQ79" s="123" t="n"/>
      <c r="AR79" s="123" t="n"/>
      <c r="AS79" s="123" t="n"/>
      <c r="AT79" s="123" t="n"/>
      <c r="AU79" s="123" t="n"/>
      <c r="AV79" s="123" t="n"/>
    </row>
    <row r="80">
      <c r="A80" s="9" t="inlineStr">
        <is>
          <t>한울</t>
        </is>
      </c>
      <c r="B80" s="10" t="inlineStr">
        <is>
          <t>'96.07.</t>
        </is>
      </c>
      <c r="C80" s="135" t="n">
        <v>840</v>
      </c>
      <c r="D80" s="133" t="n">
        <v>76.09999999999999</v>
      </c>
      <c r="E80" s="134" t="n">
        <v>23</v>
      </c>
      <c r="F80" s="133" t="n">
        <v>59.7</v>
      </c>
      <c r="G80" s="17" t="n">
        <v>18</v>
      </c>
      <c r="H80" s="135" t="n">
        <v>477</v>
      </c>
      <c r="I80" s="136" t="n">
        <v>10100</v>
      </c>
      <c r="J80" s="136" t="inlineStr">
        <is>
          <t>7</t>
        </is>
      </c>
      <c r="K80" s="136" t="n">
        <v>9500</v>
      </c>
      <c r="L80" s="136" t="inlineStr">
        <is>
          <t>10</t>
        </is>
      </c>
      <c r="M80" s="137">
        <f>I80-K80</f>
        <v/>
      </c>
      <c r="N80" s="4">
        <f>IF(ISERROR(K80/I80),"",K80/I80)</f>
        <v/>
      </c>
      <c r="O80" s="138">
        <f>I80/E80</f>
        <v/>
      </c>
      <c r="P80" s="138">
        <f>K80/E80</f>
        <v/>
      </c>
      <c r="Q80" s="123" t="n">
        <v>3</v>
      </c>
      <c r="R80" s="123" t="n">
        <v>1</v>
      </c>
      <c r="S80" s="123" t="inlineStr">
        <is>
          <t>계</t>
        </is>
      </c>
      <c r="T80" s="5" t="inlineStr">
        <is>
          <t>76A</t>
        </is>
      </c>
      <c r="U80" s="9" t="n"/>
      <c r="W80" s="133">
        <f>D80</f>
        <v/>
      </c>
      <c r="X80" s="134">
        <f>E80</f>
        <v/>
      </c>
      <c r="Y80" s="139">
        <f>H80</f>
        <v/>
      </c>
      <c r="Z80" s="137">
        <f>I80</f>
        <v/>
      </c>
      <c r="AA80" s="137">
        <f>K80</f>
        <v/>
      </c>
      <c r="AB80" s="137">
        <f>M80</f>
        <v/>
      </c>
      <c r="AC80" s="4">
        <f>N80</f>
        <v/>
      </c>
      <c r="AD80" s="138">
        <f>O80</f>
        <v/>
      </c>
      <c r="AE80" s="123">
        <f>S80</f>
        <v/>
      </c>
      <c r="AF80" s="123">
        <f>Q80&amp;"/"&amp;R80</f>
        <v/>
      </c>
      <c r="AH80" s="20">
        <f>IF(A80="","",A80)</f>
        <v/>
      </c>
      <c r="AI80" s="134">
        <f>IF(E80="","",E80)</f>
        <v/>
      </c>
      <c r="AJ80" s="123">
        <f>IF(AI80="","",$AJ$2)</f>
        <v/>
      </c>
      <c r="AK80" s="123" t="inlineStr">
        <is>
          <t>A</t>
        </is>
      </c>
      <c r="AL80" s="123" t="inlineStr">
        <is>
          <t>A+</t>
        </is>
      </c>
      <c r="AM80" s="123" t="inlineStr">
        <is>
          <t>B+</t>
        </is>
      </c>
      <c r="AN80" s="123">
        <f>IF(AI80="","",$AN$2)</f>
        <v/>
      </c>
      <c r="AO80" s="123">
        <f>IF(N80="","",IF(N80&gt;=$AO$1/100,"O","X"))</f>
        <v/>
      </c>
      <c r="AP80" s="123">
        <f>IF(I80="","",IF(I80&lt;=$AP$1,"O","X"))</f>
        <v/>
      </c>
      <c r="AQ80" s="123">
        <f>IF(O80="","",IF(O80&lt;=$AQ$1,"O","X"))</f>
        <v/>
      </c>
      <c r="AR80" s="123">
        <f>IF(M80="","",IF(M80&lt;=$AR$1,"O","X"))</f>
        <v/>
      </c>
      <c r="AS80" s="123" t="inlineStr">
        <is>
          <t>X</t>
        </is>
      </c>
      <c r="AT80" s="123">
        <f>IF(OR(F80="",AI80=""),"",IF(AND((F80&lt;=85),(AI80&gt;=15)),"O","X"))</f>
        <v/>
      </c>
      <c r="AU80" s="123">
        <f>IF(C80="","",IF(C80&gt;=$AU$1,"O","X"))</f>
        <v/>
      </c>
      <c r="AV80" s="123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5" t="n">
        <v>840</v>
      </c>
      <c r="D81" s="133" t="n">
        <v>76.90000000000001</v>
      </c>
      <c r="E81" s="134" t="n">
        <v>23</v>
      </c>
      <c r="F81" s="133" t="n">
        <v>60</v>
      </c>
      <c r="G81" s="17" t="n">
        <v>18</v>
      </c>
      <c r="H81" s="135" t="n">
        <v>360</v>
      </c>
      <c r="I81" s="136" t="n"/>
      <c r="J81" s="136" t="n"/>
      <c r="K81" s="136" t="n"/>
      <c r="L81" s="136" t="n"/>
      <c r="M81" s="137">
        <f>I81-K81</f>
        <v/>
      </c>
      <c r="N81" s="4">
        <f>IF(ISERROR(K81/I81),"",K81/I81)</f>
        <v/>
      </c>
      <c r="O81" s="138">
        <f>I81/E81</f>
        <v/>
      </c>
      <c r="P81" s="138">
        <f>K81/E81</f>
        <v/>
      </c>
      <c r="Q81" s="123" t="n">
        <v>3</v>
      </c>
      <c r="R81" s="123" t="n">
        <v>1</v>
      </c>
      <c r="S81" s="123" t="inlineStr">
        <is>
          <t>계</t>
        </is>
      </c>
      <c r="T81" s="5" t="inlineStr">
        <is>
          <t>76B</t>
        </is>
      </c>
      <c r="U81" s="9" t="n"/>
      <c r="W81" s="133">
        <f>D81</f>
        <v/>
      </c>
      <c r="X81" s="134">
        <f>E81</f>
        <v/>
      </c>
      <c r="Y81" s="139">
        <f>H81</f>
        <v/>
      </c>
      <c r="Z81" s="137">
        <f>I81</f>
        <v/>
      </c>
      <c r="AA81" s="137">
        <f>K81</f>
        <v/>
      </c>
      <c r="AB81" s="137">
        <f>M81</f>
        <v/>
      </c>
      <c r="AC81" s="4">
        <f>N81</f>
        <v/>
      </c>
      <c r="AD81" s="138">
        <f>O81</f>
        <v/>
      </c>
      <c r="AE81" s="123">
        <f>S81</f>
        <v/>
      </c>
      <c r="AF81" s="123">
        <f>Q81&amp;"/"&amp;R81</f>
        <v/>
      </c>
      <c r="AH81" s="20">
        <f>IF(A81="","",A81)</f>
        <v/>
      </c>
      <c r="AI81" s="134">
        <f>IF(E81="","",E81)</f>
        <v/>
      </c>
      <c r="AJ81" s="123">
        <f>IF(AI81="","",$AJ$2)</f>
        <v/>
      </c>
      <c r="AK81" s="123" t="inlineStr">
        <is>
          <t>A</t>
        </is>
      </c>
      <c r="AL81" s="123" t="inlineStr">
        <is>
          <t>A+</t>
        </is>
      </c>
      <c r="AM81" s="123" t="inlineStr">
        <is>
          <t>B+</t>
        </is>
      </c>
      <c r="AN81" s="123">
        <f>IF(AI81="","",$AN$2)</f>
        <v/>
      </c>
      <c r="AO81" s="123">
        <f>IF(N81="","",IF(N81&gt;=$AO$1/100,"O","X"))</f>
        <v/>
      </c>
      <c r="AP81" s="123">
        <f>IF(I81="","",IF(I81&lt;=$AP$1,"O","X"))</f>
        <v/>
      </c>
      <c r="AQ81" s="123">
        <f>IF(O81="","",IF(O81&lt;=$AQ$1,"O","X"))</f>
        <v/>
      </c>
      <c r="AR81" s="123">
        <f>IF(M81="","",IF(M81&lt;=$AR$1,"O","X"))</f>
        <v/>
      </c>
      <c r="AS81" s="123" t="inlineStr">
        <is>
          <t>X</t>
        </is>
      </c>
      <c r="AT81" s="123">
        <f>IF(OR(F81="",AI81=""),"",IF(AND((F81&lt;=85),(AI81&gt;=15)),"O","X"))</f>
        <v/>
      </c>
      <c r="AU81" s="123">
        <f>IF(C81="","",IF(C81&gt;=$AU$1,"O","X"))</f>
        <v/>
      </c>
      <c r="AV81" s="123">
        <f>IF(AO81="","",IF(AND(AO81="O",AP81="O",AR81="O",AT81="O",AU81="O"),"후보","X"))</f>
        <v/>
      </c>
    </row>
    <row r="82">
      <c r="A82" s="9" t="n"/>
      <c r="B82" s="123" t="n"/>
      <c r="C82" s="6" t="n"/>
      <c r="D82" s="9" t="n"/>
      <c r="E82" s="14" t="n"/>
      <c r="F82" s="133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8" t="n"/>
      <c r="P82" s="138" t="n"/>
      <c r="Q82" s="134" t="n"/>
      <c r="R82" s="134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8">
        <f>IF(E82="","",E82)</f>
        <v/>
      </c>
      <c r="AJ82" s="123" t="n"/>
      <c r="AK82" s="123" t="n"/>
      <c r="AL82" s="123" t="n"/>
      <c r="AM82" s="123" t="n"/>
      <c r="AN82" s="123" t="n"/>
      <c r="AO82" s="123" t="n"/>
      <c r="AP82" s="123" t="n"/>
      <c r="AQ82" s="123" t="n"/>
      <c r="AR82" s="123" t="n"/>
      <c r="AS82" s="123" t="n"/>
      <c r="AT82" s="123" t="n"/>
      <c r="AU82" s="123" t="n"/>
      <c r="AV82" s="123" t="n"/>
    </row>
    <row r="83">
      <c r="A83" s="9" t="inlineStr">
        <is>
          <t>현대3차</t>
        </is>
      </c>
      <c r="B83" s="10" t="inlineStr">
        <is>
          <t>'95.06.</t>
        </is>
      </c>
      <c r="C83" s="135" t="n">
        <v>479</v>
      </c>
      <c r="D83" s="133" t="n">
        <v>70</v>
      </c>
      <c r="E83" s="134" t="n">
        <v>21</v>
      </c>
      <c r="F83" s="133" t="n">
        <v>56.4</v>
      </c>
      <c r="G83" s="17" t="n">
        <v>17</v>
      </c>
      <c r="H83" s="135" t="n">
        <v>20</v>
      </c>
      <c r="I83" s="136" t="n"/>
      <c r="J83" s="136" t="n"/>
      <c r="K83" s="136" t="n"/>
      <c r="L83" s="136" t="n"/>
      <c r="M83" s="137">
        <f>I83-K83</f>
        <v/>
      </c>
      <c r="N83" s="4">
        <f>IF(ISERROR(K83/I83),"",K83/I83)</f>
        <v/>
      </c>
      <c r="O83" s="138">
        <f>I83/E83</f>
        <v/>
      </c>
      <c r="P83" s="138">
        <f>K83/E83</f>
        <v/>
      </c>
      <c r="Q83" s="123" t="n">
        <v>2</v>
      </c>
      <c r="R83" s="123" t="n">
        <v>1</v>
      </c>
      <c r="S83" s="123" t="inlineStr">
        <is>
          <t>복</t>
        </is>
      </c>
      <c r="T83" s="5" t="n">
        <v>69</v>
      </c>
      <c r="U83" s="9" t="n"/>
      <c r="W83" s="133">
        <f>D83</f>
        <v/>
      </c>
      <c r="X83" s="134">
        <f>E83</f>
        <v/>
      </c>
      <c r="Y83" s="139">
        <f>H83</f>
        <v/>
      </c>
      <c r="Z83" s="137">
        <f>I83</f>
        <v/>
      </c>
      <c r="AA83" s="137">
        <f>K83</f>
        <v/>
      </c>
      <c r="AB83" s="137">
        <f>M83</f>
        <v/>
      </c>
      <c r="AC83" s="4">
        <f>N83</f>
        <v/>
      </c>
      <c r="AD83" s="138">
        <f>O83</f>
        <v/>
      </c>
      <c r="AE83" s="123">
        <f>S83</f>
        <v/>
      </c>
      <c r="AF83" s="123">
        <f>Q83&amp;"/"&amp;R83</f>
        <v/>
      </c>
      <c r="AH83" s="20">
        <f>IF(A83="","",A83)</f>
        <v/>
      </c>
      <c r="AI83" s="134">
        <f>IF(E83="","",E83)</f>
        <v/>
      </c>
      <c r="AJ83" s="123">
        <f>IF(AI83="","",$AJ$2)</f>
        <v/>
      </c>
      <c r="AK83" s="123" t="inlineStr">
        <is>
          <t>A</t>
        </is>
      </c>
      <c r="AL83" s="123" t="inlineStr">
        <is>
          <t>A+</t>
        </is>
      </c>
      <c r="AM83" s="123" t="inlineStr">
        <is>
          <t>B+</t>
        </is>
      </c>
      <c r="AN83" s="123">
        <f>IF(AI83="","",$AN$2)</f>
        <v/>
      </c>
      <c r="AO83" s="123">
        <f>IF(N83="","",IF(N83&gt;=$AO$1/100,"O","X"))</f>
        <v/>
      </c>
      <c r="AP83" s="123">
        <f>IF(I83="","",IF(I83&lt;=$AP$1,"O","X"))</f>
        <v/>
      </c>
      <c r="AQ83" s="123">
        <f>IF(O83="","",IF(O83&lt;=$AQ$1,"O","X"))</f>
        <v/>
      </c>
      <c r="AR83" s="123">
        <f>IF(M83="","",IF(M83&lt;=$AR$1,"O","X"))</f>
        <v/>
      </c>
      <c r="AS83" s="123" t="inlineStr">
        <is>
          <t>X</t>
        </is>
      </c>
      <c r="AT83" s="123">
        <f>IF(OR(F83="",AI83=""),"",IF(AND((F83&lt;=85),(AI83&gt;=15)),"O","X"))</f>
        <v/>
      </c>
      <c r="AU83" s="123">
        <f>IF(C83="","",IF(C83&gt;=$AU$1,"O","X"))</f>
        <v/>
      </c>
      <c r="AV83" s="123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5" t="n">
        <v>479</v>
      </c>
      <c r="D84" s="133" t="n">
        <v>74.3</v>
      </c>
      <c r="E84" s="134" t="n">
        <v>22</v>
      </c>
      <c r="F84" s="133" t="n">
        <v>60</v>
      </c>
      <c r="G84" s="17" t="n">
        <v>18</v>
      </c>
      <c r="H84" s="135" t="n">
        <v>180</v>
      </c>
      <c r="I84" s="136" t="n">
        <v>9300</v>
      </c>
      <c r="J84" s="136" t="inlineStr">
        <is>
          <t>12</t>
        </is>
      </c>
      <c r="K84" s="136" t="n">
        <v>9300</v>
      </c>
      <c r="L84" s="136" t="inlineStr">
        <is>
          <t>20</t>
        </is>
      </c>
      <c r="M84" s="137">
        <f>I84-K84</f>
        <v/>
      </c>
      <c r="N84" s="4">
        <f>IF(ISERROR(K84/I84),"",K84/I84)</f>
        <v/>
      </c>
      <c r="O84" s="138">
        <f>I84/E84</f>
        <v/>
      </c>
      <c r="P84" s="138">
        <f>K84/E84</f>
        <v/>
      </c>
      <c r="Q84" s="123" t="n">
        <v>3</v>
      </c>
      <c r="R84" s="123" t="n">
        <v>1</v>
      </c>
      <c r="S84" s="123" t="inlineStr">
        <is>
          <t>복</t>
        </is>
      </c>
      <c r="T84" s="5" t="n">
        <v>74</v>
      </c>
      <c r="U84" s="9" t="n"/>
      <c r="W84" s="133">
        <f>D84</f>
        <v/>
      </c>
      <c r="X84" s="134">
        <f>E84</f>
        <v/>
      </c>
      <c r="Y84" s="139">
        <f>H84</f>
        <v/>
      </c>
      <c r="Z84" s="137">
        <f>I84</f>
        <v/>
      </c>
      <c r="AA84" s="137">
        <f>K84</f>
        <v/>
      </c>
      <c r="AB84" s="137">
        <f>M84</f>
        <v/>
      </c>
      <c r="AC84" s="4">
        <f>N84</f>
        <v/>
      </c>
      <c r="AD84" s="138">
        <f>O84</f>
        <v/>
      </c>
      <c r="AE84" s="123">
        <f>S84</f>
        <v/>
      </c>
      <c r="AF84" s="123">
        <f>Q84&amp;"/"&amp;R84</f>
        <v/>
      </c>
      <c r="AH84" s="20">
        <f>IF(A84="","",A84)</f>
        <v/>
      </c>
      <c r="AI84" s="134">
        <f>IF(E84="","",E84)</f>
        <v/>
      </c>
      <c r="AJ84" s="123">
        <f>IF(AI84="","",$AJ$2)</f>
        <v/>
      </c>
      <c r="AK84" s="123" t="inlineStr">
        <is>
          <t>A</t>
        </is>
      </c>
      <c r="AL84" s="123" t="inlineStr">
        <is>
          <t>A+</t>
        </is>
      </c>
      <c r="AM84" s="123" t="inlineStr">
        <is>
          <t>B+</t>
        </is>
      </c>
      <c r="AN84" s="123">
        <f>IF(AI84="","",$AN$2)</f>
        <v/>
      </c>
      <c r="AO84" s="123">
        <f>IF(N84="","",IF(N84&gt;=$AO$1/100,"O","X"))</f>
        <v/>
      </c>
      <c r="AP84" s="123">
        <f>IF(I84="","",IF(I84&lt;=$AP$1,"O","X"))</f>
        <v/>
      </c>
      <c r="AQ84" s="123">
        <f>IF(O84="","",IF(O84&lt;=$AQ$1,"O","X"))</f>
        <v/>
      </c>
      <c r="AR84" s="123">
        <f>IF(M84="","",IF(M84&lt;=$AR$1,"O","X"))</f>
        <v/>
      </c>
      <c r="AS84" s="123" t="inlineStr">
        <is>
          <t>X</t>
        </is>
      </c>
      <c r="AT84" s="123">
        <f>IF(OR(F84="",AI84=""),"",IF(AND((F84&lt;=85),(AI84&gt;=15)),"O","X"))</f>
        <v/>
      </c>
      <c r="AU84" s="123">
        <f>IF(C84="","",IF(C84&gt;=$AU$1,"O","X"))</f>
        <v/>
      </c>
      <c r="AV84" s="123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5" t="n">
        <v>479</v>
      </c>
      <c r="D85" s="133" t="n">
        <v>105.3</v>
      </c>
      <c r="E85" s="134" t="n">
        <v>32</v>
      </c>
      <c r="F85" s="133" t="n">
        <v>85</v>
      </c>
      <c r="G85" s="17" t="n">
        <v>26</v>
      </c>
      <c r="H85" s="135" t="n">
        <v>199</v>
      </c>
      <c r="I85" s="136" t="n">
        <v>15800</v>
      </c>
      <c r="J85" s="136" t="inlineStr">
        <is>
          <t>16</t>
        </is>
      </c>
      <c r="K85" s="136" t="n"/>
      <c r="L85" s="136" t="n"/>
      <c r="M85" s="137">
        <f>I85-K85</f>
        <v/>
      </c>
      <c r="N85" s="4">
        <f>IF(ISERROR(K85/I85),"",K85/I85)</f>
        <v/>
      </c>
      <c r="O85" s="138">
        <f>I85/E85</f>
        <v/>
      </c>
      <c r="P85" s="138">
        <f>K85/E85</f>
        <v/>
      </c>
      <c r="Q85" s="123" t="n">
        <v>3</v>
      </c>
      <c r="R85" s="123" t="n">
        <v>2</v>
      </c>
      <c r="S85" s="123" t="inlineStr">
        <is>
          <t>계</t>
        </is>
      </c>
      <c r="T85" s="5" t="n">
        <v>105</v>
      </c>
      <c r="U85" s="9" t="n"/>
      <c r="W85" s="133">
        <f>D85</f>
        <v/>
      </c>
      <c r="X85" s="134">
        <f>E85</f>
        <v/>
      </c>
      <c r="Y85" s="139">
        <f>H85</f>
        <v/>
      </c>
      <c r="Z85" s="137">
        <f>I85</f>
        <v/>
      </c>
      <c r="AA85" s="137">
        <f>K85</f>
        <v/>
      </c>
      <c r="AB85" s="137">
        <f>M85</f>
        <v/>
      </c>
      <c r="AC85" s="4">
        <f>N85</f>
        <v/>
      </c>
      <c r="AD85" s="138">
        <f>O85</f>
        <v/>
      </c>
      <c r="AE85" s="123">
        <f>S85</f>
        <v/>
      </c>
      <c r="AF85" s="123">
        <f>Q85&amp;"/"&amp;R85</f>
        <v/>
      </c>
      <c r="AH85" s="20">
        <f>IF(A85="","",A85)</f>
        <v/>
      </c>
      <c r="AI85" s="134">
        <f>IF(E85="","",E85)</f>
        <v/>
      </c>
      <c r="AJ85" s="123">
        <f>IF(AI85="","",$AJ$2)</f>
        <v/>
      </c>
      <c r="AK85" s="123" t="inlineStr">
        <is>
          <t>A</t>
        </is>
      </c>
      <c r="AL85" s="123" t="inlineStr">
        <is>
          <t>A+</t>
        </is>
      </c>
      <c r="AM85" s="123" t="inlineStr">
        <is>
          <t>B+</t>
        </is>
      </c>
      <c r="AN85" s="123">
        <f>IF(AI85="","",$AN$2)</f>
        <v/>
      </c>
      <c r="AO85" s="123">
        <f>IF(N85="","",IF(N85&gt;=$AO$1/100,"O","X"))</f>
        <v/>
      </c>
      <c r="AP85" s="123">
        <f>IF(I85="","",IF(I85&lt;=$AP$1,"O","X"))</f>
        <v/>
      </c>
      <c r="AQ85" s="123">
        <f>IF(O85="","",IF(O85&lt;=$AQ$1,"O","X"))</f>
        <v/>
      </c>
      <c r="AR85" s="123">
        <f>IF(M85="","",IF(M85&lt;=$AR$1,"O","X"))</f>
        <v/>
      </c>
      <c r="AS85" s="123" t="inlineStr">
        <is>
          <t>X</t>
        </is>
      </c>
      <c r="AT85" s="123">
        <f>IF(OR(F85="",AI85=""),"",IF(AND((F85&lt;=85),(AI85&gt;=15)),"O","X"))</f>
        <v/>
      </c>
      <c r="AU85" s="123">
        <f>IF(C85="","",IF(C85&gt;=$AU$1,"O","X"))</f>
        <v/>
      </c>
      <c r="AV85" s="123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5" t="n">
        <v>479</v>
      </c>
      <c r="D86" s="133" t="n">
        <v>167.1</v>
      </c>
      <c r="E86" s="134" t="n">
        <v>51</v>
      </c>
      <c r="F86" s="133" t="n">
        <v>134.8</v>
      </c>
      <c r="G86" s="17" t="n">
        <v>41</v>
      </c>
      <c r="H86" s="135" t="n">
        <v>80</v>
      </c>
      <c r="I86" s="136" t="n"/>
      <c r="J86" s="136" t="n"/>
      <c r="K86" s="136" t="n"/>
      <c r="L86" s="136" t="n"/>
      <c r="M86" s="137">
        <f>I86-K86</f>
        <v/>
      </c>
      <c r="N86" s="4">
        <f>IF(ISERROR(K86/I86),"",K86/I86)</f>
        <v/>
      </c>
      <c r="O86" s="138">
        <f>I86/E86</f>
        <v/>
      </c>
      <c r="P86" s="138">
        <f>K86/E86</f>
        <v/>
      </c>
      <c r="Q86" s="123" t="n">
        <v>4</v>
      </c>
      <c r="R86" s="123" t="n">
        <v>2</v>
      </c>
      <c r="S86" s="123" t="inlineStr">
        <is>
          <t>계</t>
        </is>
      </c>
      <c r="T86" s="5" t="n">
        <v>167</v>
      </c>
      <c r="U86" s="9" t="n"/>
      <c r="W86" s="133">
        <f>D86</f>
        <v/>
      </c>
      <c r="X86" s="134">
        <f>E86</f>
        <v/>
      </c>
      <c r="Y86" s="139">
        <f>H86</f>
        <v/>
      </c>
      <c r="Z86" s="137">
        <f>I86</f>
        <v/>
      </c>
      <c r="AA86" s="137">
        <f>K86</f>
        <v/>
      </c>
      <c r="AB86" s="137">
        <f>M86</f>
        <v/>
      </c>
      <c r="AC86" s="4">
        <f>N86</f>
        <v/>
      </c>
      <c r="AD86" s="138">
        <f>O86</f>
        <v/>
      </c>
      <c r="AE86" s="123">
        <f>S86</f>
        <v/>
      </c>
      <c r="AF86" s="123">
        <f>Q86&amp;"/"&amp;R86</f>
        <v/>
      </c>
      <c r="AH86" s="20">
        <f>IF(A86="","",A86)</f>
        <v/>
      </c>
      <c r="AI86" s="134">
        <f>IF(E86="","",E86)</f>
        <v/>
      </c>
      <c r="AJ86" s="123">
        <f>IF(AI86="","",$AJ$2)</f>
        <v/>
      </c>
      <c r="AK86" s="123" t="inlineStr">
        <is>
          <t>A</t>
        </is>
      </c>
      <c r="AL86" s="123" t="inlineStr">
        <is>
          <t>A+</t>
        </is>
      </c>
      <c r="AM86" s="123" t="inlineStr">
        <is>
          <t>B+</t>
        </is>
      </c>
      <c r="AN86" s="123">
        <f>IF(AI86="","",$AN$2)</f>
        <v/>
      </c>
      <c r="AO86" s="123">
        <f>IF(N86="","",IF(N86&gt;=$AO$1/100,"O","X"))</f>
        <v/>
      </c>
      <c r="AP86" s="123">
        <f>IF(I86="","",IF(I86&lt;=$AP$1,"O","X"))</f>
        <v/>
      </c>
      <c r="AQ86" s="123">
        <f>IF(O86="","",IF(O86&lt;=$AQ$1,"O","X"))</f>
        <v/>
      </c>
      <c r="AR86" s="123">
        <f>IF(M86="","",IF(M86&lt;=$AR$1,"O","X"))</f>
        <v/>
      </c>
      <c r="AS86" s="123" t="inlineStr">
        <is>
          <t>X</t>
        </is>
      </c>
      <c r="AT86" s="123">
        <f>IF(OR(F86="",AI86=""),"",IF(AND((F86&lt;=85),(AI86&gt;=15)),"O","X"))</f>
        <v/>
      </c>
      <c r="AU86" s="123">
        <f>IF(C86="","",IF(C86&gt;=$AU$1,"O","X"))</f>
        <v/>
      </c>
      <c r="AV86" s="123">
        <f>IF(AO86="","",IF(AND(AO86="O",AP86="O",AR86="O",AT86="O",AU86="O"),"후보","X"))</f>
        <v/>
      </c>
    </row>
    <row r="87">
      <c r="A87" s="9" t="n"/>
      <c r="B87" s="123" t="n"/>
      <c r="C87" s="6" t="n"/>
      <c r="D87" s="9" t="n"/>
      <c r="E87" s="14" t="n"/>
      <c r="F87" s="133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8" t="n"/>
      <c r="P87" s="138" t="n"/>
      <c r="Q87" s="134" t="n"/>
      <c r="R87" s="134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8">
        <f>IF(E87="","",E87)</f>
        <v/>
      </c>
      <c r="AJ87" s="123" t="n"/>
      <c r="AK87" s="123" t="n"/>
      <c r="AL87" s="123" t="n"/>
      <c r="AM87" s="123" t="n"/>
      <c r="AN87" s="123" t="n"/>
      <c r="AO87" s="123" t="n"/>
      <c r="AP87" s="123" t="n"/>
      <c r="AQ87" s="123" t="n"/>
      <c r="AR87" s="123" t="n"/>
      <c r="AS87" s="123" t="n"/>
      <c r="AT87" s="123" t="n"/>
      <c r="AU87" s="123" t="n"/>
      <c r="AV87" s="123" t="n"/>
    </row>
    <row r="88">
      <c r="A88" s="9" t="inlineStr">
        <is>
          <t>현대백조</t>
        </is>
      </c>
      <c r="B88" s="10" t="inlineStr">
        <is>
          <t>'92.11.</t>
        </is>
      </c>
      <c r="C88" s="135" t="n">
        <v>498</v>
      </c>
      <c r="D88" s="133" t="n">
        <v>84.40000000000001</v>
      </c>
      <c r="E88" s="134" t="n">
        <v>26</v>
      </c>
      <c r="F88" s="133" t="n">
        <v>73.2</v>
      </c>
      <c r="G88" s="17" t="n">
        <v>22</v>
      </c>
      <c r="H88" s="135" t="n">
        <v>84</v>
      </c>
      <c r="I88" s="136" t="n"/>
      <c r="J88" s="136" t="n"/>
      <c r="K88" s="136" t="n"/>
      <c r="L88" s="136" t="n"/>
      <c r="M88" s="137">
        <f>I88-K88</f>
        <v/>
      </c>
      <c r="N88" s="4">
        <f>IF(ISERROR(K88/I88),"",K88/I88)</f>
        <v/>
      </c>
      <c r="O88" s="138">
        <f>I88/E88</f>
        <v/>
      </c>
      <c r="P88" s="138">
        <f>K88/E88</f>
        <v/>
      </c>
      <c r="Q88" s="123" t="n">
        <v>3</v>
      </c>
      <c r="R88" s="123" t="n">
        <v>1</v>
      </c>
      <c r="S88" s="123" t="inlineStr">
        <is>
          <t>계</t>
        </is>
      </c>
      <c r="T88" s="5" t="n">
        <v>84</v>
      </c>
      <c r="U88" s="9" t="n"/>
      <c r="W88" s="133">
        <f>D88</f>
        <v/>
      </c>
      <c r="X88" s="134">
        <f>E88</f>
        <v/>
      </c>
      <c r="Y88" s="139">
        <f>H88</f>
        <v/>
      </c>
      <c r="Z88" s="137">
        <f>I88</f>
        <v/>
      </c>
      <c r="AA88" s="137">
        <f>K88</f>
        <v/>
      </c>
      <c r="AB88" s="137">
        <f>M88</f>
        <v/>
      </c>
      <c r="AC88" s="4">
        <f>N88</f>
        <v/>
      </c>
      <c r="AD88" s="138">
        <f>O88</f>
        <v/>
      </c>
      <c r="AE88" s="123">
        <f>S88</f>
        <v/>
      </c>
      <c r="AF88" s="123">
        <f>Q88&amp;"/"&amp;R88</f>
        <v/>
      </c>
      <c r="AH88" s="20">
        <f>IF(A88="","",A88)</f>
        <v/>
      </c>
      <c r="AI88" s="134">
        <f>IF(E88="","",E88)</f>
        <v/>
      </c>
      <c r="AJ88" s="123">
        <f>IF(AI88="","",$AJ$2)</f>
        <v/>
      </c>
      <c r="AK88" s="123" t="inlineStr">
        <is>
          <t>A</t>
        </is>
      </c>
      <c r="AL88" s="123" t="inlineStr">
        <is>
          <t>A+</t>
        </is>
      </c>
      <c r="AM88" s="123" t="inlineStr">
        <is>
          <t>B+</t>
        </is>
      </c>
      <c r="AN88" s="123">
        <f>IF(AI88="","",$AN$2)</f>
        <v/>
      </c>
      <c r="AO88" s="123">
        <f>IF(N88="","",IF(N88&gt;=$AO$1/100,"O","X"))</f>
        <v/>
      </c>
      <c r="AP88" s="123">
        <f>IF(I88="","",IF(I88&lt;=$AP$1,"O","X"))</f>
        <v/>
      </c>
      <c r="AQ88" s="123">
        <f>IF(O88="","",IF(O88&lt;=$AQ$1,"O","X"))</f>
        <v/>
      </c>
      <c r="AR88" s="123">
        <f>IF(M88="","",IF(M88&lt;=$AR$1,"O","X"))</f>
        <v/>
      </c>
      <c r="AS88" s="123" t="inlineStr">
        <is>
          <t>X</t>
        </is>
      </c>
      <c r="AT88" s="123">
        <f>IF(OR(F88="",AI88=""),"",IF(AND((F88&lt;=85),(AI88&gt;=15)),"O","X"))</f>
        <v/>
      </c>
      <c r="AU88" s="123">
        <f>IF(C88="","",IF(C88&gt;=$AU$1,"O","X"))</f>
        <v/>
      </c>
      <c r="AV88" s="123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5" t="n">
        <v>498</v>
      </c>
      <c r="D89" s="133" t="n">
        <v>95.8</v>
      </c>
      <c r="E89" s="134" t="n">
        <v>29</v>
      </c>
      <c r="F89" s="133" t="n">
        <v>84.59999999999999</v>
      </c>
      <c r="G89" s="17" t="n">
        <v>26</v>
      </c>
      <c r="H89" s="135" t="n">
        <v>384</v>
      </c>
      <c r="I89" s="136" t="n">
        <v>10000</v>
      </c>
      <c r="J89" s="136" t="inlineStr">
        <is>
          <t>13</t>
        </is>
      </c>
      <c r="K89" s="136" t="n"/>
      <c r="L89" s="136" t="n"/>
      <c r="M89" s="137">
        <f>I89-K89</f>
        <v/>
      </c>
      <c r="N89" s="4">
        <f>IF(ISERROR(K89/I89),"",K89/I89)</f>
        <v/>
      </c>
      <c r="O89" s="138">
        <f>I89/E89</f>
        <v/>
      </c>
      <c r="P89" s="138">
        <f>K89/E89</f>
        <v/>
      </c>
      <c r="Q89" s="123" t="n">
        <v>3</v>
      </c>
      <c r="R89" s="123" t="n">
        <v>2</v>
      </c>
      <c r="S89" s="123" t="inlineStr">
        <is>
          <t>계</t>
        </is>
      </c>
      <c r="T89" s="5" t="inlineStr">
        <is>
          <t>95B</t>
        </is>
      </c>
      <c r="U89" s="9" t="n"/>
      <c r="W89" s="133">
        <f>D89</f>
        <v/>
      </c>
      <c r="X89" s="134">
        <f>E89</f>
        <v/>
      </c>
      <c r="Y89" s="139">
        <f>H89</f>
        <v/>
      </c>
      <c r="Z89" s="137">
        <f>I89</f>
        <v/>
      </c>
      <c r="AA89" s="137">
        <f>K89</f>
        <v/>
      </c>
      <c r="AB89" s="137">
        <f>M89</f>
        <v/>
      </c>
      <c r="AC89" s="4">
        <f>N89</f>
        <v/>
      </c>
      <c r="AD89" s="138">
        <f>O89</f>
        <v/>
      </c>
      <c r="AE89" s="123">
        <f>S89</f>
        <v/>
      </c>
      <c r="AF89" s="123">
        <f>Q89&amp;"/"&amp;R89</f>
        <v/>
      </c>
      <c r="AH89" s="20">
        <f>IF(A89="","",A89)</f>
        <v/>
      </c>
      <c r="AI89" s="134">
        <f>IF(E89="","",E89)</f>
        <v/>
      </c>
      <c r="AJ89" s="123">
        <f>IF(AI89="","",$AJ$2)</f>
        <v/>
      </c>
      <c r="AK89" s="123" t="inlineStr">
        <is>
          <t>A</t>
        </is>
      </c>
      <c r="AL89" s="123" t="inlineStr">
        <is>
          <t>A+</t>
        </is>
      </c>
      <c r="AM89" s="123" t="inlineStr">
        <is>
          <t>B+</t>
        </is>
      </c>
      <c r="AN89" s="123">
        <f>IF(AI89="","",$AN$2)</f>
        <v/>
      </c>
      <c r="AO89" s="123">
        <f>IF(N89="","",IF(N89&gt;=$AO$1/100,"O","X"))</f>
        <v/>
      </c>
      <c r="AP89" s="123">
        <f>IF(I89="","",IF(I89&lt;=$AP$1,"O","X"))</f>
        <v/>
      </c>
      <c r="AQ89" s="123">
        <f>IF(O89="","",IF(O89&lt;=$AQ$1,"O","X"))</f>
        <v/>
      </c>
      <c r="AR89" s="123">
        <f>IF(M89="","",IF(M89&lt;=$AR$1,"O","X"))</f>
        <v/>
      </c>
      <c r="AS89" s="123" t="inlineStr">
        <is>
          <t>X</t>
        </is>
      </c>
      <c r="AT89" s="123">
        <f>IF(OR(F89="",AI89=""),"",IF(AND((F89&lt;=85),(AI89&gt;=15)),"O","X"))</f>
        <v/>
      </c>
      <c r="AU89" s="123">
        <f>IF(C89="","",IF(C89&gt;=$AU$1,"O","X"))</f>
        <v/>
      </c>
      <c r="AV89" s="123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5" t="n">
        <v>498</v>
      </c>
      <c r="D90" s="133" t="n">
        <v>95.7</v>
      </c>
      <c r="E90" s="134" t="n">
        <v>29</v>
      </c>
      <c r="F90" s="133" t="n">
        <v>84.5</v>
      </c>
      <c r="G90" s="17" t="n">
        <v>26</v>
      </c>
      <c r="H90" s="135" t="n">
        <v>30</v>
      </c>
      <c r="I90" s="136" t="n"/>
      <c r="J90" s="136" t="n"/>
      <c r="K90" s="136" t="n"/>
      <c r="L90" s="136" t="n"/>
      <c r="M90" s="137">
        <f>I90-K90</f>
        <v/>
      </c>
      <c r="N90" s="4">
        <f>IF(ISERROR(K90/I90),"",K90/I90)</f>
        <v/>
      </c>
      <c r="O90" s="138">
        <f>I90/E90</f>
        <v/>
      </c>
      <c r="P90" s="138">
        <f>K90/E90</f>
        <v/>
      </c>
      <c r="Q90" s="123" t="n">
        <v>3</v>
      </c>
      <c r="R90" s="123" t="n">
        <v>2</v>
      </c>
      <c r="S90" s="123" t="inlineStr">
        <is>
          <t>계</t>
        </is>
      </c>
      <c r="T90" s="5" t="inlineStr">
        <is>
          <t>95A</t>
        </is>
      </c>
      <c r="U90" s="9" t="n"/>
      <c r="W90" s="133">
        <f>D90</f>
        <v/>
      </c>
      <c r="X90" s="134">
        <f>E90</f>
        <v/>
      </c>
      <c r="Y90" s="139">
        <f>H90</f>
        <v/>
      </c>
      <c r="Z90" s="137">
        <f>I90</f>
        <v/>
      </c>
      <c r="AA90" s="137">
        <f>K90</f>
        <v/>
      </c>
      <c r="AB90" s="137">
        <f>M90</f>
        <v/>
      </c>
      <c r="AC90" s="4">
        <f>N90</f>
        <v/>
      </c>
      <c r="AD90" s="138">
        <f>O90</f>
        <v/>
      </c>
      <c r="AE90" s="123">
        <f>S90</f>
        <v/>
      </c>
      <c r="AF90" s="123">
        <f>Q90&amp;"/"&amp;R90</f>
        <v/>
      </c>
      <c r="AH90" s="20">
        <f>IF(A90="","",A90)</f>
        <v/>
      </c>
      <c r="AI90" s="134">
        <f>IF(E90="","",E90)</f>
        <v/>
      </c>
      <c r="AJ90" s="123">
        <f>IF(AI90="","",$AJ$2)</f>
        <v/>
      </c>
      <c r="AK90" s="123" t="inlineStr">
        <is>
          <t>A</t>
        </is>
      </c>
      <c r="AL90" s="123" t="inlineStr">
        <is>
          <t>A+</t>
        </is>
      </c>
      <c r="AM90" s="123" t="inlineStr">
        <is>
          <t>B+</t>
        </is>
      </c>
      <c r="AN90" s="123">
        <f>IF(AI90="","",$AN$2)</f>
        <v/>
      </c>
      <c r="AO90" s="123">
        <f>IF(N90="","",IF(N90&gt;=$AO$1/100,"O","X"))</f>
        <v/>
      </c>
      <c r="AP90" s="123">
        <f>IF(I90="","",IF(I90&lt;=$AP$1,"O","X"))</f>
        <v/>
      </c>
      <c r="AQ90" s="123">
        <f>IF(O90="","",IF(O90&lt;=$AQ$1,"O","X"))</f>
        <v/>
      </c>
      <c r="AR90" s="123">
        <f>IF(M90="","",IF(M90&lt;=$AR$1,"O","X"))</f>
        <v/>
      </c>
      <c r="AS90" s="123" t="inlineStr">
        <is>
          <t>X</t>
        </is>
      </c>
      <c r="AT90" s="123">
        <f>IF(OR(F90="",AI90=""),"",IF(AND((F90&lt;=85),(AI90&gt;=15)),"O","X"))</f>
        <v/>
      </c>
      <c r="AU90" s="123">
        <f>IF(C90="","",IF(C90&gt;=$AU$1,"O","X"))</f>
        <v/>
      </c>
      <c r="AV90" s="123">
        <f>IF(AO90="","",IF(AND(AO90="O",AP90="O",AR90="O",AT90="O",AU90="O"),"후보","X"))</f>
        <v/>
      </c>
    </row>
    <row r="91">
      <c r="A91" s="9" t="n"/>
      <c r="B91" s="123" t="n"/>
      <c r="C91" s="6" t="n"/>
      <c r="D91" s="9" t="n"/>
      <c r="E91" s="14" t="n"/>
      <c r="F91" s="133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8" t="n"/>
      <c r="P91" s="138" t="n"/>
      <c r="Q91" s="134" t="n"/>
      <c r="R91" s="134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8">
        <f>IF(E91="","",E91)</f>
        <v/>
      </c>
      <c r="AJ91" s="123" t="n"/>
      <c r="AK91" s="123" t="n"/>
      <c r="AL91" s="123" t="n"/>
      <c r="AM91" s="123" t="n"/>
      <c r="AN91" s="123" t="n"/>
      <c r="AO91" s="123" t="n"/>
      <c r="AP91" s="123" t="n"/>
      <c r="AQ91" s="123" t="n"/>
      <c r="AR91" s="123" t="n"/>
      <c r="AS91" s="123" t="n"/>
      <c r="AT91" s="123" t="n"/>
      <c r="AU91" s="123" t="n"/>
      <c r="AV91" s="123" t="n"/>
    </row>
    <row r="92">
      <c r="A92" s="9" t="inlineStr">
        <is>
          <t>동신진주</t>
        </is>
      </c>
      <c r="B92" s="10" t="inlineStr">
        <is>
          <t>'93.12.</t>
        </is>
      </c>
      <c r="C92" s="135" t="n">
        <v>246</v>
      </c>
      <c r="D92" s="133" t="n">
        <v>74.40000000000001</v>
      </c>
      <c r="E92" s="134" t="n">
        <v>23</v>
      </c>
      <c r="F92" s="133" t="n">
        <v>59.1</v>
      </c>
      <c r="G92" s="17" t="n">
        <v>18</v>
      </c>
      <c r="H92" s="135" t="n">
        <v>168</v>
      </c>
      <c r="I92" s="136" t="n"/>
      <c r="J92" s="136" t="n"/>
      <c r="K92" s="136" t="n"/>
      <c r="L92" s="136" t="n"/>
      <c r="M92" s="137">
        <f>I92-K92</f>
        <v/>
      </c>
      <c r="N92" s="4">
        <f>IF(ISERROR(K92/I92),"",K92/I92)</f>
        <v/>
      </c>
      <c r="O92" s="138">
        <f>I92/E92</f>
        <v/>
      </c>
      <c r="P92" s="138">
        <f>K92/E92</f>
        <v/>
      </c>
      <c r="Q92" s="123" t="n">
        <v>3</v>
      </c>
      <c r="R92" s="123" t="n">
        <v>1</v>
      </c>
      <c r="S92" s="123" t="inlineStr">
        <is>
          <t>계</t>
        </is>
      </c>
      <c r="T92" s="5" t="n">
        <v>74</v>
      </c>
      <c r="U92" s="9" t="n"/>
      <c r="W92" s="133">
        <f>D92</f>
        <v/>
      </c>
      <c r="X92" s="134">
        <f>E92</f>
        <v/>
      </c>
      <c r="Y92" s="139">
        <f>H92</f>
        <v/>
      </c>
      <c r="Z92" s="137">
        <f>I92</f>
        <v/>
      </c>
      <c r="AA92" s="137">
        <f>K92</f>
        <v/>
      </c>
      <c r="AB92" s="137">
        <f>M92</f>
        <v/>
      </c>
      <c r="AC92" s="4">
        <f>N92</f>
        <v/>
      </c>
      <c r="AD92" s="138">
        <f>O92</f>
        <v/>
      </c>
      <c r="AE92" s="123">
        <f>S92</f>
        <v/>
      </c>
      <c r="AF92" s="123">
        <f>Q92&amp;"/"&amp;R92</f>
        <v/>
      </c>
      <c r="AH92" s="20">
        <f>IF(A92="","",A92)</f>
        <v/>
      </c>
      <c r="AI92" s="134">
        <f>IF(E92="","",E92)</f>
        <v/>
      </c>
      <c r="AJ92" s="123">
        <f>IF(AI92="","",$AJ$2)</f>
        <v/>
      </c>
      <c r="AK92" s="123" t="inlineStr">
        <is>
          <t>A</t>
        </is>
      </c>
      <c r="AL92" s="123" t="inlineStr">
        <is>
          <t>A+</t>
        </is>
      </c>
      <c r="AM92" s="123" t="inlineStr">
        <is>
          <t>B+</t>
        </is>
      </c>
      <c r="AN92" s="123">
        <f>IF(AI92="","",$AN$2)</f>
        <v/>
      </c>
      <c r="AO92" s="123">
        <f>IF(N92="","",IF(N92&gt;=$AO$1/100,"O","X"))</f>
        <v/>
      </c>
      <c r="AP92" s="123">
        <f>IF(I92="","",IF(I92&lt;=$AP$1,"O","X"))</f>
        <v/>
      </c>
      <c r="AQ92" s="123">
        <f>IF(O92="","",IF(O92&lt;=$AQ$1,"O","X"))</f>
        <v/>
      </c>
      <c r="AR92" s="123">
        <f>IF(M92="","",IF(M92&lt;=$AR$1,"O","X"))</f>
        <v/>
      </c>
      <c r="AS92" s="123" t="inlineStr">
        <is>
          <t>X</t>
        </is>
      </c>
      <c r="AT92" s="123">
        <f>IF(OR(F92="",AI92=""),"",IF(AND((F92&lt;=85),(AI92&gt;=15)),"O","X"))</f>
        <v/>
      </c>
      <c r="AU92" s="123">
        <f>IF(C92="","",IF(C92&gt;=$AU$1,"O","X"))</f>
        <v/>
      </c>
      <c r="AV92" s="123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5" t="n">
        <v>246</v>
      </c>
      <c r="D93" s="133" t="n">
        <v>81.59999999999999</v>
      </c>
      <c r="E93" s="134" t="n">
        <v>25</v>
      </c>
      <c r="F93" s="133" t="n">
        <v>59.6</v>
      </c>
      <c r="G93" s="17" t="n">
        <v>18</v>
      </c>
      <c r="H93" s="135" t="n">
        <v>20</v>
      </c>
      <c r="I93" s="136" t="n"/>
      <c r="J93" s="136" t="n"/>
      <c r="K93" s="136" t="n"/>
      <c r="L93" s="136" t="n"/>
      <c r="M93" s="137">
        <f>I93-K93</f>
        <v/>
      </c>
      <c r="N93" s="4">
        <f>IF(ISERROR(K93/I93),"",K93/I93)</f>
        <v/>
      </c>
      <c r="O93" s="138">
        <f>I93/E93</f>
        <v/>
      </c>
      <c r="P93" s="138">
        <f>K93/E93</f>
        <v/>
      </c>
      <c r="Q93" s="123" t="n">
        <v>3</v>
      </c>
      <c r="R93" s="123" t="n">
        <v>1</v>
      </c>
      <c r="S93" s="123" t="inlineStr">
        <is>
          <t>계</t>
        </is>
      </c>
      <c r="T93" s="5" t="inlineStr">
        <is>
          <t>81A</t>
        </is>
      </c>
      <c r="U93" s="9" t="n"/>
      <c r="W93" s="133">
        <f>D93</f>
        <v/>
      </c>
      <c r="X93" s="134">
        <f>E93</f>
        <v/>
      </c>
      <c r="Y93" s="139">
        <f>H93</f>
        <v/>
      </c>
      <c r="Z93" s="137">
        <f>I93</f>
        <v/>
      </c>
      <c r="AA93" s="137">
        <f>K93</f>
        <v/>
      </c>
      <c r="AB93" s="137">
        <f>M93</f>
        <v/>
      </c>
      <c r="AC93" s="4">
        <f>N93</f>
        <v/>
      </c>
      <c r="AD93" s="138">
        <f>O93</f>
        <v/>
      </c>
      <c r="AE93" s="123">
        <f>S93</f>
        <v/>
      </c>
      <c r="AF93" s="123">
        <f>Q93&amp;"/"&amp;R93</f>
        <v/>
      </c>
      <c r="AH93" s="20">
        <f>IF(A93="","",A93)</f>
        <v/>
      </c>
      <c r="AI93" s="134">
        <f>IF(E93="","",E93)</f>
        <v/>
      </c>
      <c r="AJ93" s="123">
        <f>IF(AI93="","",$AJ$2)</f>
        <v/>
      </c>
      <c r="AK93" s="123" t="inlineStr">
        <is>
          <t>A</t>
        </is>
      </c>
      <c r="AL93" s="123" t="inlineStr">
        <is>
          <t>A+</t>
        </is>
      </c>
      <c r="AM93" s="123" t="inlineStr">
        <is>
          <t>B+</t>
        </is>
      </c>
      <c r="AN93" s="123">
        <f>IF(AI93="","",$AN$2)</f>
        <v/>
      </c>
      <c r="AO93" s="123">
        <f>IF(N93="","",IF(N93&gt;=$AO$1/100,"O","X"))</f>
        <v/>
      </c>
      <c r="AP93" s="123">
        <f>IF(I93="","",IF(I93&lt;=$AP$1,"O","X"))</f>
        <v/>
      </c>
      <c r="AQ93" s="123">
        <f>IF(O93="","",IF(O93&lt;=$AQ$1,"O","X"))</f>
        <v/>
      </c>
      <c r="AR93" s="123">
        <f>IF(M93="","",IF(M93&lt;=$AR$1,"O","X"))</f>
        <v/>
      </c>
      <c r="AS93" s="123" t="inlineStr">
        <is>
          <t>X</t>
        </is>
      </c>
      <c r="AT93" s="123">
        <f>IF(OR(F93="",AI93=""),"",IF(AND((F93&lt;=85),(AI93&gt;=15)),"O","X"))</f>
        <v/>
      </c>
      <c r="AU93" s="123">
        <f>IF(C93="","",IF(C93&gt;=$AU$1,"O","X"))</f>
        <v/>
      </c>
      <c r="AV93" s="123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5" t="n">
        <v>246</v>
      </c>
      <c r="D94" s="133" t="n">
        <v>82.2</v>
      </c>
      <c r="E94" s="134" t="n">
        <v>25</v>
      </c>
      <c r="F94" s="133" t="n">
        <v>60</v>
      </c>
      <c r="G94" s="17" t="n">
        <v>18</v>
      </c>
      <c r="H94" s="135" t="n">
        <v>10</v>
      </c>
      <c r="I94" s="136" t="n"/>
      <c r="J94" s="136" t="n"/>
      <c r="K94" s="136" t="n"/>
      <c r="L94" s="136" t="n"/>
      <c r="M94" s="137">
        <f>I94-K94</f>
        <v/>
      </c>
      <c r="N94" s="4">
        <f>IF(ISERROR(K94/I94),"",K94/I94)</f>
        <v/>
      </c>
      <c r="O94" s="138">
        <f>I94/E94</f>
        <v/>
      </c>
      <c r="P94" s="138">
        <f>K94/E94</f>
        <v/>
      </c>
      <c r="Q94" s="123" t="n">
        <v>3</v>
      </c>
      <c r="R94" s="123" t="n">
        <v>1</v>
      </c>
      <c r="S94" s="123" t="inlineStr">
        <is>
          <t>계</t>
        </is>
      </c>
      <c r="T94" s="5" t="inlineStr">
        <is>
          <t>82B</t>
        </is>
      </c>
      <c r="U94" s="9" t="n"/>
      <c r="W94" s="133">
        <f>D94</f>
        <v/>
      </c>
      <c r="X94" s="134">
        <f>E94</f>
        <v/>
      </c>
      <c r="Y94" s="139">
        <f>H94</f>
        <v/>
      </c>
      <c r="Z94" s="137">
        <f>I94</f>
        <v/>
      </c>
      <c r="AA94" s="137">
        <f>K94</f>
        <v/>
      </c>
      <c r="AB94" s="137">
        <f>M94</f>
        <v/>
      </c>
      <c r="AC94" s="4">
        <f>N94</f>
        <v/>
      </c>
      <c r="AD94" s="138">
        <f>O94</f>
        <v/>
      </c>
      <c r="AE94" s="123">
        <f>S94</f>
        <v/>
      </c>
      <c r="AF94" s="123">
        <f>Q94&amp;"/"&amp;R94</f>
        <v/>
      </c>
      <c r="AH94" s="20">
        <f>IF(A94="","",A94)</f>
        <v/>
      </c>
      <c r="AI94" s="134">
        <f>IF(E94="","",E94)</f>
        <v/>
      </c>
      <c r="AJ94" s="123">
        <f>IF(AI94="","",$AJ$2)</f>
        <v/>
      </c>
      <c r="AK94" s="123" t="inlineStr">
        <is>
          <t>A</t>
        </is>
      </c>
      <c r="AL94" s="123" t="inlineStr">
        <is>
          <t>A+</t>
        </is>
      </c>
      <c r="AM94" s="123" t="inlineStr">
        <is>
          <t>B+</t>
        </is>
      </c>
      <c r="AN94" s="123">
        <f>IF(AI94="","",$AN$2)</f>
        <v/>
      </c>
      <c r="AO94" s="123">
        <f>IF(N94="","",IF(N94&gt;=$AO$1/100,"O","X"))</f>
        <v/>
      </c>
      <c r="AP94" s="123">
        <f>IF(I94="","",IF(I94&lt;=$AP$1,"O","X"))</f>
        <v/>
      </c>
      <c r="AQ94" s="123">
        <f>IF(O94="","",IF(O94&lt;=$AQ$1,"O","X"))</f>
        <v/>
      </c>
      <c r="AR94" s="123">
        <f>IF(M94="","",IF(M94&lt;=$AR$1,"O","X"))</f>
        <v/>
      </c>
      <c r="AS94" s="123" t="inlineStr">
        <is>
          <t>X</t>
        </is>
      </c>
      <c r="AT94" s="123">
        <f>IF(OR(F94="",AI94=""),"",IF(AND((F94&lt;=85),(AI94&gt;=15)),"O","X"))</f>
        <v/>
      </c>
      <c r="AU94" s="123">
        <f>IF(C94="","",IF(C94&gt;=$AU$1,"O","X"))</f>
        <v/>
      </c>
      <c r="AV94" s="123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5" t="n">
        <v>246</v>
      </c>
      <c r="D95" s="133" t="n">
        <v>103.7</v>
      </c>
      <c r="E95" s="134" t="n">
        <v>31</v>
      </c>
      <c r="F95" s="133" t="n">
        <v>84.7</v>
      </c>
      <c r="G95" s="17" t="n">
        <v>26</v>
      </c>
      <c r="H95" s="135" t="n">
        <v>48</v>
      </c>
      <c r="I95" s="136" t="n"/>
      <c r="J95" s="136" t="n"/>
      <c r="K95" s="136" t="n"/>
      <c r="L95" s="136" t="n"/>
      <c r="M95" s="137">
        <f>I95-K95</f>
        <v/>
      </c>
      <c r="N95" s="4">
        <f>IF(ISERROR(K95/I95),"",K95/I95)</f>
        <v/>
      </c>
      <c r="O95" s="138">
        <f>I95/E95</f>
        <v/>
      </c>
      <c r="P95" s="138">
        <f>K95/E95</f>
        <v/>
      </c>
      <c r="Q95" s="123" t="n">
        <v>3</v>
      </c>
      <c r="R95" s="123" t="n">
        <v>2</v>
      </c>
      <c r="S95" s="123" t="inlineStr">
        <is>
          <t>계</t>
        </is>
      </c>
      <c r="T95" s="5" t="n">
        <v>103</v>
      </c>
      <c r="U95" s="9" t="n"/>
      <c r="W95" s="133">
        <f>D95</f>
        <v/>
      </c>
      <c r="X95" s="134">
        <f>E95</f>
        <v/>
      </c>
      <c r="Y95" s="139">
        <f>H95</f>
        <v/>
      </c>
      <c r="Z95" s="137">
        <f>I95</f>
        <v/>
      </c>
      <c r="AA95" s="137">
        <f>K95</f>
        <v/>
      </c>
      <c r="AB95" s="137">
        <f>M95</f>
        <v/>
      </c>
      <c r="AC95" s="4">
        <f>N95</f>
        <v/>
      </c>
      <c r="AD95" s="138">
        <f>O95</f>
        <v/>
      </c>
      <c r="AE95" s="123">
        <f>S95</f>
        <v/>
      </c>
      <c r="AF95" s="123">
        <f>Q95&amp;"/"&amp;R95</f>
        <v/>
      </c>
      <c r="AH95" s="20">
        <f>IF(A95="","",A95)</f>
        <v/>
      </c>
      <c r="AI95" s="134">
        <f>IF(E95="","",E95)</f>
        <v/>
      </c>
      <c r="AJ95" s="123">
        <f>IF(AI95="","",$AJ$2)</f>
        <v/>
      </c>
      <c r="AK95" s="123" t="inlineStr">
        <is>
          <t>A</t>
        </is>
      </c>
      <c r="AL95" s="123" t="inlineStr">
        <is>
          <t>A+</t>
        </is>
      </c>
      <c r="AM95" s="123" t="inlineStr">
        <is>
          <t>B+</t>
        </is>
      </c>
      <c r="AN95" s="123">
        <f>IF(AI95="","",$AN$2)</f>
        <v/>
      </c>
      <c r="AO95" s="123">
        <f>IF(N95="","",IF(N95&gt;=$AO$1/100,"O","X"))</f>
        <v/>
      </c>
      <c r="AP95" s="123">
        <f>IF(I95="","",IF(I95&lt;=$AP$1,"O","X"))</f>
        <v/>
      </c>
      <c r="AQ95" s="123">
        <f>IF(O95="","",IF(O95&lt;=$AQ$1,"O","X"))</f>
        <v/>
      </c>
      <c r="AR95" s="123">
        <f>IF(M95="","",IF(M95&lt;=$AR$1,"O","X"))</f>
        <v/>
      </c>
      <c r="AS95" s="123" t="inlineStr">
        <is>
          <t>X</t>
        </is>
      </c>
      <c r="AT95" s="123">
        <f>IF(OR(F95="",AI95=""),"",IF(AND((F95&lt;=85),(AI95&gt;=15)),"O","X"))</f>
        <v/>
      </c>
      <c r="AU95" s="123">
        <f>IF(C95="","",IF(C95&gt;=$AU$1,"O","X"))</f>
        <v/>
      </c>
      <c r="AV95" s="123">
        <f>IF(AO95="","",IF(AND(AO95="O",AP95="O",AR95="O",AT95="O",AU95="O"),"후보","X"))</f>
        <v/>
      </c>
    </row>
    <row r="96">
      <c r="A96" s="9" t="n"/>
      <c r="B96" s="123" t="n"/>
      <c r="C96" s="6" t="n"/>
      <c r="D96" s="9" t="n"/>
      <c r="E96" s="14" t="n"/>
      <c r="F96" s="133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8" t="n"/>
      <c r="P96" s="138" t="n"/>
      <c r="Q96" s="134" t="n"/>
      <c r="R96" s="134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8">
        <f>IF(E96="","",E96)</f>
        <v/>
      </c>
      <c r="AJ96" s="123" t="n"/>
      <c r="AK96" s="123" t="n"/>
      <c r="AL96" s="123" t="n"/>
      <c r="AM96" s="123" t="n"/>
      <c r="AN96" s="123" t="n"/>
      <c r="AO96" s="123" t="n"/>
      <c r="AP96" s="123" t="n"/>
      <c r="AQ96" s="123" t="n"/>
      <c r="AR96" s="123" t="n"/>
      <c r="AS96" s="123" t="n"/>
      <c r="AT96" s="123" t="n"/>
      <c r="AU96" s="123" t="n"/>
      <c r="AV96" s="123" t="n"/>
    </row>
    <row r="97">
      <c r="A97" s="9" t="inlineStr">
        <is>
          <t>수송금호어울림</t>
        </is>
      </c>
      <c r="B97" s="10" t="inlineStr">
        <is>
          <t>'08.08.</t>
        </is>
      </c>
      <c r="C97" s="135" t="n">
        <v>773</v>
      </c>
      <c r="D97" s="133" t="n">
        <v>110.6</v>
      </c>
      <c r="E97" s="134" t="n">
        <v>33</v>
      </c>
      <c r="F97" s="133" t="n">
        <v>84.90000000000001</v>
      </c>
      <c r="G97" s="17" t="n">
        <v>26</v>
      </c>
      <c r="H97" s="135" t="n">
        <v>336</v>
      </c>
      <c r="I97" s="136" t="n"/>
      <c r="J97" s="136" t="n"/>
      <c r="K97" s="136" t="n"/>
      <c r="L97" s="136" t="n"/>
      <c r="M97" s="137">
        <f>I97-K97</f>
        <v/>
      </c>
      <c r="N97" s="4">
        <f>IF(ISERROR(K97/I97),"",K97/I97)</f>
        <v/>
      </c>
      <c r="O97" s="138">
        <f>I97/E97</f>
        <v/>
      </c>
      <c r="P97" s="138">
        <f>K97/E97</f>
        <v/>
      </c>
      <c r="Q97" s="123" t="n">
        <v>3</v>
      </c>
      <c r="R97" s="123" t="n">
        <v>2</v>
      </c>
      <c r="S97" s="123" t="inlineStr">
        <is>
          <t>계</t>
        </is>
      </c>
      <c r="T97" s="5" t="inlineStr">
        <is>
          <t>110A</t>
        </is>
      </c>
      <c r="U97" s="9" t="n"/>
      <c r="W97" s="133">
        <f>D97</f>
        <v/>
      </c>
      <c r="X97" s="134">
        <f>E97</f>
        <v/>
      </c>
      <c r="Y97" s="139">
        <f>H97</f>
        <v/>
      </c>
      <c r="Z97" s="137">
        <f>I97</f>
        <v/>
      </c>
      <c r="AA97" s="137">
        <f>K97</f>
        <v/>
      </c>
      <c r="AB97" s="137">
        <f>M97</f>
        <v/>
      </c>
      <c r="AC97" s="4">
        <f>N97</f>
        <v/>
      </c>
      <c r="AD97" s="138">
        <f>O97</f>
        <v/>
      </c>
      <c r="AE97" s="123">
        <f>S97</f>
        <v/>
      </c>
      <c r="AF97" s="123">
        <f>Q97&amp;"/"&amp;R97</f>
        <v/>
      </c>
      <c r="AH97" s="20">
        <f>IF(A97="","",A97)</f>
        <v/>
      </c>
      <c r="AI97" s="134">
        <f>IF(E97="","",E97)</f>
        <v/>
      </c>
      <c r="AJ97" s="123">
        <f>IF(AI97="","",$AJ$2)</f>
        <v/>
      </c>
      <c r="AK97" s="123" t="inlineStr">
        <is>
          <t>A</t>
        </is>
      </c>
      <c r="AL97" s="123" t="inlineStr">
        <is>
          <t>A+</t>
        </is>
      </c>
      <c r="AM97" s="123" t="inlineStr">
        <is>
          <t>B+</t>
        </is>
      </c>
      <c r="AN97" s="123">
        <f>IF(AI97="","",$AN$2)</f>
        <v/>
      </c>
      <c r="AO97" s="123">
        <f>IF(N97="","",IF(N97&gt;=$AO$1/100,"O","X"))</f>
        <v/>
      </c>
      <c r="AP97" s="123">
        <f>IF(I97="","",IF(I97&lt;=$AP$1,"O","X"))</f>
        <v/>
      </c>
      <c r="AQ97" s="123">
        <f>IF(O97="","",IF(O97&lt;=$AQ$1,"O","X"))</f>
        <v/>
      </c>
      <c r="AR97" s="123">
        <f>IF(M97="","",IF(M97&lt;=$AR$1,"O","X"))</f>
        <v/>
      </c>
      <c r="AS97" s="123" t="inlineStr">
        <is>
          <t>X</t>
        </is>
      </c>
      <c r="AT97" s="123">
        <f>IF(OR(F97="",AI97=""),"",IF(AND((F97&lt;=85),(AI97&gt;=15)),"O","X"))</f>
        <v/>
      </c>
      <c r="AU97" s="123">
        <f>IF(C97="","",IF(C97&gt;=$AU$1,"O","X"))</f>
        <v/>
      </c>
      <c r="AV97" s="123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5" t="n">
        <v>773</v>
      </c>
      <c r="D98" s="133" t="n">
        <v>111.2</v>
      </c>
      <c r="E98" s="134" t="n">
        <v>34</v>
      </c>
      <c r="F98" s="133" t="n">
        <v>85</v>
      </c>
      <c r="G98" s="17" t="n">
        <v>26</v>
      </c>
      <c r="H98" s="135" t="n">
        <v>324</v>
      </c>
      <c r="I98" s="136" t="n">
        <v>27000</v>
      </c>
      <c r="J98" s="136" t="inlineStr">
        <is>
          <t>19</t>
        </is>
      </c>
      <c r="K98" s="136" t="n">
        <v>24000</v>
      </c>
      <c r="L98" s="136" t="inlineStr">
        <is>
          <t>5</t>
        </is>
      </c>
      <c r="M98" s="137">
        <f>I98-K98</f>
        <v/>
      </c>
      <c r="N98" s="4">
        <f>IF(ISERROR(K98/I98),"",K98/I98)</f>
        <v/>
      </c>
      <c r="O98" s="138">
        <f>I98/E98</f>
        <v/>
      </c>
      <c r="P98" s="138">
        <f>K98/E98</f>
        <v/>
      </c>
      <c r="Q98" s="123" t="n">
        <v>3</v>
      </c>
      <c r="R98" s="123" t="n">
        <v>2</v>
      </c>
      <c r="S98" s="123" t="inlineStr">
        <is>
          <t>계</t>
        </is>
      </c>
      <c r="T98" s="5" t="inlineStr">
        <is>
          <t>111B</t>
        </is>
      </c>
      <c r="U98" s="9" t="n"/>
      <c r="W98" s="133">
        <f>D98</f>
        <v/>
      </c>
      <c r="X98" s="134">
        <f>E98</f>
        <v/>
      </c>
      <c r="Y98" s="139">
        <f>H98</f>
        <v/>
      </c>
      <c r="Z98" s="137">
        <f>I98</f>
        <v/>
      </c>
      <c r="AA98" s="137">
        <f>K98</f>
        <v/>
      </c>
      <c r="AB98" s="137">
        <f>M98</f>
        <v/>
      </c>
      <c r="AC98" s="4">
        <f>N98</f>
        <v/>
      </c>
      <c r="AD98" s="138">
        <f>O98</f>
        <v/>
      </c>
      <c r="AE98" s="123">
        <f>S98</f>
        <v/>
      </c>
      <c r="AF98" s="123">
        <f>Q98&amp;"/"&amp;R98</f>
        <v/>
      </c>
      <c r="AH98" s="20">
        <f>IF(A98="","",A98)</f>
        <v/>
      </c>
      <c r="AI98" s="134">
        <f>IF(E98="","",E98)</f>
        <v/>
      </c>
      <c r="AJ98" s="123">
        <f>IF(AI98="","",$AJ$2)</f>
        <v/>
      </c>
      <c r="AK98" s="123" t="inlineStr">
        <is>
          <t>A</t>
        </is>
      </c>
      <c r="AL98" s="123" t="inlineStr">
        <is>
          <t>A+</t>
        </is>
      </c>
      <c r="AM98" s="123" t="inlineStr">
        <is>
          <t>B+</t>
        </is>
      </c>
      <c r="AN98" s="123">
        <f>IF(AI98="","",$AN$2)</f>
        <v/>
      </c>
      <c r="AO98" s="123">
        <f>IF(N98="","",IF(N98&gt;=$AO$1/100,"O","X"))</f>
        <v/>
      </c>
      <c r="AP98" s="123">
        <f>IF(I98="","",IF(I98&lt;=$AP$1,"O","X"))</f>
        <v/>
      </c>
      <c r="AQ98" s="123">
        <f>IF(O98="","",IF(O98&lt;=$AQ$1,"O","X"))</f>
        <v/>
      </c>
      <c r="AR98" s="123">
        <f>IF(M98="","",IF(M98&lt;=$AR$1,"O","X"))</f>
        <v/>
      </c>
      <c r="AS98" s="123" t="inlineStr">
        <is>
          <t>X</t>
        </is>
      </c>
      <c r="AT98" s="123">
        <f>IF(OR(F98="",AI98=""),"",IF(AND((F98&lt;=85),(AI98&gt;=15)),"O","X"))</f>
        <v/>
      </c>
      <c r="AU98" s="123">
        <f>IF(C98="","",IF(C98&gt;=$AU$1,"O","X"))</f>
        <v/>
      </c>
      <c r="AV98" s="123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5" t="n">
        <v>773</v>
      </c>
      <c r="D99" s="133" t="n">
        <v>111.3</v>
      </c>
      <c r="E99" s="134" t="n">
        <v>34</v>
      </c>
      <c r="F99" s="133" t="n">
        <v>85</v>
      </c>
      <c r="G99" s="17" t="n">
        <v>26</v>
      </c>
      <c r="H99" s="135" t="n">
        <v>37</v>
      </c>
      <c r="I99" s="136" t="n">
        <v>27000</v>
      </c>
      <c r="J99" s="136" t="inlineStr">
        <is>
          <t>고</t>
        </is>
      </c>
      <c r="K99" s="136" t="n">
        <v>27000</v>
      </c>
      <c r="L99" s="136" t="inlineStr">
        <is>
          <t>8</t>
        </is>
      </c>
      <c r="M99" s="137">
        <f>I99-K99</f>
        <v/>
      </c>
      <c r="N99" s="4">
        <f>IF(ISERROR(K99/I99),"",K99/I99)</f>
        <v/>
      </c>
      <c r="O99" s="138">
        <f>I99/E99</f>
        <v/>
      </c>
      <c r="P99" s="138">
        <f>K99/E99</f>
        <v/>
      </c>
      <c r="Q99" s="123" t="n">
        <v>3</v>
      </c>
      <c r="R99" s="123" t="n">
        <v>2</v>
      </c>
      <c r="S99" s="123" t="inlineStr">
        <is>
          <t>계</t>
        </is>
      </c>
      <c r="T99" s="5" t="inlineStr">
        <is>
          <t>111C</t>
        </is>
      </c>
      <c r="U99" s="9" t="n"/>
      <c r="W99" s="133">
        <f>D99</f>
        <v/>
      </c>
      <c r="X99" s="134">
        <f>E99</f>
        <v/>
      </c>
      <c r="Y99" s="139">
        <f>H99</f>
        <v/>
      </c>
      <c r="Z99" s="137">
        <f>I99</f>
        <v/>
      </c>
      <c r="AA99" s="137">
        <f>K99</f>
        <v/>
      </c>
      <c r="AB99" s="137">
        <f>M99</f>
        <v/>
      </c>
      <c r="AC99" s="4">
        <f>N99</f>
        <v/>
      </c>
      <c r="AD99" s="138">
        <f>O99</f>
        <v/>
      </c>
      <c r="AE99" s="123">
        <f>S99</f>
        <v/>
      </c>
      <c r="AF99" s="123">
        <f>Q99&amp;"/"&amp;R99</f>
        <v/>
      </c>
      <c r="AH99" s="20">
        <f>IF(A99="","",A99)</f>
        <v/>
      </c>
      <c r="AI99" s="134">
        <f>IF(E99="","",E99)</f>
        <v/>
      </c>
      <c r="AJ99" s="123">
        <f>IF(AI99="","",$AJ$2)</f>
        <v/>
      </c>
      <c r="AK99" s="123" t="inlineStr">
        <is>
          <t>A</t>
        </is>
      </c>
      <c r="AL99" s="123" t="inlineStr">
        <is>
          <t>A+</t>
        </is>
      </c>
      <c r="AM99" s="123" t="inlineStr">
        <is>
          <t>B+</t>
        </is>
      </c>
      <c r="AN99" s="123">
        <f>IF(AI99="","",$AN$2)</f>
        <v/>
      </c>
      <c r="AO99" s="123">
        <f>IF(N99="","",IF(N99&gt;=$AO$1/100,"O","X"))</f>
        <v/>
      </c>
      <c r="AP99" s="123">
        <f>IF(I99="","",IF(I99&lt;=$AP$1,"O","X"))</f>
        <v/>
      </c>
      <c r="AQ99" s="123">
        <f>IF(O99="","",IF(O99&lt;=$AQ$1,"O","X"))</f>
        <v/>
      </c>
      <c r="AR99" s="123">
        <f>IF(M99="","",IF(M99&lt;=$AR$1,"O","X"))</f>
        <v/>
      </c>
      <c r="AS99" s="123" t="inlineStr">
        <is>
          <t>X</t>
        </is>
      </c>
      <c r="AT99" s="123">
        <f>IF(OR(F99="",AI99=""),"",IF(AND((F99&lt;=85),(AI99&gt;=15)),"O","X"))</f>
        <v/>
      </c>
      <c r="AU99" s="123">
        <f>IF(C99="","",IF(C99&gt;=$AU$1,"O","X"))</f>
        <v/>
      </c>
      <c r="AV99" s="123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5" t="n">
        <v>773</v>
      </c>
      <c r="D100" s="133" t="n">
        <v>112.4</v>
      </c>
      <c r="E100" s="134" t="n">
        <v>34</v>
      </c>
      <c r="F100" s="133" t="n">
        <v>85</v>
      </c>
      <c r="G100" s="17" t="n">
        <v>26</v>
      </c>
      <c r="H100" s="135" t="n">
        <v>76</v>
      </c>
      <c r="I100" s="136" t="n">
        <v>30000</v>
      </c>
      <c r="J100" s="136" t="inlineStr">
        <is>
          <t>6</t>
        </is>
      </c>
      <c r="K100" s="136" t="n">
        <v>23000</v>
      </c>
      <c r="L100" s="136" t="inlineStr">
        <is>
          <t>8</t>
        </is>
      </c>
      <c r="M100" s="137">
        <f>I100-K100</f>
        <v/>
      </c>
      <c r="N100" s="4">
        <f>IF(ISERROR(K100/I100),"",K100/I100)</f>
        <v/>
      </c>
      <c r="O100" s="138">
        <f>I100/E100</f>
        <v/>
      </c>
      <c r="P100" s="138">
        <f>K100/E100</f>
        <v/>
      </c>
      <c r="Q100" s="123" t="n">
        <v>3</v>
      </c>
      <c r="R100" s="123" t="n">
        <v>2</v>
      </c>
      <c r="S100" s="123" t="inlineStr">
        <is>
          <t>계</t>
        </is>
      </c>
      <c r="T100" s="5" t="inlineStr">
        <is>
          <t>112D</t>
        </is>
      </c>
      <c r="U100" s="9" t="n"/>
      <c r="W100" s="133">
        <f>D100</f>
        <v/>
      </c>
      <c r="X100" s="134">
        <f>E100</f>
        <v/>
      </c>
      <c r="Y100" s="139">
        <f>H100</f>
        <v/>
      </c>
      <c r="Z100" s="137">
        <f>I100</f>
        <v/>
      </c>
      <c r="AA100" s="137">
        <f>K100</f>
        <v/>
      </c>
      <c r="AB100" s="137">
        <f>M100</f>
        <v/>
      </c>
      <c r="AC100" s="4">
        <f>N100</f>
        <v/>
      </c>
      <c r="AD100" s="138">
        <f>O100</f>
        <v/>
      </c>
      <c r="AE100" s="123">
        <f>S100</f>
        <v/>
      </c>
      <c r="AF100" s="123">
        <f>Q100&amp;"/"&amp;R100</f>
        <v/>
      </c>
      <c r="AH100" s="20">
        <f>IF(A100="","",A100)</f>
        <v/>
      </c>
      <c r="AI100" s="134">
        <f>IF(E100="","",E100)</f>
        <v/>
      </c>
      <c r="AJ100" s="123">
        <f>IF(AI100="","",$AJ$2)</f>
        <v/>
      </c>
      <c r="AK100" s="123" t="inlineStr">
        <is>
          <t>A</t>
        </is>
      </c>
      <c r="AL100" s="123" t="inlineStr">
        <is>
          <t>A+</t>
        </is>
      </c>
      <c r="AM100" s="123" t="inlineStr">
        <is>
          <t>B+</t>
        </is>
      </c>
      <c r="AN100" s="123">
        <f>IF(AI100="","",$AN$2)</f>
        <v/>
      </c>
      <c r="AO100" s="123">
        <f>IF(N100="","",IF(N100&gt;=$AO$1/100,"O","X"))</f>
        <v/>
      </c>
      <c r="AP100" s="123">
        <f>IF(I100="","",IF(I100&lt;=$AP$1,"O","X"))</f>
        <v/>
      </c>
      <c r="AQ100" s="123">
        <f>IF(O100="","",IF(O100&lt;=$AQ$1,"O","X"))</f>
        <v/>
      </c>
      <c r="AR100" s="123">
        <f>IF(M100="","",IF(M100&lt;=$AR$1,"O","X"))</f>
        <v/>
      </c>
      <c r="AS100" s="123" t="inlineStr">
        <is>
          <t>X</t>
        </is>
      </c>
      <c r="AT100" s="123">
        <f>IF(OR(F100="",AI100=""),"",IF(AND((F100&lt;=85),(AI100&gt;=15)),"O","X"))</f>
        <v/>
      </c>
      <c r="AU100" s="123">
        <f>IF(C100="","",IF(C100&gt;=$AU$1,"O","X"))</f>
        <v/>
      </c>
      <c r="AV100" s="123">
        <f>IF(AO100="","",IF(AND(AO100="O",AP100="O",AR100="O",AT100="O",AU100="O"),"후보","X"))</f>
        <v/>
      </c>
    </row>
    <row r="101">
      <c r="A101" s="9" t="n"/>
      <c r="B101" s="123" t="n"/>
      <c r="C101" s="6" t="n"/>
      <c r="D101" s="9" t="n"/>
      <c r="E101" s="14" t="n"/>
      <c r="F101" s="133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8" t="n"/>
      <c r="P101" s="138" t="n"/>
      <c r="Q101" s="134" t="n"/>
      <c r="R101" s="134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8">
        <f>IF(E101="","",E101)</f>
        <v/>
      </c>
      <c r="AJ101" s="123" t="n"/>
      <c r="AK101" s="123" t="n"/>
      <c r="AL101" s="123" t="n"/>
      <c r="AM101" s="123" t="n"/>
      <c r="AN101" s="123" t="n"/>
      <c r="AO101" s="123" t="n"/>
      <c r="AP101" s="123" t="n"/>
      <c r="AQ101" s="123" t="n"/>
      <c r="AR101" s="123" t="n"/>
      <c r="AS101" s="123" t="n"/>
      <c r="AT101" s="123" t="n"/>
      <c r="AU101" s="123" t="n"/>
      <c r="AV101" s="123" t="n"/>
    </row>
    <row r="102">
      <c r="A102" s="9" t="inlineStr">
        <is>
          <t>영창</t>
        </is>
      </c>
      <c r="B102" s="10" t="inlineStr">
        <is>
          <t>'95.06.</t>
        </is>
      </c>
      <c r="C102" s="135" t="n">
        <v>765</v>
      </c>
      <c r="D102" s="133" t="n">
        <v>56.5</v>
      </c>
      <c r="E102" s="134" t="n">
        <v>17</v>
      </c>
      <c r="F102" s="133" t="n">
        <v>39.3</v>
      </c>
      <c r="G102" s="17" t="n">
        <v>12</v>
      </c>
      <c r="H102" s="135" t="n">
        <v>60</v>
      </c>
      <c r="I102" s="136" t="n">
        <v>5000</v>
      </c>
      <c r="J102" s="136" t="inlineStr">
        <is>
          <t>10</t>
        </is>
      </c>
      <c r="K102" s="136" t="n"/>
      <c r="L102" s="136" t="n"/>
      <c r="M102" s="137">
        <f>I102-K102</f>
        <v/>
      </c>
      <c r="N102" s="4">
        <f>IF(ISERROR(K102/I102),"",K102/I102)</f>
        <v/>
      </c>
      <c r="O102" s="138">
        <f>I102/E102</f>
        <v/>
      </c>
      <c r="P102" s="138">
        <f>K102/E102</f>
        <v/>
      </c>
      <c r="Q102" s="123" t="n">
        <v>2</v>
      </c>
      <c r="R102" s="123" t="n">
        <v>1</v>
      </c>
      <c r="S102" s="123" t="inlineStr">
        <is>
          <t>복</t>
        </is>
      </c>
      <c r="T102" s="5" t="n">
        <v>56</v>
      </c>
      <c r="U102" s="9" t="n"/>
      <c r="W102" s="133">
        <f>D102</f>
        <v/>
      </c>
      <c r="X102" s="134">
        <f>E102</f>
        <v/>
      </c>
      <c r="Y102" s="139">
        <f>H102</f>
        <v/>
      </c>
      <c r="Z102" s="137">
        <f>I102</f>
        <v/>
      </c>
      <c r="AA102" s="137">
        <f>K102</f>
        <v/>
      </c>
      <c r="AB102" s="137">
        <f>M102</f>
        <v/>
      </c>
      <c r="AC102" s="4">
        <f>N102</f>
        <v/>
      </c>
      <c r="AD102" s="138">
        <f>O102</f>
        <v/>
      </c>
      <c r="AE102" s="123">
        <f>S102</f>
        <v/>
      </c>
      <c r="AF102" s="123">
        <f>Q102&amp;"/"&amp;R102</f>
        <v/>
      </c>
      <c r="AH102" s="20">
        <f>IF(A102="","",A102)</f>
        <v/>
      </c>
      <c r="AI102" s="134">
        <f>IF(E102="","",E102)</f>
        <v/>
      </c>
      <c r="AJ102" s="123">
        <f>IF(AI102="","",$AJ$2)</f>
        <v/>
      </c>
      <c r="AK102" s="123" t="inlineStr">
        <is>
          <t>A</t>
        </is>
      </c>
      <c r="AL102" s="123" t="inlineStr">
        <is>
          <t>A+</t>
        </is>
      </c>
      <c r="AM102" s="123" t="inlineStr">
        <is>
          <t>B+</t>
        </is>
      </c>
      <c r="AN102" s="123">
        <f>IF(AI102="","",$AN$2)</f>
        <v/>
      </c>
      <c r="AO102" s="123">
        <f>IF(N102="","",IF(N102&gt;=$AO$1/100,"O","X"))</f>
        <v/>
      </c>
      <c r="AP102" s="123">
        <f>IF(I102="","",IF(I102&lt;=$AP$1,"O","X"))</f>
        <v/>
      </c>
      <c r="AQ102" s="123">
        <f>IF(O102="","",IF(O102&lt;=$AQ$1,"O","X"))</f>
        <v/>
      </c>
      <c r="AR102" s="123">
        <f>IF(M102="","",IF(M102&lt;=$AR$1,"O","X"))</f>
        <v/>
      </c>
      <c r="AS102" s="123" t="inlineStr">
        <is>
          <t>X</t>
        </is>
      </c>
      <c r="AT102" s="123">
        <f>IF(OR(F102="",AI102=""),"",IF(AND((F102&lt;=85),(AI102&gt;=15)),"O","X"))</f>
        <v/>
      </c>
      <c r="AU102" s="123">
        <f>IF(C102="","",IF(C102&gt;=$AU$1,"O","X"))</f>
        <v/>
      </c>
      <c r="AV102" s="123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5" t="n">
        <v>765</v>
      </c>
      <c r="D103" s="133" t="n">
        <v>71.5</v>
      </c>
      <c r="E103" s="134" t="n">
        <v>22</v>
      </c>
      <c r="F103" s="133" t="n">
        <v>49.8</v>
      </c>
      <c r="G103" s="17" t="n">
        <v>15</v>
      </c>
      <c r="H103" s="135" t="n">
        <v>120</v>
      </c>
      <c r="I103" s="136" t="n">
        <v>7500</v>
      </c>
      <c r="J103" s="136" t="inlineStr">
        <is>
          <t>13</t>
        </is>
      </c>
      <c r="K103" s="136" t="n">
        <v>6500</v>
      </c>
      <c r="L103" s="136" t="inlineStr">
        <is>
          <t>10</t>
        </is>
      </c>
      <c r="M103" s="137">
        <f>I103-K103</f>
        <v/>
      </c>
      <c r="N103" s="4">
        <f>IF(ISERROR(K103/I103),"",K103/I103)</f>
        <v/>
      </c>
      <c r="O103" s="138">
        <f>I103/E103</f>
        <v/>
      </c>
      <c r="P103" s="138">
        <f>K103/E103</f>
        <v/>
      </c>
      <c r="Q103" s="123" t="n">
        <v>2</v>
      </c>
      <c r="R103" s="123" t="n">
        <v>1</v>
      </c>
      <c r="S103" s="123" t="inlineStr">
        <is>
          <t>복</t>
        </is>
      </c>
      <c r="T103" s="5" t="n">
        <v>71</v>
      </c>
      <c r="U103" s="9" t="n"/>
      <c r="W103" s="133">
        <f>D103</f>
        <v/>
      </c>
      <c r="X103" s="134">
        <f>E103</f>
        <v/>
      </c>
      <c r="Y103" s="139">
        <f>H103</f>
        <v/>
      </c>
      <c r="Z103" s="137">
        <f>I103</f>
        <v/>
      </c>
      <c r="AA103" s="137">
        <f>K103</f>
        <v/>
      </c>
      <c r="AB103" s="137">
        <f>M103</f>
        <v/>
      </c>
      <c r="AC103" s="4">
        <f>N103</f>
        <v/>
      </c>
      <c r="AD103" s="138">
        <f>O103</f>
        <v/>
      </c>
      <c r="AE103" s="123">
        <f>S103</f>
        <v/>
      </c>
      <c r="AF103" s="123">
        <f>Q103&amp;"/"&amp;R103</f>
        <v/>
      </c>
      <c r="AH103" s="20">
        <f>IF(A103="","",A103)</f>
        <v/>
      </c>
      <c r="AI103" s="134">
        <f>IF(E103="","",E103)</f>
        <v/>
      </c>
      <c r="AJ103" s="123">
        <f>IF(AI103="","",$AJ$2)</f>
        <v/>
      </c>
      <c r="AK103" s="123" t="inlineStr">
        <is>
          <t>A</t>
        </is>
      </c>
      <c r="AL103" s="123" t="inlineStr">
        <is>
          <t>A+</t>
        </is>
      </c>
      <c r="AM103" s="123" t="inlineStr">
        <is>
          <t>B+</t>
        </is>
      </c>
      <c r="AN103" s="123">
        <f>IF(AI103="","",$AN$2)</f>
        <v/>
      </c>
      <c r="AO103" s="123">
        <f>IF(N103="","",IF(N103&gt;=$AO$1/100,"O","X"))</f>
        <v/>
      </c>
      <c r="AP103" s="123">
        <f>IF(I103="","",IF(I103&lt;=$AP$1,"O","X"))</f>
        <v/>
      </c>
      <c r="AQ103" s="123">
        <f>IF(O103="","",IF(O103&lt;=$AQ$1,"O","X"))</f>
        <v/>
      </c>
      <c r="AR103" s="123">
        <f>IF(M103="","",IF(M103&lt;=$AR$1,"O","X"))</f>
        <v/>
      </c>
      <c r="AS103" s="123" t="inlineStr">
        <is>
          <t>X</t>
        </is>
      </c>
      <c r="AT103" s="123">
        <f>IF(OR(F103="",AI103=""),"",IF(AND((F103&lt;=85),(AI103&gt;=15)),"O","X"))</f>
        <v/>
      </c>
      <c r="AU103" s="123">
        <f>IF(C103="","",IF(C103&gt;=$AU$1,"O","X"))</f>
        <v/>
      </c>
      <c r="AV103" s="123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5" t="n">
        <v>765</v>
      </c>
      <c r="D104" s="133" t="n">
        <v>74.7</v>
      </c>
      <c r="E104" s="134" t="n">
        <v>23</v>
      </c>
      <c r="F104" s="133" t="n">
        <v>59.9</v>
      </c>
      <c r="G104" s="17" t="n">
        <v>18</v>
      </c>
      <c r="H104" s="135" t="n">
        <v>300</v>
      </c>
      <c r="I104" s="136" t="n">
        <v>11500</v>
      </c>
      <c r="J104" s="136" t="inlineStr">
        <is>
          <t>7</t>
        </is>
      </c>
      <c r="K104" s="136" t="n"/>
      <c r="L104" s="136" t="n"/>
      <c r="M104" s="137">
        <f>I104-K104</f>
        <v/>
      </c>
      <c r="N104" s="4">
        <f>IF(ISERROR(K104/I104),"",K104/I104)</f>
        <v/>
      </c>
      <c r="O104" s="138">
        <f>I104/E104</f>
        <v/>
      </c>
      <c r="P104" s="138">
        <f>K104/E104</f>
        <v/>
      </c>
      <c r="Q104" s="123" t="n">
        <v>3</v>
      </c>
      <c r="R104" s="123" t="n">
        <v>1</v>
      </c>
      <c r="S104" s="123" t="inlineStr">
        <is>
          <t>계</t>
        </is>
      </c>
      <c r="T104" s="5" t="n">
        <v>74</v>
      </c>
      <c r="U104" s="9" t="n"/>
      <c r="W104" s="133">
        <f>D104</f>
        <v/>
      </c>
      <c r="X104" s="134">
        <f>E104</f>
        <v/>
      </c>
      <c r="Y104" s="139">
        <f>H104</f>
        <v/>
      </c>
      <c r="Z104" s="137">
        <f>I104</f>
        <v/>
      </c>
      <c r="AA104" s="137">
        <f>K104</f>
        <v/>
      </c>
      <c r="AB104" s="137">
        <f>M104</f>
        <v/>
      </c>
      <c r="AC104" s="4">
        <f>N104</f>
        <v/>
      </c>
      <c r="AD104" s="138">
        <f>O104</f>
        <v/>
      </c>
      <c r="AE104" s="123">
        <f>S104</f>
        <v/>
      </c>
      <c r="AF104" s="123">
        <f>Q104&amp;"/"&amp;R104</f>
        <v/>
      </c>
      <c r="AH104" s="20">
        <f>IF(A104="","",A104)</f>
        <v/>
      </c>
      <c r="AI104" s="134">
        <f>IF(E104="","",E104)</f>
        <v/>
      </c>
      <c r="AJ104" s="123">
        <f>IF(AI104="","",$AJ$2)</f>
        <v/>
      </c>
      <c r="AK104" s="123" t="inlineStr">
        <is>
          <t>A</t>
        </is>
      </c>
      <c r="AL104" s="123" t="inlineStr">
        <is>
          <t>A+</t>
        </is>
      </c>
      <c r="AM104" s="123" t="inlineStr">
        <is>
          <t>B+</t>
        </is>
      </c>
      <c r="AN104" s="123">
        <f>IF(AI104="","",$AN$2)</f>
        <v/>
      </c>
      <c r="AO104" s="123">
        <f>IF(N104="","",IF(N104&gt;=$AO$1/100,"O","X"))</f>
        <v/>
      </c>
      <c r="AP104" s="123">
        <f>IF(I104="","",IF(I104&lt;=$AP$1,"O","X"))</f>
        <v/>
      </c>
      <c r="AQ104" s="123">
        <f>IF(O104="","",IF(O104&lt;=$AQ$1,"O","X"))</f>
        <v/>
      </c>
      <c r="AR104" s="123">
        <f>IF(M104="","",IF(M104&lt;=$AR$1,"O","X"))</f>
        <v/>
      </c>
      <c r="AS104" s="123" t="inlineStr">
        <is>
          <t>X</t>
        </is>
      </c>
      <c r="AT104" s="123">
        <f>IF(OR(F104="",AI104=""),"",IF(AND((F104&lt;=85),(AI104&gt;=15)),"O","X"))</f>
        <v/>
      </c>
      <c r="AU104" s="123">
        <f>IF(C104="","",IF(C104&gt;=$AU$1,"O","X"))</f>
        <v/>
      </c>
      <c r="AV104" s="123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5" t="n">
        <v>765</v>
      </c>
      <c r="D105" s="133" t="n">
        <v>82.2</v>
      </c>
      <c r="E105" s="134" t="n">
        <v>25</v>
      </c>
      <c r="F105" s="133" t="n">
        <v>59.8</v>
      </c>
      <c r="G105" s="17" t="n">
        <v>18</v>
      </c>
      <c r="H105" s="135" t="n">
        <v>285</v>
      </c>
      <c r="I105" s="136" t="n">
        <v>9300</v>
      </c>
      <c r="J105" s="136" t="inlineStr">
        <is>
          <t>14</t>
        </is>
      </c>
      <c r="K105" s="136" t="n">
        <v>9000</v>
      </c>
      <c r="L105" s="136" t="inlineStr">
        <is>
          <t>11</t>
        </is>
      </c>
      <c r="M105" s="137">
        <f>I105-K105</f>
        <v/>
      </c>
      <c r="N105" s="4">
        <f>IF(ISERROR(K105/I105),"",K105/I105)</f>
        <v/>
      </c>
      <c r="O105" s="138">
        <f>I105/E105</f>
        <v/>
      </c>
      <c r="P105" s="138">
        <f>K105/E105</f>
        <v/>
      </c>
      <c r="Q105" s="123" t="n">
        <v>3</v>
      </c>
      <c r="R105" s="123" t="n">
        <v>1</v>
      </c>
      <c r="S105" s="123" t="inlineStr">
        <is>
          <t>복</t>
        </is>
      </c>
      <c r="T105" s="5" t="n">
        <v>82</v>
      </c>
      <c r="U105" s="9" t="n"/>
      <c r="W105" s="133">
        <f>D105</f>
        <v/>
      </c>
      <c r="X105" s="134">
        <f>E105</f>
        <v/>
      </c>
      <c r="Y105" s="139">
        <f>H105</f>
        <v/>
      </c>
      <c r="Z105" s="137">
        <f>I105</f>
        <v/>
      </c>
      <c r="AA105" s="137">
        <f>K105</f>
        <v/>
      </c>
      <c r="AB105" s="137">
        <f>M105</f>
        <v/>
      </c>
      <c r="AC105" s="4">
        <f>N105</f>
        <v/>
      </c>
      <c r="AD105" s="138">
        <f>O105</f>
        <v/>
      </c>
      <c r="AE105" s="123">
        <f>S105</f>
        <v/>
      </c>
      <c r="AF105" s="123">
        <f>Q105&amp;"/"&amp;R105</f>
        <v/>
      </c>
      <c r="AH105" s="20">
        <f>IF(A105="","",A105)</f>
        <v/>
      </c>
      <c r="AI105" s="134">
        <f>IF(E105="","",E105)</f>
        <v/>
      </c>
      <c r="AJ105" s="123">
        <f>IF(AI105="","",$AJ$2)</f>
        <v/>
      </c>
      <c r="AK105" s="123" t="inlineStr">
        <is>
          <t>A</t>
        </is>
      </c>
      <c r="AL105" s="123" t="inlineStr">
        <is>
          <t>A+</t>
        </is>
      </c>
      <c r="AM105" s="123" t="inlineStr">
        <is>
          <t>B+</t>
        </is>
      </c>
      <c r="AN105" s="123">
        <f>IF(AI105="","",$AN$2)</f>
        <v/>
      </c>
      <c r="AO105" s="123">
        <f>IF(N105="","",IF(N105&gt;=$AO$1/100,"O","X"))</f>
        <v/>
      </c>
      <c r="AP105" s="123">
        <f>IF(I105="","",IF(I105&lt;=$AP$1,"O","X"))</f>
        <v/>
      </c>
      <c r="AQ105" s="123">
        <f>IF(O105="","",IF(O105&lt;=$AQ$1,"O","X"))</f>
        <v/>
      </c>
      <c r="AR105" s="123">
        <f>IF(M105="","",IF(M105&lt;=$AR$1,"O","X"))</f>
        <v/>
      </c>
      <c r="AS105" s="123" t="inlineStr">
        <is>
          <t>X</t>
        </is>
      </c>
      <c r="AT105" s="123">
        <f>IF(OR(F105="",AI105=""),"",IF(AND((F105&lt;=85),(AI105&gt;=15)),"O","X"))</f>
        <v/>
      </c>
      <c r="AU105" s="123">
        <f>IF(C105="","",IF(C105&gt;=$AU$1,"O","X"))</f>
        <v/>
      </c>
      <c r="AV105" s="123">
        <f>IF(AO105="","",IF(AND(AO105="O",AP105="O",AR105="O",AT105="O",AU105="O"),"후보","X"))</f>
        <v/>
      </c>
    </row>
    <row r="106">
      <c r="A106" s="9" t="n"/>
      <c r="B106" s="123" t="n"/>
      <c r="C106" s="6" t="n"/>
      <c r="D106" s="9" t="n"/>
      <c r="E106" s="14" t="n"/>
      <c r="F106" s="133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8" t="n"/>
      <c r="P106" s="138" t="n"/>
      <c r="Q106" s="134" t="n"/>
      <c r="R106" s="134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8">
        <f>IF(E106="","",E106)</f>
        <v/>
      </c>
      <c r="AJ106" s="123" t="n"/>
      <c r="AK106" s="123" t="n"/>
      <c r="AL106" s="123" t="n"/>
      <c r="AM106" s="123" t="n"/>
      <c r="AN106" s="123" t="n"/>
      <c r="AO106" s="123" t="n"/>
      <c r="AP106" s="123" t="n"/>
      <c r="AQ106" s="123" t="n"/>
      <c r="AR106" s="123" t="n"/>
      <c r="AS106" s="123" t="n"/>
      <c r="AT106" s="123" t="n"/>
      <c r="AU106" s="123" t="n"/>
      <c r="AV106" s="123" t="n"/>
    </row>
    <row r="107">
      <c r="A107" s="9" t="inlineStr">
        <is>
          <t>비사벌</t>
        </is>
      </c>
      <c r="B107" s="10" t="inlineStr">
        <is>
          <t>'97.02.</t>
        </is>
      </c>
      <c r="C107" s="135" t="n">
        <v>268</v>
      </c>
      <c r="D107" s="133" t="n">
        <v>78.2</v>
      </c>
      <c r="E107" s="134" t="n">
        <v>24</v>
      </c>
      <c r="F107" s="133" t="n">
        <v>59.9</v>
      </c>
      <c r="G107" s="17" t="n">
        <v>18</v>
      </c>
      <c r="H107" s="135" t="n">
        <v>268</v>
      </c>
      <c r="I107" s="136" t="n"/>
      <c r="J107" s="136" t="n"/>
      <c r="K107" s="136" t="n"/>
      <c r="L107" s="136" t="n"/>
      <c r="M107" s="137">
        <f>I107-K107</f>
        <v/>
      </c>
      <c r="N107" s="4">
        <f>IF(ISERROR(K107/I107),"",K107/I107)</f>
        <v/>
      </c>
      <c r="O107" s="138">
        <f>I107/E107</f>
        <v/>
      </c>
      <c r="P107" s="138">
        <f>K107/E107</f>
        <v/>
      </c>
      <c r="Q107" s="123" t="n">
        <v>2</v>
      </c>
      <c r="R107" s="123" t="n">
        <v>1</v>
      </c>
      <c r="S107" s="123" t="inlineStr">
        <is>
          <t>계</t>
        </is>
      </c>
      <c r="T107" s="5" t="n">
        <v>78</v>
      </c>
      <c r="U107" s="9" t="n"/>
      <c r="W107" s="133">
        <f>D107</f>
        <v/>
      </c>
      <c r="X107" s="134">
        <f>E107</f>
        <v/>
      </c>
      <c r="Y107" s="139">
        <f>H107</f>
        <v/>
      </c>
      <c r="Z107" s="137">
        <f>I107</f>
        <v/>
      </c>
      <c r="AA107" s="137">
        <f>K107</f>
        <v/>
      </c>
      <c r="AB107" s="137">
        <f>M107</f>
        <v/>
      </c>
      <c r="AC107" s="4">
        <f>N107</f>
        <v/>
      </c>
      <c r="AD107" s="138">
        <f>O107</f>
        <v/>
      </c>
      <c r="AE107" s="123">
        <f>S107</f>
        <v/>
      </c>
      <c r="AF107" s="123">
        <f>Q107&amp;"/"&amp;R107</f>
        <v/>
      </c>
      <c r="AH107" s="20">
        <f>IF(A107="","",A107)</f>
        <v/>
      </c>
      <c r="AI107" s="134">
        <f>IF(E107="","",E107)</f>
        <v/>
      </c>
      <c r="AJ107" s="123">
        <f>IF(AI107="","",$AJ$2)</f>
        <v/>
      </c>
      <c r="AK107" s="123" t="inlineStr">
        <is>
          <t>A</t>
        </is>
      </c>
      <c r="AL107" s="123" t="inlineStr">
        <is>
          <t>A+</t>
        </is>
      </c>
      <c r="AM107" s="123" t="inlineStr">
        <is>
          <t>B+</t>
        </is>
      </c>
      <c r="AN107" s="123">
        <f>IF(AI107="","",$AN$2)</f>
        <v/>
      </c>
      <c r="AO107" s="123">
        <f>IF(N107="","",IF(N107&gt;=$AO$1/100,"O","X"))</f>
        <v/>
      </c>
      <c r="AP107" s="123">
        <f>IF(I107="","",IF(I107&lt;=$AP$1,"O","X"))</f>
        <v/>
      </c>
      <c r="AQ107" s="123">
        <f>IF(O107="","",IF(O107&lt;=$AQ$1,"O","X"))</f>
        <v/>
      </c>
      <c r="AR107" s="123">
        <f>IF(M107="","",IF(M107&lt;=$AR$1,"O","X"))</f>
        <v/>
      </c>
      <c r="AS107" s="123" t="inlineStr">
        <is>
          <t>X</t>
        </is>
      </c>
      <c r="AT107" s="123">
        <f>IF(OR(F107="",AI107=""),"",IF(AND((F107&lt;=85),(AI107&gt;=15)),"O","X"))</f>
        <v/>
      </c>
      <c r="AU107" s="123">
        <f>IF(C107="","",IF(C107&gt;=$AU$1,"O","X"))</f>
        <v/>
      </c>
      <c r="AV107" s="123">
        <f>IF(AO107="","",IF(AND(AO107="O",AP107="O",AR107="O",AT107="O",AU107="O"),"후보","X"))</f>
        <v/>
      </c>
    </row>
    <row r="108">
      <c r="A108" s="9" t="n"/>
      <c r="B108" s="123" t="n"/>
      <c r="C108" s="6" t="n"/>
      <c r="D108" s="9" t="n"/>
      <c r="E108" s="14" t="n"/>
      <c r="F108" s="133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8" t="n"/>
      <c r="P108" s="138" t="n"/>
      <c r="Q108" s="134" t="n"/>
      <c r="R108" s="134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8">
        <f>IF(E108="","",E108)</f>
        <v/>
      </c>
      <c r="AJ108" s="123" t="n"/>
      <c r="AK108" s="123" t="n"/>
      <c r="AL108" s="123" t="n"/>
      <c r="AM108" s="123" t="n"/>
      <c r="AN108" s="123" t="n"/>
      <c r="AO108" s="123" t="n"/>
      <c r="AP108" s="123" t="n"/>
      <c r="AQ108" s="123" t="n"/>
      <c r="AR108" s="123" t="n"/>
      <c r="AS108" s="123" t="n"/>
      <c r="AT108" s="123" t="n"/>
      <c r="AU108" s="123" t="n"/>
      <c r="AV108" s="123" t="n"/>
    </row>
    <row r="109">
      <c r="A109" s="9" t="inlineStr">
        <is>
          <t>나운유원</t>
        </is>
      </c>
      <c r="B109" s="10" t="inlineStr">
        <is>
          <t>'90.11.</t>
        </is>
      </c>
      <c r="C109" s="135" t="n">
        <v>458</v>
      </c>
      <c r="D109" s="133" t="n">
        <v>81.3</v>
      </c>
      <c r="E109" s="134" t="n">
        <v>25</v>
      </c>
      <c r="F109" s="133" t="n">
        <v>65.09999999999999</v>
      </c>
      <c r="G109" s="17" t="n">
        <v>20</v>
      </c>
      <c r="H109" s="135" t="n">
        <v>144</v>
      </c>
      <c r="I109" s="136" t="n">
        <v>8000</v>
      </c>
      <c r="J109" s="136" t="inlineStr">
        <is>
          <t>12</t>
        </is>
      </c>
      <c r="K109" s="136" t="n">
        <v>7000</v>
      </c>
      <c r="L109" s="136" t="inlineStr">
        <is>
          <t>고</t>
        </is>
      </c>
      <c r="M109" s="137">
        <f>I109-K109</f>
        <v/>
      </c>
      <c r="N109" s="4">
        <f>IF(ISERROR(K109/I109),"",K109/I109)</f>
        <v/>
      </c>
      <c r="O109" s="138">
        <f>I109/E109</f>
        <v/>
      </c>
      <c r="P109" s="138">
        <f>K109/E109</f>
        <v/>
      </c>
      <c r="Q109" s="123" t="n">
        <v>3</v>
      </c>
      <c r="R109" s="123" t="n">
        <v>1</v>
      </c>
      <c r="S109" s="123" t="inlineStr">
        <is>
          <t>계</t>
        </is>
      </c>
      <c r="T109" s="5" t="n">
        <v>81</v>
      </c>
      <c r="U109" s="9" t="n"/>
      <c r="W109" s="133">
        <f>D109</f>
        <v/>
      </c>
      <c r="X109" s="134">
        <f>E109</f>
        <v/>
      </c>
      <c r="Y109" s="139">
        <f>H109</f>
        <v/>
      </c>
      <c r="Z109" s="137">
        <f>I109</f>
        <v/>
      </c>
      <c r="AA109" s="137">
        <f>K109</f>
        <v/>
      </c>
      <c r="AB109" s="137">
        <f>M109</f>
        <v/>
      </c>
      <c r="AC109" s="4">
        <f>N109</f>
        <v/>
      </c>
      <c r="AD109" s="138">
        <f>O109</f>
        <v/>
      </c>
      <c r="AE109" s="123">
        <f>S109</f>
        <v/>
      </c>
      <c r="AF109" s="123">
        <f>Q109&amp;"/"&amp;R109</f>
        <v/>
      </c>
      <c r="AH109" s="20">
        <f>IF(A109="","",A109)</f>
        <v/>
      </c>
      <c r="AI109" s="134">
        <f>IF(E109="","",E109)</f>
        <v/>
      </c>
      <c r="AJ109" s="123">
        <f>IF(AI109="","",$AJ$2)</f>
        <v/>
      </c>
      <c r="AK109" s="123" t="inlineStr">
        <is>
          <t>A</t>
        </is>
      </c>
      <c r="AL109" s="123" t="inlineStr">
        <is>
          <t>A+</t>
        </is>
      </c>
      <c r="AM109" s="123" t="inlineStr">
        <is>
          <t>B+</t>
        </is>
      </c>
      <c r="AN109" s="123">
        <f>IF(AI109="","",$AN$2)</f>
        <v/>
      </c>
      <c r="AO109" s="123">
        <f>IF(N109="","",IF(N109&gt;=$AO$1/100,"O","X"))</f>
        <v/>
      </c>
      <c r="AP109" s="123">
        <f>IF(I109="","",IF(I109&lt;=$AP$1,"O","X"))</f>
        <v/>
      </c>
      <c r="AQ109" s="123">
        <f>IF(O109="","",IF(O109&lt;=$AQ$1,"O","X"))</f>
        <v/>
      </c>
      <c r="AR109" s="123">
        <f>IF(M109="","",IF(M109&lt;=$AR$1,"O","X"))</f>
        <v/>
      </c>
      <c r="AS109" s="123" t="inlineStr">
        <is>
          <t>X</t>
        </is>
      </c>
      <c r="AT109" s="123">
        <f>IF(OR(F109="",AI109=""),"",IF(AND((F109&lt;=85),(AI109&gt;=15)),"O","X"))</f>
        <v/>
      </c>
      <c r="AU109" s="123">
        <f>IF(C109="","",IF(C109&gt;=$AU$1,"O","X"))</f>
        <v/>
      </c>
      <c r="AV109" s="123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5" t="n">
        <v>458</v>
      </c>
      <c r="D110" s="133" t="n">
        <v>96.8</v>
      </c>
      <c r="E110" s="134" t="n">
        <v>29</v>
      </c>
      <c r="F110" s="133" t="n">
        <v>78.09999999999999</v>
      </c>
      <c r="G110" s="17" t="n">
        <v>24</v>
      </c>
      <c r="H110" s="135" t="n">
        <v>69</v>
      </c>
      <c r="I110" s="136" t="n"/>
      <c r="J110" s="136" t="n"/>
      <c r="K110" s="136" t="n"/>
      <c r="L110" s="136" t="n"/>
      <c r="M110" s="137">
        <f>I110-K110</f>
        <v/>
      </c>
      <c r="N110" s="4">
        <f>IF(ISERROR(K110/I110),"",K110/I110)</f>
        <v/>
      </c>
      <c r="O110" s="138">
        <f>I110/E110</f>
        <v/>
      </c>
      <c r="P110" s="138">
        <f>K110/E110</f>
        <v/>
      </c>
      <c r="Q110" s="123" t="n">
        <v>3</v>
      </c>
      <c r="R110" s="123" t="n">
        <v>1</v>
      </c>
      <c r="S110" s="123" t="inlineStr">
        <is>
          <t>계</t>
        </is>
      </c>
      <c r="T110" s="5" t="n">
        <v>96</v>
      </c>
      <c r="U110" s="9" t="n"/>
      <c r="W110" s="133">
        <f>D110</f>
        <v/>
      </c>
      <c r="X110" s="134">
        <f>E110</f>
        <v/>
      </c>
      <c r="Y110" s="139">
        <f>H110</f>
        <v/>
      </c>
      <c r="Z110" s="137">
        <f>I110</f>
        <v/>
      </c>
      <c r="AA110" s="137">
        <f>K110</f>
        <v/>
      </c>
      <c r="AB110" s="137">
        <f>M110</f>
        <v/>
      </c>
      <c r="AC110" s="4">
        <f>N110</f>
        <v/>
      </c>
      <c r="AD110" s="138">
        <f>O110</f>
        <v/>
      </c>
      <c r="AE110" s="123">
        <f>S110</f>
        <v/>
      </c>
      <c r="AF110" s="123">
        <f>Q110&amp;"/"&amp;R110</f>
        <v/>
      </c>
      <c r="AH110" s="20">
        <f>IF(A110="","",A110)</f>
        <v/>
      </c>
      <c r="AI110" s="134">
        <f>IF(E110="","",E110)</f>
        <v/>
      </c>
      <c r="AJ110" s="123">
        <f>IF(AI110="","",$AJ$2)</f>
        <v/>
      </c>
      <c r="AK110" s="123" t="inlineStr">
        <is>
          <t>A</t>
        </is>
      </c>
      <c r="AL110" s="123" t="inlineStr">
        <is>
          <t>A+</t>
        </is>
      </c>
      <c r="AM110" s="123" t="inlineStr">
        <is>
          <t>B+</t>
        </is>
      </c>
      <c r="AN110" s="123">
        <f>IF(AI110="","",$AN$2)</f>
        <v/>
      </c>
      <c r="AO110" s="123">
        <f>IF(N110="","",IF(N110&gt;=$AO$1/100,"O","X"))</f>
        <v/>
      </c>
      <c r="AP110" s="123">
        <f>IF(I110="","",IF(I110&lt;=$AP$1,"O","X"))</f>
        <v/>
      </c>
      <c r="AQ110" s="123">
        <f>IF(O110="","",IF(O110&lt;=$AQ$1,"O","X"))</f>
        <v/>
      </c>
      <c r="AR110" s="123">
        <f>IF(M110="","",IF(M110&lt;=$AR$1,"O","X"))</f>
        <v/>
      </c>
      <c r="AS110" s="123" t="inlineStr">
        <is>
          <t>X</t>
        </is>
      </c>
      <c r="AT110" s="123">
        <f>IF(OR(F110="",AI110=""),"",IF(AND((F110&lt;=85),(AI110&gt;=15)),"O","X"))</f>
        <v/>
      </c>
      <c r="AU110" s="123">
        <f>IF(C110="","",IF(C110&gt;=$AU$1,"O","X"))</f>
        <v/>
      </c>
      <c r="AV110" s="123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5" t="n">
        <v>458</v>
      </c>
      <c r="D111" s="133" t="n">
        <v>104.1</v>
      </c>
      <c r="E111" s="134" t="n">
        <v>31</v>
      </c>
      <c r="F111" s="133" t="n">
        <v>85</v>
      </c>
      <c r="G111" s="17" t="n">
        <v>26</v>
      </c>
      <c r="H111" s="135" t="n">
        <v>245</v>
      </c>
      <c r="I111" s="136" t="n">
        <v>11500</v>
      </c>
      <c r="J111" s="136" t="inlineStr">
        <is>
          <t>고</t>
        </is>
      </c>
      <c r="K111" s="136" t="n"/>
      <c r="L111" s="136" t="n"/>
      <c r="M111" s="137">
        <f>I111-K111</f>
        <v/>
      </c>
      <c r="N111" s="4">
        <f>IF(ISERROR(K111/I111),"",K111/I111)</f>
        <v/>
      </c>
      <c r="O111" s="138">
        <f>I111/E111</f>
        <v/>
      </c>
      <c r="P111" s="138">
        <f>K111/E111</f>
        <v/>
      </c>
      <c r="Q111" s="123" t="n">
        <v>3</v>
      </c>
      <c r="R111" s="123" t="n">
        <v>2</v>
      </c>
      <c r="S111" s="123" t="inlineStr">
        <is>
          <t>계</t>
        </is>
      </c>
      <c r="T111" s="5" t="n">
        <v>104</v>
      </c>
      <c r="U111" s="9" t="n"/>
      <c r="W111" s="133">
        <f>D111</f>
        <v/>
      </c>
      <c r="X111" s="134">
        <f>E111</f>
        <v/>
      </c>
      <c r="Y111" s="139">
        <f>H111</f>
        <v/>
      </c>
      <c r="Z111" s="137">
        <f>I111</f>
        <v/>
      </c>
      <c r="AA111" s="137">
        <f>K111</f>
        <v/>
      </c>
      <c r="AB111" s="137">
        <f>M111</f>
        <v/>
      </c>
      <c r="AC111" s="4">
        <f>N111</f>
        <v/>
      </c>
      <c r="AD111" s="138">
        <f>O111</f>
        <v/>
      </c>
      <c r="AE111" s="123">
        <f>S111</f>
        <v/>
      </c>
      <c r="AF111" s="123">
        <f>Q111&amp;"/"&amp;R111</f>
        <v/>
      </c>
      <c r="AH111" s="20">
        <f>IF(A111="","",A111)</f>
        <v/>
      </c>
      <c r="AI111" s="134">
        <f>IF(E111="","",E111)</f>
        <v/>
      </c>
      <c r="AJ111" s="123">
        <f>IF(AI111="","",$AJ$2)</f>
        <v/>
      </c>
      <c r="AK111" s="123" t="inlineStr">
        <is>
          <t>A</t>
        </is>
      </c>
      <c r="AL111" s="123" t="inlineStr">
        <is>
          <t>A+</t>
        </is>
      </c>
      <c r="AM111" s="123" t="inlineStr">
        <is>
          <t>B+</t>
        </is>
      </c>
      <c r="AN111" s="123">
        <f>IF(AI111="","",$AN$2)</f>
        <v/>
      </c>
      <c r="AO111" s="123">
        <f>IF(N111="","",IF(N111&gt;=$AO$1/100,"O","X"))</f>
        <v/>
      </c>
      <c r="AP111" s="123">
        <f>IF(I111="","",IF(I111&lt;=$AP$1,"O","X"))</f>
        <v/>
      </c>
      <c r="AQ111" s="123">
        <f>IF(O111="","",IF(O111&lt;=$AQ$1,"O","X"))</f>
        <v/>
      </c>
      <c r="AR111" s="123">
        <f>IF(M111="","",IF(M111&lt;=$AR$1,"O","X"))</f>
        <v/>
      </c>
      <c r="AS111" s="123" t="inlineStr">
        <is>
          <t>X</t>
        </is>
      </c>
      <c r="AT111" s="123">
        <f>IF(OR(F111="",AI111=""),"",IF(AND((F111&lt;=85),(AI111&gt;=15)),"O","X"))</f>
        <v/>
      </c>
      <c r="AU111" s="123">
        <f>IF(C111="","",IF(C111&gt;=$AU$1,"O","X"))</f>
        <v/>
      </c>
      <c r="AV111" s="123">
        <f>IF(AO111="","",IF(AND(AO111="O",AP111="O",AR111="O",AT111="O",AU111="O"),"후보","X"))</f>
        <v/>
      </c>
    </row>
    <row r="112">
      <c r="A112" s="9" t="n"/>
      <c r="B112" s="123" t="n"/>
      <c r="C112" s="6" t="n"/>
      <c r="D112" s="9" t="n"/>
      <c r="E112" s="14" t="n"/>
      <c r="F112" s="133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8" t="n"/>
      <c r="P112" s="138" t="n"/>
      <c r="Q112" s="134" t="n"/>
      <c r="R112" s="134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8">
        <f>IF(E112="","",E112)</f>
        <v/>
      </c>
      <c r="AJ112" s="123" t="n"/>
      <c r="AK112" s="123" t="n"/>
      <c r="AL112" s="123" t="n"/>
      <c r="AM112" s="123" t="n"/>
      <c r="AN112" s="123" t="n"/>
      <c r="AO112" s="123" t="n"/>
      <c r="AP112" s="123" t="n"/>
      <c r="AQ112" s="123" t="n"/>
      <c r="AR112" s="123" t="n"/>
      <c r="AS112" s="123" t="n"/>
      <c r="AT112" s="123" t="n"/>
      <c r="AU112" s="123" t="n"/>
      <c r="AV112" s="123" t="n"/>
    </row>
    <row r="113">
      <c r="A113" s="9" t="inlineStr">
        <is>
          <t>주공5단지</t>
        </is>
      </c>
      <c r="B113" s="10" t="inlineStr">
        <is>
          <t>'95.07.</t>
        </is>
      </c>
      <c r="C113" s="135" t="n">
        <v>1541</v>
      </c>
      <c r="D113" s="133" t="n">
        <v>54.8</v>
      </c>
      <c r="E113" s="134" t="n">
        <v>17</v>
      </c>
      <c r="F113" s="133" t="n">
        <v>37.7</v>
      </c>
      <c r="G113" s="17" t="n">
        <v>11</v>
      </c>
      <c r="H113" s="135" t="n">
        <v>149</v>
      </c>
      <c r="I113" s="136" t="n"/>
      <c r="J113" s="136" t="n"/>
      <c r="K113" s="136" t="n"/>
      <c r="L113" s="136" t="n"/>
      <c r="M113" s="137">
        <f>I113-K113</f>
        <v/>
      </c>
      <c r="N113" s="4">
        <f>IF(ISERROR(K113/I113),"",K113/I113)</f>
        <v/>
      </c>
      <c r="O113" s="138">
        <f>I113/E113</f>
        <v/>
      </c>
      <c r="P113" s="138">
        <f>K113/E113</f>
        <v/>
      </c>
      <c r="Q113" s="123" t="n">
        <v>2</v>
      </c>
      <c r="R113" s="123" t="n">
        <v>1</v>
      </c>
      <c r="S113" s="123" t="inlineStr">
        <is>
          <t>복</t>
        </is>
      </c>
      <c r="T113" s="5" t="n">
        <v>54</v>
      </c>
      <c r="U113" s="9" t="n"/>
      <c r="W113" s="133">
        <f>D113</f>
        <v/>
      </c>
      <c r="X113" s="134">
        <f>E113</f>
        <v/>
      </c>
      <c r="Y113" s="139">
        <f>H113</f>
        <v/>
      </c>
      <c r="Z113" s="137">
        <f>I113</f>
        <v/>
      </c>
      <c r="AA113" s="137">
        <f>K113</f>
        <v/>
      </c>
      <c r="AB113" s="137">
        <f>M113</f>
        <v/>
      </c>
      <c r="AC113" s="4">
        <f>N113</f>
        <v/>
      </c>
      <c r="AD113" s="138">
        <f>O113</f>
        <v/>
      </c>
      <c r="AE113" s="123">
        <f>S113</f>
        <v/>
      </c>
      <c r="AF113" s="123">
        <f>Q113&amp;"/"&amp;R113</f>
        <v/>
      </c>
      <c r="AH113" s="20">
        <f>IF(A113="","",A113)</f>
        <v/>
      </c>
      <c r="AI113" s="134">
        <f>IF(E113="","",E113)</f>
        <v/>
      </c>
      <c r="AJ113" s="123">
        <f>IF(AI113="","",$AJ$2)</f>
        <v/>
      </c>
      <c r="AK113" s="123" t="inlineStr">
        <is>
          <t>A</t>
        </is>
      </c>
      <c r="AL113" s="123" t="inlineStr">
        <is>
          <t>A+</t>
        </is>
      </c>
      <c r="AM113" s="123" t="inlineStr">
        <is>
          <t>B+</t>
        </is>
      </c>
      <c r="AN113" s="123">
        <f>IF(AI113="","",$AN$2)</f>
        <v/>
      </c>
      <c r="AO113" s="123">
        <f>IF(N113="","",IF(N113&gt;=$AO$1/100,"O","X"))</f>
        <v/>
      </c>
      <c r="AP113" s="123">
        <f>IF(I113="","",IF(I113&lt;=$AP$1,"O","X"))</f>
        <v/>
      </c>
      <c r="AQ113" s="123">
        <f>IF(O113="","",IF(O113&lt;=$AQ$1,"O","X"))</f>
        <v/>
      </c>
      <c r="AR113" s="123">
        <f>IF(M113="","",IF(M113&lt;=$AR$1,"O","X"))</f>
        <v/>
      </c>
      <c r="AS113" s="123" t="inlineStr">
        <is>
          <t>X</t>
        </is>
      </c>
      <c r="AT113" s="123">
        <f>IF(OR(F113="",AI113=""),"",IF(AND((F113&lt;=85),(AI113&gt;=15)),"O","X"))</f>
        <v/>
      </c>
      <c r="AU113" s="123">
        <f>IF(C113="","",IF(C113&gt;=$AU$1,"O","X"))</f>
        <v/>
      </c>
      <c r="AV113" s="123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5" t="n">
        <v>1541</v>
      </c>
      <c r="D114" s="133" t="n">
        <v>69.8</v>
      </c>
      <c r="E114" s="134" t="n">
        <v>21</v>
      </c>
      <c r="F114" s="133" t="n">
        <v>49.7</v>
      </c>
      <c r="G114" s="17" t="n">
        <v>15</v>
      </c>
      <c r="H114" s="135" t="n">
        <v>149</v>
      </c>
      <c r="I114" s="136" t="n">
        <v>8000</v>
      </c>
      <c r="J114" s="136" t="inlineStr">
        <is>
          <t>8</t>
        </is>
      </c>
      <c r="K114" s="136" t="n"/>
      <c r="L114" s="136" t="n"/>
      <c r="M114" s="137">
        <f>I114-K114</f>
        <v/>
      </c>
      <c r="N114" s="4">
        <f>IF(ISERROR(K114/I114),"",K114/I114)</f>
        <v/>
      </c>
      <c r="O114" s="138">
        <f>I114/E114</f>
        <v/>
      </c>
      <c r="P114" s="138">
        <f>K114/E114</f>
        <v/>
      </c>
      <c r="Q114" s="123" t="n">
        <v>2</v>
      </c>
      <c r="R114" s="123" t="n">
        <v>1</v>
      </c>
      <c r="S114" s="123" t="inlineStr">
        <is>
          <t>복</t>
        </is>
      </c>
      <c r="T114" s="5" t="n">
        <v>69</v>
      </c>
      <c r="U114" s="9" t="n"/>
      <c r="W114" s="133">
        <f>D114</f>
        <v/>
      </c>
      <c r="X114" s="134">
        <f>E114</f>
        <v/>
      </c>
      <c r="Y114" s="139">
        <f>H114</f>
        <v/>
      </c>
      <c r="Z114" s="137">
        <f>I114</f>
        <v/>
      </c>
      <c r="AA114" s="137">
        <f>K114</f>
        <v/>
      </c>
      <c r="AB114" s="137">
        <f>M114</f>
        <v/>
      </c>
      <c r="AC114" s="4">
        <f>N114</f>
        <v/>
      </c>
      <c r="AD114" s="138">
        <f>O114</f>
        <v/>
      </c>
      <c r="AE114" s="123">
        <f>S114</f>
        <v/>
      </c>
      <c r="AF114" s="123">
        <f>Q114&amp;"/"&amp;R114</f>
        <v/>
      </c>
      <c r="AH114" s="20">
        <f>IF(A114="","",A114)</f>
        <v/>
      </c>
      <c r="AI114" s="134">
        <f>IF(E114="","",E114)</f>
        <v/>
      </c>
      <c r="AJ114" s="123">
        <f>IF(AI114="","",$AJ$2)</f>
        <v/>
      </c>
      <c r="AK114" s="123" t="inlineStr">
        <is>
          <t>A</t>
        </is>
      </c>
      <c r="AL114" s="123" t="inlineStr">
        <is>
          <t>A+</t>
        </is>
      </c>
      <c r="AM114" s="123" t="inlineStr">
        <is>
          <t>B+</t>
        </is>
      </c>
      <c r="AN114" s="123">
        <f>IF(AI114="","",$AN$2)</f>
        <v/>
      </c>
      <c r="AO114" s="123">
        <f>IF(N114="","",IF(N114&gt;=$AO$1/100,"O","X"))</f>
        <v/>
      </c>
      <c r="AP114" s="123">
        <f>IF(I114="","",IF(I114&lt;=$AP$1,"O","X"))</f>
        <v/>
      </c>
      <c r="AQ114" s="123">
        <f>IF(O114="","",IF(O114&lt;=$AQ$1,"O","X"))</f>
        <v/>
      </c>
      <c r="AR114" s="123">
        <f>IF(M114="","",IF(M114&lt;=$AR$1,"O","X"))</f>
        <v/>
      </c>
      <c r="AS114" s="123" t="inlineStr">
        <is>
          <t>X</t>
        </is>
      </c>
      <c r="AT114" s="123">
        <f>IF(OR(F114="",AI114=""),"",IF(AND((F114&lt;=85),(AI114&gt;=15)),"O","X"))</f>
        <v/>
      </c>
      <c r="AU114" s="123">
        <f>IF(C114="","",IF(C114&gt;=$AU$1,"O","X"))</f>
        <v/>
      </c>
      <c r="AV114" s="123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5" t="n">
        <v>1541</v>
      </c>
      <c r="D115" s="133" t="n">
        <v>79.2</v>
      </c>
      <c r="E115" s="134" t="n">
        <v>24</v>
      </c>
      <c r="F115" s="133" t="n">
        <v>58.1</v>
      </c>
      <c r="G115" s="17" t="n">
        <v>18</v>
      </c>
      <c r="H115" s="135" t="n">
        <v>1243</v>
      </c>
      <c r="I115" s="136" t="n">
        <v>8300</v>
      </c>
      <c r="J115" s="136" t="inlineStr">
        <is>
          <t>6</t>
        </is>
      </c>
      <c r="K115" s="136" t="n">
        <v>7000</v>
      </c>
      <c r="L115" s="136" t="inlineStr">
        <is>
          <t>6</t>
        </is>
      </c>
      <c r="M115" s="137">
        <f>I115-K115</f>
        <v/>
      </c>
      <c r="N115" s="4">
        <f>IF(ISERROR(K115/I115),"",K115/I115)</f>
        <v/>
      </c>
      <c r="O115" s="138">
        <f>I115/E115</f>
        <v/>
      </c>
      <c r="P115" s="138">
        <f>K115/E115</f>
        <v/>
      </c>
      <c r="Q115" s="123" t="n">
        <v>3</v>
      </c>
      <c r="R115" s="123" t="n">
        <v>1</v>
      </c>
      <c r="S115" s="123" t="inlineStr">
        <is>
          <t>복</t>
        </is>
      </c>
      <c r="T115" s="5" t="n">
        <v>79</v>
      </c>
      <c r="U115" s="9" t="n"/>
      <c r="W115" s="133">
        <f>D115</f>
        <v/>
      </c>
      <c r="X115" s="134">
        <f>E115</f>
        <v/>
      </c>
      <c r="Y115" s="139">
        <f>H115</f>
        <v/>
      </c>
      <c r="Z115" s="137">
        <f>I115</f>
        <v/>
      </c>
      <c r="AA115" s="137">
        <f>K115</f>
        <v/>
      </c>
      <c r="AB115" s="137">
        <f>M115</f>
        <v/>
      </c>
      <c r="AC115" s="4">
        <f>N115</f>
        <v/>
      </c>
      <c r="AD115" s="138">
        <f>O115</f>
        <v/>
      </c>
      <c r="AE115" s="123">
        <f>S115</f>
        <v/>
      </c>
      <c r="AF115" s="123">
        <f>Q115&amp;"/"&amp;R115</f>
        <v/>
      </c>
      <c r="AH115" s="20">
        <f>IF(A115="","",A115)</f>
        <v/>
      </c>
      <c r="AI115" s="134">
        <f>IF(E115="","",E115)</f>
        <v/>
      </c>
      <c r="AJ115" s="123">
        <f>IF(AI115="","",$AJ$2)</f>
        <v/>
      </c>
      <c r="AK115" s="123" t="inlineStr">
        <is>
          <t>A</t>
        </is>
      </c>
      <c r="AL115" s="123" t="inlineStr">
        <is>
          <t>A+</t>
        </is>
      </c>
      <c r="AM115" s="123" t="inlineStr">
        <is>
          <t>B+</t>
        </is>
      </c>
      <c r="AN115" s="123">
        <f>IF(AI115="","",$AN$2)</f>
        <v/>
      </c>
      <c r="AO115" s="123">
        <f>IF(N115="","",IF(N115&gt;=$AO$1/100,"O","X"))</f>
        <v/>
      </c>
      <c r="AP115" s="123">
        <f>IF(I115="","",IF(I115&lt;=$AP$1,"O","X"))</f>
        <v/>
      </c>
      <c r="AQ115" s="123">
        <f>IF(O115="","",IF(O115&lt;=$AQ$1,"O","X"))</f>
        <v/>
      </c>
      <c r="AR115" s="123">
        <f>IF(M115="","",IF(M115&lt;=$AR$1,"O","X"))</f>
        <v/>
      </c>
      <c r="AS115" s="123" t="inlineStr">
        <is>
          <t>X</t>
        </is>
      </c>
      <c r="AT115" s="123">
        <f>IF(OR(F115="",AI115=""),"",IF(AND((F115&lt;=85),(AI115&gt;=15)),"O","X"))</f>
        <v/>
      </c>
      <c r="AU115" s="123">
        <f>IF(C115="","",IF(C115&gt;=$AU$1,"O","X"))</f>
        <v/>
      </c>
      <c r="AV115" s="123">
        <f>IF(AO115="","",IF(AND(AO115="O",AP115="O",AR115="O",AT115="O",AU115="O"),"후보","X"))</f>
        <v/>
      </c>
    </row>
    <row r="116">
      <c r="A116" s="9" t="n"/>
      <c r="B116" s="123" t="n"/>
      <c r="C116" s="6" t="n"/>
      <c r="D116" s="9" t="n"/>
      <c r="E116" s="14" t="n"/>
      <c r="F116" s="133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8" t="n"/>
      <c r="P116" s="138" t="n"/>
      <c r="Q116" s="134" t="n"/>
      <c r="R116" s="134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8">
        <f>IF(E116="","",E116)</f>
        <v/>
      </c>
      <c r="AJ116" s="123" t="n"/>
      <c r="AK116" s="123" t="n"/>
      <c r="AL116" s="123" t="n"/>
      <c r="AM116" s="123" t="n"/>
      <c r="AN116" s="123" t="n"/>
      <c r="AO116" s="123" t="n"/>
      <c r="AP116" s="123" t="n"/>
      <c r="AQ116" s="123" t="n"/>
      <c r="AR116" s="123" t="n"/>
      <c r="AS116" s="123" t="n"/>
      <c r="AT116" s="123" t="n"/>
      <c r="AU116" s="123" t="n"/>
      <c r="AV116" s="123" t="n"/>
    </row>
    <row r="117">
      <c r="A117" s="9" t="inlineStr">
        <is>
          <t>현대4차</t>
        </is>
      </c>
      <c r="B117" s="10" t="inlineStr">
        <is>
          <t>'98.09.</t>
        </is>
      </c>
      <c r="C117" s="135" t="n">
        <v>636</v>
      </c>
      <c r="D117" s="133" t="n">
        <v>74.8</v>
      </c>
      <c r="E117" s="134" t="n">
        <v>23</v>
      </c>
      <c r="F117" s="133" t="n">
        <v>60</v>
      </c>
      <c r="G117" s="17" t="n">
        <v>18</v>
      </c>
      <c r="H117" s="135" t="n">
        <v>64</v>
      </c>
      <c r="I117" s="136" t="n">
        <v>13000</v>
      </c>
      <c r="J117" s="136" t="inlineStr">
        <is>
          <t>5</t>
        </is>
      </c>
      <c r="K117" s="136" t="n"/>
      <c r="L117" s="136" t="n"/>
      <c r="M117" s="137">
        <f>I117-K117</f>
        <v/>
      </c>
      <c r="N117" s="4">
        <f>IF(ISERROR(K117/I117),"",K117/I117)</f>
        <v/>
      </c>
      <c r="O117" s="138">
        <f>I117/E117</f>
        <v/>
      </c>
      <c r="P117" s="138">
        <f>K117/E117</f>
        <v/>
      </c>
      <c r="Q117" s="123" t="n">
        <v>3</v>
      </c>
      <c r="R117" s="123" t="n">
        <v>1</v>
      </c>
      <c r="S117" s="123" t="inlineStr">
        <is>
          <t>계</t>
        </is>
      </c>
      <c r="T117" s="5" t="n">
        <v>74</v>
      </c>
      <c r="U117" s="9" t="n"/>
      <c r="W117" s="133">
        <f>D117</f>
        <v/>
      </c>
      <c r="X117" s="134">
        <f>E117</f>
        <v/>
      </c>
      <c r="Y117" s="139">
        <f>H117</f>
        <v/>
      </c>
      <c r="Z117" s="137">
        <f>I117</f>
        <v/>
      </c>
      <c r="AA117" s="137">
        <f>K117</f>
        <v/>
      </c>
      <c r="AB117" s="137">
        <f>M117</f>
        <v/>
      </c>
      <c r="AC117" s="4">
        <f>N117</f>
        <v/>
      </c>
      <c r="AD117" s="138">
        <f>O117</f>
        <v/>
      </c>
      <c r="AE117" s="123">
        <f>S117</f>
        <v/>
      </c>
      <c r="AF117" s="123">
        <f>Q117&amp;"/"&amp;R117</f>
        <v/>
      </c>
      <c r="AH117" s="20">
        <f>IF(A117="","",A117)</f>
        <v/>
      </c>
      <c r="AI117" s="134">
        <f>IF(E117="","",E117)</f>
        <v/>
      </c>
      <c r="AJ117" s="123">
        <f>IF(AI117="","",$AJ$2)</f>
        <v/>
      </c>
      <c r="AK117" s="123" t="inlineStr">
        <is>
          <t>A</t>
        </is>
      </c>
      <c r="AL117" s="123" t="inlineStr">
        <is>
          <t>A+</t>
        </is>
      </c>
      <c r="AM117" s="123" t="inlineStr">
        <is>
          <t>B+</t>
        </is>
      </c>
      <c r="AN117" s="123">
        <f>IF(AI117="","",$AN$2)</f>
        <v/>
      </c>
      <c r="AO117" s="123">
        <f>IF(N117="","",IF(N117&gt;=$AO$1/100,"O","X"))</f>
        <v/>
      </c>
      <c r="AP117" s="123">
        <f>IF(I117="","",IF(I117&lt;=$AP$1,"O","X"))</f>
        <v/>
      </c>
      <c r="AQ117" s="123">
        <f>IF(O117="","",IF(O117&lt;=$AQ$1,"O","X"))</f>
        <v/>
      </c>
      <c r="AR117" s="123">
        <f>IF(M117="","",IF(M117&lt;=$AR$1,"O","X"))</f>
        <v/>
      </c>
      <c r="AS117" s="123" t="inlineStr">
        <is>
          <t>X</t>
        </is>
      </c>
      <c r="AT117" s="123">
        <f>IF(OR(F117="",AI117=""),"",IF(AND((F117&lt;=85),(AI117&gt;=15)),"O","X"))</f>
        <v/>
      </c>
      <c r="AU117" s="123">
        <f>IF(C117="","",IF(C117&gt;=$AU$1,"O","X"))</f>
        <v/>
      </c>
      <c r="AV117" s="123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5" t="n">
        <v>636</v>
      </c>
      <c r="D118" s="133" t="n">
        <v>93.7</v>
      </c>
      <c r="E118" s="134" t="n">
        <v>28</v>
      </c>
      <c r="F118" s="133" t="n">
        <v>75.2</v>
      </c>
      <c r="G118" s="17" t="n">
        <v>23</v>
      </c>
      <c r="H118" s="135" t="n">
        <v>68</v>
      </c>
      <c r="I118" s="136" t="n"/>
      <c r="J118" s="136" t="n"/>
      <c r="K118" s="136" t="n"/>
      <c r="L118" s="136" t="n"/>
      <c r="M118" s="137">
        <f>I118-K118</f>
        <v/>
      </c>
      <c r="N118" s="4">
        <f>IF(ISERROR(K118/I118),"",K118/I118)</f>
        <v/>
      </c>
      <c r="O118" s="138">
        <f>I118/E118</f>
        <v/>
      </c>
      <c r="P118" s="138">
        <f>K118/E118</f>
        <v/>
      </c>
      <c r="Q118" s="123" t="n">
        <v>3</v>
      </c>
      <c r="R118" s="123" t="n">
        <v>1</v>
      </c>
      <c r="S118" s="123" t="inlineStr">
        <is>
          <t>계</t>
        </is>
      </c>
      <c r="T118" s="5" t="n">
        <v>93</v>
      </c>
      <c r="U118" s="9" t="n"/>
      <c r="W118" s="133">
        <f>D118</f>
        <v/>
      </c>
      <c r="X118" s="134">
        <f>E118</f>
        <v/>
      </c>
      <c r="Y118" s="139">
        <f>H118</f>
        <v/>
      </c>
      <c r="Z118" s="137">
        <f>I118</f>
        <v/>
      </c>
      <c r="AA118" s="137">
        <f>K118</f>
        <v/>
      </c>
      <c r="AB118" s="137">
        <f>M118</f>
        <v/>
      </c>
      <c r="AC118" s="4">
        <f>N118</f>
        <v/>
      </c>
      <c r="AD118" s="138">
        <f>O118</f>
        <v/>
      </c>
      <c r="AE118" s="123">
        <f>S118</f>
        <v/>
      </c>
      <c r="AF118" s="123">
        <f>Q118&amp;"/"&amp;R118</f>
        <v/>
      </c>
      <c r="AH118" s="20">
        <f>IF(A118="","",A118)</f>
        <v/>
      </c>
      <c r="AI118" s="134">
        <f>IF(E118="","",E118)</f>
        <v/>
      </c>
      <c r="AJ118" s="123">
        <f>IF(AI118="","",$AJ$2)</f>
        <v/>
      </c>
      <c r="AK118" s="123" t="inlineStr">
        <is>
          <t>A</t>
        </is>
      </c>
      <c r="AL118" s="123" t="inlineStr">
        <is>
          <t>A+</t>
        </is>
      </c>
      <c r="AM118" s="123" t="inlineStr">
        <is>
          <t>B+</t>
        </is>
      </c>
      <c r="AN118" s="123">
        <f>IF(AI118="","",$AN$2)</f>
        <v/>
      </c>
      <c r="AO118" s="123">
        <f>IF(N118="","",IF(N118&gt;=$AO$1/100,"O","X"))</f>
        <v/>
      </c>
      <c r="AP118" s="123">
        <f>IF(I118="","",IF(I118&lt;=$AP$1,"O","X"))</f>
        <v/>
      </c>
      <c r="AQ118" s="123">
        <f>IF(O118="","",IF(O118&lt;=$AQ$1,"O","X"))</f>
        <v/>
      </c>
      <c r="AR118" s="123">
        <f>IF(M118="","",IF(M118&lt;=$AR$1,"O","X"))</f>
        <v/>
      </c>
      <c r="AS118" s="123" t="inlineStr">
        <is>
          <t>X</t>
        </is>
      </c>
      <c r="AT118" s="123">
        <f>IF(OR(F118="",AI118=""),"",IF(AND((F118&lt;=85),(AI118&gt;=15)),"O","X"))</f>
        <v/>
      </c>
      <c r="AU118" s="123">
        <f>IF(C118="","",IF(C118&gt;=$AU$1,"O","X"))</f>
        <v/>
      </c>
      <c r="AV118" s="123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5" t="n">
        <v>636</v>
      </c>
      <c r="D119" s="133" t="n">
        <v>105.9</v>
      </c>
      <c r="E119" s="134" t="n">
        <v>32</v>
      </c>
      <c r="F119" s="133" t="n">
        <v>85</v>
      </c>
      <c r="G119" s="17" t="n">
        <v>26</v>
      </c>
      <c r="H119" s="135" t="n">
        <v>386</v>
      </c>
      <c r="I119" s="136" t="n">
        <v>19200</v>
      </c>
      <c r="J119" s="136" t="inlineStr">
        <is>
          <t>10</t>
        </is>
      </c>
      <c r="K119" s="136" t="n"/>
      <c r="L119" s="136" t="n"/>
      <c r="M119" s="137">
        <f>I119-K119</f>
        <v/>
      </c>
      <c r="N119" s="4">
        <f>IF(ISERROR(K119/I119),"",K119/I119)</f>
        <v/>
      </c>
      <c r="O119" s="138">
        <f>I119/E119</f>
        <v/>
      </c>
      <c r="P119" s="138">
        <f>K119/E119</f>
        <v/>
      </c>
      <c r="Q119" s="123" t="n">
        <v>3</v>
      </c>
      <c r="R119" s="123" t="n">
        <v>2</v>
      </c>
      <c r="S119" s="123" t="inlineStr">
        <is>
          <t>계</t>
        </is>
      </c>
      <c r="T119" s="5" t="n">
        <v>105</v>
      </c>
      <c r="U119" s="9" t="n"/>
      <c r="W119" s="133">
        <f>D119</f>
        <v/>
      </c>
      <c r="X119" s="134">
        <f>E119</f>
        <v/>
      </c>
      <c r="Y119" s="139">
        <f>H119</f>
        <v/>
      </c>
      <c r="Z119" s="137">
        <f>I119</f>
        <v/>
      </c>
      <c r="AA119" s="137">
        <f>K119</f>
        <v/>
      </c>
      <c r="AB119" s="137">
        <f>M119</f>
        <v/>
      </c>
      <c r="AC119" s="4">
        <f>N119</f>
        <v/>
      </c>
      <c r="AD119" s="138">
        <f>O119</f>
        <v/>
      </c>
      <c r="AE119" s="123">
        <f>S119</f>
        <v/>
      </c>
      <c r="AF119" s="123">
        <f>Q119&amp;"/"&amp;R119</f>
        <v/>
      </c>
      <c r="AH119" s="20">
        <f>IF(A119="","",A119)</f>
        <v/>
      </c>
      <c r="AI119" s="134">
        <f>IF(E119="","",E119)</f>
        <v/>
      </c>
      <c r="AJ119" s="123">
        <f>IF(AI119="","",$AJ$2)</f>
        <v/>
      </c>
      <c r="AK119" s="123" t="inlineStr">
        <is>
          <t>A</t>
        </is>
      </c>
      <c r="AL119" s="123" t="inlineStr">
        <is>
          <t>A+</t>
        </is>
      </c>
      <c r="AM119" s="123" t="inlineStr">
        <is>
          <t>B+</t>
        </is>
      </c>
      <c r="AN119" s="123">
        <f>IF(AI119="","",$AN$2)</f>
        <v/>
      </c>
      <c r="AO119" s="123">
        <f>IF(N119="","",IF(N119&gt;=$AO$1/100,"O","X"))</f>
        <v/>
      </c>
      <c r="AP119" s="123">
        <f>IF(I119="","",IF(I119&lt;=$AP$1,"O","X"))</f>
        <v/>
      </c>
      <c r="AQ119" s="123">
        <f>IF(O119="","",IF(O119&lt;=$AQ$1,"O","X"))</f>
        <v/>
      </c>
      <c r="AR119" s="123">
        <f>IF(M119="","",IF(M119&lt;=$AR$1,"O","X"))</f>
        <v/>
      </c>
      <c r="AS119" s="123" t="inlineStr">
        <is>
          <t>X</t>
        </is>
      </c>
      <c r="AT119" s="123">
        <f>IF(OR(F119="",AI119=""),"",IF(AND((F119&lt;=85),(AI119&gt;=15)),"O","X"))</f>
        <v/>
      </c>
      <c r="AU119" s="123">
        <f>IF(C119="","",IF(C119&gt;=$AU$1,"O","X"))</f>
        <v/>
      </c>
      <c r="AV119" s="123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5" t="n">
        <v>636</v>
      </c>
      <c r="D120" s="133" t="n">
        <v>124.6</v>
      </c>
      <c r="E120" s="134" t="n">
        <v>38</v>
      </c>
      <c r="F120" s="133" t="n">
        <v>99.90000000000001</v>
      </c>
      <c r="G120" s="17" t="n">
        <v>30</v>
      </c>
      <c r="H120" s="135" t="n">
        <v>78</v>
      </c>
      <c r="I120" s="136" t="n">
        <v>23000</v>
      </c>
      <c r="J120" s="136" t="inlineStr">
        <is>
          <t>5</t>
        </is>
      </c>
      <c r="K120" s="136" t="n"/>
      <c r="L120" s="136" t="n"/>
      <c r="M120" s="137">
        <f>I120-K120</f>
        <v/>
      </c>
      <c r="N120" s="4">
        <f>IF(ISERROR(K120/I120),"",K120/I120)</f>
        <v/>
      </c>
      <c r="O120" s="138">
        <f>I120/E120</f>
        <v/>
      </c>
      <c r="P120" s="138">
        <f>K120/E120</f>
        <v/>
      </c>
      <c r="Q120" s="123" t="n">
        <v>3</v>
      </c>
      <c r="R120" s="123" t="n">
        <v>2</v>
      </c>
      <c r="S120" s="123" t="inlineStr">
        <is>
          <t>계</t>
        </is>
      </c>
      <c r="T120" s="5" t="n">
        <v>124</v>
      </c>
      <c r="U120" s="9" t="n"/>
      <c r="W120" s="133">
        <f>D120</f>
        <v/>
      </c>
      <c r="X120" s="134">
        <f>E120</f>
        <v/>
      </c>
      <c r="Y120" s="139">
        <f>H120</f>
        <v/>
      </c>
      <c r="Z120" s="137">
        <f>I120</f>
        <v/>
      </c>
      <c r="AA120" s="137">
        <f>K120</f>
        <v/>
      </c>
      <c r="AB120" s="137">
        <f>M120</f>
        <v/>
      </c>
      <c r="AC120" s="4">
        <f>N120</f>
        <v/>
      </c>
      <c r="AD120" s="138">
        <f>O120</f>
        <v/>
      </c>
      <c r="AE120" s="123">
        <f>S120</f>
        <v/>
      </c>
      <c r="AF120" s="123">
        <f>Q120&amp;"/"&amp;R120</f>
        <v/>
      </c>
      <c r="AH120" s="20">
        <f>IF(A120="","",A120)</f>
        <v/>
      </c>
      <c r="AI120" s="134">
        <f>IF(E120="","",E120)</f>
        <v/>
      </c>
      <c r="AJ120" s="123">
        <f>IF(AI120="","",$AJ$2)</f>
        <v/>
      </c>
      <c r="AK120" s="123" t="inlineStr">
        <is>
          <t>A</t>
        </is>
      </c>
      <c r="AL120" s="123" t="inlineStr">
        <is>
          <t>A+</t>
        </is>
      </c>
      <c r="AM120" s="123" t="inlineStr">
        <is>
          <t>B+</t>
        </is>
      </c>
      <c r="AN120" s="123">
        <f>IF(AI120="","",$AN$2)</f>
        <v/>
      </c>
      <c r="AO120" s="123">
        <f>IF(N120="","",IF(N120&gt;=$AO$1/100,"O","X"))</f>
        <v/>
      </c>
      <c r="AP120" s="123">
        <f>IF(I120="","",IF(I120&lt;=$AP$1,"O","X"))</f>
        <v/>
      </c>
      <c r="AQ120" s="123">
        <f>IF(O120="","",IF(O120&lt;=$AQ$1,"O","X"))</f>
        <v/>
      </c>
      <c r="AR120" s="123">
        <f>IF(M120="","",IF(M120&lt;=$AR$1,"O","X"))</f>
        <v/>
      </c>
      <c r="AS120" s="123" t="inlineStr">
        <is>
          <t>X</t>
        </is>
      </c>
      <c r="AT120" s="123">
        <f>IF(OR(F120="",AI120=""),"",IF(AND((F120&lt;=85),(AI120&gt;=15)),"O","X"))</f>
        <v/>
      </c>
      <c r="AU120" s="123">
        <f>IF(C120="","",IF(C120&gt;=$AU$1,"O","X"))</f>
        <v/>
      </c>
      <c r="AV120" s="123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5" t="n">
        <v>636</v>
      </c>
      <c r="D121" s="133" t="n">
        <v>147.3</v>
      </c>
      <c r="E121" s="134" t="n">
        <v>45</v>
      </c>
      <c r="F121" s="133" t="n">
        <v>118.2</v>
      </c>
      <c r="G121" s="17" t="n">
        <v>36</v>
      </c>
      <c r="H121" s="135" t="n">
        <v>40</v>
      </c>
      <c r="I121" s="136" t="n"/>
      <c r="J121" s="136" t="n"/>
      <c r="K121" s="136" t="n"/>
      <c r="L121" s="136" t="n"/>
      <c r="M121" s="137">
        <f>I121-K121</f>
        <v/>
      </c>
      <c r="N121" s="4">
        <f>IF(ISERROR(K121/I121),"",K121/I121)</f>
        <v/>
      </c>
      <c r="O121" s="138">
        <f>I121/E121</f>
        <v/>
      </c>
      <c r="P121" s="138">
        <f>K121/E121</f>
        <v/>
      </c>
      <c r="Q121" s="123" t="n">
        <v>4</v>
      </c>
      <c r="R121" s="123" t="n">
        <v>2</v>
      </c>
      <c r="S121" s="123" t="inlineStr">
        <is>
          <t>계</t>
        </is>
      </c>
      <c r="T121" s="5" t="n">
        <v>147</v>
      </c>
      <c r="U121" s="9" t="n"/>
      <c r="W121" s="133">
        <f>D121</f>
        <v/>
      </c>
      <c r="X121" s="134">
        <f>E121</f>
        <v/>
      </c>
      <c r="Y121" s="139">
        <f>H121</f>
        <v/>
      </c>
      <c r="Z121" s="137">
        <f>I121</f>
        <v/>
      </c>
      <c r="AA121" s="137">
        <f>K121</f>
        <v/>
      </c>
      <c r="AB121" s="137">
        <f>M121</f>
        <v/>
      </c>
      <c r="AC121" s="4">
        <f>N121</f>
        <v/>
      </c>
      <c r="AD121" s="138">
        <f>O121</f>
        <v/>
      </c>
      <c r="AE121" s="123">
        <f>S121</f>
        <v/>
      </c>
      <c r="AF121" s="123">
        <f>Q121&amp;"/"&amp;R121</f>
        <v/>
      </c>
      <c r="AH121" s="20">
        <f>IF(A121="","",A121)</f>
        <v/>
      </c>
      <c r="AI121" s="134">
        <f>IF(E121="","",E121)</f>
        <v/>
      </c>
      <c r="AJ121" s="123">
        <f>IF(AI121="","",$AJ$2)</f>
        <v/>
      </c>
      <c r="AK121" s="123" t="inlineStr">
        <is>
          <t>A</t>
        </is>
      </c>
      <c r="AL121" s="123" t="inlineStr">
        <is>
          <t>A+</t>
        </is>
      </c>
      <c r="AM121" s="123" t="inlineStr">
        <is>
          <t>B+</t>
        </is>
      </c>
      <c r="AN121" s="123">
        <f>IF(AI121="","",$AN$2)</f>
        <v/>
      </c>
      <c r="AO121" s="123">
        <f>IF(N121="","",IF(N121&gt;=$AO$1/100,"O","X"))</f>
        <v/>
      </c>
      <c r="AP121" s="123">
        <f>IF(I121="","",IF(I121&lt;=$AP$1,"O","X"))</f>
        <v/>
      </c>
      <c r="AQ121" s="123">
        <f>IF(O121="","",IF(O121&lt;=$AQ$1,"O","X"))</f>
        <v/>
      </c>
      <c r="AR121" s="123">
        <f>IF(M121="","",IF(M121&lt;=$AR$1,"O","X"))</f>
        <v/>
      </c>
      <c r="AS121" s="123" t="inlineStr">
        <is>
          <t>X</t>
        </is>
      </c>
      <c r="AT121" s="123">
        <f>IF(OR(F121="",AI121=""),"",IF(AND((F121&lt;=85),(AI121&gt;=15)),"O","X"))</f>
        <v/>
      </c>
      <c r="AU121" s="123">
        <f>IF(C121="","",IF(C121&gt;=$AU$1,"O","X"))</f>
        <v/>
      </c>
      <c r="AV121" s="123">
        <f>IF(AO121="","",IF(AND(AO121="O",AP121="O",AR121="O",AT121="O",AU121="O"),"후보","X"))</f>
        <v/>
      </c>
    </row>
    <row r="122">
      <c r="A122" s="9" t="n"/>
      <c r="B122" s="123" t="n"/>
      <c r="C122" s="6" t="n"/>
      <c r="D122" s="9" t="n"/>
      <c r="E122" s="14" t="n"/>
      <c r="F122" s="133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8" t="n"/>
      <c r="P122" s="138" t="n"/>
      <c r="Q122" s="134" t="n"/>
      <c r="R122" s="134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8">
        <f>IF(E122="","",E122)</f>
        <v/>
      </c>
      <c r="AJ122" s="123" t="n"/>
      <c r="AK122" s="123" t="n"/>
      <c r="AL122" s="123" t="n"/>
      <c r="AM122" s="123" t="n"/>
      <c r="AN122" s="123" t="n"/>
      <c r="AO122" s="123" t="n"/>
      <c r="AP122" s="123" t="n"/>
      <c r="AQ122" s="123" t="n"/>
      <c r="AR122" s="123" t="n"/>
      <c r="AS122" s="123" t="n"/>
      <c r="AT122" s="123" t="n"/>
      <c r="AU122" s="123" t="n"/>
      <c r="AV122" s="123" t="n"/>
    </row>
    <row r="123">
      <c r="A123" s="9" t="inlineStr">
        <is>
          <t>삼성(401)</t>
        </is>
      </c>
      <c r="B123" s="10" t="inlineStr">
        <is>
          <t>'98.05.</t>
        </is>
      </c>
      <c r="C123" s="135" t="n">
        <v>670</v>
      </c>
      <c r="D123" s="133" t="n">
        <v>95.5</v>
      </c>
      <c r="E123" s="134" t="n">
        <v>29</v>
      </c>
      <c r="F123" s="133" t="n">
        <v>73.90000000000001</v>
      </c>
      <c r="G123" s="17" t="n">
        <v>22</v>
      </c>
      <c r="H123" s="135" t="n">
        <v>128</v>
      </c>
      <c r="I123" s="136" t="n"/>
      <c r="J123" s="136" t="n"/>
      <c r="K123" s="136" t="n"/>
      <c r="L123" s="136" t="n"/>
      <c r="M123" s="137">
        <f>I123-K123</f>
        <v/>
      </c>
      <c r="N123" s="4">
        <f>IF(ISERROR(K123/I123),"",K123/I123)</f>
        <v/>
      </c>
      <c r="O123" s="138">
        <f>I123/E123</f>
        <v/>
      </c>
      <c r="P123" s="138">
        <f>K123/E123</f>
        <v/>
      </c>
      <c r="Q123" s="123" t="n">
        <v>3</v>
      </c>
      <c r="R123" s="123" t="n">
        <v>1</v>
      </c>
      <c r="S123" s="123" t="inlineStr">
        <is>
          <t>계</t>
        </is>
      </c>
      <c r="T123" s="5" t="n">
        <v>95</v>
      </c>
      <c r="U123" s="9" t="n"/>
      <c r="W123" s="133">
        <f>D123</f>
        <v/>
      </c>
      <c r="X123" s="134">
        <f>E123</f>
        <v/>
      </c>
      <c r="Y123" s="139">
        <f>H123</f>
        <v/>
      </c>
      <c r="Z123" s="137">
        <f>I123</f>
        <v/>
      </c>
      <c r="AA123" s="137">
        <f>K123</f>
        <v/>
      </c>
      <c r="AB123" s="137">
        <f>M123</f>
        <v/>
      </c>
      <c r="AC123" s="4">
        <f>N123</f>
        <v/>
      </c>
      <c r="AD123" s="138">
        <f>O123</f>
        <v/>
      </c>
      <c r="AE123" s="123">
        <f>S123</f>
        <v/>
      </c>
      <c r="AF123" s="123">
        <f>Q123&amp;"/"&amp;R123</f>
        <v/>
      </c>
      <c r="AH123" s="20">
        <f>IF(A123="","",A123)</f>
        <v/>
      </c>
      <c r="AI123" s="134">
        <f>IF(E123="","",E123)</f>
        <v/>
      </c>
      <c r="AJ123" s="123">
        <f>IF(AI123="","",$AJ$2)</f>
        <v/>
      </c>
      <c r="AK123" s="123" t="inlineStr">
        <is>
          <t>A</t>
        </is>
      </c>
      <c r="AL123" s="123" t="inlineStr">
        <is>
          <t>A+</t>
        </is>
      </c>
      <c r="AM123" s="123" t="inlineStr">
        <is>
          <t>B+</t>
        </is>
      </c>
      <c r="AN123" s="123">
        <f>IF(AI123="","",$AN$2)</f>
        <v/>
      </c>
      <c r="AO123" s="123">
        <f>IF(N123="","",IF(N123&gt;=$AO$1/100,"O","X"))</f>
        <v/>
      </c>
      <c r="AP123" s="123">
        <f>IF(I123="","",IF(I123&lt;=$AP$1,"O","X"))</f>
        <v/>
      </c>
      <c r="AQ123" s="123">
        <f>IF(O123="","",IF(O123&lt;=$AQ$1,"O","X"))</f>
        <v/>
      </c>
      <c r="AR123" s="123">
        <f>IF(M123="","",IF(M123&lt;=$AR$1,"O","X"))</f>
        <v/>
      </c>
      <c r="AS123" s="123" t="inlineStr">
        <is>
          <t>X</t>
        </is>
      </c>
      <c r="AT123" s="123">
        <f>IF(OR(F123="",AI123=""),"",IF(AND((F123&lt;=85),(AI123&gt;=15)),"O","X"))</f>
        <v/>
      </c>
      <c r="AU123" s="123">
        <f>IF(C123="","",IF(C123&gt;=$AU$1,"O","X"))</f>
        <v/>
      </c>
      <c r="AV123" s="123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5" t="n">
        <v>670</v>
      </c>
      <c r="D124" s="133" t="n">
        <v>107.4</v>
      </c>
      <c r="E124" s="134" t="n">
        <v>32</v>
      </c>
      <c r="F124" s="133" t="n">
        <v>85</v>
      </c>
      <c r="G124" s="17" t="n">
        <v>26</v>
      </c>
      <c r="H124" s="135" t="n">
        <v>422</v>
      </c>
      <c r="I124" s="136" t="n">
        <v>17200</v>
      </c>
      <c r="J124" s="136" t="inlineStr">
        <is>
          <t>11</t>
        </is>
      </c>
      <c r="K124" s="136" t="n"/>
      <c r="L124" s="136" t="n"/>
      <c r="M124" s="137">
        <f>I124-K124</f>
        <v/>
      </c>
      <c r="N124" s="4">
        <f>IF(ISERROR(K124/I124),"",K124/I124)</f>
        <v/>
      </c>
      <c r="O124" s="138">
        <f>I124/E124</f>
        <v/>
      </c>
      <c r="P124" s="138">
        <f>K124/E124</f>
        <v/>
      </c>
      <c r="Q124" s="123" t="n">
        <v>3</v>
      </c>
      <c r="R124" s="123" t="n">
        <v>2</v>
      </c>
      <c r="S124" s="123" t="inlineStr">
        <is>
          <t>계</t>
        </is>
      </c>
      <c r="T124" s="5" t="n">
        <v>107</v>
      </c>
      <c r="U124" s="9" t="n"/>
      <c r="W124" s="133">
        <f>D124</f>
        <v/>
      </c>
      <c r="X124" s="134">
        <f>E124</f>
        <v/>
      </c>
      <c r="Y124" s="139">
        <f>H124</f>
        <v/>
      </c>
      <c r="Z124" s="137">
        <f>I124</f>
        <v/>
      </c>
      <c r="AA124" s="137">
        <f>K124</f>
        <v/>
      </c>
      <c r="AB124" s="137">
        <f>M124</f>
        <v/>
      </c>
      <c r="AC124" s="4">
        <f>N124</f>
        <v/>
      </c>
      <c r="AD124" s="138">
        <f>O124</f>
        <v/>
      </c>
      <c r="AE124" s="123">
        <f>S124</f>
        <v/>
      </c>
      <c r="AF124" s="123">
        <f>Q124&amp;"/"&amp;R124</f>
        <v/>
      </c>
      <c r="AH124" s="20">
        <f>IF(A124="","",A124)</f>
        <v/>
      </c>
      <c r="AI124" s="134">
        <f>IF(E124="","",E124)</f>
        <v/>
      </c>
      <c r="AJ124" s="123">
        <f>IF(AI124="","",$AJ$2)</f>
        <v/>
      </c>
      <c r="AK124" s="123" t="inlineStr">
        <is>
          <t>A</t>
        </is>
      </c>
      <c r="AL124" s="123" t="inlineStr">
        <is>
          <t>A+</t>
        </is>
      </c>
      <c r="AM124" s="123" t="inlineStr">
        <is>
          <t>B+</t>
        </is>
      </c>
      <c r="AN124" s="123">
        <f>IF(AI124="","",$AN$2)</f>
        <v/>
      </c>
      <c r="AO124" s="123">
        <f>IF(N124="","",IF(N124&gt;=$AO$1/100,"O","X"))</f>
        <v/>
      </c>
      <c r="AP124" s="123">
        <f>IF(I124="","",IF(I124&lt;=$AP$1,"O","X"))</f>
        <v/>
      </c>
      <c r="AQ124" s="123">
        <f>IF(O124="","",IF(O124&lt;=$AQ$1,"O","X"))</f>
        <v/>
      </c>
      <c r="AR124" s="123">
        <f>IF(M124="","",IF(M124&lt;=$AR$1,"O","X"))</f>
        <v/>
      </c>
      <c r="AS124" s="123" t="inlineStr">
        <is>
          <t>X</t>
        </is>
      </c>
      <c r="AT124" s="123">
        <f>IF(OR(F124="",AI124=""),"",IF(AND((F124&lt;=85),(AI124&gt;=15)),"O","X"))</f>
        <v/>
      </c>
      <c r="AU124" s="123">
        <f>IF(C124="","",IF(C124&gt;=$AU$1,"O","X"))</f>
        <v/>
      </c>
      <c r="AV124" s="123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5" t="n">
        <v>670</v>
      </c>
      <c r="D125" s="133" t="n">
        <v>139.7</v>
      </c>
      <c r="E125" s="134" t="n">
        <v>42</v>
      </c>
      <c r="F125" s="133" t="n">
        <v>115</v>
      </c>
      <c r="G125" s="17" t="n">
        <v>35</v>
      </c>
      <c r="H125" s="135" t="n">
        <v>40</v>
      </c>
      <c r="I125" s="136" t="n"/>
      <c r="J125" s="136" t="n"/>
      <c r="K125" s="136" t="n"/>
      <c r="L125" s="136" t="n"/>
      <c r="M125" s="137">
        <f>I125-K125</f>
        <v/>
      </c>
      <c r="N125" s="4">
        <f>IF(ISERROR(K125/I125),"",K125/I125)</f>
        <v/>
      </c>
      <c r="O125" s="138">
        <f>I125/E125</f>
        <v/>
      </c>
      <c r="P125" s="138">
        <f>K125/E125</f>
        <v/>
      </c>
      <c r="Q125" s="123" t="n">
        <v>4</v>
      </c>
      <c r="R125" s="123" t="n">
        <v>2</v>
      </c>
      <c r="S125" s="123" t="inlineStr">
        <is>
          <t>계</t>
        </is>
      </c>
      <c r="T125" s="5" t="n">
        <v>139</v>
      </c>
      <c r="U125" s="9" t="n"/>
      <c r="W125" s="133">
        <f>D125</f>
        <v/>
      </c>
      <c r="X125" s="134">
        <f>E125</f>
        <v/>
      </c>
      <c r="Y125" s="139">
        <f>H125</f>
        <v/>
      </c>
      <c r="Z125" s="137">
        <f>I125</f>
        <v/>
      </c>
      <c r="AA125" s="137">
        <f>K125</f>
        <v/>
      </c>
      <c r="AB125" s="137">
        <f>M125</f>
        <v/>
      </c>
      <c r="AC125" s="4">
        <f>N125</f>
        <v/>
      </c>
      <c r="AD125" s="138">
        <f>O125</f>
        <v/>
      </c>
      <c r="AE125" s="123">
        <f>S125</f>
        <v/>
      </c>
      <c r="AF125" s="123">
        <f>Q125&amp;"/"&amp;R125</f>
        <v/>
      </c>
      <c r="AH125" s="20">
        <f>IF(A125="","",A125)</f>
        <v/>
      </c>
      <c r="AI125" s="134">
        <f>IF(E125="","",E125)</f>
        <v/>
      </c>
      <c r="AJ125" s="123">
        <f>IF(AI125="","",$AJ$2)</f>
        <v/>
      </c>
      <c r="AK125" s="123" t="inlineStr">
        <is>
          <t>A</t>
        </is>
      </c>
      <c r="AL125" s="123" t="inlineStr">
        <is>
          <t>A+</t>
        </is>
      </c>
      <c r="AM125" s="123" t="inlineStr">
        <is>
          <t>B+</t>
        </is>
      </c>
      <c r="AN125" s="123">
        <f>IF(AI125="","",$AN$2)</f>
        <v/>
      </c>
      <c r="AO125" s="123">
        <f>IF(N125="","",IF(N125&gt;=$AO$1/100,"O","X"))</f>
        <v/>
      </c>
      <c r="AP125" s="123">
        <f>IF(I125="","",IF(I125&lt;=$AP$1,"O","X"))</f>
        <v/>
      </c>
      <c r="AQ125" s="123">
        <f>IF(O125="","",IF(O125&lt;=$AQ$1,"O","X"))</f>
        <v/>
      </c>
      <c r="AR125" s="123">
        <f>IF(M125="","",IF(M125&lt;=$AR$1,"O","X"))</f>
        <v/>
      </c>
      <c r="AS125" s="123" t="inlineStr">
        <is>
          <t>X</t>
        </is>
      </c>
      <c r="AT125" s="123">
        <f>IF(OR(F125="",AI125=""),"",IF(AND((F125&lt;=85),(AI125&gt;=15)),"O","X"))</f>
        <v/>
      </c>
      <c r="AU125" s="123">
        <f>IF(C125="","",IF(C125&gt;=$AU$1,"O","X"))</f>
        <v/>
      </c>
      <c r="AV125" s="123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5" t="n">
        <v>670</v>
      </c>
      <c r="D126" s="133" t="n">
        <v>161.2</v>
      </c>
      <c r="E126" s="134" t="n">
        <v>49</v>
      </c>
      <c r="F126" s="133" t="n">
        <v>135</v>
      </c>
      <c r="G126" s="17" t="n">
        <v>41</v>
      </c>
      <c r="H126" s="135" t="n">
        <v>80</v>
      </c>
      <c r="I126" s="136" t="n">
        <v>23500</v>
      </c>
      <c r="J126" s="136" t="inlineStr">
        <is>
          <t>18</t>
        </is>
      </c>
      <c r="K126" s="136" t="n"/>
      <c r="L126" s="136" t="n"/>
      <c r="M126" s="137">
        <f>I126-K126</f>
        <v/>
      </c>
      <c r="N126" s="4">
        <f>IF(ISERROR(K126/I126),"",K126/I126)</f>
        <v/>
      </c>
      <c r="O126" s="138">
        <f>I126/E126</f>
        <v/>
      </c>
      <c r="P126" s="138">
        <f>K126/E126</f>
        <v/>
      </c>
      <c r="Q126" s="123" t="n">
        <v>4</v>
      </c>
      <c r="R126" s="123" t="n">
        <v>2</v>
      </c>
      <c r="S126" s="123" t="inlineStr">
        <is>
          <t>계</t>
        </is>
      </c>
      <c r="T126" s="5" t="n">
        <v>161</v>
      </c>
      <c r="U126" s="9" t="n"/>
      <c r="W126" s="133">
        <f>D126</f>
        <v/>
      </c>
      <c r="X126" s="134">
        <f>E126</f>
        <v/>
      </c>
      <c r="Y126" s="139">
        <f>H126</f>
        <v/>
      </c>
      <c r="Z126" s="137">
        <f>I126</f>
        <v/>
      </c>
      <c r="AA126" s="137">
        <f>K126</f>
        <v/>
      </c>
      <c r="AB126" s="137">
        <f>M126</f>
        <v/>
      </c>
      <c r="AC126" s="4">
        <f>N126</f>
        <v/>
      </c>
      <c r="AD126" s="138">
        <f>O126</f>
        <v/>
      </c>
      <c r="AE126" s="123">
        <f>S126</f>
        <v/>
      </c>
      <c r="AF126" s="123">
        <f>Q126&amp;"/"&amp;R126</f>
        <v/>
      </c>
      <c r="AH126" s="20">
        <f>IF(A126="","",A126)</f>
        <v/>
      </c>
      <c r="AI126" s="134">
        <f>IF(E126="","",E126)</f>
        <v/>
      </c>
      <c r="AJ126" s="123">
        <f>IF(AI126="","",$AJ$2)</f>
        <v/>
      </c>
      <c r="AK126" s="123" t="inlineStr">
        <is>
          <t>A</t>
        </is>
      </c>
      <c r="AL126" s="123" t="inlineStr">
        <is>
          <t>A+</t>
        </is>
      </c>
      <c r="AM126" s="123" t="inlineStr">
        <is>
          <t>B+</t>
        </is>
      </c>
      <c r="AN126" s="123">
        <f>IF(AI126="","",$AN$2)</f>
        <v/>
      </c>
      <c r="AO126" s="123">
        <f>IF(N126="","",IF(N126&gt;=$AO$1/100,"O","X"))</f>
        <v/>
      </c>
      <c r="AP126" s="123">
        <f>IF(I126="","",IF(I126&lt;=$AP$1,"O","X"))</f>
        <v/>
      </c>
      <c r="AQ126" s="123">
        <f>IF(O126="","",IF(O126&lt;=$AQ$1,"O","X"))</f>
        <v/>
      </c>
      <c r="AR126" s="123">
        <f>IF(M126="","",IF(M126&lt;=$AR$1,"O","X"))</f>
        <v/>
      </c>
      <c r="AS126" s="123" t="inlineStr">
        <is>
          <t>X</t>
        </is>
      </c>
      <c r="AT126" s="123">
        <f>IF(OR(F126="",AI126=""),"",IF(AND((F126&lt;=85),(AI126&gt;=15)),"O","X"))</f>
        <v/>
      </c>
      <c r="AU126" s="123">
        <f>IF(C126="","",IF(C126&gt;=$AU$1,"O","X"))</f>
        <v/>
      </c>
      <c r="AV126" s="123">
        <f>IF(AO126="","",IF(AND(AO126="O",AP126="O",AR126="O",AT126="O",AU126="O"),"후보","X"))</f>
        <v/>
      </c>
    </row>
    <row r="127">
      <c r="A127" s="9" t="n"/>
      <c r="B127" s="123" t="n"/>
      <c r="C127" s="6" t="n"/>
      <c r="D127" s="9" t="n"/>
      <c r="E127" s="14" t="n"/>
      <c r="F127" s="133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8" t="n"/>
      <c r="P127" s="138" t="n"/>
      <c r="Q127" s="134" t="n"/>
      <c r="R127" s="134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8">
        <f>IF(E127="","",E127)</f>
        <v/>
      </c>
      <c r="AJ127" s="123" t="n"/>
      <c r="AK127" s="123" t="n"/>
      <c r="AL127" s="123" t="n"/>
      <c r="AM127" s="123" t="n"/>
      <c r="AN127" s="123" t="n"/>
      <c r="AO127" s="123" t="n"/>
      <c r="AP127" s="123" t="n"/>
      <c r="AQ127" s="123" t="n"/>
      <c r="AR127" s="123" t="n"/>
      <c r="AS127" s="123" t="n"/>
      <c r="AT127" s="123" t="n"/>
      <c r="AU127" s="123" t="n"/>
      <c r="AV127" s="123" t="n"/>
    </row>
    <row r="128">
      <c r="A128" s="9" t="inlineStr">
        <is>
          <t>롯데3차</t>
        </is>
      </c>
      <c r="B128" s="10" t="inlineStr">
        <is>
          <t>'94.06.</t>
        </is>
      </c>
      <c r="C128" s="135" t="n">
        <v>572</v>
      </c>
      <c r="D128" s="133" t="n">
        <v>90.59999999999999</v>
      </c>
      <c r="E128" s="134" t="n">
        <v>27</v>
      </c>
      <c r="F128" s="133" t="n">
        <v>74</v>
      </c>
      <c r="G128" s="17" t="n">
        <v>22</v>
      </c>
      <c r="H128" s="135" t="n">
        <v>234</v>
      </c>
      <c r="I128" s="136" t="n"/>
      <c r="J128" s="136" t="n"/>
      <c r="K128" s="136" t="n"/>
      <c r="L128" s="136" t="n"/>
      <c r="M128" s="137">
        <f>I128-K128</f>
        <v/>
      </c>
      <c r="N128" s="4">
        <f>IF(ISERROR(K128/I128),"",K128/I128)</f>
        <v/>
      </c>
      <c r="O128" s="138">
        <f>I128/E128</f>
        <v/>
      </c>
      <c r="P128" s="138">
        <f>K128/E128</f>
        <v/>
      </c>
      <c r="Q128" s="123" t="n">
        <v>3</v>
      </c>
      <c r="R128" s="123" t="n">
        <v>1</v>
      </c>
      <c r="S128" s="123" t="inlineStr">
        <is>
          <t>계</t>
        </is>
      </c>
      <c r="T128" s="5" t="n">
        <v>90</v>
      </c>
      <c r="U128" s="9" t="n"/>
      <c r="W128" s="133">
        <f>D128</f>
        <v/>
      </c>
      <c r="X128" s="134">
        <f>E128</f>
        <v/>
      </c>
      <c r="Y128" s="139">
        <f>H128</f>
        <v/>
      </c>
      <c r="Z128" s="137">
        <f>I128</f>
        <v/>
      </c>
      <c r="AA128" s="137">
        <f>K128</f>
        <v/>
      </c>
      <c r="AB128" s="137">
        <f>M128</f>
        <v/>
      </c>
      <c r="AC128" s="4">
        <f>N128</f>
        <v/>
      </c>
      <c r="AD128" s="138">
        <f>O128</f>
        <v/>
      </c>
      <c r="AE128" s="123">
        <f>S128</f>
        <v/>
      </c>
      <c r="AF128" s="123">
        <f>Q128&amp;"/"&amp;R128</f>
        <v/>
      </c>
      <c r="AH128" s="20">
        <f>IF(A128="","",A128)</f>
        <v/>
      </c>
      <c r="AI128" s="134">
        <f>IF(E128="","",E128)</f>
        <v/>
      </c>
      <c r="AJ128" s="123">
        <f>IF(AI128="","",$AJ$2)</f>
        <v/>
      </c>
      <c r="AK128" s="123" t="inlineStr">
        <is>
          <t>A</t>
        </is>
      </c>
      <c r="AL128" s="123" t="inlineStr">
        <is>
          <t>A+</t>
        </is>
      </c>
      <c r="AM128" s="123" t="inlineStr">
        <is>
          <t>B+</t>
        </is>
      </c>
      <c r="AN128" s="123">
        <f>IF(AI128="","",$AN$2)</f>
        <v/>
      </c>
      <c r="AO128" s="123">
        <f>IF(N128="","",IF(N128&gt;=$AO$1/100,"O","X"))</f>
        <v/>
      </c>
      <c r="AP128" s="123">
        <f>IF(I128="","",IF(I128&lt;=$AP$1,"O","X"))</f>
        <v/>
      </c>
      <c r="AQ128" s="123">
        <f>IF(O128="","",IF(O128&lt;=$AQ$1,"O","X"))</f>
        <v/>
      </c>
      <c r="AR128" s="123">
        <f>IF(M128="","",IF(M128&lt;=$AR$1,"O","X"))</f>
        <v/>
      </c>
      <c r="AS128" s="123" t="inlineStr">
        <is>
          <t>X</t>
        </is>
      </c>
      <c r="AT128" s="123">
        <f>IF(OR(F128="",AI128=""),"",IF(AND((F128&lt;=85),(AI128&gt;=15)),"O","X"))</f>
        <v/>
      </c>
      <c r="AU128" s="123">
        <f>IF(C128="","",IF(C128&gt;=$AU$1,"O","X"))</f>
        <v/>
      </c>
      <c r="AV128" s="123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5" t="n">
        <v>572</v>
      </c>
      <c r="D129" s="133" t="n">
        <v>104.5</v>
      </c>
      <c r="E129" s="134" t="n">
        <v>32</v>
      </c>
      <c r="F129" s="133" t="n">
        <v>84.8</v>
      </c>
      <c r="G129" s="17" t="n">
        <v>26</v>
      </c>
      <c r="H129" s="135" t="n">
        <v>286</v>
      </c>
      <c r="I129" s="136" t="n">
        <v>15500</v>
      </c>
      <c r="J129" s="136" t="inlineStr">
        <is>
          <t>12</t>
        </is>
      </c>
      <c r="K129" s="136" t="n"/>
      <c r="L129" s="136" t="n"/>
      <c r="M129" s="137">
        <f>I129-K129</f>
        <v/>
      </c>
      <c r="N129" s="4">
        <f>IF(ISERROR(K129/I129),"",K129/I129)</f>
        <v/>
      </c>
      <c r="O129" s="138">
        <f>I129/E129</f>
        <v/>
      </c>
      <c r="P129" s="138">
        <f>K129/E129</f>
        <v/>
      </c>
      <c r="Q129" s="123" t="n">
        <v>3</v>
      </c>
      <c r="R129" s="123" t="n">
        <v>2</v>
      </c>
      <c r="S129" s="123" t="inlineStr">
        <is>
          <t>계</t>
        </is>
      </c>
      <c r="T129" s="5" t="n">
        <v>104</v>
      </c>
      <c r="U129" s="9" t="n"/>
      <c r="W129" s="133">
        <f>D129</f>
        <v/>
      </c>
      <c r="X129" s="134">
        <f>E129</f>
        <v/>
      </c>
      <c r="Y129" s="139">
        <f>H129</f>
        <v/>
      </c>
      <c r="Z129" s="137">
        <f>I129</f>
        <v/>
      </c>
      <c r="AA129" s="137">
        <f>K129</f>
        <v/>
      </c>
      <c r="AB129" s="137">
        <f>M129</f>
        <v/>
      </c>
      <c r="AC129" s="4">
        <f>N129</f>
        <v/>
      </c>
      <c r="AD129" s="138">
        <f>O129</f>
        <v/>
      </c>
      <c r="AE129" s="123">
        <f>S129</f>
        <v/>
      </c>
      <c r="AF129" s="123">
        <f>Q129&amp;"/"&amp;R129</f>
        <v/>
      </c>
      <c r="AH129" s="20">
        <f>IF(A129="","",A129)</f>
        <v/>
      </c>
      <c r="AI129" s="134">
        <f>IF(E129="","",E129)</f>
        <v/>
      </c>
      <c r="AJ129" s="123">
        <f>IF(AI129="","",$AJ$2)</f>
        <v/>
      </c>
      <c r="AK129" s="123" t="inlineStr">
        <is>
          <t>A</t>
        </is>
      </c>
      <c r="AL129" s="123" t="inlineStr">
        <is>
          <t>A+</t>
        </is>
      </c>
      <c r="AM129" s="123" t="inlineStr">
        <is>
          <t>B+</t>
        </is>
      </c>
      <c r="AN129" s="123">
        <f>IF(AI129="","",$AN$2)</f>
        <v/>
      </c>
      <c r="AO129" s="123">
        <f>IF(N129="","",IF(N129&gt;=$AO$1/100,"O","X"))</f>
        <v/>
      </c>
      <c r="AP129" s="123">
        <f>IF(I129="","",IF(I129&lt;=$AP$1,"O","X"))</f>
        <v/>
      </c>
      <c r="AQ129" s="123">
        <f>IF(O129="","",IF(O129&lt;=$AQ$1,"O","X"))</f>
        <v/>
      </c>
      <c r="AR129" s="123">
        <f>IF(M129="","",IF(M129&lt;=$AR$1,"O","X"))</f>
        <v/>
      </c>
      <c r="AS129" s="123" t="inlineStr">
        <is>
          <t>X</t>
        </is>
      </c>
      <c r="AT129" s="123">
        <f>IF(OR(F129="",AI129=""),"",IF(AND((F129&lt;=85),(AI129&gt;=15)),"O","X"))</f>
        <v/>
      </c>
      <c r="AU129" s="123">
        <f>IF(C129="","",IF(C129&gt;=$AU$1,"O","X"))</f>
        <v/>
      </c>
      <c r="AV129" s="123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5" t="n">
        <v>572</v>
      </c>
      <c r="D130" s="133" t="n">
        <v>153.4</v>
      </c>
      <c r="E130" s="134" t="n">
        <v>46</v>
      </c>
      <c r="F130" s="133" t="n">
        <v>131.8</v>
      </c>
      <c r="G130" s="17" t="n">
        <v>40</v>
      </c>
      <c r="H130" s="135" t="n">
        <v>52</v>
      </c>
      <c r="I130" s="136" t="n">
        <v>24000</v>
      </c>
      <c r="J130" s="136" t="inlineStr">
        <is>
          <t>8</t>
        </is>
      </c>
      <c r="K130" s="136" t="n"/>
      <c r="L130" s="136" t="n"/>
      <c r="M130" s="137">
        <f>I130-K130</f>
        <v/>
      </c>
      <c r="N130" s="4">
        <f>IF(ISERROR(K130/I130),"",K130/I130)</f>
        <v/>
      </c>
      <c r="O130" s="138">
        <f>I130/E130</f>
        <v/>
      </c>
      <c r="P130" s="138">
        <f>K130/E130</f>
        <v/>
      </c>
      <c r="Q130" s="123" t="n">
        <v>4</v>
      </c>
      <c r="R130" s="123" t="n">
        <v>2</v>
      </c>
      <c r="S130" s="123" t="inlineStr">
        <is>
          <t>계</t>
        </is>
      </c>
      <c r="T130" s="5" t="n">
        <v>153</v>
      </c>
      <c r="U130" s="9" t="n"/>
      <c r="W130" s="133">
        <f>D130</f>
        <v/>
      </c>
      <c r="X130" s="134">
        <f>E130</f>
        <v/>
      </c>
      <c r="Y130" s="139">
        <f>H130</f>
        <v/>
      </c>
      <c r="Z130" s="137">
        <f>I130</f>
        <v/>
      </c>
      <c r="AA130" s="137">
        <f>K130</f>
        <v/>
      </c>
      <c r="AB130" s="137">
        <f>M130</f>
        <v/>
      </c>
      <c r="AC130" s="4">
        <f>N130</f>
        <v/>
      </c>
      <c r="AD130" s="138">
        <f>O130</f>
        <v/>
      </c>
      <c r="AE130" s="123">
        <f>S130</f>
        <v/>
      </c>
      <c r="AF130" s="123">
        <f>Q130&amp;"/"&amp;R130</f>
        <v/>
      </c>
      <c r="AH130" s="20">
        <f>IF(A130="","",A130)</f>
        <v/>
      </c>
      <c r="AI130" s="134">
        <f>IF(E130="","",E130)</f>
        <v/>
      </c>
      <c r="AJ130" s="123">
        <f>IF(AI130="","",$AJ$2)</f>
        <v/>
      </c>
      <c r="AK130" s="123" t="inlineStr">
        <is>
          <t>A</t>
        </is>
      </c>
      <c r="AL130" s="123" t="inlineStr">
        <is>
          <t>A+</t>
        </is>
      </c>
      <c r="AM130" s="123" t="inlineStr">
        <is>
          <t>B+</t>
        </is>
      </c>
      <c r="AN130" s="123">
        <f>IF(AI130="","",$AN$2)</f>
        <v/>
      </c>
      <c r="AO130" s="123">
        <f>IF(N130="","",IF(N130&gt;=$AO$1/100,"O","X"))</f>
        <v/>
      </c>
      <c r="AP130" s="123">
        <f>IF(I130="","",IF(I130&lt;=$AP$1,"O","X"))</f>
        <v/>
      </c>
      <c r="AQ130" s="123">
        <f>IF(O130="","",IF(O130&lt;=$AQ$1,"O","X"))</f>
        <v/>
      </c>
      <c r="AR130" s="123">
        <f>IF(M130="","",IF(M130&lt;=$AR$1,"O","X"))</f>
        <v/>
      </c>
      <c r="AS130" s="123" t="inlineStr">
        <is>
          <t>X</t>
        </is>
      </c>
      <c r="AT130" s="123">
        <f>IF(OR(F130="",AI130=""),"",IF(AND((F130&lt;=85),(AI130&gt;=15)),"O","X"))</f>
        <v/>
      </c>
      <c r="AU130" s="123">
        <f>IF(C130="","",IF(C130&gt;=$AU$1,"O","X"))</f>
        <v/>
      </c>
      <c r="AV130" s="123">
        <f>IF(AO130="","",IF(AND(AO130="O",AP130="O",AR130="O",AT130="O",AU130="O"),"후보","X"))</f>
        <v/>
      </c>
    </row>
    <row r="131">
      <c r="A131" s="9" t="n"/>
      <c r="B131" s="123" t="n"/>
      <c r="C131" s="6" t="n"/>
      <c r="D131" s="9" t="n"/>
      <c r="E131" s="14" t="n"/>
      <c r="F131" s="133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8" t="n"/>
      <c r="P131" s="138" t="n"/>
      <c r="Q131" s="134" t="n"/>
      <c r="R131" s="134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8">
        <f>IF(E131="","",E131)</f>
        <v/>
      </c>
      <c r="AJ131" s="123" t="n"/>
      <c r="AK131" s="123" t="n"/>
      <c r="AL131" s="123" t="n"/>
      <c r="AM131" s="123" t="n"/>
      <c r="AN131" s="123" t="n"/>
      <c r="AO131" s="123" t="n"/>
      <c r="AP131" s="123" t="n"/>
      <c r="AQ131" s="123" t="n"/>
      <c r="AR131" s="123" t="n"/>
      <c r="AS131" s="123" t="n"/>
      <c r="AT131" s="123" t="n"/>
      <c r="AU131" s="123" t="n"/>
      <c r="AV131" s="123" t="n"/>
    </row>
    <row r="132">
      <c r="A132" s="9" t="inlineStr">
        <is>
          <t>우진</t>
        </is>
      </c>
      <c r="B132" s="10" t="inlineStr">
        <is>
          <t>'79.01.</t>
        </is>
      </c>
      <c r="C132" s="135" t="n">
        <v>390</v>
      </c>
      <c r="D132" s="133" t="n">
        <v>60.5</v>
      </c>
      <c r="E132" s="134" t="n">
        <v>18</v>
      </c>
      <c r="F132" s="133" t="n">
        <v>55.5</v>
      </c>
      <c r="G132" s="17" t="n">
        <v>17</v>
      </c>
      <c r="H132" s="135" t="n">
        <v>100</v>
      </c>
      <c r="I132" s="136" t="n"/>
      <c r="J132" s="136" t="n"/>
      <c r="K132" s="136" t="n"/>
      <c r="L132" s="136" t="n"/>
      <c r="M132" s="137">
        <f>I132-K132</f>
        <v/>
      </c>
      <c r="N132" s="4">
        <f>IF(ISERROR(K132/I132),"",K132/I132)</f>
        <v/>
      </c>
      <c r="O132" s="138">
        <f>I132/E132</f>
        <v/>
      </c>
      <c r="P132" s="138">
        <f>K132/E132</f>
        <v/>
      </c>
      <c r="Q132" s="123" t="n">
        <v>3</v>
      </c>
      <c r="R132" s="123" t="n">
        <v>1</v>
      </c>
      <c r="S132" s="123" t="inlineStr">
        <is>
          <t>계</t>
        </is>
      </c>
      <c r="T132" s="5" t="n">
        <v>60</v>
      </c>
      <c r="U132" s="9" t="n"/>
      <c r="W132" s="133">
        <f>D132</f>
        <v/>
      </c>
      <c r="X132" s="134">
        <f>E132</f>
        <v/>
      </c>
      <c r="Y132" s="139">
        <f>H132</f>
        <v/>
      </c>
      <c r="Z132" s="137">
        <f>I132</f>
        <v/>
      </c>
      <c r="AA132" s="137">
        <f>K132</f>
        <v/>
      </c>
      <c r="AB132" s="137">
        <f>M132</f>
        <v/>
      </c>
      <c r="AC132" s="4">
        <f>N132</f>
        <v/>
      </c>
      <c r="AD132" s="138">
        <f>O132</f>
        <v/>
      </c>
      <c r="AE132" s="123">
        <f>S132</f>
        <v/>
      </c>
      <c r="AF132" s="123">
        <f>Q132&amp;"/"&amp;R132</f>
        <v/>
      </c>
      <c r="AH132" s="20">
        <f>IF(A132="","",A132)</f>
        <v/>
      </c>
      <c r="AI132" s="134">
        <f>IF(E132="","",E132)</f>
        <v/>
      </c>
      <c r="AJ132" s="123">
        <f>IF(AI132="","",$AJ$2)</f>
        <v/>
      </c>
      <c r="AK132" s="123" t="inlineStr">
        <is>
          <t>A</t>
        </is>
      </c>
      <c r="AL132" s="123" t="inlineStr">
        <is>
          <t>A+</t>
        </is>
      </c>
      <c r="AM132" s="123" t="inlineStr">
        <is>
          <t>B+</t>
        </is>
      </c>
      <c r="AN132" s="123">
        <f>IF(AI132="","",$AN$2)</f>
        <v/>
      </c>
      <c r="AO132" s="123">
        <f>IF(N132="","",IF(N132&gt;=$AO$1/100,"O","X"))</f>
        <v/>
      </c>
      <c r="AP132" s="123">
        <f>IF(I132="","",IF(I132&lt;=$AP$1,"O","X"))</f>
        <v/>
      </c>
      <c r="AQ132" s="123">
        <f>IF(O132="","",IF(O132&lt;=$AQ$1,"O","X"))</f>
        <v/>
      </c>
      <c r="AR132" s="123">
        <f>IF(M132="","",IF(M132&lt;=$AR$1,"O","X"))</f>
        <v/>
      </c>
      <c r="AS132" s="123" t="inlineStr">
        <is>
          <t>X</t>
        </is>
      </c>
      <c r="AT132" s="123">
        <f>IF(OR(F132="",AI132=""),"",IF(AND((F132&lt;=85),(AI132&gt;=15)),"O","X"))</f>
        <v/>
      </c>
      <c r="AU132" s="123">
        <f>IF(C132="","",IF(C132&gt;=$AU$1,"O","X"))</f>
        <v/>
      </c>
      <c r="AV132" s="123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5" t="n">
        <v>390</v>
      </c>
      <c r="D133" s="133" t="n">
        <v>61.2</v>
      </c>
      <c r="E133" s="134" t="n">
        <v>19</v>
      </c>
      <c r="F133" s="133" t="n">
        <v>55.4</v>
      </c>
      <c r="G133" s="17" t="n">
        <v>17</v>
      </c>
      <c r="H133" s="135" t="n">
        <v>170</v>
      </c>
      <c r="I133" s="136" t="n"/>
      <c r="J133" s="136" t="n"/>
      <c r="K133" s="136" t="n"/>
      <c r="L133" s="136" t="n"/>
      <c r="M133" s="137">
        <f>I133-K133</f>
        <v/>
      </c>
      <c r="N133" s="4">
        <f>IF(ISERROR(K133/I133),"",K133/I133)</f>
        <v/>
      </c>
      <c r="O133" s="138">
        <f>I133/E133</f>
        <v/>
      </c>
      <c r="P133" s="138">
        <f>K133/E133</f>
        <v/>
      </c>
      <c r="Q133" s="123" t="n">
        <v>2</v>
      </c>
      <c r="R133" s="123" t="n">
        <v>1</v>
      </c>
      <c r="S133" s="123" t="inlineStr">
        <is>
          <t>복</t>
        </is>
      </c>
      <c r="T133" s="5" t="n">
        <v>61</v>
      </c>
      <c r="U133" s="9" t="n"/>
      <c r="W133" s="133">
        <f>D133</f>
        <v/>
      </c>
      <c r="X133" s="134">
        <f>E133</f>
        <v/>
      </c>
      <c r="Y133" s="139">
        <f>H133</f>
        <v/>
      </c>
      <c r="Z133" s="137">
        <f>I133</f>
        <v/>
      </c>
      <c r="AA133" s="137">
        <f>K133</f>
        <v/>
      </c>
      <c r="AB133" s="137">
        <f>M133</f>
        <v/>
      </c>
      <c r="AC133" s="4">
        <f>N133</f>
        <v/>
      </c>
      <c r="AD133" s="138">
        <f>O133</f>
        <v/>
      </c>
      <c r="AE133" s="123">
        <f>S133</f>
        <v/>
      </c>
      <c r="AF133" s="123">
        <f>Q133&amp;"/"&amp;R133</f>
        <v/>
      </c>
      <c r="AH133" s="20">
        <f>IF(A133="","",A133)</f>
        <v/>
      </c>
      <c r="AI133" s="134">
        <f>IF(E133="","",E133)</f>
        <v/>
      </c>
      <c r="AJ133" s="123">
        <f>IF(AI133="","",$AJ$2)</f>
        <v/>
      </c>
      <c r="AK133" s="123" t="inlineStr">
        <is>
          <t>A</t>
        </is>
      </c>
      <c r="AL133" s="123" t="inlineStr">
        <is>
          <t>A+</t>
        </is>
      </c>
      <c r="AM133" s="123" t="inlineStr">
        <is>
          <t>B+</t>
        </is>
      </c>
      <c r="AN133" s="123">
        <f>IF(AI133="","",$AN$2)</f>
        <v/>
      </c>
      <c r="AO133" s="123">
        <f>IF(N133="","",IF(N133&gt;=$AO$1/100,"O","X"))</f>
        <v/>
      </c>
      <c r="AP133" s="123">
        <f>IF(I133="","",IF(I133&lt;=$AP$1,"O","X"))</f>
        <v/>
      </c>
      <c r="AQ133" s="123">
        <f>IF(O133="","",IF(O133&lt;=$AQ$1,"O","X"))</f>
        <v/>
      </c>
      <c r="AR133" s="123">
        <f>IF(M133="","",IF(M133&lt;=$AR$1,"O","X"))</f>
        <v/>
      </c>
      <c r="AS133" s="123" t="inlineStr">
        <is>
          <t>X</t>
        </is>
      </c>
      <c r="AT133" s="123">
        <f>IF(OR(F133="",AI133=""),"",IF(AND((F133&lt;=85),(AI133&gt;=15)),"O","X"))</f>
        <v/>
      </c>
      <c r="AU133" s="123">
        <f>IF(C133="","",IF(C133&gt;=$AU$1,"O","X"))</f>
        <v/>
      </c>
      <c r="AV133" s="123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5" t="n">
        <v>390</v>
      </c>
      <c r="D134" s="133" t="n">
        <v>72.7</v>
      </c>
      <c r="E134" s="134" t="n">
        <v>22</v>
      </c>
      <c r="F134" s="133" t="n">
        <v>65.8</v>
      </c>
      <c r="G134" s="17" t="n">
        <v>20</v>
      </c>
      <c r="H134" s="135" t="n">
        <v>120</v>
      </c>
      <c r="I134" s="136" t="n"/>
      <c r="J134" s="136" t="n"/>
      <c r="K134" s="136" t="n"/>
      <c r="L134" s="136" t="n"/>
      <c r="M134" s="137">
        <f>I134-K134</f>
        <v/>
      </c>
      <c r="N134" s="4">
        <f>IF(ISERROR(K134/I134),"",K134/I134)</f>
        <v/>
      </c>
      <c r="O134" s="138">
        <f>I134/E134</f>
        <v/>
      </c>
      <c r="P134" s="138">
        <f>K134/E134</f>
        <v/>
      </c>
      <c r="Q134" s="123" t="n">
        <v>3</v>
      </c>
      <c r="R134" s="123" t="n">
        <v>1</v>
      </c>
      <c r="S134" s="123" t="inlineStr">
        <is>
          <t>계</t>
        </is>
      </c>
      <c r="T134" s="5" t="n">
        <v>72</v>
      </c>
      <c r="U134" s="9" t="n"/>
      <c r="W134" s="133">
        <f>D134</f>
        <v/>
      </c>
      <c r="X134" s="134">
        <f>E134</f>
        <v/>
      </c>
      <c r="Y134" s="139">
        <f>H134</f>
        <v/>
      </c>
      <c r="Z134" s="137">
        <f>I134</f>
        <v/>
      </c>
      <c r="AA134" s="137">
        <f>K134</f>
        <v/>
      </c>
      <c r="AB134" s="137">
        <f>M134</f>
        <v/>
      </c>
      <c r="AC134" s="4">
        <f>N134</f>
        <v/>
      </c>
      <c r="AD134" s="138">
        <f>O134</f>
        <v/>
      </c>
      <c r="AE134" s="123">
        <f>S134</f>
        <v/>
      </c>
      <c r="AF134" s="123">
        <f>Q134&amp;"/"&amp;R134</f>
        <v/>
      </c>
      <c r="AH134" s="20">
        <f>IF(A134="","",A134)</f>
        <v/>
      </c>
      <c r="AI134" s="134">
        <f>IF(E134="","",E134)</f>
        <v/>
      </c>
      <c r="AJ134" s="123">
        <f>IF(AI134="","",$AJ$2)</f>
        <v/>
      </c>
      <c r="AK134" s="123" t="inlineStr">
        <is>
          <t>A</t>
        </is>
      </c>
      <c r="AL134" s="123" t="inlineStr">
        <is>
          <t>A+</t>
        </is>
      </c>
      <c r="AM134" s="123" t="inlineStr">
        <is>
          <t>B+</t>
        </is>
      </c>
      <c r="AN134" s="123">
        <f>IF(AI134="","",$AN$2)</f>
        <v/>
      </c>
      <c r="AO134" s="123">
        <f>IF(N134="","",IF(N134&gt;=$AO$1/100,"O","X"))</f>
        <v/>
      </c>
      <c r="AP134" s="123">
        <f>IF(I134="","",IF(I134&lt;=$AP$1,"O","X"))</f>
        <v/>
      </c>
      <c r="AQ134" s="123">
        <f>IF(O134="","",IF(O134&lt;=$AQ$1,"O","X"))</f>
        <v/>
      </c>
      <c r="AR134" s="123">
        <f>IF(M134="","",IF(M134&lt;=$AR$1,"O","X"))</f>
        <v/>
      </c>
      <c r="AS134" s="123" t="inlineStr">
        <is>
          <t>X</t>
        </is>
      </c>
      <c r="AT134" s="123">
        <f>IF(OR(F134="",AI134=""),"",IF(AND((F134&lt;=85),(AI134&gt;=15)),"O","X"))</f>
        <v/>
      </c>
      <c r="AU134" s="123">
        <f>IF(C134="","",IF(C134&gt;=$AU$1,"O","X"))</f>
        <v/>
      </c>
      <c r="AV134" s="123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7">
      <formula>AV4="X"</formula>
    </cfRule>
    <cfRule type="expression" priority="1904" dxfId="16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7">
      <formula>AV7="X"</formula>
    </cfRule>
    <cfRule type="expression" priority="1884" dxfId="16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7">
      <formula>AV8="X"</formula>
    </cfRule>
    <cfRule type="expression" priority="1866" dxfId="16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7">
      <formula>AV9="X"</formula>
    </cfRule>
    <cfRule type="expression" priority="1848" dxfId="16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7">
      <formula>AV10="X"</formula>
    </cfRule>
    <cfRule type="expression" priority="1830" dxfId="16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7">
      <formula>AV11="X"</formula>
    </cfRule>
    <cfRule type="expression" priority="1812" dxfId="16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7">
      <formula>AV12="X"</formula>
    </cfRule>
    <cfRule type="expression" priority="1794" dxfId="16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7">
      <formula>AV13="X"</formula>
    </cfRule>
    <cfRule type="expression" priority="1790" dxfId="16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7">
      <formula>AV14="X"</formula>
    </cfRule>
    <cfRule type="expression" priority="1772" dxfId="16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7">
      <formula>AV15="X"</formula>
    </cfRule>
    <cfRule type="expression" priority="1754" dxfId="16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7">
      <formula>AV16="X"</formula>
    </cfRule>
    <cfRule type="expression" priority="1750" dxfId="16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7">
      <formula>AV17="X"</formula>
    </cfRule>
    <cfRule type="expression" priority="1732" dxfId="16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7">
      <formula>AV18="X"</formula>
    </cfRule>
    <cfRule type="expression" priority="1728" dxfId="16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7">
      <formula>AV19="X"</formula>
    </cfRule>
    <cfRule type="expression" priority="1710" dxfId="16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7">
      <formula>AV20="X"</formula>
    </cfRule>
    <cfRule type="expression" priority="1692" dxfId="16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7">
      <formula>AV21="X"</formula>
    </cfRule>
    <cfRule type="expression" priority="1674" dxfId="16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7">
      <formula>AV22="X"</formula>
    </cfRule>
    <cfRule type="expression" priority="1670" dxfId="16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7">
      <formula>AV23="X"</formula>
    </cfRule>
    <cfRule type="expression" priority="1652" dxfId="16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7">
      <formula>AV24="X"</formula>
    </cfRule>
    <cfRule type="expression" priority="1634" dxfId="16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7">
      <formula>AV25="X"</formula>
    </cfRule>
    <cfRule type="expression" priority="1616" dxfId="16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7">
      <formula>AV26="X"</formula>
    </cfRule>
    <cfRule type="expression" priority="1598" dxfId="16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7">
      <formula>AV27="X"</formula>
    </cfRule>
    <cfRule type="expression" priority="1594" dxfId="16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7">
      <formula>AV28="X"</formula>
    </cfRule>
    <cfRule type="expression" priority="1576" dxfId="16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7">
      <formula>AV29="X"</formula>
    </cfRule>
    <cfRule type="expression" priority="1558" dxfId="16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7">
      <formula>AV30="X"</formula>
    </cfRule>
    <cfRule type="expression" priority="1540" dxfId="16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7">
      <formula>AV31="X"</formula>
    </cfRule>
    <cfRule type="expression" priority="1536" dxfId="16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7">
      <formula>AV32="X"</formula>
    </cfRule>
    <cfRule type="expression" priority="1518" dxfId="16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7">
      <formula>AV33="X"</formula>
    </cfRule>
    <cfRule type="expression" priority="1514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7">
      <formula>AV35="X"</formula>
    </cfRule>
    <cfRule type="expression" priority="1492" dxfId="16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7">
      <formula>AV36="X"</formula>
    </cfRule>
    <cfRule type="expression" priority="1474" dxfId="16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7">
      <formula>AV37="X"</formula>
    </cfRule>
    <cfRule type="expression" priority="1456" dxfId="16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7">
      <formula>AV38="X"</formula>
    </cfRule>
    <cfRule type="expression" priority="1438" dxfId="16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7">
      <formula>AV39="X"</formula>
    </cfRule>
    <cfRule type="expression" priority="1434" dxfId="16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7">
      <formula>AV40="X"</formula>
    </cfRule>
    <cfRule type="expression" priority="1416" dxfId="16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7">
      <formula>AV41="X"</formula>
    </cfRule>
    <cfRule type="expression" priority="1398" dxfId="16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7">
      <formula>AV42="X"</formula>
    </cfRule>
    <cfRule type="expression" priority="1380" dxfId="16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7">
      <formula>AV43="X"</formula>
    </cfRule>
    <cfRule type="expression" priority="1376" dxfId="16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7">
      <formula>AV44="X"</formula>
    </cfRule>
    <cfRule type="expression" priority="1358" dxfId="16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7">
      <formula>AV45="X"</formula>
    </cfRule>
    <cfRule type="expression" priority="1340" dxfId="16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7">
      <formula>AV46="X"</formula>
    </cfRule>
    <cfRule type="expression" priority="1336" dxfId="16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7">
      <formula>AV47="X"</formula>
    </cfRule>
    <cfRule type="expression" priority="1318" dxfId="16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7">
      <formula>AV48="X"</formula>
    </cfRule>
    <cfRule type="expression" priority="1300" dxfId="16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7">
      <formula>AV49="X"</formula>
    </cfRule>
    <cfRule type="expression" priority="1296" dxfId="16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7">
      <formula>AV50="X"</formula>
    </cfRule>
    <cfRule type="expression" priority="1278" dxfId="16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7">
      <formula>AV51="X"</formula>
    </cfRule>
    <cfRule type="expression" priority="1260" dxfId="16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7">
      <formula>AV52="X"</formula>
    </cfRule>
    <cfRule type="expression" priority="1256" dxfId="16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7">
      <formula>AV53="X"</formula>
    </cfRule>
    <cfRule type="expression" priority="1238" dxfId="16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7">
      <formula>AV54="X"</formula>
    </cfRule>
    <cfRule type="expression" priority="1220" dxfId="16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7">
      <formula>AV55="X"</formula>
    </cfRule>
    <cfRule type="expression" priority="1202" dxfId="16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7">
      <formula>AV56="X"</formula>
    </cfRule>
    <cfRule type="expression" priority="1184" dxfId="16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7">
      <formula>AV57="X"</formula>
    </cfRule>
    <cfRule type="expression" priority="1166" dxfId="16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7">
      <formula>AV58="X"</formula>
    </cfRule>
    <cfRule type="expression" priority="1148" dxfId="16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7">
      <formula>AV59="X"</formula>
    </cfRule>
    <cfRule type="expression" priority="1130" dxfId="16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7">
      <formula>AV60="X"</formula>
    </cfRule>
    <cfRule type="expression" priority="1112" dxfId="16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7">
      <formula>AV61="X"</formula>
    </cfRule>
    <cfRule type="expression" priority="1094" dxfId="16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7">
      <formula>AV62="X"</formula>
    </cfRule>
    <cfRule type="expression" priority="1076" dxfId="16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7">
      <formula>AV63="X"</formula>
    </cfRule>
    <cfRule type="expression" priority="1072" dxfId="16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7">
      <formula>AV64="X"</formula>
    </cfRule>
    <cfRule type="expression" priority="1054" dxfId="16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7">
      <formula>AV65="X"</formula>
    </cfRule>
    <cfRule type="expression" priority="1036" dxfId="16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7">
      <formula>AV66="X"</formula>
    </cfRule>
    <cfRule type="expression" priority="1018" dxfId="16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7">
      <formula>AV67="X"</formula>
    </cfRule>
    <cfRule type="expression" priority="1000" dxfId="16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7">
      <formula>AV68="X"</formula>
    </cfRule>
    <cfRule type="expression" priority="982" dxfId="16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7">
      <formula>AV69="X"</formula>
    </cfRule>
    <cfRule type="expression" priority="978" dxfId="16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7">
      <formula>AV70="X"</formula>
    </cfRule>
    <cfRule type="expression" priority="960" dxfId="16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7">
      <formula>AV71="X"</formula>
    </cfRule>
    <cfRule type="expression" priority="942" dxfId="16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7">
      <formula>AV72="X"</formula>
    </cfRule>
    <cfRule type="expression" priority="938" dxfId="16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7">
      <formula>AV73="X"</formula>
    </cfRule>
    <cfRule type="expression" priority="920" dxfId="16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7">
      <formula>AV74="X"</formula>
    </cfRule>
    <cfRule type="expression" priority="902" dxfId="16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7">
      <formula>AV75="X"</formula>
    </cfRule>
    <cfRule type="expression" priority="898" dxfId="16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7">
      <formula>AV76="X"</formula>
    </cfRule>
    <cfRule type="expression" priority="880" dxfId="16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7">
      <formula>AV77="X"</formula>
    </cfRule>
    <cfRule type="expression" priority="862" dxfId="16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7">
      <formula>AV78="X"</formula>
    </cfRule>
    <cfRule type="expression" priority="844" dxfId="16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7">
      <formula>AV79="X"</formula>
    </cfRule>
    <cfRule type="expression" priority="826" dxfId="16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7">
      <formula>AV80="X"</formula>
    </cfRule>
    <cfRule type="expression" priority="822" dxfId="16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7">
      <formula>AV81="X"</formula>
    </cfRule>
    <cfRule type="expression" priority="804" dxfId="16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7">
      <formula>AV82="X"</formula>
    </cfRule>
    <cfRule type="expression" priority="786" dxfId="16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7">
      <formula>AV83="X"</formula>
    </cfRule>
    <cfRule type="expression" priority="782" dxfId="16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7">
      <formula>AV84="X"</formula>
    </cfRule>
    <cfRule type="expression" priority="764" dxfId="16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7">
      <formula>AV85="X"</formula>
    </cfRule>
    <cfRule type="expression" priority="746" dxfId="16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7">
      <formula>AV86="X"</formula>
    </cfRule>
    <cfRule type="expression" priority="728" dxfId="16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7">
      <formula>AV87="X"</formula>
    </cfRule>
    <cfRule type="expression" priority="710" dxfId="16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7">
      <formula>AV88="X"</formula>
    </cfRule>
    <cfRule type="expression" priority="706" dxfId="16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7">
      <formula>AV89="X"</formula>
    </cfRule>
    <cfRule type="expression" priority="688" dxfId="16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7">
      <formula>AV90="X"</formula>
    </cfRule>
    <cfRule type="expression" priority="670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7">
      <formula>AV92="X"</formula>
    </cfRule>
    <cfRule type="expression" priority="648" dxfId="16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7">
      <formula>AV93="X"</formula>
    </cfRule>
    <cfRule type="expression" priority="630" dxfId="16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7">
      <formula>AV94="X"</formula>
    </cfRule>
    <cfRule type="expression" priority="612" dxfId="16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7">
      <formula>AV95="X"</formula>
    </cfRule>
    <cfRule type="expression" priority="594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7">
      <formula>AV97="X"</formula>
    </cfRule>
    <cfRule type="expression" priority="572" dxfId="16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7">
      <formula>AV98="X"</formula>
    </cfRule>
    <cfRule type="expression" priority="554" dxfId="16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7">
      <formula>AV99="X"</formula>
    </cfRule>
    <cfRule type="expression" priority="536" dxfId="16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7">
      <formula>AV100="X"</formula>
    </cfRule>
    <cfRule type="expression" priority="518" dxfId="16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7">
      <formula>AV101="X"</formula>
    </cfRule>
    <cfRule type="expression" priority="500" dxfId="16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7">
      <formula>AV102="X"</formula>
    </cfRule>
    <cfRule type="expression" priority="496" dxfId="16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7">
      <formula>AV103="X"</formula>
    </cfRule>
    <cfRule type="expression" priority="478" dxfId="16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7">
      <formula>AV104="X"</formula>
    </cfRule>
    <cfRule type="expression" priority="460" dxfId="16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7">
      <formula>AV105="X"</formula>
    </cfRule>
    <cfRule type="expression" priority="442" dxfId="16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7">
      <formula>AV106="X"</formula>
    </cfRule>
    <cfRule type="expression" priority="424" dxfId="16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7">
      <formula>AV107="X"</formula>
    </cfRule>
    <cfRule type="expression" priority="420" dxfId="16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7">
      <formula>AV108="X"</formula>
    </cfRule>
    <cfRule type="expression" priority="402" dxfId="16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7">
      <formula>AV109="X"</formula>
    </cfRule>
    <cfRule type="expression" priority="398" dxfId="16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7">
      <formula>AV110="X"</formula>
    </cfRule>
    <cfRule type="expression" priority="380" dxfId="16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7">
      <formula>AV111="X"</formula>
    </cfRule>
    <cfRule type="expression" priority="362" dxfId="16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7">
      <formula>AV112="X"</formula>
    </cfRule>
    <cfRule type="expression" priority="344" dxfId="16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7">
      <formula>AV113="X"</formula>
    </cfRule>
    <cfRule type="expression" priority="340" dxfId="16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7">
      <formula>AV114="X"</formula>
    </cfRule>
    <cfRule type="expression" priority="322" dxfId="16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7">
      <formula>AV115="X"</formula>
    </cfRule>
    <cfRule type="expression" priority="304" dxfId="16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7">
      <formula>AV116="X"</formula>
    </cfRule>
    <cfRule type="expression" priority="286" dxfId="16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7">
      <formula>AV117="X"</formula>
    </cfRule>
    <cfRule type="expression" priority="282" dxfId="16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7">
      <formula>AV118="X"</formula>
    </cfRule>
    <cfRule type="expression" priority="264" dxfId="16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7">
      <formula>AV119="X"</formula>
    </cfRule>
    <cfRule type="expression" priority="246" dxfId="16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7">
      <formula>AV120="X"</formula>
    </cfRule>
    <cfRule type="expression" priority="228" dxfId="16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7">
      <formula>AV121="X"</formula>
    </cfRule>
    <cfRule type="expression" priority="210" dxfId="16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7">
      <formula>AV122="X"</formula>
    </cfRule>
    <cfRule type="expression" priority="192" dxfId="16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7">
      <formula>AV123="X"</formula>
    </cfRule>
    <cfRule type="expression" priority="188" dxfId="16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7">
      <formula>AV124="X"</formula>
    </cfRule>
    <cfRule type="expression" priority="170" dxfId="16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7">
      <formula>AV125="X"</formula>
    </cfRule>
    <cfRule type="expression" priority="152" dxfId="16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7">
      <formula>AV126="X"</formula>
    </cfRule>
    <cfRule type="expression" priority="134" dxfId="16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7">
      <formula>AV127="X"</formula>
    </cfRule>
    <cfRule type="expression" priority="116" dxfId="16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7">
      <formula>AV128="X"</formula>
    </cfRule>
    <cfRule type="expression" priority="112" dxfId="16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7">
      <formula>AV129="X"</formula>
    </cfRule>
    <cfRule type="expression" priority="94" dxfId="16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7">
      <formula>AV130="X"</formula>
    </cfRule>
    <cfRule type="expression" priority="76" dxfId="16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7">
      <formula>AV131="X"</formula>
    </cfRule>
    <cfRule type="expression" priority="58" dxfId="16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7">
      <formula>AV132="X"</formula>
    </cfRule>
    <cfRule type="expression" priority="54" dxfId="16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7">
      <formula>AV133="X"</formula>
    </cfRule>
    <cfRule type="expression" priority="36" dxfId="16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7">
      <formula>AV134="X"</formula>
    </cfRule>
    <cfRule type="expression" priority="18" dxfId="16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현대메트로타워2차</t>
        </is>
      </c>
      <c r="B6" s="10" t="inlineStr">
        <is>
          <t>'16.04.</t>
        </is>
      </c>
      <c r="C6" s="135" t="n">
        <v>942</v>
      </c>
      <c r="D6" s="133" t="n">
        <v>115.3</v>
      </c>
      <c r="E6" s="134" t="n">
        <v>35</v>
      </c>
      <c r="F6" s="133" t="n">
        <v>84.90000000000001</v>
      </c>
      <c r="G6" s="17" t="n">
        <v>26</v>
      </c>
      <c r="H6" s="135" t="n">
        <v>318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inlineStr">
        <is>
          <t>115C</t>
        </is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5" t="n">
        <v>942</v>
      </c>
      <c r="D7" s="133" t="n">
        <v>115.5</v>
      </c>
      <c r="E7" s="134" t="n">
        <v>35</v>
      </c>
      <c r="F7" s="133" t="n">
        <v>85</v>
      </c>
      <c r="G7" s="17" t="n">
        <v>26</v>
      </c>
      <c r="H7" s="135" t="n">
        <v>316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inlineStr">
        <is>
          <t>115B</t>
        </is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5" t="n">
        <v>942</v>
      </c>
      <c r="D8" s="133" t="n">
        <v>115.3</v>
      </c>
      <c r="E8" s="134" t="n">
        <v>35</v>
      </c>
      <c r="F8" s="133" t="n">
        <v>85</v>
      </c>
      <c r="G8" s="17" t="n">
        <v>26</v>
      </c>
      <c r="H8" s="135" t="n">
        <v>308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inlineStr">
        <is>
          <t>115A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n"/>
      <c r="B9" s="123" t="n"/>
      <c r="C9" s="6" t="n"/>
      <c r="D9" s="9" t="n"/>
      <c r="E9" s="14" t="n"/>
      <c r="F9" s="133" t="n"/>
      <c r="G9" s="9" t="n"/>
      <c r="H9" s="9" t="n"/>
      <c r="I9" s="9" t="n"/>
      <c r="J9" s="9" t="n"/>
      <c r="K9" s="9" t="n"/>
      <c r="L9" s="9" t="n"/>
      <c r="M9" s="9" t="n"/>
      <c r="N9" s="9" t="n"/>
      <c r="O9" s="138" t="n"/>
      <c r="P9" s="138" t="n"/>
      <c r="Q9" s="134" t="n"/>
      <c r="R9" s="134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8">
        <f>IF(E9="","",E9)</f>
        <v/>
      </c>
      <c r="AJ9" s="123" t="n"/>
      <c r="AK9" s="123" t="n"/>
      <c r="AL9" s="123" t="n"/>
      <c r="AM9" s="123" t="n"/>
      <c r="AN9" s="123" t="n"/>
      <c r="AO9" s="123" t="n"/>
      <c r="AP9" s="123" t="n"/>
      <c r="AQ9" s="123" t="n"/>
      <c r="AR9" s="123" t="n"/>
      <c r="AS9" s="123" t="n"/>
      <c r="AT9" s="123" t="n"/>
      <c r="AU9" s="123" t="n"/>
      <c r="AV9" s="123" t="n"/>
    </row>
    <row r="10">
      <c r="A10" s="9" t="inlineStr">
        <is>
          <t>현대메트로타워</t>
        </is>
      </c>
      <c r="B10" s="10" t="inlineStr">
        <is>
          <t>'11.10.</t>
        </is>
      </c>
      <c r="C10" s="135" t="n">
        <v>614</v>
      </c>
      <c r="D10" s="133" t="n">
        <v>108.7</v>
      </c>
      <c r="E10" s="134" t="n">
        <v>33</v>
      </c>
      <c r="F10" s="133" t="n">
        <v>76.3</v>
      </c>
      <c r="G10" s="17" t="n">
        <v>23</v>
      </c>
      <c r="H10" s="135" t="n">
        <v>248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n">
        <v>108</v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5" t="n">
        <v>614</v>
      </c>
      <c r="D11" s="133" t="n">
        <v>120.5</v>
      </c>
      <c r="E11" s="134" t="n">
        <v>36</v>
      </c>
      <c r="F11" s="133" t="n">
        <v>84.90000000000001</v>
      </c>
      <c r="G11" s="17" t="n">
        <v>26</v>
      </c>
      <c r="H11" s="135" t="n">
        <v>244</v>
      </c>
      <c r="I11" s="136" t="n"/>
      <c r="J11" s="136" t="n"/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2</v>
      </c>
      <c r="S11" s="123" t="inlineStr">
        <is>
          <t>계</t>
        </is>
      </c>
      <c r="T11" s="5" t="n">
        <v>120</v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5" t="n">
        <v>614</v>
      </c>
      <c r="D12" s="133" t="n">
        <v>120.7</v>
      </c>
      <c r="E12" s="134" t="n">
        <v>37</v>
      </c>
      <c r="F12" s="133" t="n">
        <v>84.90000000000001</v>
      </c>
      <c r="G12" s="17" t="n">
        <v>26</v>
      </c>
      <c r="H12" s="135" t="n">
        <v>122</v>
      </c>
      <c r="I12" s="136" t="n"/>
      <c r="J12" s="136" t="n"/>
      <c r="K12" s="136" t="n"/>
      <c r="L12" s="136" t="n"/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3</v>
      </c>
      <c r="R12" s="123" t="n">
        <v>2</v>
      </c>
      <c r="S12" s="123" t="inlineStr">
        <is>
          <t>계</t>
        </is>
      </c>
      <c r="T12" s="5" t="n">
        <v>120</v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7">
      <formula>AV4="X"</formula>
    </cfRule>
    <cfRule type="expression" priority="114" dxfId="16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7">
      <formula>AV7="X"</formula>
    </cfRule>
    <cfRule type="expression" priority="94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7">
      <formula>AV9="X"</formula>
    </cfRule>
    <cfRule type="expression" priority="58" dxfId="16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7">
      <formula>AV10="X"</formula>
    </cfRule>
    <cfRule type="expression" priority="54" dxfId="16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7">
      <formula>AV11="X"</formula>
    </cfRule>
    <cfRule type="expression" priority="36" dxfId="16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7">
      <formula>AV12="X"</formula>
    </cfRule>
    <cfRule type="expression" priority="18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군산동흥남주공</t>
        </is>
      </c>
      <c r="B6" s="10" t="inlineStr">
        <is>
          <t>'06.02.</t>
        </is>
      </c>
      <c r="C6" s="135" t="n">
        <v>318</v>
      </c>
      <c r="D6" s="133" t="n">
        <v>94.90000000000001</v>
      </c>
      <c r="E6" s="134" t="n">
        <v>29</v>
      </c>
      <c r="F6" s="133" t="n">
        <v>75.3</v>
      </c>
      <c r="G6" s="17" t="n">
        <v>23</v>
      </c>
      <c r="H6" s="135" t="n">
        <v>90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n">
        <v>94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5" t="n">
        <v>318</v>
      </c>
      <c r="D7" s="133" t="n">
        <v>107</v>
      </c>
      <c r="E7" s="134" t="n">
        <v>32</v>
      </c>
      <c r="F7" s="133" t="n">
        <v>84.90000000000001</v>
      </c>
      <c r="G7" s="17" t="n">
        <v>26</v>
      </c>
      <c r="H7" s="135" t="n">
        <v>99</v>
      </c>
      <c r="I7" s="136" t="n">
        <v>23000</v>
      </c>
      <c r="J7" s="136" t="inlineStr">
        <is>
          <t>9</t>
        </is>
      </c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inlineStr">
        <is>
          <t>106A</t>
        </is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5" t="n">
        <v>318</v>
      </c>
      <c r="D8" s="133" t="n">
        <v>107.1</v>
      </c>
      <c r="E8" s="134" t="n">
        <v>32</v>
      </c>
      <c r="F8" s="133" t="n">
        <v>85</v>
      </c>
      <c r="G8" s="17" t="n">
        <v>26</v>
      </c>
      <c r="H8" s="135" t="n">
        <v>129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inlineStr">
        <is>
          <t>107B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7">
      <formula>AV4="X"</formula>
    </cfRule>
    <cfRule type="expression" priority="56" dxfId="16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7">
      <formula>AV7="X"</formula>
    </cfRule>
    <cfRule type="expression" priority="36" dxfId="16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7">
      <formula>AV8="X"</formula>
    </cfRule>
    <cfRule type="expression" priority="18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삼성</t>
        </is>
      </c>
      <c r="B6" s="10" t="inlineStr">
        <is>
          <t>'92.08.</t>
        </is>
      </c>
      <c r="C6" s="135" t="n">
        <v>716</v>
      </c>
      <c r="D6" s="133" t="n">
        <v>79.7</v>
      </c>
      <c r="E6" s="134" t="n">
        <v>24</v>
      </c>
      <c r="F6" s="133" t="n">
        <v>65.2</v>
      </c>
      <c r="G6" s="17" t="n">
        <v>20</v>
      </c>
      <c r="H6" s="135" t="n">
        <v>56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1</v>
      </c>
      <c r="S6" s="123" t="inlineStr">
        <is>
          <t>계</t>
        </is>
      </c>
      <c r="T6" s="5" t="n">
        <v>79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5" t="n">
        <v>716</v>
      </c>
      <c r="D7" s="133" t="n">
        <v>93.09999999999999</v>
      </c>
      <c r="E7" s="134" t="n">
        <v>28</v>
      </c>
      <c r="F7" s="133" t="n">
        <v>76</v>
      </c>
      <c r="G7" s="17" t="n">
        <v>23</v>
      </c>
      <c r="H7" s="135" t="n">
        <v>198</v>
      </c>
      <c r="I7" s="136" t="n">
        <v>12800</v>
      </c>
      <c r="J7" s="136" t="inlineStr">
        <is>
          <t>6</t>
        </is>
      </c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1</v>
      </c>
      <c r="S7" s="123" t="inlineStr">
        <is>
          <t>계</t>
        </is>
      </c>
      <c r="T7" s="5" t="n">
        <v>93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5" t="n">
        <v>716</v>
      </c>
      <c r="D8" s="133" t="n">
        <v>104</v>
      </c>
      <c r="E8" s="134" t="n">
        <v>31</v>
      </c>
      <c r="F8" s="133" t="n">
        <v>84.90000000000001</v>
      </c>
      <c r="G8" s="17" t="n">
        <v>26</v>
      </c>
      <c r="H8" s="135" t="n">
        <v>462</v>
      </c>
      <c r="I8" s="136" t="n">
        <v>13500</v>
      </c>
      <c r="J8" s="136" t="inlineStr">
        <is>
          <t>6</t>
        </is>
      </c>
      <c r="K8" s="136" t="n">
        <v>14000</v>
      </c>
      <c r="L8" s="136" t="inlineStr">
        <is>
          <t>12</t>
        </is>
      </c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n">
        <v>104</v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7">
      <formula>AV4="X"</formula>
    </cfRule>
    <cfRule type="expression" priority="56" dxfId="16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7">
      <formula>AV7="X"</formula>
    </cfRule>
    <cfRule type="expression" priority="36" dxfId="16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7">
      <formula>AV8="X"</formula>
    </cfRule>
    <cfRule type="expression" priority="18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미룡대명1차</t>
        </is>
      </c>
      <c r="B6" s="10" t="inlineStr">
        <is>
          <t>'98.06.</t>
        </is>
      </c>
      <c r="C6" s="135" t="n">
        <v>498</v>
      </c>
      <c r="D6" s="133" t="n">
        <v>53.9</v>
      </c>
      <c r="E6" s="134" t="n">
        <v>16</v>
      </c>
      <c r="F6" s="133" t="n">
        <v>40</v>
      </c>
      <c r="G6" s="17" t="n">
        <v>12</v>
      </c>
      <c r="H6" s="135" t="n">
        <v>498</v>
      </c>
      <c r="I6" s="136" t="n">
        <v>3900</v>
      </c>
      <c r="J6" s="136" t="inlineStr">
        <is>
          <t>7</t>
        </is>
      </c>
      <c r="K6" s="136" t="n">
        <v>4500</v>
      </c>
      <c r="L6" s="136" t="inlineStr">
        <is>
          <t>중</t>
        </is>
      </c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2</v>
      </c>
      <c r="R6" s="123" t="n">
        <v>1</v>
      </c>
      <c r="S6" s="123" t="inlineStr">
        <is>
          <t>계</t>
        </is>
      </c>
      <c r="T6" s="5" t="n">
        <v>53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n"/>
      <c r="B7" s="123" t="n"/>
      <c r="C7" s="6" t="n"/>
      <c r="D7" s="9" t="n"/>
      <c r="E7" s="14" t="n"/>
      <c r="F7" s="133" t="n"/>
      <c r="G7" s="9" t="n"/>
      <c r="H7" s="9" t="n"/>
      <c r="I7" s="9" t="n"/>
      <c r="J7" s="9" t="n"/>
      <c r="K7" s="9" t="n"/>
      <c r="L7" s="9" t="n"/>
      <c r="M7" s="9" t="n"/>
      <c r="N7" s="9" t="n"/>
      <c r="O7" s="138" t="n"/>
      <c r="P7" s="138" t="n"/>
      <c r="Q7" s="134" t="n"/>
      <c r="R7" s="134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8">
        <f>IF(E7="","",E7)</f>
        <v/>
      </c>
      <c r="AJ7" s="123" t="n"/>
      <c r="AK7" s="123" t="n"/>
      <c r="AL7" s="123" t="n"/>
      <c r="AM7" s="123" t="n"/>
      <c r="AN7" s="123" t="n"/>
      <c r="AO7" s="123" t="n"/>
      <c r="AP7" s="123" t="n"/>
      <c r="AQ7" s="123" t="n"/>
      <c r="AR7" s="123" t="n"/>
      <c r="AS7" s="123" t="n"/>
      <c r="AT7" s="123" t="n"/>
      <c r="AU7" s="123" t="n"/>
      <c r="AV7" s="123" t="n"/>
    </row>
    <row r="8">
      <c r="A8" s="9" t="inlineStr">
        <is>
          <t>금광베네스타</t>
        </is>
      </c>
      <c r="B8" s="10" t="inlineStr">
        <is>
          <t>'08.12.</t>
        </is>
      </c>
      <c r="C8" s="135" t="n">
        <v>950</v>
      </c>
      <c r="D8" s="133" t="n">
        <v>110.3</v>
      </c>
      <c r="E8" s="134" t="n">
        <v>33</v>
      </c>
      <c r="F8" s="133" t="n">
        <v>84.7</v>
      </c>
      <c r="G8" s="17" t="n">
        <v>26</v>
      </c>
      <c r="H8" s="135" t="n">
        <v>120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복</t>
        </is>
      </c>
      <c r="T8" s="5" t="inlineStr">
        <is>
          <t>110A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5" t="n">
        <v>950</v>
      </c>
      <c r="D9" s="133" t="n">
        <v>110.5</v>
      </c>
      <c r="E9" s="134" t="n">
        <v>33</v>
      </c>
      <c r="F9" s="133" t="n">
        <v>84.8</v>
      </c>
      <c r="G9" s="17" t="n">
        <v>26</v>
      </c>
      <c r="H9" s="135" t="n">
        <v>39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복</t>
        </is>
      </c>
      <c r="T9" s="5" t="inlineStr">
        <is>
          <t>110B</t>
        </is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5" t="n">
        <v>950</v>
      </c>
      <c r="D10" s="133" t="n">
        <v>111.7</v>
      </c>
      <c r="E10" s="134" t="n">
        <v>34</v>
      </c>
      <c r="F10" s="133" t="n">
        <v>85</v>
      </c>
      <c r="G10" s="17" t="n">
        <v>26</v>
      </c>
      <c r="H10" s="135" t="n">
        <v>40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복</t>
        </is>
      </c>
      <c r="T10" s="5" t="inlineStr">
        <is>
          <t>111C</t>
        </is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5" t="n">
        <v>950</v>
      </c>
      <c r="D11" s="133" t="n">
        <v>146.5</v>
      </c>
      <c r="E11" s="134" t="n">
        <v>44</v>
      </c>
      <c r="F11" s="133" t="n">
        <v>113.5</v>
      </c>
      <c r="G11" s="17" t="n">
        <v>34</v>
      </c>
      <c r="H11" s="135" t="n">
        <v>114</v>
      </c>
      <c r="I11" s="136" t="n">
        <v>32000</v>
      </c>
      <c r="J11" s="136" t="inlineStr">
        <is>
          <t>19</t>
        </is>
      </c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2</v>
      </c>
      <c r="S11" s="123" t="inlineStr">
        <is>
          <t>복</t>
        </is>
      </c>
      <c r="T11" s="5" t="n">
        <v>146</v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5" t="n">
        <v>950</v>
      </c>
      <c r="D12" s="133" t="n">
        <v>160</v>
      </c>
      <c r="E12" s="134" t="n">
        <v>48</v>
      </c>
      <c r="F12" s="133" t="n">
        <v>130.8</v>
      </c>
      <c r="G12" s="17" t="n">
        <v>40</v>
      </c>
      <c r="H12" s="135" t="n">
        <v>320</v>
      </c>
      <c r="I12" s="136" t="n">
        <v>34000</v>
      </c>
      <c r="J12" s="136" t="inlineStr">
        <is>
          <t>5</t>
        </is>
      </c>
      <c r="K12" s="136" t="n"/>
      <c r="L12" s="136" t="n"/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4</v>
      </c>
      <c r="R12" s="123" t="n">
        <v>2</v>
      </c>
      <c r="S12" s="123" t="inlineStr">
        <is>
          <t>복</t>
        </is>
      </c>
      <c r="T12" s="5" t="inlineStr">
        <is>
          <t>160A</t>
        </is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5" t="n">
        <v>950</v>
      </c>
      <c r="D13" s="133" t="n">
        <v>160</v>
      </c>
      <c r="E13" s="134" t="n">
        <v>48</v>
      </c>
      <c r="F13" s="133" t="n">
        <v>130.8</v>
      </c>
      <c r="G13" s="17" t="n">
        <v>40</v>
      </c>
      <c r="H13" s="135" t="n">
        <v>78</v>
      </c>
      <c r="I13" s="136" t="n">
        <v>34000</v>
      </c>
      <c r="J13" s="136" t="inlineStr">
        <is>
          <t>5</t>
        </is>
      </c>
      <c r="K13" s="136" t="n"/>
      <c r="L13" s="136" t="n"/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4</v>
      </c>
      <c r="R13" s="123" t="n">
        <v>2</v>
      </c>
      <c r="S13" s="123" t="inlineStr">
        <is>
          <t>복</t>
        </is>
      </c>
      <c r="T13" s="5" t="inlineStr">
        <is>
          <t>160B</t>
        </is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5" t="n">
        <v>950</v>
      </c>
      <c r="D14" s="133" t="n">
        <v>176.6</v>
      </c>
      <c r="E14" s="134" t="n">
        <v>53</v>
      </c>
      <c r="F14" s="133" t="n">
        <v>139.8</v>
      </c>
      <c r="G14" s="17" t="n">
        <v>42</v>
      </c>
      <c r="H14" s="135" t="n">
        <v>160</v>
      </c>
      <c r="I14" s="136" t="n">
        <v>37000</v>
      </c>
      <c r="J14" s="136" t="inlineStr">
        <is>
          <t>17</t>
        </is>
      </c>
      <c r="K14" s="136" t="n"/>
      <c r="L14" s="136" t="n"/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4</v>
      </c>
      <c r="R14" s="123" t="n">
        <v>2</v>
      </c>
      <c r="S14" s="123" t="inlineStr">
        <is>
          <t>복</t>
        </is>
      </c>
      <c r="T14" s="5" t="n">
        <v>176</v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5" t="n">
        <v>950</v>
      </c>
      <c r="D15" s="133" t="n">
        <v>203.2</v>
      </c>
      <c r="E15" s="134" t="n">
        <v>61</v>
      </c>
      <c r="F15" s="133" t="n">
        <v>172.2</v>
      </c>
      <c r="G15" s="17" t="n">
        <v>52</v>
      </c>
      <c r="H15" s="135" t="n">
        <v>40</v>
      </c>
      <c r="I15" s="136" t="n">
        <v>45000</v>
      </c>
      <c r="J15" s="136" t="inlineStr">
        <is>
          <t>14</t>
        </is>
      </c>
      <c r="K15" s="136" t="n"/>
      <c r="L15" s="136" t="n"/>
      <c r="M15" s="137">
        <f>I15-K15</f>
        <v/>
      </c>
      <c r="N15" s="4">
        <f>IF(ISERROR(K15/I15),"",K15/I15)</f>
        <v/>
      </c>
      <c r="O15" s="138">
        <f>I15/E15</f>
        <v/>
      </c>
      <c r="P15" s="138">
        <f>K15/E15</f>
        <v/>
      </c>
      <c r="Q15" s="123" t="n">
        <v>4</v>
      </c>
      <c r="R15" s="123" t="n">
        <v>2</v>
      </c>
      <c r="S15" s="123" t="inlineStr">
        <is>
          <t>복</t>
        </is>
      </c>
      <c r="T15" s="5" t="inlineStr">
        <is>
          <t>203B</t>
        </is>
      </c>
      <c r="U15" s="9" t="n"/>
      <c r="W15" s="133">
        <f>D15</f>
        <v/>
      </c>
      <c r="X15" s="134">
        <f>E15</f>
        <v/>
      </c>
      <c r="Y15" s="139">
        <f>H15</f>
        <v/>
      </c>
      <c r="Z15" s="137">
        <f>I15</f>
        <v/>
      </c>
      <c r="AA15" s="137">
        <f>K15</f>
        <v/>
      </c>
      <c r="AB15" s="137">
        <f>M15</f>
        <v/>
      </c>
      <c r="AC15" s="4">
        <f>N15</f>
        <v/>
      </c>
      <c r="AD15" s="138">
        <f>O15</f>
        <v/>
      </c>
      <c r="AE15" s="123">
        <f>S15</f>
        <v/>
      </c>
      <c r="AF15" s="123">
        <f>Q15&amp;"/"&amp;R15</f>
        <v/>
      </c>
      <c r="AH15" s="20">
        <f>IF(A15="","",A15)</f>
        <v/>
      </c>
      <c r="AI15" s="134">
        <f>IF(E15="","",E15)</f>
        <v/>
      </c>
      <c r="AJ15" s="123">
        <f>IF(AI15="","",$AJ$2)</f>
        <v/>
      </c>
      <c r="AK15" s="123" t="inlineStr">
        <is>
          <t>A</t>
        </is>
      </c>
      <c r="AL15" s="123" t="inlineStr">
        <is>
          <t>A+</t>
        </is>
      </c>
      <c r="AM15" s="123" t="inlineStr">
        <is>
          <t>B+</t>
        </is>
      </c>
      <c r="AN15" s="123">
        <f>IF(AI15="","",$AN$2)</f>
        <v/>
      </c>
      <c r="AO15" s="123">
        <f>IF(N15="","",IF(N15&gt;=$AO$1/100,"O","X"))</f>
        <v/>
      </c>
      <c r="AP15" s="123">
        <f>IF(I15="","",IF(I15&lt;=$AP$1,"O","X"))</f>
        <v/>
      </c>
      <c r="AQ15" s="123">
        <f>IF(O15="","",IF(O15&lt;=$AQ$1,"O","X"))</f>
        <v/>
      </c>
      <c r="AR15" s="123">
        <f>IF(M15="","",IF(M15&lt;=$AR$1,"O","X"))</f>
        <v/>
      </c>
      <c r="AS15" s="123" t="inlineStr">
        <is>
          <t>X</t>
        </is>
      </c>
      <c r="AT15" s="123">
        <f>IF(OR(F15="",AI15=""),"",IF(AND((F15&lt;=85),(AI15&gt;=15)),"O","X"))</f>
        <v/>
      </c>
      <c r="AU15" s="123">
        <f>IF(C15="","",IF(C15&gt;=$AU$1,"O","X"))</f>
        <v/>
      </c>
      <c r="AV15" s="123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5" t="n">
        <v>950</v>
      </c>
      <c r="D16" s="133" t="n">
        <v>204.9</v>
      </c>
      <c r="E16" s="134" t="n">
        <v>62</v>
      </c>
      <c r="F16" s="133" t="n">
        <v>170.7</v>
      </c>
      <c r="G16" s="17" t="n">
        <v>52</v>
      </c>
      <c r="H16" s="135" t="n">
        <v>39</v>
      </c>
      <c r="I16" s="136" t="n">
        <v>45000</v>
      </c>
      <c r="J16" s="136" t="inlineStr">
        <is>
          <t>18</t>
        </is>
      </c>
      <c r="K16" s="136" t="n">
        <v>35000</v>
      </c>
      <c r="L16" s="136" t="inlineStr">
        <is>
          <t>18</t>
        </is>
      </c>
      <c r="M16" s="137">
        <f>I16-K16</f>
        <v/>
      </c>
      <c r="N16" s="4">
        <f>IF(ISERROR(K16/I16),"",K16/I16)</f>
        <v/>
      </c>
      <c r="O16" s="138">
        <f>I16/E16</f>
        <v/>
      </c>
      <c r="P16" s="138">
        <f>K16/E16</f>
        <v/>
      </c>
      <c r="Q16" s="123" t="n">
        <v>5</v>
      </c>
      <c r="R16" s="123" t="n">
        <v>2</v>
      </c>
      <c r="S16" s="123" t="inlineStr">
        <is>
          <t>복</t>
        </is>
      </c>
      <c r="T16" s="5" t="inlineStr">
        <is>
          <t>204A</t>
        </is>
      </c>
      <c r="U16" s="9" t="n"/>
      <c r="W16" s="133">
        <f>D16</f>
        <v/>
      </c>
      <c r="X16" s="134">
        <f>E16</f>
        <v/>
      </c>
      <c r="Y16" s="139">
        <f>H16</f>
        <v/>
      </c>
      <c r="Z16" s="137">
        <f>I16</f>
        <v/>
      </c>
      <c r="AA16" s="137">
        <f>K16</f>
        <v/>
      </c>
      <c r="AB16" s="137">
        <f>M16</f>
        <v/>
      </c>
      <c r="AC16" s="4">
        <f>N16</f>
        <v/>
      </c>
      <c r="AD16" s="138">
        <f>O16</f>
        <v/>
      </c>
      <c r="AE16" s="123">
        <f>S16</f>
        <v/>
      </c>
      <c r="AF16" s="123">
        <f>Q16&amp;"/"&amp;R16</f>
        <v/>
      </c>
      <c r="AH16" s="20">
        <f>IF(A16="","",A16)</f>
        <v/>
      </c>
      <c r="AI16" s="134">
        <f>IF(E16="","",E16)</f>
        <v/>
      </c>
      <c r="AJ16" s="123">
        <f>IF(AI16="","",$AJ$2)</f>
        <v/>
      </c>
      <c r="AK16" s="123" t="inlineStr">
        <is>
          <t>A</t>
        </is>
      </c>
      <c r="AL16" s="123" t="inlineStr">
        <is>
          <t>A+</t>
        </is>
      </c>
      <c r="AM16" s="123" t="inlineStr">
        <is>
          <t>B+</t>
        </is>
      </c>
      <c r="AN16" s="123">
        <f>IF(AI16="","",$AN$2)</f>
        <v/>
      </c>
      <c r="AO16" s="123">
        <f>IF(N16="","",IF(N16&gt;=$AO$1/100,"O","X"))</f>
        <v/>
      </c>
      <c r="AP16" s="123">
        <f>IF(I16="","",IF(I16&lt;=$AP$1,"O","X"))</f>
        <v/>
      </c>
      <c r="AQ16" s="123">
        <f>IF(O16="","",IF(O16&lt;=$AQ$1,"O","X"))</f>
        <v/>
      </c>
      <c r="AR16" s="123">
        <f>IF(M16="","",IF(M16&lt;=$AR$1,"O","X"))</f>
        <v/>
      </c>
      <c r="AS16" s="123" t="inlineStr">
        <is>
          <t>X</t>
        </is>
      </c>
      <c r="AT16" s="123">
        <f>IF(OR(F16="",AI16=""),"",IF(AND((F16&lt;=85),(AI16&gt;=15)),"O","X"))</f>
        <v/>
      </c>
      <c r="AU16" s="123">
        <f>IF(C16="","",IF(C16&gt;=$AU$1,"O","X"))</f>
        <v/>
      </c>
      <c r="AV16" s="123">
        <f>IF(AO16="","",IF(AND(AO16="O",AP16="O",AR16="O",AT16="O",AU16="O"),"후보","X"))</f>
        <v/>
      </c>
    </row>
    <row r="17">
      <c r="A17" s="9" t="n"/>
      <c r="B17" s="123" t="n"/>
      <c r="C17" s="6" t="n"/>
      <c r="D17" s="9" t="n"/>
      <c r="E17" s="14" t="n"/>
      <c r="F17" s="133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8" t="n"/>
      <c r="P17" s="138" t="n"/>
      <c r="Q17" s="134" t="n"/>
      <c r="R17" s="134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8">
        <f>IF(E17="","",E17)</f>
        <v/>
      </c>
      <c r="AJ17" s="123" t="n"/>
      <c r="AK17" s="123" t="n"/>
      <c r="AL17" s="123" t="n"/>
      <c r="AM17" s="123" t="n"/>
      <c r="AN17" s="123" t="n"/>
      <c r="AO17" s="123" t="n"/>
      <c r="AP17" s="123" t="n"/>
      <c r="AQ17" s="123" t="n"/>
      <c r="AR17" s="123" t="n"/>
      <c r="AS17" s="123" t="n"/>
      <c r="AT17" s="123" t="n"/>
      <c r="AU17" s="123" t="n"/>
      <c r="AV17" s="123" t="n"/>
    </row>
    <row r="18">
      <c r="A18" s="9" t="inlineStr">
        <is>
          <t>은파롯데캐슬</t>
        </is>
      </c>
      <c r="B18" s="10" t="inlineStr">
        <is>
          <t>'07.09.</t>
        </is>
      </c>
      <c r="C18" s="135" t="n">
        <v>307</v>
      </c>
      <c r="D18" s="133" t="n">
        <v>109.8</v>
      </c>
      <c r="E18" s="134" t="n">
        <v>33</v>
      </c>
      <c r="F18" s="133" t="n">
        <v>85</v>
      </c>
      <c r="G18" s="17" t="n">
        <v>26</v>
      </c>
      <c r="H18" s="135" t="n">
        <v>50</v>
      </c>
      <c r="I18" s="136" t="n"/>
      <c r="J18" s="136" t="n"/>
      <c r="K18" s="136" t="n"/>
      <c r="L18" s="136" t="n"/>
      <c r="M18" s="137">
        <f>I18-K18</f>
        <v/>
      </c>
      <c r="N18" s="4">
        <f>IF(ISERROR(K18/I18),"",K18/I18)</f>
        <v/>
      </c>
      <c r="O18" s="138">
        <f>I18/E18</f>
        <v/>
      </c>
      <c r="P18" s="138">
        <f>K18/E18</f>
        <v/>
      </c>
      <c r="Q18" s="123" t="n">
        <v>3</v>
      </c>
      <c r="R18" s="123" t="n">
        <v>2</v>
      </c>
      <c r="S18" s="123" t="inlineStr">
        <is>
          <t>복</t>
        </is>
      </c>
      <c r="T18" s="5" t="n">
        <v>109</v>
      </c>
      <c r="U18" s="9" t="n"/>
      <c r="W18" s="133">
        <f>D18</f>
        <v/>
      </c>
      <c r="X18" s="134">
        <f>E18</f>
        <v/>
      </c>
      <c r="Y18" s="139">
        <f>H18</f>
        <v/>
      </c>
      <c r="Z18" s="137">
        <f>I18</f>
        <v/>
      </c>
      <c r="AA18" s="137">
        <f>K18</f>
        <v/>
      </c>
      <c r="AB18" s="137">
        <f>M18</f>
        <v/>
      </c>
      <c r="AC18" s="4">
        <f>N18</f>
        <v/>
      </c>
      <c r="AD18" s="138">
        <f>O18</f>
        <v/>
      </c>
      <c r="AE18" s="123">
        <f>S18</f>
        <v/>
      </c>
      <c r="AF18" s="123">
        <f>Q18&amp;"/"&amp;R18</f>
        <v/>
      </c>
      <c r="AH18" s="20">
        <f>IF(A18="","",A18)</f>
        <v/>
      </c>
      <c r="AI18" s="134">
        <f>IF(E18="","",E18)</f>
        <v/>
      </c>
      <c r="AJ18" s="123">
        <f>IF(AI18="","",$AJ$2)</f>
        <v/>
      </c>
      <c r="AK18" s="123" t="inlineStr">
        <is>
          <t>A</t>
        </is>
      </c>
      <c r="AL18" s="123" t="inlineStr">
        <is>
          <t>A+</t>
        </is>
      </c>
      <c r="AM18" s="123" t="inlineStr">
        <is>
          <t>B+</t>
        </is>
      </c>
      <c r="AN18" s="123">
        <f>IF(AI18="","",$AN$2)</f>
        <v/>
      </c>
      <c r="AO18" s="123">
        <f>IF(N18="","",IF(N18&gt;=$AO$1/100,"O","X"))</f>
        <v/>
      </c>
      <c r="AP18" s="123">
        <f>IF(I18="","",IF(I18&lt;=$AP$1,"O","X"))</f>
        <v/>
      </c>
      <c r="AQ18" s="123">
        <f>IF(O18="","",IF(O18&lt;=$AQ$1,"O","X"))</f>
        <v/>
      </c>
      <c r="AR18" s="123">
        <f>IF(M18="","",IF(M18&lt;=$AR$1,"O","X"))</f>
        <v/>
      </c>
      <c r="AS18" s="123" t="inlineStr">
        <is>
          <t>X</t>
        </is>
      </c>
      <c r="AT18" s="123">
        <f>IF(OR(F18="",AI18=""),"",IF(AND((F18&lt;=85),(AI18&gt;=15)),"O","X"))</f>
        <v/>
      </c>
      <c r="AU18" s="123">
        <f>IF(C18="","",IF(C18&gt;=$AU$1,"O","X"))</f>
        <v/>
      </c>
      <c r="AV18" s="123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5" t="n">
        <v>307</v>
      </c>
      <c r="D19" s="133" t="n">
        <v>129.9</v>
      </c>
      <c r="E19" s="134" t="n">
        <v>39</v>
      </c>
      <c r="F19" s="133" t="n">
        <v>102.8</v>
      </c>
      <c r="G19" s="17" t="n">
        <v>31</v>
      </c>
      <c r="H19" s="135" t="n">
        <v>52</v>
      </c>
      <c r="I19" s="136" t="n"/>
      <c r="J19" s="136" t="n"/>
      <c r="K19" s="136" t="n"/>
      <c r="L19" s="136" t="n"/>
      <c r="M19" s="137">
        <f>I19-K19</f>
        <v/>
      </c>
      <c r="N19" s="4">
        <f>IF(ISERROR(K19/I19),"",K19/I19)</f>
        <v/>
      </c>
      <c r="O19" s="138">
        <f>I19/E19</f>
        <v/>
      </c>
      <c r="P19" s="138">
        <f>K19/E19</f>
        <v/>
      </c>
      <c r="Q19" s="123" t="n">
        <v>3</v>
      </c>
      <c r="R19" s="123" t="n">
        <v>2</v>
      </c>
      <c r="S19" s="123" t="inlineStr">
        <is>
          <t>복</t>
        </is>
      </c>
      <c r="T19" s="5" t="inlineStr">
        <is>
          <t>129B</t>
        </is>
      </c>
      <c r="U19" s="9" t="n"/>
      <c r="W19" s="133">
        <f>D19</f>
        <v/>
      </c>
      <c r="X19" s="134">
        <f>E19</f>
        <v/>
      </c>
      <c r="Y19" s="139">
        <f>H19</f>
        <v/>
      </c>
      <c r="Z19" s="137">
        <f>I19</f>
        <v/>
      </c>
      <c r="AA19" s="137">
        <f>K19</f>
        <v/>
      </c>
      <c r="AB19" s="137">
        <f>M19</f>
        <v/>
      </c>
      <c r="AC19" s="4">
        <f>N19</f>
        <v/>
      </c>
      <c r="AD19" s="138">
        <f>O19</f>
        <v/>
      </c>
      <c r="AE19" s="123">
        <f>S19</f>
        <v/>
      </c>
      <c r="AF19" s="123">
        <f>Q19&amp;"/"&amp;R19</f>
        <v/>
      </c>
      <c r="AH19" s="20">
        <f>IF(A19="","",A19)</f>
        <v/>
      </c>
      <c r="AI19" s="134">
        <f>IF(E19="","",E19)</f>
        <v/>
      </c>
      <c r="AJ19" s="123">
        <f>IF(AI19="","",$AJ$2)</f>
        <v/>
      </c>
      <c r="AK19" s="123" t="inlineStr">
        <is>
          <t>A</t>
        </is>
      </c>
      <c r="AL19" s="123" t="inlineStr">
        <is>
          <t>A+</t>
        </is>
      </c>
      <c r="AM19" s="123" t="inlineStr">
        <is>
          <t>B+</t>
        </is>
      </c>
      <c r="AN19" s="123">
        <f>IF(AI19="","",$AN$2)</f>
        <v/>
      </c>
      <c r="AO19" s="123">
        <f>IF(N19="","",IF(N19&gt;=$AO$1/100,"O","X"))</f>
        <v/>
      </c>
      <c r="AP19" s="123">
        <f>IF(I19="","",IF(I19&lt;=$AP$1,"O","X"))</f>
        <v/>
      </c>
      <c r="AQ19" s="123">
        <f>IF(O19="","",IF(O19&lt;=$AQ$1,"O","X"))</f>
        <v/>
      </c>
      <c r="AR19" s="123">
        <f>IF(M19="","",IF(M19&lt;=$AR$1,"O","X"))</f>
        <v/>
      </c>
      <c r="AS19" s="123" t="inlineStr">
        <is>
          <t>X</t>
        </is>
      </c>
      <c r="AT19" s="123">
        <f>IF(OR(F19="",AI19=""),"",IF(AND((F19&lt;=85),(AI19&gt;=15)),"O","X"))</f>
        <v/>
      </c>
      <c r="AU19" s="123">
        <f>IF(C19="","",IF(C19&gt;=$AU$1,"O","X"))</f>
        <v/>
      </c>
      <c r="AV19" s="123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5" t="n">
        <v>307</v>
      </c>
      <c r="D20" s="133" t="n">
        <v>131.5</v>
      </c>
      <c r="E20" s="134" t="n">
        <v>40</v>
      </c>
      <c r="F20" s="133" t="n">
        <v>104.6</v>
      </c>
      <c r="G20" s="17" t="n">
        <v>32</v>
      </c>
      <c r="H20" s="135" t="n">
        <v>79</v>
      </c>
      <c r="I20" s="136" t="n">
        <v>32000</v>
      </c>
      <c r="J20" s="136" t="inlineStr">
        <is>
          <t>8</t>
        </is>
      </c>
      <c r="K20" s="136" t="n"/>
      <c r="L20" s="136" t="n"/>
      <c r="M20" s="137">
        <f>I20-K20</f>
        <v/>
      </c>
      <c r="N20" s="4">
        <f>IF(ISERROR(K20/I20),"",K20/I20)</f>
        <v/>
      </c>
      <c r="O20" s="138">
        <f>I20/E20</f>
        <v/>
      </c>
      <c r="P20" s="138">
        <f>K20/E20</f>
        <v/>
      </c>
      <c r="Q20" s="123" t="n">
        <v>3</v>
      </c>
      <c r="R20" s="123" t="n">
        <v>2</v>
      </c>
      <c r="S20" s="123" t="inlineStr">
        <is>
          <t>복</t>
        </is>
      </c>
      <c r="T20" s="5" t="inlineStr">
        <is>
          <t>131A</t>
        </is>
      </c>
      <c r="U20" s="9" t="n"/>
      <c r="W20" s="133">
        <f>D20</f>
        <v/>
      </c>
      <c r="X20" s="134">
        <f>E20</f>
        <v/>
      </c>
      <c r="Y20" s="139">
        <f>H20</f>
        <v/>
      </c>
      <c r="Z20" s="137">
        <f>I20</f>
        <v/>
      </c>
      <c r="AA20" s="137">
        <f>K20</f>
        <v/>
      </c>
      <c r="AB20" s="137">
        <f>M20</f>
        <v/>
      </c>
      <c r="AC20" s="4">
        <f>N20</f>
        <v/>
      </c>
      <c r="AD20" s="138">
        <f>O20</f>
        <v/>
      </c>
      <c r="AE20" s="123">
        <f>S20</f>
        <v/>
      </c>
      <c r="AF20" s="123">
        <f>Q20&amp;"/"&amp;R20</f>
        <v/>
      </c>
      <c r="AH20" s="20">
        <f>IF(A20="","",A20)</f>
        <v/>
      </c>
      <c r="AI20" s="134">
        <f>IF(E20="","",E20)</f>
        <v/>
      </c>
      <c r="AJ20" s="123">
        <f>IF(AI20="","",$AJ$2)</f>
        <v/>
      </c>
      <c r="AK20" s="123" t="inlineStr">
        <is>
          <t>A</t>
        </is>
      </c>
      <c r="AL20" s="123" t="inlineStr">
        <is>
          <t>A+</t>
        </is>
      </c>
      <c r="AM20" s="123" t="inlineStr">
        <is>
          <t>B+</t>
        </is>
      </c>
      <c r="AN20" s="123">
        <f>IF(AI20="","",$AN$2)</f>
        <v/>
      </c>
      <c r="AO20" s="123">
        <f>IF(N20="","",IF(N20&gt;=$AO$1/100,"O","X"))</f>
        <v/>
      </c>
      <c r="AP20" s="123">
        <f>IF(I20="","",IF(I20&lt;=$AP$1,"O","X"))</f>
        <v/>
      </c>
      <c r="AQ20" s="123">
        <f>IF(O20="","",IF(O20&lt;=$AQ$1,"O","X"))</f>
        <v/>
      </c>
      <c r="AR20" s="123">
        <f>IF(M20="","",IF(M20&lt;=$AR$1,"O","X"))</f>
        <v/>
      </c>
      <c r="AS20" s="123" t="inlineStr">
        <is>
          <t>X</t>
        </is>
      </c>
      <c r="AT20" s="123">
        <f>IF(OR(F20="",AI20=""),"",IF(AND((F20&lt;=85),(AI20&gt;=15)),"O","X"))</f>
        <v/>
      </c>
      <c r="AU20" s="123">
        <f>IF(C20="","",IF(C20&gt;=$AU$1,"O","X"))</f>
        <v/>
      </c>
      <c r="AV20" s="123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5" t="n">
        <v>307</v>
      </c>
      <c r="D21" s="133" t="n">
        <v>158.3</v>
      </c>
      <c r="E21" s="134" t="n">
        <v>48</v>
      </c>
      <c r="F21" s="133" t="n">
        <v>127.2</v>
      </c>
      <c r="G21" s="17" t="n">
        <v>38</v>
      </c>
      <c r="H21" s="135" t="n">
        <v>77</v>
      </c>
      <c r="I21" s="136" t="n">
        <v>36000</v>
      </c>
      <c r="J21" s="136" t="inlineStr">
        <is>
          <t>8</t>
        </is>
      </c>
      <c r="K21" s="136" t="n"/>
      <c r="L21" s="136" t="n"/>
      <c r="M21" s="137">
        <f>I21-K21</f>
        <v/>
      </c>
      <c r="N21" s="4">
        <f>IF(ISERROR(K21/I21),"",K21/I21)</f>
        <v/>
      </c>
      <c r="O21" s="138">
        <f>I21/E21</f>
        <v/>
      </c>
      <c r="P21" s="138">
        <f>K21/E21</f>
        <v/>
      </c>
      <c r="Q21" s="123" t="n">
        <v>4</v>
      </c>
      <c r="R21" s="123" t="n">
        <v>2</v>
      </c>
      <c r="S21" s="123" t="inlineStr">
        <is>
          <t>복</t>
        </is>
      </c>
      <c r="T21" s="5" t="inlineStr">
        <is>
          <t>158B</t>
        </is>
      </c>
      <c r="U21" s="9" t="n"/>
      <c r="W21" s="133">
        <f>D21</f>
        <v/>
      </c>
      <c r="X21" s="134">
        <f>E21</f>
        <v/>
      </c>
      <c r="Y21" s="139">
        <f>H21</f>
        <v/>
      </c>
      <c r="Z21" s="137">
        <f>I21</f>
        <v/>
      </c>
      <c r="AA21" s="137">
        <f>K21</f>
        <v/>
      </c>
      <c r="AB21" s="137">
        <f>M21</f>
        <v/>
      </c>
      <c r="AC21" s="4">
        <f>N21</f>
        <v/>
      </c>
      <c r="AD21" s="138">
        <f>O21</f>
        <v/>
      </c>
      <c r="AE21" s="123">
        <f>S21</f>
        <v/>
      </c>
      <c r="AF21" s="123">
        <f>Q21&amp;"/"&amp;R21</f>
        <v/>
      </c>
      <c r="AH21" s="20">
        <f>IF(A21="","",A21)</f>
        <v/>
      </c>
      <c r="AI21" s="134">
        <f>IF(E21="","",E21)</f>
        <v/>
      </c>
      <c r="AJ21" s="123">
        <f>IF(AI21="","",$AJ$2)</f>
        <v/>
      </c>
      <c r="AK21" s="123" t="inlineStr">
        <is>
          <t>A</t>
        </is>
      </c>
      <c r="AL21" s="123" t="inlineStr">
        <is>
          <t>A+</t>
        </is>
      </c>
      <c r="AM21" s="123" t="inlineStr">
        <is>
          <t>B+</t>
        </is>
      </c>
      <c r="AN21" s="123">
        <f>IF(AI21="","",$AN$2)</f>
        <v/>
      </c>
      <c r="AO21" s="123">
        <f>IF(N21="","",IF(N21&gt;=$AO$1/100,"O","X"))</f>
        <v/>
      </c>
      <c r="AP21" s="123">
        <f>IF(I21="","",IF(I21&lt;=$AP$1,"O","X"))</f>
        <v/>
      </c>
      <c r="AQ21" s="123">
        <f>IF(O21="","",IF(O21&lt;=$AQ$1,"O","X"))</f>
        <v/>
      </c>
      <c r="AR21" s="123">
        <f>IF(M21="","",IF(M21&lt;=$AR$1,"O","X"))</f>
        <v/>
      </c>
      <c r="AS21" s="123" t="inlineStr">
        <is>
          <t>X</t>
        </is>
      </c>
      <c r="AT21" s="123">
        <f>IF(OR(F21="",AI21=""),"",IF(AND((F21&lt;=85),(AI21&gt;=15)),"O","X"))</f>
        <v/>
      </c>
      <c r="AU21" s="123">
        <f>IF(C21="","",IF(C21&gt;=$AU$1,"O","X"))</f>
        <v/>
      </c>
      <c r="AV21" s="123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5" t="n">
        <v>307</v>
      </c>
      <c r="D22" s="133" t="n">
        <v>158.3</v>
      </c>
      <c r="E22" s="134" t="n">
        <v>48</v>
      </c>
      <c r="F22" s="133" t="n">
        <v>125.8</v>
      </c>
      <c r="G22" s="17" t="n">
        <v>38</v>
      </c>
      <c r="H22" s="135" t="n">
        <v>22</v>
      </c>
      <c r="I22" s="136" t="n"/>
      <c r="J22" s="136" t="n"/>
      <c r="K22" s="136" t="n"/>
      <c r="L22" s="136" t="n"/>
      <c r="M22" s="137">
        <f>I22-K22</f>
        <v/>
      </c>
      <c r="N22" s="4">
        <f>IF(ISERROR(K22/I22),"",K22/I22)</f>
        <v/>
      </c>
      <c r="O22" s="138">
        <f>I22/E22</f>
        <v/>
      </c>
      <c r="P22" s="138">
        <f>K22/E22</f>
        <v/>
      </c>
      <c r="Q22" s="123" t="n">
        <v>4</v>
      </c>
      <c r="R22" s="123" t="n">
        <v>2</v>
      </c>
      <c r="S22" s="123" t="inlineStr">
        <is>
          <t>복</t>
        </is>
      </c>
      <c r="T22" s="5" t="inlineStr">
        <is>
          <t>158A</t>
        </is>
      </c>
      <c r="U22" s="9" t="n"/>
      <c r="W22" s="133">
        <f>D22</f>
        <v/>
      </c>
      <c r="X22" s="134">
        <f>E22</f>
        <v/>
      </c>
      <c r="Y22" s="139">
        <f>H22</f>
        <v/>
      </c>
      <c r="Z22" s="137">
        <f>I22</f>
        <v/>
      </c>
      <c r="AA22" s="137">
        <f>K22</f>
        <v/>
      </c>
      <c r="AB22" s="137">
        <f>M22</f>
        <v/>
      </c>
      <c r="AC22" s="4">
        <f>N22</f>
        <v/>
      </c>
      <c r="AD22" s="138">
        <f>O22</f>
        <v/>
      </c>
      <c r="AE22" s="123">
        <f>S22</f>
        <v/>
      </c>
      <c r="AF22" s="123">
        <f>Q22&amp;"/"&amp;R22</f>
        <v/>
      </c>
      <c r="AH22" s="20">
        <f>IF(A22="","",A22)</f>
        <v/>
      </c>
      <c r="AI22" s="134">
        <f>IF(E22="","",E22)</f>
        <v/>
      </c>
      <c r="AJ22" s="123">
        <f>IF(AI22="","",$AJ$2)</f>
        <v/>
      </c>
      <c r="AK22" s="123" t="inlineStr">
        <is>
          <t>A</t>
        </is>
      </c>
      <c r="AL22" s="123" t="inlineStr">
        <is>
          <t>A+</t>
        </is>
      </c>
      <c r="AM22" s="123" t="inlineStr">
        <is>
          <t>B+</t>
        </is>
      </c>
      <c r="AN22" s="123">
        <f>IF(AI22="","",$AN$2)</f>
        <v/>
      </c>
      <c r="AO22" s="123">
        <f>IF(N22="","",IF(N22&gt;=$AO$1/100,"O","X"))</f>
        <v/>
      </c>
      <c r="AP22" s="123">
        <f>IF(I22="","",IF(I22&lt;=$AP$1,"O","X"))</f>
        <v/>
      </c>
      <c r="AQ22" s="123">
        <f>IF(O22="","",IF(O22&lt;=$AQ$1,"O","X"))</f>
        <v/>
      </c>
      <c r="AR22" s="123">
        <f>IF(M22="","",IF(M22&lt;=$AR$1,"O","X"))</f>
        <v/>
      </c>
      <c r="AS22" s="123" t="inlineStr">
        <is>
          <t>X</t>
        </is>
      </c>
      <c r="AT22" s="123">
        <f>IF(OR(F22="",AI22=""),"",IF(AND((F22&lt;=85),(AI22&gt;=15)),"O","X"))</f>
        <v/>
      </c>
      <c r="AU22" s="123">
        <f>IF(C22="","",IF(C22&gt;=$AU$1,"O","X"))</f>
        <v/>
      </c>
      <c r="AV22" s="123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5" t="n">
        <v>307</v>
      </c>
      <c r="D23" s="133" t="n">
        <v>189.5</v>
      </c>
      <c r="E23" s="134" t="n">
        <v>57</v>
      </c>
      <c r="F23" s="133" t="n">
        <v>149.5</v>
      </c>
      <c r="G23" s="17" t="n">
        <v>45</v>
      </c>
      <c r="H23" s="135" t="n">
        <v>26</v>
      </c>
      <c r="I23" s="136" t="n"/>
      <c r="J23" s="136" t="n"/>
      <c r="K23" s="136" t="n"/>
      <c r="L23" s="136" t="n"/>
      <c r="M23" s="137">
        <f>I23-K23</f>
        <v/>
      </c>
      <c r="N23" s="4">
        <f>IF(ISERROR(K23/I23),"",K23/I23)</f>
        <v/>
      </c>
      <c r="O23" s="138">
        <f>I23/E23</f>
        <v/>
      </c>
      <c r="P23" s="138">
        <f>K23/E23</f>
        <v/>
      </c>
      <c r="Q23" s="123" t="n">
        <v>4</v>
      </c>
      <c r="R23" s="123" t="n">
        <v>2</v>
      </c>
      <c r="S23" s="123" t="inlineStr">
        <is>
          <t>복</t>
        </is>
      </c>
      <c r="T23" s="5" t="n">
        <v>189</v>
      </c>
      <c r="U23" s="9" t="n"/>
      <c r="W23" s="133">
        <f>D23</f>
        <v/>
      </c>
      <c r="X23" s="134">
        <f>E23</f>
        <v/>
      </c>
      <c r="Y23" s="139">
        <f>H23</f>
        <v/>
      </c>
      <c r="Z23" s="137">
        <f>I23</f>
        <v/>
      </c>
      <c r="AA23" s="137">
        <f>K23</f>
        <v/>
      </c>
      <c r="AB23" s="137">
        <f>M23</f>
        <v/>
      </c>
      <c r="AC23" s="4">
        <f>N23</f>
        <v/>
      </c>
      <c r="AD23" s="138">
        <f>O23</f>
        <v/>
      </c>
      <c r="AE23" s="123">
        <f>S23</f>
        <v/>
      </c>
      <c r="AF23" s="123">
        <f>Q23&amp;"/"&amp;R23</f>
        <v/>
      </c>
      <c r="AH23" s="20">
        <f>IF(A23="","",A23)</f>
        <v/>
      </c>
      <c r="AI23" s="134">
        <f>IF(E23="","",E23)</f>
        <v/>
      </c>
      <c r="AJ23" s="123">
        <f>IF(AI23="","",$AJ$2)</f>
        <v/>
      </c>
      <c r="AK23" s="123" t="inlineStr">
        <is>
          <t>A</t>
        </is>
      </c>
      <c r="AL23" s="123" t="inlineStr">
        <is>
          <t>A+</t>
        </is>
      </c>
      <c r="AM23" s="123" t="inlineStr">
        <is>
          <t>B+</t>
        </is>
      </c>
      <c r="AN23" s="123">
        <f>IF(AI23="","",$AN$2)</f>
        <v/>
      </c>
      <c r="AO23" s="123">
        <f>IF(N23="","",IF(N23&gt;=$AO$1/100,"O","X"))</f>
        <v/>
      </c>
      <c r="AP23" s="123">
        <f>IF(I23="","",IF(I23&lt;=$AP$1,"O","X"))</f>
        <v/>
      </c>
      <c r="AQ23" s="123">
        <f>IF(O23="","",IF(O23&lt;=$AQ$1,"O","X"))</f>
        <v/>
      </c>
      <c r="AR23" s="123">
        <f>IF(M23="","",IF(M23&lt;=$AR$1,"O","X"))</f>
        <v/>
      </c>
      <c r="AS23" s="123" t="inlineStr">
        <is>
          <t>X</t>
        </is>
      </c>
      <c r="AT23" s="123">
        <f>IF(OR(F23="",AI23=""),"",IF(AND((F23&lt;=85),(AI23&gt;=15)),"O","X"))</f>
        <v/>
      </c>
      <c r="AU23" s="123">
        <f>IF(C23="","",IF(C23&gt;=$AU$1,"O","X"))</f>
        <v/>
      </c>
      <c r="AV23" s="123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5" t="n">
        <v>307</v>
      </c>
      <c r="D24" s="133" t="n">
        <v>241.3</v>
      </c>
      <c r="E24" s="134" t="n">
        <v>73</v>
      </c>
      <c r="F24" s="133" t="n">
        <v>194.7</v>
      </c>
      <c r="G24" s="17" t="n">
        <v>59</v>
      </c>
      <c r="H24" s="135" t="n">
        <v>1</v>
      </c>
      <c r="I24" s="136" t="n"/>
      <c r="J24" s="136" t="n"/>
      <c r="K24" s="136" t="n"/>
      <c r="L24" s="136" t="n"/>
      <c r="M24" s="137">
        <f>I24-K24</f>
        <v/>
      </c>
      <c r="N24" s="4">
        <f>IF(ISERROR(K24/I24),"",K24/I24)</f>
        <v/>
      </c>
      <c r="O24" s="138">
        <f>I24/E24</f>
        <v/>
      </c>
      <c r="P24" s="138">
        <f>K24/E24</f>
        <v/>
      </c>
      <c r="Q24" s="123" t="n">
        <v>4</v>
      </c>
      <c r="R24" s="123" t="n">
        <v>2</v>
      </c>
      <c r="S24" s="123" t="inlineStr">
        <is>
          <t>복</t>
        </is>
      </c>
      <c r="T24" s="5" t="n">
        <v>241</v>
      </c>
      <c r="U24" s="9" t="n"/>
      <c r="W24" s="133">
        <f>D24</f>
        <v/>
      </c>
      <c r="X24" s="134">
        <f>E24</f>
        <v/>
      </c>
      <c r="Y24" s="139">
        <f>H24</f>
        <v/>
      </c>
      <c r="Z24" s="137">
        <f>I24</f>
        <v/>
      </c>
      <c r="AA24" s="137">
        <f>K24</f>
        <v/>
      </c>
      <c r="AB24" s="137">
        <f>M24</f>
        <v/>
      </c>
      <c r="AC24" s="4">
        <f>N24</f>
        <v/>
      </c>
      <c r="AD24" s="138">
        <f>O24</f>
        <v/>
      </c>
      <c r="AE24" s="123">
        <f>S24</f>
        <v/>
      </c>
      <c r="AF24" s="123">
        <f>Q24&amp;"/"&amp;R24</f>
        <v/>
      </c>
      <c r="AH24" s="20">
        <f>IF(A24="","",A24)</f>
        <v/>
      </c>
      <c r="AI24" s="134">
        <f>IF(E24="","",E24)</f>
        <v/>
      </c>
      <c r="AJ24" s="123">
        <f>IF(AI24="","",$AJ$2)</f>
        <v/>
      </c>
      <c r="AK24" s="123" t="inlineStr">
        <is>
          <t>A</t>
        </is>
      </c>
      <c r="AL24" s="123" t="inlineStr">
        <is>
          <t>A+</t>
        </is>
      </c>
      <c r="AM24" s="123" t="inlineStr">
        <is>
          <t>B+</t>
        </is>
      </c>
      <c r="AN24" s="123">
        <f>IF(AI24="","",$AN$2)</f>
        <v/>
      </c>
      <c r="AO24" s="123">
        <f>IF(N24="","",IF(N24&gt;=$AO$1/100,"O","X"))</f>
        <v/>
      </c>
      <c r="AP24" s="123">
        <f>IF(I24="","",IF(I24&lt;=$AP$1,"O","X"))</f>
        <v/>
      </c>
      <c r="AQ24" s="123">
        <f>IF(O24="","",IF(O24&lt;=$AQ$1,"O","X"))</f>
        <v/>
      </c>
      <c r="AR24" s="123">
        <f>IF(M24="","",IF(M24&lt;=$AR$1,"O","X"))</f>
        <v/>
      </c>
      <c r="AS24" s="123" t="inlineStr">
        <is>
          <t>X</t>
        </is>
      </c>
      <c r="AT24" s="123">
        <f>IF(OR(F24="",AI24=""),"",IF(AND((F24&lt;=85),(AI24&gt;=15)),"O","X"))</f>
        <v/>
      </c>
      <c r="AU24" s="123">
        <f>IF(C24="","",IF(C24&gt;=$AU$1,"O","X"))</f>
        <v/>
      </c>
      <c r="AV24" s="123">
        <f>IF(AO24="","",IF(AND(AO24="O",AP24="O",AR24="O",AT24="O",AU24="O"),"후보","X"))</f>
        <v/>
      </c>
    </row>
    <row r="25">
      <c r="A25" s="9" t="n"/>
      <c r="B25" s="123" t="n"/>
      <c r="C25" s="6" t="n"/>
      <c r="D25" s="9" t="n"/>
      <c r="E25" s="14" t="n"/>
      <c r="F25" s="133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8" t="n"/>
      <c r="P25" s="138" t="n"/>
      <c r="Q25" s="134" t="n"/>
      <c r="R25" s="134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8">
        <f>IF(E25="","",E25)</f>
        <v/>
      </c>
      <c r="AJ25" s="123" t="n"/>
      <c r="AK25" s="123" t="n"/>
      <c r="AL25" s="123" t="n"/>
      <c r="AM25" s="123" t="n"/>
      <c r="AN25" s="123" t="n"/>
      <c r="AO25" s="123" t="n"/>
      <c r="AP25" s="123" t="n"/>
      <c r="AQ25" s="123" t="n"/>
      <c r="AR25" s="123" t="n"/>
      <c r="AS25" s="123" t="n"/>
      <c r="AT25" s="123" t="n"/>
      <c r="AU25" s="123" t="n"/>
      <c r="AV25" s="123" t="n"/>
    </row>
    <row r="26">
      <c r="A26" s="9" t="inlineStr">
        <is>
          <t>미룡주공3단지</t>
        </is>
      </c>
      <c r="B26" s="10" t="inlineStr">
        <is>
          <t>'01.06.</t>
        </is>
      </c>
      <c r="C26" s="135" t="n">
        <v>1460</v>
      </c>
      <c r="D26" s="133" t="n">
        <v>64.3</v>
      </c>
      <c r="E26" s="134" t="n">
        <v>19</v>
      </c>
      <c r="F26" s="133" t="n">
        <v>49</v>
      </c>
      <c r="G26" s="17" t="n">
        <v>15</v>
      </c>
      <c r="H26" s="135" t="n">
        <v>36</v>
      </c>
      <c r="I26" s="136" t="n"/>
      <c r="J26" s="136" t="n"/>
      <c r="K26" s="136" t="n"/>
      <c r="L26" s="136" t="n"/>
      <c r="M26" s="137">
        <f>I26-K26</f>
        <v/>
      </c>
      <c r="N26" s="4">
        <f>IF(ISERROR(K26/I26),"",K26/I26)</f>
        <v/>
      </c>
      <c r="O26" s="138">
        <f>I26/E26</f>
        <v/>
      </c>
      <c r="P26" s="138">
        <f>K26/E26</f>
        <v/>
      </c>
      <c r="Q26" s="123" t="n">
        <v>2</v>
      </c>
      <c r="R26" s="123" t="n">
        <v>1</v>
      </c>
      <c r="S26" s="123" t="inlineStr">
        <is>
          <t>계</t>
        </is>
      </c>
      <c r="T26" s="5" t="inlineStr">
        <is>
          <t>64A</t>
        </is>
      </c>
      <c r="U26" s="9" t="n"/>
      <c r="W26" s="133">
        <f>D26</f>
        <v/>
      </c>
      <c r="X26" s="134">
        <f>E26</f>
        <v/>
      </c>
      <c r="Y26" s="139">
        <f>H26</f>
        <v/>
      </c>
      <c r="Z26" s="137">
        <f>I26</f>
        <v/>
      </c>
      <c r="AA26" s="137">
        <f>K26</f>
        <v/>
      </c>
      <c r="AB26" s="137">
        <f>M26</f>
        <v/>
      </c>
      <c r="AC26" s="4">
        <f>N26</f>
        <v/>
      </c>
      <c r="AD26" s="138">
        <f>O26</f>
        <v/>
      </c>
      <c r="AE26" s="123">
        <f>S26</f>
        <v/>
      </c>
      <c r="AF26" s="123">
        <f>Q26&amp;"/"&amp;R26</f>
        <v/>
      </c>
      <c r="AH26" s="20">
        <f>IF(A26="","",A26)</f>
        <v/>
      </c>
      <c r="AI26" s="134">
        <f>IF(E26="","",E26)</f>
        <v/>
      </c>
      <c r="AJ26" s="123">
        <f>IF(AI26="","",$AJ$2)</f>
        <v/>
      </c>
      <c r="AK26" s="123" t="inlineStr">
        <is>
          <t>A</t>
        </is>
      </c>
      <c r="AL26" s="123" t="inlineStr">
        <is>
          <t>A+</t>
        </is>
      </c>
      <c r="AM26" s="123" t="inlineStr">
        <is>
          <t>B+</t>
        </is>
      </c>
      <c r="AN26" s="123">
        <f>IF(AI26="","",$AN$2)</f>
        <v/>
      </c>
      <c r="AO26" s="123">
        <f>IF(N26="","",IF(N26&gt;=$AO$1/100,"O","X"))</f>
        <v/>
      </c>
      <c r="AP26" s="123">
        <f>IF(I26="","",IF(I26&lt;=$AP$1,"O","X"))</f>
        <v/>
      </c>
      <c r="AQ26" s="123">
        <f>IF(O26="","",IF(O26&lt;=$AQ$1,"O","X"))</f>
        <v/>
      </c>
      <c r="AR26" s="123">
        <f>IF(M26="","",IF(M26&lt;=$AR$1,"O","X"))</f>
        <v/>
      </c>
      <c r="AS26" s="123" t="inlineStr">
        <is>
          <t>X</t>
        </is>
      </c>
      <c r="AT26" s="123">
        <f>IF(OR(F26="",AI26=""),"",IF(AND((F26&lt;=85),(AI26&gt;=15)),"O","X"))</f>
        <v/>
      </c>
      <c r="AU26" s="123">
        <f>IF(C26="","",IF(C26&gt;=$AU$1,"O","X"))</f>
        <v/>
      </c>
      <c r="AV26" s="123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5" t="n">
        <v>1460</v>
      </c>
      <c r="D27" s="133" t="n">
        <v>65.40000000000001</v>
      </c>
      <c r="E27" s="134" t="n">
        <v>20</v>
      </c>
      <c r="F27" s="133" t="n">
        <v>49.9</v>
      </c>
      <c r="G27" s="17" t="n">
        <v>15</v>
      </c>
      <c r="H27" s="135" t="n">
        <v>529</v>
      </c>
      <c r="I27" s="136" t="n">
        <v>8000</v>
      </c>
      <c r="J27" s="136" t="inlineStr">
        <is>
          <t>15</t>
        </is>
      </c>
      <c r="K27" s="136" t="n">
        <v>7500</v>
      </c>
      <c r="L27" s="136" t="inlineStr">
        <is>
          <t>18</t>
        </is>
      </c>
      <c r="M27" s="137">
        <f>I27-K27</f>
        <v/>
      </c>
      <c r="N27" s="4">
        <f>IF(ISERROR(K27/I27),"",K27/I27)</f>
        <v/>
      </c>
      <c r="O27" s="138">
        <f>I27/E27</f>
        <v/>
      </c>
      <c r="P27" s="138">
        <f>K27/E27</f>
        <v/>
      </c>
      <c r="Q27" s="123" t="n">
        <v>2</v>
      </c>
      <c r="R27" s="123" t="n">
        <v>1</v>
      </c>
      <c r="S27" s="123" t="inlineStr">
        <is>
          <t>계</t>
        </is>
      </c>
      <c r="T27" s="5" t="inlineStr">
        <is>
          <t>65C</t>
        </is>
      </c>
      <c r="U27" s="9" t="n"/>
      <c r="W27" s="133">
        <f>D27</f>
        <v/>
      </c>
      <c r="X27" s="134">
        <f>E27</f>
        <v/>
      </c>
      <c r="Y27" s="139">
        <f>H27</f>
        <v/>
      </c>
      <c r="Z27" s="137">
        <f>I27</f>
        <v/>
      </c>
      <c r="AA27" s="137">
        <f>K27</f>
        <v/>
      </c>
      <c r="AB27" s="137">
        <f>M27</f>
        <v/>
      </c>
      <c r="AC27" s="4">
        <f>N27</f>
        <v/>
      </c>
      <c r="AD27" s="138">
        <f>O27</f>
        <v/>
      </c>
      <c r="AE27" s="123">
        <f>S27</f>
        <v/>
      </c>
      <c r="AF27" s="123">
        <f>Q27&amp;"/"&amp;R27</f>
        <v/>
      </c>
      <c r="AH27" s="20">
        <f>IF(A27="","",A27)</f>
        <v/>
      </c>
      <c r="AI27" s="134">
        <f>IF(E27="","",E27)</f>
        <v/>
      </c>
      <c r="AJ27" s="123">
        <f>IF(AI27="","",$AJ$2)</f>
        <v/>
      </c>
      <c r="AK27" s="123" t="inlineStr">
        <is>
          <t>A</t>
        </is>
      </c>
      <c r="AL27" s="123" t="inlineStr">
        <is>
          <t>A+</t>
        </is>
      </c>
      <c r="AM27" s="123" t="inlineStr">
        <is>
          <t>B+</t>
        </is>
      </c>
      <c r="AN27" s="123">
        <f>IF(AI27="","",$AN$2)</f>
        <v/>
      </c>
      <c r="AO27" s="123">
        <f>IF(N27="","",IF(N27&gt;=$AO$1/100,"O","X"))</f>
        <v/>
      </c>
      <c r="AP27" s="123">
        <f>IF(I27="","",IF(I27&lt;=$AP$1,"O","X"))</f>
        <v/>
      </c>
      <c r="AQ27" s="123">
        <f>IF(O27="","",IF(O27&lt;=$AQ$1,"O","X"))</f>
        <v/>
      </c>
      <c r="AR27" s="123">
        <f>IF(M27="","",IF(M27&lt;=$AR$1,"O","X"))</f>
        <v/>
      </c>
      <c r="AS27" s="123" t="inlineStr">
        <is>
          <t>X</t>
        </is>
      </c>
      <c r="AT27" s="123">
        <f>IF(OR(F27="",AI27=""),"",IF(AND((F27&lt;=85),(AI27&gt;=15)),"O","X"))</f>
        <v/>
      </c>
      <c r="AU27" s="123">
        <f>IF(C27="","",IF(C27&gt;=$AU$1,"O","X"))</f>
        <v/>
      </c>
      <c r="AV27" s="123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5" t="n">
        <v>1460</v>
      </c>
      <c r="D28" s="133" t="n">
        <v>65</v>
      </c>
      <c r="E28" s="134" t="n">
        <v>20</v>
      </c>
      <c r="F28" s="133" t="n">
        <v>49.6</v>
      </c>
      <c r="G28" s="17" t="n">
        <v>15</v>
      </c>
      <c r="H28" s="135" t="n">
        <v>55</v>
      </c>
      <c r="I28" s="136" t="n">
        <v>8500</v>
      </c>
      <c r="J28" s="136" t="inlineStr">
        <is>
          <t>19</t>
        </is>
      </c>
      <c r="K28" s="136" t="n"/>
      <c r="L28" s="136" t="n"/>
      <c r="M28" s="137">
        <f>I28-K28</f>
        <v/>
      </c>
      <c r="N28" s="4">
        <f>IF(ISERROR(K28/I28),"",K28/I28)</f>
        <v/>
      </c>
      <c r="O28" s="138">
        <f>I28/E28</f>
        <v/>
      </c>
      <c r="P28" s="138">
        <f>K28/E28</f>
        <v/>
      </c>
      <c r="Q28" s="123" t="n">
        <v>2</v>
      </c>
      <c r="R28" s="123" t="n">
        <v>1</v>
      </c>
      <c r="S28" s="123" t="inlineStr">
        <is>
          <t>계</t>
        </is>
      </c>
      <c r="T28" s="5" t="inlineStr">
        <is>
          <t>65B</t>
        </is>
      </c>
      <c r="U28" s="9" t="n"/>
      <c r="W28" s="133">
        <f>D28</f>
        <v/>
      </c>
      <c r="X28" s="134">
        <f>E28</f>
        <v/>
      </c>
      <c r="Y28" s="139">
        <f>H28</f>
        <v/>
      </c>
      <c r="Z28" s="137">
        <f>I28</f>
        <v/>
      </c>
      <c r="AA28" s="137">
        <f>K28</f>
        <v/>
      </c>
      <c r="AB28" s="137">
        <f>M28</f>
        <v/>
      </c>
      <c r="AC28" s="4">
        <f>N28</f>
        <v/>
      </c>
      <c r="AD28" s="138">
        <f>O28</f>
        <v/>
      </c>
      <c r="AE28" s="123">
        <f>S28</f>
        <v/>
      </c>
      <c r="AF28" s="123">
        <f>Q28&amp;"/"&amp;R28</f>
        <v/>
      </c>
      <c r="AH28" s="20">
        <f>IF(A28="","",A28)</f>
        <v/>
      </c>
      <c r="AI28" s="134">
        <f>IF(E28="","",E28)</f>
        <v/>
      </c>
      <c r="AJ28" s="123">
        <f>IF(AI28="","",$AJ$2)</f>
        <v/>
      </c>
      <c r="AK28" s="123" t="inlineStr">
        <is>
          <t>A</t>
        </is>
      </c>
      <c r="AL28" s="123" t="inlineStr">
        <is>
          <t>A+</t>
        </is>
      </c>
      <c r="AM28" s="123" t="inlineStr">
        <is>
          <t>B+</t>
        </is>
      </c>
      <c r="AN28" s="123">
        <f>IF(AI28="","",$AN$2)</f>
        <v/>
      </c>
      <c r="AO28" s="123">
        <f>IF(N28="","",IF(N28&gt;=$AO$1/100,"O","X"))</f>
        <v/>
      </c>
      <c r="AP28" s="123">
        <f>IF(I28="","",IF(I28&lt;=$AP$1,"O","X"))</f>
        <v/>
      </c>
      <c r="AQ28" s="123">
        <f>IF(O28="","",IF(O28&lt;=$AQ$1,"O","X"))</f>
        <v/>
      </c>
      <c r="AR28" s="123">
        <f>IF(M28="","",IF(M28&lt;=$AR$1,"O","X"))</f>
        <v/>
      </c>
      <c r="AS28" s="123" t="inlineStr">
        <is>
          <t>X</t>
        </is>
      </c>
      <c r="AT28" s="123">
        <f>IF(OR(F28="",AI28=""),"",IF(AND((F28&lt;=85),(AI28&gt;=15)),"O","X"))</f>
        <v/>
      </c>
      <c r="AU28" s="123">
        <f>IF(C28="","",IF(C28&gt;=$AU$1,"O","X"))</f>
        <v/>
      </c>
      <c r="AV28" s="123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5" t="n">
        <v>1460</v>
      </c>
      <c r="D29" s="133" t="n">
        <v>77.90000000000001</v>
      </c>
      <c r="E29" s="134" t="n">
        <v>24</v>
      </c>
      <c r="F29" s="133" t="n">
        <v>59.4</v>
      </c>
      <c r="G29" s="17" t="n">
        <v>18</v>
      </c>
      <c r="H29" s="135" t="n">
        <v>759</v>
      </c>
      <c r="I29" s="136" t="n">
        <v>11400</v>
      </c>
      <c r="J29" s="136" t="inlineStr">
        <is>
          <t>18</t>
        </is>
      </c>
      <c r="K29" s="136" t="n">
        <v>12000</v>
      </c>
      <c r="L29" s="136" t="inlineStr">
        <is>
          <t>9</t>
        </is>
      </c>
      <c r="M29" s="137">
        <f>I29-K29</f>
        <v/>
      </c>
      <c r="N29" s="4">
        <f>IF(ISERROR(K29/I29),"",K29/I29)</f>
        <v/>
      </c>
      <c r="O29" s="138">
        <f>I29/E29</f>
        <v/>
      </c>
      <c r="P29" s="138">
        <f>K29/E29</f>
        <v/>
      </c>
      <c r="Q29" s="123" t="n">
        <v>3</v>
      </c>
      <c r="R29" s="123" t="n">
        <v>1</v>
      </c>
      <c r="S29" s="123" t="inlineStr">
        <is>
          <t>계</t>
        </is>
      </c>
      <c r="T29" s="5" t="inlineStr">
        <is>
          <t>77A</t>
        </is>
      </c>
      <c r="U29" s="9" t="n"/>
      <c r="W29" s="133">
        <f>D29</f>
        <v/>
      </c>
      <c r="X29" s="134">
        <f>E29</f>
        <v/>
      </c>
      <c r="Y29" s="139">
        <f>H29</f>
        <v/>
      </c>
      <c r="Z29" s="137">
        <f>I29</f>
        <v/>
      </c>
      <c r="AA29" s="137">
        <f>K29</f>
        <v/>
      </c>
      <c r="AB29" s="137">
        <f>M29</f>
        <v/>
      </c>
      <c r="AC29" s="4">
        <f>N29</f>
        <v/>
      </c>
      <c r="AD29" s="138">
        <f>O29</f>
        <v/>
      </c>
      <c r="AE29" s="123">
        <f>S29</f>
        <v/>
      </c>
      <c r="AF29" s="123">
        <f>Q29&amp;"/"&amp;R29</f>
        <v/>
      </c>
      <c r="AH29" s="20">
        <f>IF(A29="","",A29)</f>
        <v/>
      </c>
      <c r="AI29" s="134">
        <f>IF(E29="","",E29)</f>
        <v/>
      </c>
      <c r="AJ29" s="123">
        <f>IF(AI29="","",$AJ$2)</f>
        <v/>
      </c>
      <c r="AK29" s="123" t="inlineStr">
        <is>
          <t>A</t>
        </is>
      </c>
      <c r="AL29" s="123" t="inlineStr">
        <is>
          <t>A+</t>
        </is>
      </c>
      <c r="AM29" s="123" t="inlineStr">
        <is>
          <t>B+</t>
        </is>
      </c>
      <c r="AN29" s="123">
        <f>IF(AI29="","",$AN$2)</f>
        <v/>
      </c>
      <c r="AO29" s="123">
        <f>IF(N29="","",IF(N29&gt;=$AO$1/100,"O","X"))</f>
        <v/>
      </c>
      <c r="AP29" s="123">
        <f>IF(I29="","",IF(I29&lt;=$AP$1,"O","X"))</f>
        <v/>
      </c>
      <c r="AQ29" s="123">
        <f>IF(O29="","",IF(O29&lt;=$AQ$1,"O","X"))</f>
        <v/>
      </c>
      <c r="AR29" s="123">
        <f>IF(M29="","",IF(M29&lt;=$AR$1,"O","X"))</f>
        <v/>
      </c>
      <c r="AS29" s="123" t="inlineStr">
        <is>
          <t>X</t>
        </is>
      </c>
      <c r="AT29" s="123">
        <f>IF(OR(F29="",AI29=""),"",IF(AND((F29&lt;=85),(AI29&gt;=15)),"O","X"))</f>
        <v/>
      </c>
      <c r="AU29" s="123">
        <f>IF(C29="","",IF(C29&gt;=$AU$1,"O","X"))</f>
        <v/>
      </c>
      <c r="AV29" s="123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5" t="n">
        <v>1460</v>
      </c>
      <c r="D30" s="133" t="n">
        <v>77.59999999999999</v>
      </c>
      <c r="E30" s="134" t="n">
        <v>23</v>
      </c>
      <c r="F30" s="133" t="n">
        <v>59.2</v>
      </c>
      <c r="G30" s="17" t="n">
        <v>18</v>
      </c>
      <c r="H30" s="135" t="n">
        <v>81</v>
      </c>
      <c r="I30" s="136" t="n"/>
      <c r="J30" s="136" t="n"/>
      <c r="K30" s="136" t="n"/>
      <c r="L30" s="136" t="n"/>
      <c r="M30" s="137">
        <f>I30-K30</f>
        <v/>
      </c>
      <c r="N30" s="4">
        <f>IF(ISERROR(K30/I30),"",K30/I30)</f>
        <v/>
      </c>
      <c r="O30" s="138">
        <f>I30/E30</f>
        <v/>
      </c>
      <c r="P30" s="138">
        <f>K30/E30</f>
        <v/>
      </c>
      <c r="Q30" s="123" t="n">
        <v>3</v>
      </c>
      <c r="R30" s="123" t="n">
        <v>1</v>
      </c>
      <c r="S30" s="123" t="inlineStr">
        <is>
          <t>계</t>
        </is>
      </c>
      <c r="T30" s="5" t="inlineStr">
        <is>
          <t>77B</t>
        </is>
      </c>
      <c r="U30" s="9" t="n"/>
      <c r="W30" s="133">
        <f>D30</f>
        <v/>
      </c>
      <c r="X30" s="134">
        <f>E30</f>
        <v/>
      </c>
      <c r="Y30" s="139">
        <f>H30</f>
        <v/>
      </c>
      <c r="Z30" s="137">
        <f>I30</f>
        <v/>
      </c>
      <c r="AA30" s="137">
        <f>K30</f>
        <v/>
      </c>
      <c r="AB30" s="137">
        <f>M30</f>
        <v/>
      </c>
      <c r="AC30" s="4">
        <f>N30</f>
        <v/>
      </c>
      <c r="AD30" s="138">
        <f>O30</f>
        <v/>
      </c>
      <c r="AE30" s="123">
        <f>S30</f>
        <v/>
      </c>
      <c r="AF30" s="123">
        <f>Q30&amp;"/"&amp;R30</f>
        <v/>
      </c>
      <c r="AH30" s="20">
        <f>IF(A30="","",A30)</f>
        <v/>
      </c>
      <c r="AI30" s="134">
        <f>IF(E30="","",E30)</f>
        <v/>
      </c>
      <c r="AJ30" s="123">
        <f>IF(AI30="","",$AJ$2)</f>
        <v/>
      </c>
      <c r="AK30" s="123" t="inlineStr">
        <is>
          <t>A</t>
        </is>
      </c>
      <c r="AL30" s="123" t="inlineStr">
        <is>
          <t>A+</t>
        </is>
      </c>
      <c r="AM30" s="123" t="inlineStr">
        <is>
          <t>B+</t>
        </is>
      </c>
      <c r="AN30" s="123">
        <f>IF(AI30="","",$AN$2)</f>
        <v/>
      </c>
      <c r="AO30" s="123">
        <f>IF(N30="","",IF(N30&gt;=$AO$1/100,"O","X"))</f>
        <v/>
      </c>
      <c r="AP30" s="123">
        <f>IF(I30="","",IF(I30&lt;=$AP$1,"O","X"))</f>
        <v/>
      </c>
      <c r="AQ30" s="123">
        <f>IF(O30="","",IF(O30&lt;=$AQ$1,"O","X"))</f>
        <v/>
      </c>
      <c r="AR30" s="123">
        <f>IF(M30="","",IF(M30&lt;=$AR$1,"O","X"))</f>
        <v/>
      </c>
      <c r="AS30" s="123" t="inlineStr">
        <is>
          <t>X</t>
        </is>
      </c>
      <c r="AT30" s="123">
        <f>IF(OR(F30="",AI30=""),"",IF(AND((F30&lt;=85),(AI30&gt;=15)),"O","X"))</f>
        <v/>
      </c>
      <c r="AU30" s="123">
        <f>IF(C30="","",IF(C30&gt;=$AU$1,"O","X"))</f>
        <v/>
      </c>
      <c r="AV30" s="123">
        <f>IF(AO30="","",IF(AND(AO30="O",AP30="O",AR30="O",AT30="O",AU30="O"),"후보","X"))</f>
        <v/>
      </c>
    </row>
    <row r="31">
      <c r="A31" s="9" t="n"/>
      <c r="B31" s="123" t="n"/>
      <c r="C31" s="6" t="n"/>
      <c r="D31" s="9" t="n"/>
      <c r="E31" s="14" t="n"/>
      <c r="F31" s="133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8" t="n"/>
      <c r="P31" s="138" t="n"/>
      <c r="Q31" s="134" t="n"/>
      <c r="R31" s="134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8">
        <f>IF(E31="","",E31)</f>
        <v/>
      </c>
      <c r="AJ31" s="123" t="n"/>
      <c r="AK31" s="123" t="n"/>
      <c r="AL31" s="123" t="n"/>
      <c r="AM31" s="123" t="n"/>
      <c r="AN31" s="123" t="n"/>
      <c r="AO31" s="123" t="n"/>
      <c r="AP31" s="123" t="n"/>
      <c r="AQ31" s="123" t="n"/>
      <c r="AR31" s="123" t="n"/>
      <c r="AS31" s="123" t="n"/>
      <c r="AT31" s="123" t="n"/>
      <c r="AU31" s="123" t="n"/>
      <c r="AV31" s="123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5" t="n">
        <v>346</v>
      </c>
      <c r="D32" s="133" t="n">
        <v>45.2</v>
      </c>
      <c r="E32" s="134" t="n">
        <v>14</v>
      </c>
      <c r="F32" s="133" t="n">
        <v>32.8</v>
      </c>
      <c r="G32" s="17" t="n">
        <v>10</v>
      </c>
      <c r="H32" s="135" t="n">
        <v>12</v>
      </c>
      <c r="I32" s="136" t="n"/>
      <c r="J32" s="136" t="n"/>
      <c r="K32" s="136" t="n"/>
      <c r="L32" s="136" t="n"/>
      <c r="M32" s="137">
        <f>I32-K32</f>
        <v/>
      </c>
      <c r="N32" s="4">
        <f>IF(ISERROR(K32/I32),"",K32/I32)</f>
        <v/>
      </c>
      <c r="O32" s="138">
        <f>I32/E32</f>
        <v/>
      </c>
      <c r="P32" s="138">
        <f>K32/E32</f>
        <v/>
      </c>
      <c r="Q32" s="123" t="n">
        <v>2</v>
      </c>
      <c r="R32" s="123" t="n">
        <v>1</v>
      </c>
      <c r="S32" s="123" t="inlineStr">
        <is>
          <t>계</t>
        </is>
      </c>
      <c r="T32" s="5" t="n">
        <v>45</v>
      </c>
      <c r="U32" s="9" t="n"/>
      <c r="W32" s="133">
        <f>D32</f>
        <v/>
      </c>
      <c r="X32" s="134">
        <f>E32</f>
        <v/>
      </c>
      <c r="Y32" s="139">
        <f>H32</f>
        <v/>
      </c>
      <c r="Z32" s="137">
        <f>I32</f>
        <v/>
      </c>
      <c r="AA32" s="137">
        <f>K32</f>
        <v/>
      </c>
      <c r="AB32" s="137">
        <f>M32</f>
        <v/>
      </c>
      <c r="AC32" s="4">
        <f>N32</f>
        <v/>
      </c>
      <c r="AD32" s="138">
        <f>O32</f>
        <v/>
      </c>
      <c r="AE32" s="123">
        <f>S32</f>
        <v/>
      </c>
      <c r="AF32" s="123">
        <f>Q32&amp;"/"&amp;R32</f>
        <v/>
      </c>
      <c r="AH32" s="20">
        <f>IF(A32="","",A32)</f>
        <v/>
      </c>
      <c r="AI32" s="134">
        <f>IF(E32="","",E32)</f>
        <v/>
      </c>
      <c r="AJ32" s="123">
        <f>IF(AI32="","",$AJ$2)</f>
        <v/>
      </c>
      <c r="AK32" s="123" t="inlineStr">
        <is>
          <t>A</t>
        </is>
      </c>
      <c r="AL32" s="123" t="inlineStr">
        <is>
          <t>A+</t>
        </is>
      </c>
      <c r="AM32" s="123" t="inlineStr">
        <is>
          <t>B+</t>
        </is>
      </c>
      <c r="AN32" s="123">
        <f>IF(AI32="","",$AN$2)</f>
        <v/>
      </c>
      <c r="AO32" s="123">
        <f>IF(N32="","",IF(N32&gt;=$AO$1/100,"O","X"))</f>
        <v/>
      </c>
      <c r="AP32" s="123">
        <f>IF(I32="","",IF(I32&lt;=$AP$1,"O","X"))</f>
        <v/>
      </c>
      <c r="AQ32" s="123">
        <f>IF(O32="","",IF(O32&lt;=$AQ$1,"O","X"))</f>
        <v/>
      </c>
      <c r="AR32" s="123">
        <f>IF(M32="","",IF(M32&lt;=$AR$1,"O","X"))</f>
        <v/>
      </c>
      <c r="AS32" s="123" t="inlineStr">
        <is>
          <t>X</t>
        </is>
      </c>
      <c r="AT32" s="123">
        <f>IF(OR(F32="",AI32=""),"",IF(AND((F32&lt;=85),(AI32&gt;=15)),"O","X"))</f>
        <v/>
      </c>
      <c r="AU32" s="123">
        <f>IF(C32="","",IF(C32&gt;=$AU$1,"O","X"))</f>
        <v/>
      </c>
      <c r="AV32" s="123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5" t="n">
        <v>346</v>
      </c>
      <c r="D33" s="133" t="n">
        <v>55.1</v>
      </c>
      <c r="E33" s="134" t="n">
        <v>17</v>
      </c>
      <c r="F33" s="133" t="n">
        <v>40</v>
      </c>
      <c r="G33" s="17" t="n">
        <v>12</v>
      </c>
      <c r="H33" s="135" t="n">
        <v>334</v>
      </c>
      <c r="I33" s="136" t="n"/>
      <c r="J33" s="136" t="n"/>
      <c r="K33" s="136" t="n"/>
      <c r="L33" s="136" t="n"/>
      <c r="M33" s="137">
        <f>I33-K33</f>
        <v/>
      </c>
      <c r="N33" s="4">
        <f>IF(ISERROR(K33/I33),"",K33/I33)</f>
        <v/>
      </c>
      <c r="O33" s="138">
        <f>I33/E33</f>
        <v/>
      </c>
      <c r="P33" s="138">
        <f>K33/E33</f>
        <v/>
      </c>
      <c r="Q33" s="123" t="n">
        <v>2</v>
      </c>
      <c r="R33" s="123" t="n">
        <v>1</v>
      </c>
      <c r="S33" s="123" t="inlineStr">
        <is>
          <t>계</t>
        </is>
      </c>
      <c r="T33" s="5" t="n">
        <v>55</v>
      </c>
      <c r="U33" s="9" t="n"/>
      <c r="W33" s="133">
        <f>D33</f>
        <v/>
      </c>
      <c r="X33" s="134">
        <f>E33</f>
        <v/>
      </c>
      <c r="Y33" s="139">
        <f>H33</f>
        <v/>
      </c>
      <c r="Z33" s="137">
        <f>I33</f>
        <v/>
      </c>
      <c r="AA33" s="137">
        <f>K33</f>
        <v/>
      </c>
      <c r="AB33" s="137">
        <f>M33</f>
        <v/>
      </c>
      <c r="AC33" s="4">
        <f>N33</f>
        <v/>
      </c>
      <c r="AD33" s="138">
        <f>O33</f>
        <v/>
      </c>
      <c r="AE33" s="123">
        <f>S33</f>
        <v/>
      </c>
      <c r="AF33" s="123">
        <f>Q33&amp;"/"&amp;R33</f>
        <v/>
      </c>
      <c r="AH33" s="20">
        <f>IF(A33="","",A33)</f>
        <v/>
      </c>
      <c r="AI33" s="134">
        <f>IF(E33="","",E33)</f>
        <v/>
      </c>
      <c r="AJ33" s="123">
        <f>IF(AI33="","",$AJ$2)</f>
        <v/>
      </c>
      <c r="AK33" s="123" t="inlineStr">
        <is>
          <t>A</t>
        </is>
      </c>
      <c r="AL33" s="123" t="inlineStr">
        <is>
          <t>A+</t>
        </is>
      </c>
      <c r="AM33" s="123" t="inlineStr">
        <is>
          <t>B+</t>
        </is>
      </c>
      <c r="AN33" s="123">
        <f>IF(AI33="","",$AN$2)</f>
        <v/>
      </c>
      <c r="AO33" s="123">
        <f>IF(N33="","",IF(N33&gt;=$AO$1/100,"O","X"))</f>
        <v/>
      </c>
      <c r="AP33" s="123">
        <f>IF(I33="","",IF(I33&lt;=$AP$1,"O","X"))</f>
        <v/>
      </c>
      <c r="AQ33" s="123">
        <f>IF(O33="","",IF(O33&lt;=$AQ$1,"O","X"))</f>
        <v/>
      </c>
      <c r="AR33" s="123">
        <f>IF(M33="","",IF(M33&lt;=$AR$1,"O","X"))</f>
        <v/>
      </c>
      <c r="AS33" s="123" t="inlineStr">
        <is>
          <t>X</t>
        </is>
      </c>
      <c r="AT33" s="123">
        <f>IF(OR(F33="",AI33=""),"",IF(AND((F33&lt;=85),(AI33&gt;=15)),"O","X"))</f>
        <v/>
      </c>
      <c r="AU33" s="123">
        <f>IF(C33="","",IF(C33&gt;=$AU$1,"O","X"))</f>
        <v/>
      </c>
      <c r="AV33" s="123">
        <f>IF(AO33="","",IF(AND(AO33="O",AP33="O",AR33="O",AT33="O",AU33="O"),"후보","X"))</f>
        <v/>
      </c>
    </row>
    <row r="34">
      <c r="A34" s="9" t="n"/>
      <c r="B34" s="123" t="n"/>
      <c r="C34" s="6" t="n"/>
      <c r="D34" s="9" t="n"/>
      <c r="E34" s="14" t="n"/>
      <c r="F34" s="133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8" t="n"/>
      <c r="P34" s="138" t="n"/>
      <c r="Q34" s="134" t="n"/>
      <c r="R34" s="134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8">
        <f>IF(E34="","",E34)</f>
        <v/>
      </c>
      <c r="AJ34" s="123" t="n"/>
      <c r="AK34" s="123" t="n"/>
      <c r="AL34" s="123" t="n"/>
      <c r="AM34" s="123" t="n"/>
      <c r="AN34" s="123" t="n"/>
      <c r="AO34" s="123" t="n"/>
      <c r="AP34" s="123" t="n"/>
      <c r="AQ34" s="123" t="n"/>
      <c r="AR34" s="123" t="n"/>
      <c r="AS34" s="123" t="n"/>
      <c r="AT34" s="123" t="n"/>
      <c r="AU34" s="123" t="n"/>
      <c r="AV34" s="123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5" t="n">
        <v>317</v>
      </c>
      <c r="D35" s="133" t="n">
        <v>115.9</v>
      </c>
      <c r="E35" s="134" t="n">
        <v>35</v>
      </c>
      <c r="F35" s="133" t="n">
        <v>84.90000000000001</v>
      </c>
      <c r="G35" s="17" t="n">
        <v>26</v>
      </c>
      <c r="H35" s="135" t="n">
        <v>233</v>
      </c>
      <c r="I35" s="136" t="n"/>
      <c r="J35" s="136" t="n"/>
      <c r="K35" s="136" t="n"/>
      <c r="L35" s="136" t="n"/>
      <c r="M35" s="137">
        <f>I35-K35</f>
        <v/>
      </c>
      <c r="N35" s="4">
        <f>IF(ISERROR(K35/I35),"",K35/I35)</f>
        <v/>
      </c>
      <c r="O35" s="138">
        <f>I35/E35</f>
        <v/>
      </c>
      <c r="P35" s="138">
        <f>K35/E35</f>
        <v/>
      </c>
      <c r="Q35" s="123" t="n">
        <v>3</v>
      </c>
      <c r="R35" s="123" t="n">
        <v>2</v>
      </c>
      <c r="S35" s="123" t="inlineStr">
        <is>
          <t>계</t>
        </is>
      </c>
      <c r="T35" s="5" t="n">
        <v>115</v>
      </c>
      <c r="U35" s="9" t="n"/>
      <c r="W35" s="133">
        <f>D35</f>
        <v/>
      </c>
      <c r="X35" s="134">
        <f>E35</f>
        <v/>
      </c>
      <c r="Y35" s="139">
        <f>H35</f>
        <v/>
      </c>
      <c r="Z35" s="137">
        <f>I35</f>
        <v/>
      </c>
      <c r="AA35" s="137">
        <f>K35</f>
        <v/>
      </c>
      <c r="AB35" s="137">
        <f>M35</f>
        <v/>
      </c>
      <c r="AC35" s="4">
        <f>N35</f>
        <v/>
      </c>
      <c r="AD35" s="138">
        <f>O35</f>
        <v/>
      </c>
      <c r="AE35" s="123">
        <f>S35</f>
        <v/>
      </c>
      <c r="AF35" s="123">
        <f>Q35&amp;"/"&amp;R35</f>
        <v/>
      </c>
      <c r="AH35" s="20">
        <f>IF(A35="","",A35)</f>
        <v/>
      </c>
      <c r="AI35" s="134">
        <f>IF(E35="","",E35)</f>
        <v/>
      </c>
      <c r="AJ35" s="123">
        <f>IF(AI35="","",$AJ$2)</f>
        <v/>
      </c>
      <c r="AK35" s="123" t="inlineStr">
        <is>
          <t>A</t>
        </is>
      </c>
      <c r="AL35" s="123" t="inlineStr">
        <is>
          <t>A+</t>
        </is>
      </c>
      <c r="AM35" s="123" t="inlineStr">
        <is>
          <t>B+</t>
        </is>
      </c>
      <c r="AN35" s="123">
        <f>IF(AI35="","",$AN$2)</f>
        <v/>
      </c>
      <c r="AO35" s="123">
        <f>IF(N35="","",IF(N35&gt;=$AO$1/100,"O","X"))</f>
        <v/>
      </c>
      <c r="AP35" s="123">
        <f>IF(I35="","",IF(I35&lt;=$AP$1,"O","X"))</f>
        <v/>
      </c>
      <c r="AQ35" s="123">
        <f>IF(O35="","",IF(O35&lt;=$AQ$1,"O","X"))</f>
        <v/>
      </c>
      <c r="AR35" s="123">
        <f>IF(M35="","",IF(M35&lt;=$AR$1,"O","X"))</f>
        <v/>
      </c>
      <c r="AS35" s="123" t="inlineStr">
        <is>
          <t>X</t>
        </is>
      </c>
      <c r="AT35" s="123">
        <f>IF(OR(F35="",AI35=""),"",IF(AND((F35&lt;=85),(AI35&gt;=15)),"O","X"))</f>
        <v/>
      </c>
      <c r="AU35" s="123">
        <f>IF(C35="","",IF(C35&gt;=$AU$1,"O","X"))</f>
        <v/>
      </c>
      <c r="AV35" s="123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5" t="n">
        <v>317</v>
      </c>
      <c r="D36" s="133" t="n">
        <v>159.7</v>
      </c>
      <c r="E36" s="134" t="n">
        <v>48</v>
      </c>
      <c r="F36" s="133" t="n">
        <v>132.4</v>
      </c>
      <c r="G36" s="17" t="n">
        <v>40</v>
      </c>
      <c r="H36" s="135" t="n">
        <v>84</v>
      </c>
      <c r="I36" s="136" t="n">
        <v>33500</v>
      </c>
      <c r="J36" s="136" t="inlineStr">
        <is>
          <t>11</t>
        </is>
      </c>
      <c r="K36" s="136" t="n"/>
      <c r="L36" s="136" t="n"/>
      <c r="M36" s="137">
        <f>I36-K36</f>
        <v/>
      </c>
      <c r="N36" s="4">
        <f>IF(ISERROR(K36/I36),"",K36/I36)</f>
        <v/>
      </c>
      <c r="O36" s="138">
        <f>I36/E36</f>
        <v/>
      </c>
      <c r="P36" s="138">
        <f>K36/E36</f>
        <v/>
      </c>
      <c r="Q36" s="123" t="n">
        <v>4</v>
      </c>
      <c r="R36" s="123" t="n">
        <v>2</v>
      </c>
      <c r="S36" s="123" t="inlineStr">
        <is>
          <t>계</t>
        </is>
      </c>
      <c r="T36" s="5" t="n">
        <v>159</v>
      </c>
      <c r="U36" s="9" t="n"/>
      <c r="W36" s="133">
        <f>D36</f>
        <v/>
      </c>
      <c r="X36" s="134">
        <f>E36</f>
        <v/>
      </c>
      <c r="Y36" s="139">
        <f>H36</f>
        <v/>
      </c>
      <c r="Z36" s="137">
        <f>I36</f>
        <v/>
      </c>
      <c r="AA36" s="137">
        <f>K36</f>
        <v/>
      </c>
      <c r="AB36" s="137">
        <f>M36</f>
        <v/>
      </c>
      <c r="AC36" s="4">
        <f>N36</f>
        <v/>
      </c>
      <c r="AD36" s="138">
        <f>O36</f>
        <v/>
      </c>
      <c r="AE36" s="123">
        <f>S36</f>
        <v/>
      </c>
      <c r="AF36" s="123">
        <f>Q36&amp;"/"&amp;R36</f>
        <v/>
      </c>
      <c r="AH36" s="20">
        <f>IF(A36="","",A36)</f>
        <v/>
      </c>
      <c r="AI36" s="134">
        <f>IF(E36="","",E36)</f>
        <v/>
      </c>
      <c r="AJ36" s="123">
        <f>IF(AI36="","",$AJ$2)</f>
        <v/>
      </c>
      <c r="AK36" s="123" t="inlineStr">
        <is>
          <t>A</t>
        </is>
      </c>
      <c r="AL36" s="123" t="inlineStr">
        <is>
          <t>A+</t>
        </is>
      </c>
      <c r="AM36" s="123" t="inlineStr">
        <is>
          <t>B+</t>
        </is>
      </c>
      <c r="AN36" s="123">
        <f>IF(AI36="","",$AN$2)</f>
        <v/>
      </c>
      <c r="AO36" s="123">
        <f>IF(N36="","",IF(N36&gt;=$AO$1/100,"O","X"))</f>
        <v/>
      </c>
      <c r="AP36" s="123">
        <f>IF(I36="","",IF(I36&lt;=$AP$1,"O","X"))</f>
        <v/>
      </c>
      <c r="AQ36" s="123">
        <f>IF(O36="","",IF(O36&lt;=$AQ$1,"O","X"))</f>
        <v/>
      </c>
      <c r="AR36" s="123">
        <f>IF(M36="","",IF(M36&lt;=$AR$1,"O","X"))</f>
        <v/>
      </c>
      <c r="AS36" s="123" t="inlineStr">
        <is>
          <t>X</t>
        </is>
      </c>
      <c r="AT36" s="123">
        <f>IF(OR(F36="",AI36=""),"",IF(AND((F36&lt;=85),(AI36&gt;=15)),"O","X"))</f>
        <v/>
      </c>
      <c r="AU36" s="123">
        <f>IF(C36="","",IF(C36&gt;=$AU$1,"O","X"))</f>
        <v/>
      </c>
      <c r="AV36" s="123">
        <f>IF(AO36="","",IF(AND(AO36="O",AP36="O",AR36="O",AT36="O",AU36="O"),"후보","X"))</f>
        <v/>
      </c>
    </row>
    <row r="37">
      <c r="A37" s="9" t="n"/>
      <c r="B37" s="123" t="n"/>
      <c r="C37" s="6" t="n"/>
      <c r="D37" s="9" t="n"/>
      <c r="E37" s="14" t="n"/>
      <c r="F37" s="133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8" t="n"/>
      <c r="P37" s="138" t="n"/>
      <c r="Q37" s="134" t="n"/>
      <c r="R37" s="134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8">
        <f>IF(E37="","",E37)</f>
        <v/>
      </c>
      <c r="AJ37" s="123" t="n"/>
      <c r="AK37" s="123" t="n"/>
      <c r="AL37" s="123" t="n"/>
      <c r="AM37" s="123" t="n"/>
      <c r="AN37" s="123" t="n"/>
      <c r="AO37" s="123" t="n"/>
      <c r="AP37" s="123" t="n"/>
      <c r="AQ37" s="123" t="n"/>
      <c r="AR37" s="123" t="n"/>
      <c r="AS37" s="123" t="n"/>
      <c r="AT37" s="123" t="n"/>
      <c r="AU37" s="123" t="n"/>
      <c r="AV37" s="123" t="n"/>
    </row>
    <row r="38">
      <c r="A38" s="9" t="inlineStr">
        <is>
          <t>미룡대명2차</t>
        </is>
      </c>
      <c r="B38" s="10" t="inlineStr">
        <is>
          <t>'02.05.</t>
        </is>
      </c>
      <c r="C38" s="135" t="n">
        <v>276</v>
      </c>
      <c r="D38" s="133" t="n">
        <v>68.90000000000001</v>
      </c>
      <c r="E38" s="134" t="n">
        <v>21</v>
      </c>
      <c r="F38" s="133" t="n">
        <v>48.9</v>
      </c>
      <c r="G38" s="17" t="n">
        <v>15</v>
      </c>
      <c r="H38" s="135" t="n">
        <v>78</v>
      </c>
      <c r="I38" s="136" t="n"/>
      <c r="J38" s="136" t="n"/>
      <c r="K38" s="136" t="n"/>
      <c r="L38" s="136" t="n"/>
      <c r="M38" s="137">
        <f>I38-K38</f>
        <v/>
      </c>
      <c r="N38" s="4">
        <f>IF(ISERROR(K38/I38),"",K38/I38)</f>
        <v/>
      </c>
      <c r="O38" s="138">
        <f>I38/E38</f>
        <v/>
      </c>
      <c r="P38" s="138">
        <f>K38/E38</f>
        <v/>
      </c>
      <c r="Q38" s="123" t="n">
        <v>2</v>
      </c>
      <c r="R38" s="123" t="n">
        <v>1</v>
      </c>
      <c r="S38" s="123" t="inlineStr">
        <is>
          <t>계</t>
        </is>
      </c>
      <c r="T38" s="5" t="inlineStr">
        <is>
          <t>68B</t>
        </is>
      </c>
      <c r="U38" s="9" t="n"/>
      <c r="W38" s="133">
        <f>D38</f>
        <v/>
      </c>
      <c r="X38" s="134">
        <f>E38</f>
        <v/>
      </c>
      <c r="Y38" s="139">
        <f>H38</f>
        <v/>
      </c>
      <c r="Z38" s="137">
        <f>I38</f>
        <v/>
      </c>
      <c r="AA38" s="137">
        <f>K38</f>
        <v/>
      </c>
      <c r="AB38" s="137">
        <f>M38</f>
        <v/>
      </c>
      <c r="AC38" s="4">
        <f>N38</f>
        <v/>
      </c>
      <c r="AD38" s="138">
        <f>O38</f>
        <v/>
      </c>
      <c r="AE38" s="123">
        <f>S38</f>
        <v/>
      </c>
      <c r="AF38" s="123">
        <f>Q38&amp;"/"&amp;R38</f>
        <v/>
      </c>
      <c r="AH38" s="20">
        <f>IF(A38="","",A38)</f>
        <v/>
      </c>
      <c r="AI38" s="134">
        <f>IF(E38="","",E38)</f>
        <v/>
      </c>
      <c r="AJ38" s="123">
        <f>IF(AI38="","",$AJ$2)</f>
        <v/>
      </c>
      <c r="AK38" s="123" t="inlineStr">
        <is>
          <t>A</t>
        </is>
      </c>
      <c r="AL38" s="123" t="inlineStr">
        <is>
          <t>A+</t>
        </is>
      </c>
      <c r="AM38" s="123" t="inlineStr">
        <is>
          <t>B+</t>
        </is>
      </c>
      <c r="AN38" s="123">
        <f>IF(AI38="","",$AN$2)</f>
        <v/>
      </c>
      <c r="AO38" s="123">
        <f>IF(N38="","",IF(N38&gt;=$AO$1/100,"O","X"))</f>
        <v/>
      </c>
      <c r="AP38" s="123">
        <f>IF(I38="","",IF(I38&lt;=$AP$1,"O","X"))</f>
        <v/>
      </c>
      <c r="AQ38" s="123">
        <f>IF(O38="","",IF(O38&lt;=$AQ$1,"O","X"))</f>
        <v/>
      </c>
      <c r="AR38" s="123">
        <f>IF(M38="","",IF(M38&lt;=$AR$1,"O","X"))</f>
        <v/>
      </c>
      <c r="AS38" s="123" t="inlineStr">
        <is>
          <t>X</t>
        </is>
      </c>
      <c r="AT38" s="123">
        <f>IF(OR(F38="",AI38=""),"",IF(AND((F38&lt;=85),(AI38&gt;=15)),"O","X"))</f>
        <v/>
      </c>
      <c r="AU38" s="123">
        <f>IF(C38="","",IF(C38&gt;=$AU$1,"O","X"))</f>
        <v/>
      </c>
      <c r="AV38" s="123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5" t="n">
        <v>276</v>
      </c>
      <c r="D39" s="133" t="n">
        <v>69.3</v>
      </c>
      <c r="E39" s="134" t="n">
        <v>21</v>
      </c>
      <c r="F39" s="133" t="n">
        <v>49.1</v>
      </c>
      <c r="G39" s="17" t="n">
        <v>15</v>
      </c>
      <c r="H39" s="135" t="n">
        <v>198</v>
      </c>
      <c r="I39" s="136" t="n"/>
      <c r="J39" s="136" t="n"/>
      <c r="K39" s="136" t="n"/>
      <c r="L39" s="136" t="n"/>
      <c r="M39" s="137">
        <f>I39-K39</f>
        <v/>
      </c>
      <c r="N39" s="4">
        <f>IF(ISERROR(K39/I39),"",K39/I39)</f>
        <v/>
      </c>
      <c r="O39" s="138">
        <f>I39/E39</f>
        <v/>
      </c>
      <c r="P39" s="138">
        <f>K39/E39</f>
        <v/>
      </c>
      <c r="Q39" s="123" t="n">
        <v>2</v>
      </c>
      <c r="R39" s="123" t="n">
        <v>1</v>
      </c>
      <c r="S39" s="123" t="inlineStr">
        <is>
          <t>계</t>
        </is>
      </c>
      <c r="T39" s="5" t="inlineStr">
        <is>
          <t>69A</t>
        </is>
      </c>
      <c r="U39" s="9" t="n"/>
      <c r="W39" s="133">
        <f>D39</f>
        <v/>
      </c>
      <c r="X39" s="134">
        <f>E39</f>
        <v/>
      </c>
      <c r="Y39" s="139">
        <f>H39</f>
        <v/>
      </c>
      <c r="Z39" s="137">
        <f>I39</f>
        <v/>
      </c>
      <c r="AA39" s="137">
        <f>K39</f>
        <v/>
      </c>
      <c r="AB39" s="137">
        <f>M39</f>
        <v/>
      </c>
      <c r="AC39" s="4">
        <f>N39</f>
        <v/>
      </c>
      <c r="AD39" s="138">
        <f>O39</f>
        <v/>
      </c>
      <c r="AE39" s="123">
        <f>S39</f>
        <v/>
      </c>
      <c r="AF39" s="123">
        <f>Q39&amp;"/"&amp;R39</f>
        <v/>
      </c>
      <c r="AH39" s="20">
        <f>IF(A39="","",A39)</f>
        <v/>
      </c>
      <c r="AI39" s="134">
        <f>IF(E39="","",E39)</f>
        <v/>
      </c>
      <c r="AJ39" s="123">
        <f>IF(AI39="","",$AJ$2)</f>
        <v/>
      </c>
      <c r="AK39" s="123" t="inlineStr">
        <is>
          <t>A</t>
        </is>
      </c>
      <c r="AL39" s="123" t="inlineStr">
        <is>
          <t>A+</t>
        </is>
      </c>
      <c r="AM39" s="123" t="inlineStr">
        <is>
          <t>B+</t>
        </is>
      </c>
      <c r="AN39" s="123">
        <f>IF(AI39="","",$AN$2)</f>
        <v/>
      </c>
      <c r="AO39" s="123">
        <f>IF(N39="","",IF(N39&gt;=$AO$1/100,"O","X"))</f>
        <v/>
      </c>
      <c r="AP39" s="123">
        <f>IF(I39="","",IF(I39&lt;=$AP$1,"O","X"))</f>
        <v/>
      </c>
      <c r="AQ39" s="123">
        <f>IF(O39="","",IF(O39&lt;=$AQ$1,"O","X"))</f>
        <v/>
      </c>
      <c r="AR39" s="123">
        <f>IF(M39="","",IF(M39&lt;=$AR$1,"O","X"))</f>
        <v/>
      </c>
      <c r="AS39" s="123" t="inlineStr">
        <is>
          <t>X</t>
        </is>
      </c>
      <c r="AT39" s="123">
        <f>IF(OR(F39="",AI39=""),"",IF(AND((F39&lt;=85),(AI39&gt;=15)),"O","X"))</f>
        <v/>
      </c>
      <c r="AU39" s="123">
        <f>IF(C39="","",IF(C39&gt;=$AU$1,"O","X"))</f>
        <v/>
      </c>
      <c r="AV39" s="123">
        <f>IF(AO39="","",IF(AND(AO39="O",AP39="O",AR39="O",AT39="O",AU39="O"),"후보","X"))</f>
        <v/>
      </c>
    </row>
    <row r="40">
      <c r="A40" s="9" t="n"/>
      <c r="B40" s="123" t="n"/>
      <c r="C40" s="6" t="n"/>
      <c r="D40" s="9" t="n"/>
      <c r="E40" s="14" t="n"/>
      <c r="F40" s="133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8" t="n"/>
      <c r="P40" s="138" t="n"/>
      <c r="Q40" s="134" t="n"/>
      <c r="R40" s="134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8">
        <f>IF(E40="","",E40)</f>
        <v/>
      </c>
      <c r="AJ40" s="123" t="n"/>
      <c r="AK40" s="123" t="n"/>
      <c r="AL40" s="123" t="n"/>
      <c r="AM40" s="123" t="n"/>
      <c r="AN40" s="123" t="n"/>
      <c r="AO40" s="123" t="n"/>
      <c r="AP40" s="123" t="n"/>
      <c r="AQ40" s="123" t="n"/>
      <c r="AR40" s="123" t="n"/>
      <c r="AS40" s="123" t="n"/>
      <c r="AT40" s="123" t="n"/>
      <c r="AU40" s="123" t="n"/>
      <c r="AV40" s="123" t="n"/>
    </row>
    <row r="41">
      <c r="A41" s="9" t="inlineStr">
        <is>
          <t>미룡주공2단지</t>
        </is>
      </c>
      <c r="B41" s="10" t="inlineStr">
        <is>
          <t>'01.03.</t>
        </is>
      </c>
      <c r="C41" s="135" t="n">
        <v>874</v>
      </c>
      <c r="D41" s="133" t="n">
        <v>68.3</v>
      </c>
      <c r="E41" s="134" t="n">
        <v>21</v>
      </c>
      <c r="F41" s="133" t="n">
        <v>50.3</v>
      </c>
      <c r="G41" s="17" t="n">
        <v>15</v>
      </c>
      <c r="H41" s="135" t="n">
        <v>288</v>
      </c>
      <c r="I41" s="136" t="n">
        <v>8000</v>
      </c>
      <c r="J41" s="136" t="inlineStr">
        <is>
          <t>7</t>
        </is>
      </c>
      <c r="K41" s="136" t="n">
        <v>8800</v>
      </c>
      <c r="L41" s="136" t="inlineStr">
        <is>
          <t>8</t>
        </is>
      </c>
      <c r="M41" s="137">
        <f>I41-K41</f>
        <v/>
      </c>
      <c r="N41" s="4">
        <f>IF(ISERROR(K41/I41),"",K41/I41)</f>
        <v/>
      </c>
      <c r="O41" s="138">
        <f>I41/E41</f>
        <v/>
      </c>
      <c r="P41" s="138">
        <f>K41/E41</f>
        <v/>
      </c>
      <c r="Q41" s="123" t="n">
        <v>2</v>
      </c>
      <c r="R41" s="123" t="n">
        <v>1</v>
      </c>
      <c r="S41" s="123" t="inlineStr">
        <is>
          <t>복</t>
        </is>
      </c>
      <c r="T41" s="5" t="inlineStr">
        <is>
          <t>68A</t>
        </is>
      </c>
      <c r="U41" s="9" t="n"/>
      <c r="W41" s="133">
        <f>D41</f>
        <v/>
      </c>
      <c r="X41" s="134">
        <f>E41</f>
        <v/>
      </c>
      <c r="Y41" s="139">
        <f>H41</f>
        <v/>
      </c>
      <c r="Z41" s="137">
        <f>I41</f>
        <v/>
      </c>
      <c r="AA41" s="137">
        <f>K41</f>
        <v/>
      </c>
      <c r="AB41" s="137">
        <f>M41</f>
        <v/>
      </c>
      <c r="AC41" s="4">
        <f>N41</f>
        <v/>
      </c>
      <c r="AD41" s="138">
        <f>O41</f>
        <v/>
      </c>
      <c r="AE41" s="123">
        <f>S41</f>
        <v/>
      </c>
      <c r="AF41" s="123">
        <f>Q41&amp;"/"&amp;R41</f>
        <v/>
      </c>
      <c r="AH41" s="20">
        <f>IF(A41="","",A41)</f>
        <v/>
      </c>
      <c r="AI41" s="134">
        <f>IF(E41="","",E41)</f>
        <v/>
      </c>
      <c r="AJ41" s="123">
        <f>IF(AI41="","",$AJ$2)</f>
        <v/>
      </c>
      <c r="AK41" s="123" t="inlineStr">
        <is>
          <t>A</t>
        </is>
      </c>
      <c r="AL41" s="123" t="inlineStr">
        <is>
          <t>A+</t>
        </is>
      </c>
      <c r="AM41" s="123" t="inlineStr">
        <is>
          <t>B+</t>
        </is>
      </c>
      <c r="AN41" s="123">
        <f>IF(AI41="","",$AN$2)</f>
        <v/>
      </c>
      <c r="AO41" s="123">
        <f>IF(N41="","",IF(N41&gt;=$AO$1/100,"O","X"))</f>
        <v/>
      </c>
      <c r="AP41" s="123">
        <f>IF(I41="","",IF(I41&lt;=$AP$1,"O","X"))</f>
        <v/>
      </c>
      <c r="AQ41" s="123">
        <f>IF(O41="","",IF(O41&lt;=$AQ$1,"O","X"))</f>
        <v/>
      </c>
      <c r="AR41" s="123">
        <f>IF(M41="","",IF(M41&lt;=$AR$1,"O","X"))</f>
        <v/>
      </c>
      <c r="AS41" s="123" t="inlineStr">
        <is>
          <t>X</t>
        </is>
      </c>
      <c r="AT41" s="123">
        <f>IF(OR(F41="",AI41=""),"",IF(AND((F41&lt;=85),(AI41&gt;=15)),"O","X"))</f>
        <v/>
      </c>
      <c r="AU41" s="123">
        <f>IF(C41="","",IF(C41&gt;=$AU$1,"O","X"))</f>
        <v/>
      </c>
      <c r="AV41" s="123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5" t="n">
        <v>874</v>
      </c>
      <c r="D42" s="133" t="n">
        <v>70.59999999999999</v>
      </c>
      <c r="E42" s="134" t="n">
        <v>21</v>
      </c>
      <c r="F42" s="133" t="n">
        <v>51.9</v>
      </c>
      <c r="G42" s="17" t="n">
        <v>16</v>
      </c>
      <c r="H42" s="135" t="n">
        <v>4</v>
      </c>
      <c r="I42" s="136" t="n"/>
      <c r="J42" s="136" t="n"/>
      <c r="K42" s="136" t="n"/>
      <c r="L42" s="136" t="n"/>
      <c r="M42" s="137">
        <f>I42-K42</f>
        <v/>
      </c>
      <c r="N42" s="4">
        <f>IF(ISERROR(K42/I42),"",K42/I42)</f>
        <v/>
      </c>
      <c r="O42" s="138">
        <f>I42/E42</f>
        <v/>
      </c>
      <c r="P42" s="138">
        <f>K42/E42</f>
        <v/>
      </c>
      <c r="Q42" s="123" t="n">
        <v>2</v>
      </c>
      <c r="R42" s="123" t="n">
        <v>1</v>
      </c>
      <c r="S42" s="123" t="inlineStr">
        <is>
          <t>계</t>
        </is>
      </c>
      <c r="T42" s="5" t="inlineStr">
        <is>
          <t>70B</t>
        </is>
      </c>
      <c r="U42" s="9" t="n"/>
      <c r="W42" s="133">
        <f>D42</f>
        <v/>
      </c>
      <c r="X42" s="134">
        <f>E42</f>
        <v/>
      </c>
      <c r="Y42" s="139">
        <f>H42</f>
        <v/>
      </c>
      <c r="Z42" s="137">
        <f>I42</f>
        <v/>
      </c>
      <c r="AA42" s="137">
        <f>K42</f>
        <v/>
      </c>
      <c r="AB42" s="137">
        <f>M42</f>
        <v/>
      </c>
      <c r="AC42" s="4">
        <f>N42</f>
        <v/>
      </c>
      <c r="AD42" s="138">
        <f>O42</f>
        <v/>
      </c>
      <c r="AE42" s="123">
        <f>S42</f>
        <v/>
      </c>
      <c r="AF42" s="123">
        <f>Q42&amp;"/"&amp;R42</f>
        <v/>
      </c>
      <c r="AH42" s="20">
        <f>IF(A42="","",A42)</f>
        <v/>
      </c>
      <c r="AI42" s="134">
        <f>IF(E42="","",E42)</f>
        <v/>
      </c>
      <c r="AJ42" s="123">
        <f>IF(AI42="","",$AJ$2)</f>
        <v/>
      </c>
      <c r="AK42" s="123" t="inlineStr">
        <is>
          <t>A</t>
        </is>
      </c>
      <c r="AL42" s="123" t="inlineStr">
        <is>
          <t>A+</t>
        </is>
      </c>
      <c r="AM42" s="123" t="inlineStr">
        <is>
          <t>B+</t>
        </is>
      </c>
      <c r="AN42" s="123">
        <f>IF(AI42="","",$AN$2)</f>
        <v/>
      </c>
      <c r="AO42" s="123">
        <f>IF(N42="","",IF(N42&gt;=$AO$1/100,"O","X"))</f>
        <v/>
      </c>
      <c r="AP42" s="123">
        <f>IF(I42="","",IF(I42&lt;=$AP$1,"O","X"))</f>
        <v/>
      </c>
      <c r="AQ42" s="123">
        <f>IF(O42="","",IF(O42&lt;=$AQ$1,"O","X"))</f>
        <v/>
      </c>
      <c r="AR42" s="123">
        <f>IF(M42="","",IF(M42&lt;=$AR$1,"O","X"))</f>
        <v/>
      </c>
      <c r="AS42" s="123" t="inlineStr">
        <is>
          <t>X</t>
        </is>
      </c>
      <c r="AT42" s="123">
        <f>IF(OR(F42="",AI42=""),"",IF(AND((F42&lt;=85),(AI42&gt;=15)),"O","X"))</f>
        <v/>
      </c>
      <c r="AU42" s="123">
        <f>IF(C42="","",IF(C42&gt;=$AU$1,"O","X"))</f>
        <v/>
      </c>
      <c r="AV42" s="123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5" t="n">
        <v>874</v>
      </c>
      <c r="D43" s="133" t="n">
        <v>80.7</v>
      </c>
      <c r="E43" s="134" t="n">
        <v>24</v>
      </c>
      <c r="F43" s="133" t="n">
        <v>59.4</v>
      </c>
      <c r="G43" s="17" t="n">
        <v>18</v>
      </c>
      <c r="H43" s="135" t="n">
        <v>267</v>
      </c>
      <c r="I43" s="136" t="n">
        <v>12500</v>
      </c>
      <c r="J43" s="136" t="inlineStr">
        <is>
          <t>11</t>
        </is>
      </c>
      <c r="K43" s="136" t="n">
        <v>12500</v>
      </c>
      <c r="L43" s="136" t="inlineStr">
        <is>
          <t>8</t>
        </is>
      </c>
      <c r="M43" s="137">
        <f>I43-K43</f>
        <v/>
      </c>
      <c r="N43" s="4">
        <f>IF(ISERROR(K43/I43),"",K43/I43)</f>
        <v/>
      </c>
      <c r="O43" s="138">
        <f>I43/E43</f>
        <v/>
      </c>
      <c r="P43" s="138">
        <f>K43/E43</f>
        <v/>
      </c>
      <c r="Q43" s="123" t="n">
        <v>3</v>
      </c>
      <c r="R43" s="123" t="n">
        <v>1</v>
      </c>
      <c r="S43" s="123" t="inlineStr">
        <is>
          <t>계</t>
        </is>
      </c>
      <c r="T43" s="5" t="inlineStr">
        <is>
          <t>80B</t>
        </is>
      </c>
      <c r="U43" s="9" t="n"/>
      <c r="W43" s="133">
        <f>D43</f>
        <v/>
      </c>
      <c r="X43" s="134">
        <f>E43</f>
        <v/>
      </c>
      <c r="Y43" s="139">
        <f>H43</f>
        <v/>
      </c>
      <c r="Z43" s="137">
        <f>I43</f>
        <v/>
      </c>
      <c r="AA43" s="137">
        <f>K43</f>
        <v/>
      </c>
      <c r="AB43" s="137">
        <f>M43</f>
        <v/>
      </c>
      <c r="AC43" s="4">
        <f>N43</f>
        <v/>
      </c>
      <c r="AD43" s="138">
        <f>O43</f>
        <v/>
      </c>
      <c r="AE43" s="123">
        <f>S43</f>
        <v/>
      </c>
      <c r="AF43" s="123">
        <f>Q43&amp;"/"&amp;R43</f>
        <v/>
      </c>
      <c r="AH43" s="20">
        <f>IF(A43="","",A43)</f>
        <v/>
      </c>
      <c r="AI43" s="134">
        <f>IF(E43="","",E43)</f>
        <v/>
      </c>
      <c r="AJ43" s="123">
        <f>IF(AI43="","",$AJ$2)</f>
        <v/>
      </c>
      <c r="AK43" s="123" t="inlineStr">
        <is>
          <t>A</t>
        </is>
      </c>
      <c r="AL43" s="123" t="inlineStr">
        <is>
          <t>A+</t>
        </is>
      </c>
      <c r="AM43" s="123" t="inlineStr">
        <is>
          <t>B+</t>
        </is>
      </c>
      <c r="AN43" s="123">
        <f>IF(AI43="","",$AN$2)</f>
        <v/>
      </c>
      <c r="AO43" s="123">
        <f>IF(N43="","",IF(N43&gt;=$AO$1/100,"O","X"))</f>
        <v/>
      </c>
      <c r="AP43" s="123">
        <f>IF(I43="","",IF(I43&lt;=$AP$1,"O","X"))</f>
        <v/>
      </c>
      <c r="AQ43" s="123">
        <f>IF(O43="","",IF(O43&lt;=$AQ$1,"O","X"))</f>
        <v/>
      </c>
      <c r="AR43" s="123">
        <f>IF(M43="","",IF(M43&lt;=$AR$1,"O","X"))</f>
        <v/>
      </c>
      <c r="AS43" s="123" t="inlineStr">
        <is>
          <t>X</t>
        </is>
      </c>
      <c r="AT43" s="123">
        <f>IF(OR(F43="",AI43=""),"",IF(AND((F43&lt;=85),(AI43&gt;=15)),"O","X"))</f>
        <v/>
      </c>
      <c r="AU43" s="123">
        <f>IF(C43="","",IF(C43&gt;=$AU$1,"O","X"))</f>
        <v/>
      </c>
      <c r="AV43" s="123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5" t="n">
        <v>874</v>
      </c>
      <c r="D44" s="133" t="n">
        <v>80.7</v>
      </c>
      <c r="E44" s="134" t="n">
        <v>24</v>
      </c>
      <c r="F44" s="133" t="n">
        <v>59.4</v>
      </c>
      <c r="G44" s="17" t="n">
        <v>18</v>
      </c>
      <c r="H44" s="135" t="n">
        <v>76</v>
      </c>
      <c r="I44" s="136" t="n">
        <v>12500</v>
      </c>
      <c r="J44" s="136" t="inlineStr">
        <is>
          <t>11</t>
        </is>
      </c>
      <c r="K44" s="136" t="n">
        <v>12500</v>
      </c>
      <c r="L44" s="136" t="inlineStr">
        <is>
          <t>8</t>
        </is>
      </c>
      <c r="M44" s="137">
        <f>I44-K44</f>
        <v/>
      </c>
      <c r="N44" s="4">
        <f>IF(ISERROR(K44/I44),"",K44/I44)</f>
        <v/>
      </c>
      <c r="O44" s="138">
        <f>I44/E44</f>
        <v/>
      </c>
      <c r="P44" s="138">
        <f>K44/E44</f>
        <v/>
      </c>
      <c r="Q44" s="123" t="n">
        <v>3</v>
      </c>
      <c r="R44" s="123" t="n">
        <v>1</v>
      </c>
      <c r="S44" s="123" t="inlineStr">
        <is>
          <t>계</t>
        </is>
      </c>
      <c r="T44" s="5" t="inlineStr">
        <is>
          <t>80C</t>
        </is>
      </c>
      <c r="U44" s="9" t="n"/>
      <c r="W44" s="133">
        <f>D44</f>
        <v/>
      </c>
      <c r="X44" s="134">
        <f>E44</f>
        <v/>
      </c>
      <c r="Y44" s="139">
        <f>H44</f>
        <v/>
      </c>
      <c r="Z44" s="137">
        <f>I44</f>
        <v/>
      </c>
      <c r="AA44" s="137">
        <f>K44</f>
        <v/>
      </c>
      <c r="AB44" s="137">
        <f>M44</f>
        <v/>
      </c>
      <c r="AC44" s="4">
        <f>N44</f>
        <v/>
      </c>
      <c r="AD44" s="138">
        <f>O44</f>
        <v/>
      </c>
      <c r="AE44" s="123">
        <f>S44</f>
        <v/>
      </c>
      <c r="AF44" s="123">
        <f>Q44&amp;"/"&amp;R44</f>
        <v/>
      </c>
      <c r="AH44" s="20">
        <f>IF(A44="","",A44)</f>
        <v/>
      </c>
      <c r="AI44" s="134">
        <f>IF(E44="","",E44)</f>
        <v/>
      </c>
      <c r="AJ44" s="123">
        <f>IF(AI44="","",$AJ$2)</f>
        <v/>
      </c>
      <c r="AK44" s="123" t="inlineStr">
        <is>
          <t>A</t>
        </is>
      </c>
      <c r="AL44" s="123" t="inlineStr">
        <is>
          <t>A+</t>
        </is>
      </c>
      <c r="AM44" s="123" t="inlineStr">
        <is>
          <t>B+</t>
        </is>
      </c>
      <c r="AN44" s="123">
        <f>IF(AI44="","",$AN$2)</f>
        <v/>
      </c>
      <c r="AO44" s="123">
        <f>IF(N44="","",IF(N44&gt;=$AO$1/100,"O","X"))</f>
        <v/>
      </c>
      <c r="AP44" s="123">
        <f>IF(I44="","",IF(I44&lt;=$AP$1,"O","X"))</f>
        <v/>
      </c>
      <c r="AQ44" s="123">
        <f>IF(O44="","",IF(O44&lt;=$AQ$1,"O","X"))</f>
        <v/>
      </c>
      <c r="AR44" s="123">
        <f>IF(M44="","",IF(M44&lt;=$AR$1,"O","X"))</f>
        <v/>
      </c>
      <c r="AS44" s="123" t="inlineStr">
        <is>
          <t>X</t>
        </is>
      </c>
      <c r="AT44" s="123">
        <f>IF(OR(F44="",AI44=""),"",IF(AND((F44&lt;=85),(AI44&gt;=15)),"O","X"))</f>
        <v/>
      </c>
      <c r="AU44" s="123">
        <f>IF(C44="","",IF(C44&gt;=$AU$1,"O","X"))</f>
        <v/>
      </c>
      <c r="AV44" s="123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5" t="n">
        <v>874</v>
      </c>
      <c r="D45" s="133" t="n">
        <v>80.59999999999999</v>
      </c>
      <c r="E45" s="134" t="n">
        <v>24</v>
      </c>
      <c r="F45" s="133" t="n">
        <v>59.3</v>
      </c>
      <c r="G45" s="17" t="n">
        <v>18</v>
      </c>
      <c r="H45" s="135" t="n">
        <v>15</v>
      </c>
      <c r="I45" s="136" t="n">
        <v>11000</v>
      </c>
      <c r="J45" s="136" t="inlineStr">
        <is>
          <t>9</t>
        </is>
      </c>
      <c r="K45" s="136" t="n">
        <v>11000</v>
      </c>
      <c r="L45" s="136" t="inlineStr">
        <is>
          <t>14</t>
        </is>
      </c>
      <c r="M45" s="137">
        <f>I45-K45</f>
        <v/>
      </c>
      <c r="N45" s="4">
        <f>IF(ISERROR(K45/I45),"",K45/I45)</f>
        <v/>
      </c>
      <c r="O45" s="138">
        <f>I45/E45</f>
        <v/>
      </c>
      <c r="P45" s="138">
        <f>K45/E45</f>
        <v/>
      </c>
      <c r="Q45" s="123" t="n">
        <v>3</v>
      </c>
      <c r="R45" s="123" t="n">
        <v>1</v>
      </c>
      <c r="S45" s="123" t="inlineStr">
        <is>
          <t>계</t>
        </is>
      </c>
      <c r="T45" s="5" t="inlineStr">
        <is>
          <t>80A</t>
        </is>
      </c>
      <c r="U45" s="9" t="n"/>
      <c r="W45" s="133">
        <f>D45</f>
        <v/>
      </c>
      <c r="X45" s="134">
        <f>E45</f>
        <v/>
      </c>
      <c r="Y45" s="139">
        <f>H45</f>
        <v/>
      </c>
      <c r="Z45" s="137">
        <f>I45</f>
        <v/>
      </c>
      <c r="AA45" s="137">
        <f>K45</f>
        <v/>
      </c>
      <c r="AB45" s="137">
        <f>M45</f>
        <v/>
      </c>
      <c r="AC45" s="4">
        <f>N45</f>
        <v/>
      </c>
      <c r="AD45" s="138">
        <f>O45</f>
        <v/>
      </c>
      <c r="AE45" s="123">
        <f>S45</f>
        <v/>
      </c>
      <c r="AF45" s="123">
        <f>Q45&amp;"/"&amp;R45</f>
        <v/>
      </c>
      <c r="AH45" s="20">
        <f>IF(A45="","",A45)</f>
        <v/>
      </c>
      <c r="AI45" s="134">
        <f>IF(E45="","",E45)</f>
        <v/>
      </c>
      <c r="AJ45" s="123">
        <f>IF(AI45="","",$AJ$2)</f>
        <v/>
      </c>
      <c r="AK45" s="123" t="inlineStr">
        <is>
          <t>A</t>
        </is>
      </c>
      <c r="AL45" s="123" t="inlineStr">
        <is>
          <t>A+</t>
        </is>
      </c>
      <c r="AM45" s="123" t="inlineStr">
        <is>
          <t>B+</t>
        </is>
      </c>
      <c r="AN45" s="123">
        <f>IF(AI45="","",$AN$2)</f>
        <v/>
      </c>
      <c r="AO45" s="123">
        <f>IF(N45="","",IF(N45&gt;=$AO$1/100,"O","X"))</f>
        <v/>
      </c>
      <c r="AP45" s="123">
        <f>IF(I45="","",IF(I45&lt;=$AP$1,"O","X"))</f>
        <v/>
      </c>
      <c r="AQ45" s="123">
        <f>IF(O45="","",IF(O45&lt;=$AQ$1,"O","X"))</f>
        <v/>
      </c>
      <c r="AR45" s="123">
        <f>IF(M45="","",IF(M45&lt;=$AR$1,"O","X"))</f>
        <v/>
      </c>
      <c r="AS45" s="123" t="inlineStr">
        <is>
          <t>X</t>
        </is>
      </c>
      <c r="AT45" s="123">
        <f>IF(OR(F45="",AI45=""),"",IF(AND((F45&lt;=85),(AI45&gt;=15)),"O","X"))</f>
        <v/>
      </c>
      <c r="AU45" s="123">
        <f>IF(C45="","",IF(C45&gt;=$AU$1,"O","X"))</f>
        <v/>
      </c>
      <c r="AV45" s="123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5" t="n">
        <v>874</v>
      </c>
      <c r="D46" s="133" t="n">
        <v>114.6</v>
      </c>
      <c r="E46" s="134" t="n">
        <v>35</v>
      </c>
      <c r="F46" s="133" t="n">
        <v>84.3</v>
      </c>
      <c r="G46" s="17" t="n">
        <v>26</v>
      </c>
      <c r="H46" s="135" t="n">
        <v>224</v>
      </c>
      <c r="I46" s="136" t="n"/>
      <c r="J46" s="136" t="n"/>
      <c r="K46" s="136" t="n"/>
      <c r="L46" s="136" t="n"/>
      <c r="M46" s="137">
        <f>I46-K46</f>
        <v/>
      </c>
      <c r="N46" s="4">
        <f>IF(ISERROR(K46/I46),"",K46/I46)</f>
        <v/>
      </c>
      <c r="O46" s="138">
        <f>I46/E46</f>
        <v/>
      </c>
      <c r="P46" s="138">
        <f>K46/E46</f>
        <v/>
      </c>
      <c r="Q46" s="123" t="n">
        <v>3</v>
      </c>
      <c r="R46" s="123" t="n">
        <v>1</v>
      </c>
      <c r="S46" s="123" t="inlineStr">
        <is>
          <t>계</t>
        </is>
      </c>
      <c r="T46" s="5" t="n">
        <v>114</v>
      </c>
      <c r="U46" s="9" t="n"/>
      <c r="W46" s="133">
        <f>D46</f>
        <v/>
      </c>
      <c r="X46" s="134">
        <f>E46</f>
        <v/>
      </c>
      <c r="Y46" s="139">
        <f>H46</f>
        <v/>
      </c>
      <c r="Z46" s="137">
        <f>I46</f>
        <v/>
      </c>
      <c r="AA46" s="137">
        <f>K46</f>
        <v/>
      </c>
      <c r="AB46" s="137">
        <f>M46</f>
        <v/>
      </c>
      <c r="AC46" s="4">
        <f>N46</f>
        <v/>
      </c>
      <c r="AD46" s="138">
        <f>O46</f>
        <v/>
      </c>
      <c r="AE46" s="123">
        <f>S46</f>
        <v/>
      </c>
      <c r="AF46" s="123">
        <f>Q46&amp;"/"&amp;R46</f>
        <v/>
      </c>
      <c r="AH46" s="20">
        <f>IF(A46="","",A46)</f>
        <v/>
      </c>
      <c r="AI46" s="134">
        <f>IF(E46="","",E46)</f>
        <v/>
      </c>
      <c r="AJ46" s="123">
        <f>IF(AI46="","",$AJ$2)</f>
        <v/>
      </c>
      <c r="AK46" s="123" t="inlineStr">
        <is>
          <t>A</t>
        </is>
      </c>
      <c r="AL46" s="123" t="inlineStr">
        <is>
          <t>A+</t>
        </is>
      </c>
      <c r="AM46" s="123" t="inlineStr">
        <is>
          <t>B+</t>
        </is>
      </c>
      <c r="AN46" s="123">
        <f>IF(AI46="","",$AN$2)</f>
        <v/>
      </c>
      <c r="AO46" s="123">
        <f>IF(N46="","",IF(N46&gt;=$AO$1/100,"O","X"))</f>
        <v/>
      </c>
      <c r="AP46" s="123">
        <f>IF(I46="","",IF(I46&lt;=$AP$1,"O","X"))</f>
        <v/>
      </c>
      <c r="AQ46" s="123">
        <f>IF(O46="","",IF(O46&lt;=$AQ$1,"O","X"))</f>
        <v/>
      </c>
      <c r="AR46" s="123">
        <f>IF(M46="","",IF(M46&lt;=$AR$1,"O","X"))</f>
        <v/>
      </c>
      <c r="AS46" s="123" t="inlineStr">
        <is>
          <t>X</t>
        </is>
      </c>
      <c r="AT46" s="123">
        <f>IF(OR(F46="",AI46=""),"",IF(AND((F46&lt;=85),(AI46&gt;=15)),"O","X"))</f>
        <v/>
      </c>
      <c r="AU46" s="123">
        <f>IF(C46="","",IF(C46&gt;=$AU$1,"O","X"))</f>
        <v/>
      </c>
      <c r="AV46" s="12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7">
      <formula>AV4="X"</formula>
    </cfRule>
    <cfRule type="expression" priority="642" dxfId="16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7">
      <formula>AV7="X"</formula>
    </cfRule>
    <cfRule type="expression" priority="622" dxfId="16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7">
      <formula>AV8="X"</formula>
    </cfRule>
    <cfRule type="expression" priority="618" dxfId="16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7">
      <formula>AV9="X"</formula>
    </cfRule>
    <cfRule type="expression" priority="600" dxfId="16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7">
      <formula>AV10="X"</formula>
    </cfRule>
    <cfRule type="expression" priority="582" dxfId="16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7">
      <formula>AV11="X"</formula>
    </cfRule>
    <cfRule type="expression" priority="564" dxfId="16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7">
      <formula>AV12="X"</formula>
    </cfRule>
    <cfRule type="expression" priority="546" dxfId="16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7">
      <formula>AV13="X"</formula>
    </cfRule>
    <cfRule type="expression" priority="528" dxfId="16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7">
      <formula>AV14="X"</formula>
    </cfRule>
    <cfRule type="expression" priority="510" dxfId="16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7">
      <formula>AV15="X"</formula>
    </cfRule>
    <cfRule type="expression" priority="492" dxfId="16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7">
      <formula>AV16="X"</formula>
    </cfRule>
    <cfRule type="expression" priority="474" dxfId="16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7">
      <formula>AV17="X"</formula>
    </cfRule>
    <cfRule type="expression" priority="456" dxfId="16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7">
      <formula>AV19="X"</formula>
    </cfRule>
    <cfRule type="expression" priority="434" dxfId="16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7">
      <formula>AV20="X"</formula>
    </cfRule>
    <cfRule type="expression" priority="416" dxfId="16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7">
      <formula>AV21="X"</formula>
    </cfRule>
    <cfRule type="expression" priority="398" dxfId="16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7">
      <formula>AV22="X"</formula>
    </cfRule>
    <cfRule type="expression" priority="380" dxfId="16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7">
      <formula>AV23="X"</formula>
    </cfRule>
    <cfRule type="expression" priority="362" dxfId="16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7">
      <formula>AV24="X"</formula>
    </cfRule>
    <cfRule type="expression" priority="344" dxfId="16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7">
      <formula>AV25="X"</formula>
    </cfRule>
    <cfRule type="expression" priority="326" dxfId="16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7">
      <formula>AV26="X"</formula>
    </cfRule>
    <cfRule type="expression" priority="322" dxfId="16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7">
      <formula>AV27="X"</formula>
    </cfRule>
    <cfRule type="expression" priority="304" dxfId="16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7">
      <formula>AV28="X"</formula>
    </cfRule>
    <cfRule type="expression" priority="286" dxfId="16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7">
      <formula>AV29="X"</formula>
    </cfRule>
    <cfRule type="expression" priority="268" dxfId="16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7">
      <formula>AV30="X"</formula>
    </cfRule>
    <cfRule type="expression" priority="250" dxfId="16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7">
      <formula>AV31="X"</formula>
    </cfRule>
    <cfRule type="expression" priority="232" dxfId="16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7">
      <formula>AV32="X"</formula>
    </cfRule>
    <cfRule type="expression" priority="228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7">
      <formula>AV34="X"</formula>
    </cfRule>
    <cfRule type="expression" priority="192" dxfId="16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7">
      <formula>AV35="X"</formula>
    </cfRule>
    <cfRule type="expression" priority="188" dxfId="16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7">
      <formula>AV36="X"</formula>
    </cfRule>
    <cfRule type="expression" priority="170" dxfId="16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7">
      <formula>AV37="X"</formula>
    </cfRule>
    <cfRule type="expression" priority="152" dxfId="16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7">
      <formula>AV38="X"</formula>
    </cfRule>
    <cfRule type="expression" priority="148" dxfId="16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7">
      <formula>AV39="X"</formula>
    </cfRule>
    <cfRule type="expression" priority="130" dxfId="16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7">
      <formula>AV40="X"</formula>
    </cfRule>
    <cfRule type="expression" priority="112" dxfId="16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7">
      <formula>AV41="X"</formula>
    </cfRule>
    <cfRule type="expression" priority="108" dxfId="16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7">
      <formula>AV42="X"</formula>
    </cfRule>
    <cfRule type="expression" priority="90" dxfId="16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7">
      <formula>AV43="X"</formula>
    </cfRule>
    <cfRule type="expression" priority="72" dxfId="16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7">
      <formula>AV44="X"</formula>
    </cfRule>
    <cfRule type="expression" priority="54" dxfId="16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7">
      <formula>AV45="X"</formula>
    </cfRule>
    <cfRule type="expression" priority="36" dxfId="16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7">
      <formula>AV46="X"</formula>
    </cfRule>
    <cfRule type="expression" priority="18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파인빌2차</t>
        </is>
      </c>
      <c r="B6" s="10" t="inlineStr">
        <is>
          <t>'06.06.</t>
        </is>
      </c>
      <c r="C6" s="135" t="n">
        <v>351</v>
      </c>
      <c r="D6" s="133" t="n">
        <v>80.59999999999999</v>
      </c>
      <c r="E6" s="134" t="n">
        <v>24</v>
      </c>
      <c r="F6" s="133" t="n">
        <v>59.9</v>
      </c>
      <c r="G6" s="17" t="n">
        <v>18</v>
      </c>
      <c r="H6" s="135" t="n">
        <v>149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n">
        <v>80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5" t="n">
        <v>351</v>
      </c>
      <c r="D7" s="133" t="n">
        <v>119.9</v>
      </c>
      <c r="E7" s="134" t="n">
        <v>36</v>
      </c>
      <c r="F7" s="133" t="n">
        <v>85</v>
      </c>
      <c r="G7" s="17" t="n">
        <v>26</v>
      </c>
      <c r="H7" s="135" t="n">
        <v>202</v>
      </c>
      <c r="I7" s="136" t="n">
        <v>20500</v>
      </c>
      <c r="J7" s="136" t="inlineStr">
        <is>
          <t>14</t>
        </is>
      </c>
      <c r="K7" s="136" t="n">
        <v>19000</v>
      </c>
      <c r="L7" s="136" t="inlineStr">
        <is>
          <t>9</t>
        </is>
      </c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복</t>
        </is>
      </c>
      <c r="T7" s="5" t="n">
        <v>119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n"/>
      <c r="B8" s="123" t="n"/>
      <c r="C8" s="6" t="n"/>
      <c r="D8" s="9" t="n"/>
      <c r="E8" s="14" t="n"/>
      <c r="F8" s="133" t="n"/>
      <c r="G8" s="9" t="n"/>
      <c r="H8" s="9" t="n"/>
      <c r="I8" s="9" t="n"/>
      <c r="J8" s="9" t="n"/>
      <c r="K8" s="9" t="n"/>
      <c r="L8" s="9" t="n"/>
      <c r="M8" s="9" t="n"/>
      <c r="N8" s="9" t="n"/>
      <c r="O8" s="138" t="n"/>
      <c r="P8" s="138" t="n"/>
      <c r="Q8" s="134" t="n"/>
      <c r="R8" s="134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8">
        <f>IF(E8="","",E8)</f>
        <v/>
      </c>
      <c r="AJ8" s="123" t="n"/>
      <c r="AK8" s="123" t="n"/>
      <c r="AL8" s="123" t="n"/>
      <c r="AM8" s="123" t="n"/>
      <c r="AN8" s="123" t="n"/>
      <c r="AO8" s="123" t="n"/>
      <c r="AP8" s="123" t="n"/>
      <c r="AQ8" s="123" t="n"/>
      <c r="AR8" s="123" t="n"/>
      <c r="AS8" s="123" t="n"/>
      <c r="AT8" s="123" t="n"/>
      <c r="AU8" s="123" t="n"/>
      <c r="AV8" s="123" t="n"/>
    </row>
    <row r="9">
      <c r="A9" s="9" t="inlineStr">
        <is>
          <t>파인빌1차</t>
        </is>
      </c>
      <c r="B9" s="10" t="inlineStr">
        <is>
          <t>'04.11.</t>
        </is>
      </c>
      <c r="C9" s="135" t="n">
        <v>499</v>
      </c>
      <c r="D9" s="133" t="n">
        <v>80.09999999999999</v>
      </c>
      <c r="E9" s="134" t="n">
        <v>24</v>
      </c>
      <c r="F9" s="133" t="n">
        <v>60</v>
      </c>
      <c r="G9" s="17" t="n">
        <v>18</v>
      </c>
      <c r="H9" s="135" t="n">
        <v>139</v>
      </c>
      <c r="I9" s="136" t="n">
        <v>16000</v>
      </c>
      <c r="J9" s="136" t="inlineStr">
        <is>
          <t>10</t>
        </is>
      </c>
      <c r="K9" s="136" t="n">
        <v>14000</v>
      </c>
      <c r="L9" s="136" t="inlineStr">
        <is>
          <t>13</t>
        </is>
      </c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1</v>
      </c>
      <c r="S9" s="123" t="inlineStr">
        <is>
          <t>계</t>
        </is>
      </c>
      <c r="T9" s="5" t="n">
        <v>80</v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5" t="n">
        <v>499</v>
      </c>
      <c r="D10" s="133" t="n">
        <v>110.9</v>
      </c>
      <c r="E10" s="134" t="n">
        <v>34</v>
      </c>
      <c r="F10" s="133" t="n">
        <v>85</v>
      </c>
      <c r="G10" s="17" t="n">
        <v>26</v>
      </c>
      <c r="H10" s="135" t="n">
        <v>360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n">
        <v>110</v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n"/>
      <c r="B11" s="123" t="n"/>
      <c r="C11" s="6" t="n"/>
      <c r="D11" s="9" t="n"/>
      <c r="E11" s="14" t="n"/>
      <c r="F11" s="133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8" t="n"/>
      <c r="P11" s="138" t="n"/>
      <c r="Q11" s="134" t="n"/>
      <c r="R11" s="134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8">
        <f>IF(E11="","",E11)</f>
        <v/>
      </c>
      <c r="AJ11" s="123" t="n"/>
      <c r="AK11" s="123" t="n"/>
      <c r="AL11" s="123" t="n"/>
      <c r="AM11" s="123" t="n"/>
      <c r="AN11" s="123" t="n"/>
      <c r="AO11" s="123" t="n"/>
      <c r="AP11" s="123" t="n"/>
      <c r="AQ11" s="123" t="n"/>
      <c r="AR11" s="123" t="n"/>
      <c r="AS11" s="123" t="n"/>
      <c r="AT11" s="123" t="n"/>
      <c r="AU11" s="123" t="n"/>
      <c r="AV11" s="123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5" t="n">
        <v>540</v>
      </c>
      <c r="D12" s="133" t="n">
        <v>99.8</v>
      </c>
      <c r="E12" s="134" t="n">
        <v>30</v>
      </c>
      <c r="F12" s="133" t="n">
        <v>75</v>
      </c>
      <c r="G12" s="17" t="n">
        <v>23</v>
      </c>
      <c r="H12" s="135" t="n">
        <v>72</v>
      </c>
      <c r="I12" s="136" t="n">
        <v>37000</v>
      </c>
      <c r="J12" s="136" t="inlineStr">
        <is>
          <t>11</t>
        </is>
      </c>
      <c r="K12" s="136" t="n">
        <v>33000</v>
      </c>
      <c r="L12" s="136" t="inlineStr">
        <is>
          <t>11</t>
        </is>
      </c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3</v>
      </c>
      <c r="R12" s="123" t="n">
        <v>2</v>
      </c>
      <c r="S12" s="123" t="inlineStr">
        <is>
          <t>계</t>
        </is>
      </c>
      <c r="T12" s="5" t="inlineStr">
        <is>
          <t>99C</t>
        </is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5" t="n">
        <v>540</v>
      </c>
      <c r="D13" s="133" t="n">
        <v>100</v>
      </c>
      <c r="E13" s="134" t="n">
        <v>30</v>
      </c>
      <c r="F13" s="133" t="n">
        <v>75</v>
      </c>
      <c r="G13" s="17" t="n">
        <v>23</v>
      </c>
      <c r="H13" s="135" t="n">
        <v>49</v>
      </c>
      <c r="I13" s="136" t="n">
        <v>37000</v>
      </c>
      <c r="J13" s="136" t="inlineStr">
        <is>
          <t>고</t>
        </is>
      </c>
      <c r="K13" s="136" t="n"/>
      <c r="L13" s="136" t="n"/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3</v>
      </c>
      <c r="R13" s="123" t="n">
        <v>2</v>
      </c>
      <c r="S13" s="123" t="inlineStr">
        <is>
          <t>계</t>
        </is>
      </c>
      <c r="T13" s="5" t="inlineStr">
        <is>
          <t>99D</t>
        </is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5" t="n">
        <v>540</v>
      </c>
      <c r="D14" s="133" t="n">
        <v>100.5</v>
      </c>
      <c r="E14" s="134" t="n">
        <v>30</v>
      </c>
      <c r="F14" s="133" t="n">
        <v>75</v>
      </c>
      <c r="G14" s="17" t="n">
        <v>23</v>
      </c>
      <c r="H14" s="135" t="n">
        <v>188</v>
      </c>
      <c r="I14" s="136" t="n">
        <v>36500</v>
      </c>
      <c r="J14" s="136" t="inlineStr">
        <is>
          <t>중</t>
        </is>
      </c>
      <c r="K14" s="136" t="n"/>
      <c r="L14" s="136" t="n"/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3</v>
      </c>
      <c r="R14" s="123" t="n">
        <v>2</v>
      </c>
      <c r="S14" s="123" t="inlineStr">
        <is>
          <t>계</t>
        </is>
      </c>
      <c r="T14" s="5" t="inlineStr">
        <is>
          <t>100A</t>
        </is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5" t="n">
        <v>540</v>
      </c>
      <c r="D15" s="133" t="n">
        <v>100</v>
      </c>
      <c r="E15" s="134" t="n">
        <v>30</v>
      </c>
      <c r="F15" s="133" t="n">
        <v>75</v>
      </c>
      <c r="G15" s="17" t="n">
        <v>23</v>
      </c>
      <c r="H15" s="135" t="n">
        <v>50</v>
      </c>
      <c r="I15" s="136" t="n">
        <v>37000</v>
      </c>
      <c r="J15" s="136" t="inlineStr">
        <is>
          <t>고</t>
        </is>
      </c>
      <c r="K15" s="136" t="n"/>
      <c r="L15" s="136" t="n"/>
      <c r="M15" s="137">
        <f>I15-K15</f>
        <v/>
      </c>
      <c r="N15" s="4">
        <f>IF(ISERROR(K15/I15),"",K15/I15)</f>
        <v/>
      </c>
      <c r="O15" s="138">
        <f>I15/E15</f>
        <v/>
      </c>
      <c r="P15" s="138">
        <f>K15/E15</f>
        <v/>
      </c>
      <c r="Q15" s="123" t="n">
        <v>3</v>
      </c>
      <c r="R15" s="123" t="n">
        <v>2</v>
      </c>
      <c r="S15" s="123" t="inlineStr">
        <is>
          <t>계</t>
        </is>
      </c>
      <c r="T15" s="5" t="inlineStr">
        <is>
          <t>100E</t>
        </is>
      </c>
      <c r="U15" s="9" t="n"/>
      <c r="W15" s="133">
        <f>D15</f>
        <v/>
      </c>
      <c r="X15" s="134">
        <f>E15</f>
        <v/>
      </c>
      <c r="Y15" s="139">
        <f>H15</f>
        <v/>
      </c>
      <c r="Z15" s="137">
        <f>I15</f>
        <v/>
      </c>
      <c r="AA15" s="137">
        <f>K15</f>
        <v/>
      </c>
      <c r="AB15" s="137">
        <f>M15</f>
        <v/>
      </c>
      <c r="AC15" s="4">
        <f>N15</f>
        <v/>
      </c>
      <c r="AD15" s="138">
        <f>O15</f>
        <v/>
      </c>
      <c r="AE15" s="123">
        <f>S15</f>
        <v/>
      </c>
      <c r="AF15" s="123">
        <f>Q15&amp;"/"&amp;R15</f>
        <v/>
      </c>
      <c r="AH15" s="20">
        <f>IF(A15="","",A15)</f>
        <v/>
      </c>
      <c r="AI15" s="134">
        <f>IF(E15="","",E15)</f>
        <v/>
      </c>
      <c r="AJ15" s="123">
        <f>IF(AI15="","",$AJ$2)</f>
        <v/>
      </c>
      <c r="AK15" s="123" t="inlineStr">
        <is>
          <t>A</t>
        </is>
      </c>
      <c r="AL15" s="123" t="inlineStr">
        <is>
          <t>A+</t>
        </is>
      </c>
      <c r="AM15" s="123" t="inlineStr">
        <is>
          <t>B+</t>
        </is>
      </c>
      <c r="AN15" s="123">
        <f>IF(AI15="","",$AN$2)</f>
        <v/>
      </c>
      <c r="AO15" s="123">
        <f>IF(N15="","",IF(N15&gt;=$AO$1/100,"O","X"))</f>
        <v/>
      </c>
      <c r="AP15" s="123">
        <f>IF(I15="","",IF(I15&lt;=$AP$1,"O","X"))</f>
        <v/>
      </c>
      <c r="AQ15" s="123">
        <f>IF(O15="","",IF(O15&lt;=$AQ$1,"O","X"))</f>
        <v/>
      </c>
      <c r="AR15" s="123">
        <f>IF(M15="","",IF(M15&lt;=$AR$1,"O","X"))</f>
        <v/>
      </c>
      <c r="AS15" s="123" t="inlineStr">
        <is>
          <t>X</t>
        </is>
      </c>
      <c r="AT15" s="123">
        <f>IF(OR(F15="",AI15=""),"",IF(AND((F15&lt;=85),(AI15&gt;=15)),"O","X"))</f>
        <v/>
      </c>
      <c r="AU15" s="123">
        <f>IF(C15="","",IF(C15&gt;=$AU$1,"O","X"))</f>
        <v/>
      </c>
      <c r="AV15" s="123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5" t="n">
        <v>540</v>
      </c>
      <c r="D16" s="133" t="n">
        <v>100.8</v>
      </c>
      <c r="E16" s="134" t="n">
        <v>30</v>
      </c>
      <c r="F16" s="133" t="n">
        <v>75</v>
      </c>
      <c r="G16" s="17" t="n">
        <v>23</v>
      </c>
      <c r="H16" s="135" t="n">
        <v>15</v>
      </c>
      <c r="I16" s="136" t="n"/>
      <c r="J16" s="136" t="n"/>
      <c r="K16" s="136" t="n"/>
      <c r="L16" s="136" t="n"/>
      <c r="M16" s="137">
        <f>I16-K16</f>
        <v/>
      </c>
      <c r="N16" s="4">
        <f>IF(ISERROR(K16/I16),"",K16/I16)</f>
        <v/>
      </c>
      <c r="O16" s="138">
        <f>I16/E16</f>
        <v/>
      </c>
      <c r="P16" s="138">
        <f>K16/E16</f>
        <v/>
      </c>
      <c r="Q16" s="123" t="n">
        <v>3</v>
      </c>
      <c r="R16" s="123" t="n">
        <v>2</v>
      </c>
      <c r="S16" s="123" t="inlineStr">
        <is>
          <t>계</t>
        </is>
      </c>
      <c r="T16" s="5" t="inlineStr">
        <is>
          <t>100B</t>
        </is>
      </c>
      <c r="U16" s="9" t="n"/>
      <c r="W16" s="133">
        <f>D16</f>
        <v/>
      </c>
      <c r="X16" s="134">
        <f>E16</f>
        <v/>
      </c>
      <c r="Y16" s="139">
        <f>H16</f>
        <v/>
      </c>
      <c r="Z16" s="137">
        <f>I16</f>
        <v/>
      </c>
      <c r="AA16" s="137">
        <f>K16</f>
        <v/>
      </c>
      <c r="AB16" s="137">
        <f>M16</f>
        <v/>
      </c>
      <c r="AC16" s="4">
        <f>N16</f>
        <v/>
      </c>
      <c r="AD16" s="138">
        <f>O16</f>
        <v/>
      </c>
      <c r="AE16" s="123">
        <f>S16</f>
        <v/>
      </c>
      <c r="AF16" s="123">
        <f>Q16&amp;"/"&amp;R16</f>
        <v/>
      </c>
      <c r="AH16" s="20">
        <f>IF(A16="","",A16)</f>
        <v/>
      </c>
      <c r="AI16" s="134">
        <f>IF(E16="","",E16)</f>
        <v/>
      </c>
      <c r="AJ16" s="123">
        <f>IF(AI16="","",$AJ$2)</f>
        <v/>
      </c>
      <c r="AK16" s="123" t="inlineStr">
        <is>
          <t>A</t>
        </is>
      </c>
      <c r="AL16" s="123" t="inlineStr">
        <is>
          <t>A+</t>
        </is>
      </c>
      <c r="AM16" s="123" t="inlineStr">
        <is>
          <t>B+</t>
        </is>
      </c>
      <c r="AN16" s="123">
        <f>IF(AI16="","",$AN$2)</f>
        <v/>
      </c>
      <c r="AO16" s="123">
        <f>IF(N16="","",IF(N16&gt;=$AO$1/100,"O","X"))</f>
        <v/>
      </c>
      <c r="AP16" s="123">
        <f>IF(I16="","",IF(I16&lt;=$AP$1,"O","X"))</f>
        <v/>
      </c>
      <c r="AQ16" s="123">
        <f>IF(O16="","",IF(O16&lt;=$AQ$1,"O","X"))</f>
        <v/>
      </c>
      <c r="AR16" s="123">
        <f>IF(M16="","",IF(M16&lt;=$AR$1,"O","X"))</f>
        <v/>
      </c>
      <c r="AS16" s="123" t="inlineStr">
        <is>
          <t>X</t>
        </is>
      </c>
      <c r="AT16" s="123">
        <f>IF(OR(F16="",AI16=""),"",IF(AND((F16&lt;=85),(AI16&gt;=15)),"O","X"))</f>
        <v/>
      </c>
      <c r="AU16" s="123">
        <f>IF(C16="","",IF(C16&gt;=$AU$1,"O","X"))</f>
        <v/>
      </c>
      <c r="AV16" s="123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5" t="n">
        <v>540</v>
      </c>
      <c r="D17" s="133" t="n">
        <v>130.4</v>
      </c>
      <c r="E17" s="134" t="n">
        <v>39</v>
      </c>
      <c r="F17" s="133" t="n">
        <v>101.8</v>
      </c>
      <c r="G17" s="17" t="n">
        <v>31</v>
      </c>
      <c r="H17" s="135" t="n">
        <v>166</v>
      </c>
      <c r="I17" s="136" t="n">
        <v>49000</v>
      </c>
      <c r="J17" s="136" t="inlineStr">
        <is>
          <t>12</t>
        </is>
      </c>
      <c r="K17" s="136" t="n">
        <v>39000</v>
      </c>
      <c r="L17" s="136" t="inlineStr">
        <is>
          <t>중</t>
        </is>
      </c>
      <c r="M17" s="137">
        <f>I17-K17</f>
        <v/>
      </c>
      <c r="N17" s="4">
        <f>IF(ISERROR(K17/I17),"",K17/I17)</f>
        <v/>
      </c>
      <c r="O17" s="138">
        <f>I17/E17</f>
        <v/>
      </c>
      <c r="P17" s="138">
        <f>K17/E17</f>
        <v/>
      </c>
      <c r="Q17" s="123" t="n">
        <v>3</v>
      </c>
      <c r="R17" s="123" t="n">
        <v>2</v>
      </c>
      <c r="S17" s="123" t="inlineStr">
        <is>
          <t>계</t>
        </is>
      </c>
      <c r="T17" s="5" t="n">
        <v>130</v>
      </c>
      <c r="U17" s="9" t="n"/>
      <c r="W17" s="133">
        <f>D17</f>
        <v/>
      </c>
      <c r="X17" s="134">
        <f>E17</f>
        <v/>
      </c>
      <c r="Y17" s="139">
        <f>H17</f>
        <v/>
      </c>
      <c r="Z17" s="137">
        <f>I17</f>
        <v/>
      </c>
      <c r="AA17" s="137">
        <f>K17</f>
        <v/>
      </c>
      <c r="AB17" s="137">
        <f>M17</f>
        <v/>
      </c>
      <c r="AC17" s="4">
        <f>N17</f>
        <v/>
      </c>
      <c r="AD17" s="138">
        <f>O17</f>
        <v/>
      </c>
      <c r="AE17" s="123">
        <f>S17</f>
        <v/>
      </c>
      <c r="AF17" s="123">
        <f>Q17&amp;"/"&amp;R17</f>
        <v/>
      </c>
      <c r="AH17" s="20">
        <f>IF(A17="","",A17)</f>
        <v/>
      </c>
      <c r="AI17" s="134">
        <f>IF(E17="","",E17)</f>
        <v/>
      </c>
      <c r="AJ17" s="123">
        <f>IF(AI17="","",$AJ$2)</f>
        <v/>
      </c>
      <c r="AK17" s="123" t="inlineStr">
        <is>
          <t>A</t>
        </is>
      </c>
      <c r="AL17" s="123" t="inlineStr">
        <is>
          <t>A+</t>
        </is>
      </c>
      <c r="AM17" s="123" t="inlineStr">
        <is>
          <t>B+</t>
        </is>
      </c>
      <c r="AN17" s="123">
        <f>IF(AI17="","",$AN$2)</f>
        <v/>
      </c>
      <c r="AO17" s="123">
        <f>IF(N17="","",IF(N17&gt;=$AO$1/100,"O","X"))</f>
        <v/>
      </c>
      <c r="AP17" s="123">
        <f>IF(I17="","",IF(I17&lt;=$AP$1,"O","X"))</f>
        <v/>
      </c>
      <c r="AQ17" s="123">
        <f>IF(O17="","",IF(O17&lt;=$AQ$1,"O","X"))</f>
        <v/>
      </c>
      <c r="AR17" s="123">
        <f>IF(M17="","",IF(M17&lt;=$AR$1,"O","X"))</f>
        <v/>
      </c>
      <c r="AS17" s="123" t="inlineStr">
        <is>
          <t>X</t>
        </is>
      </c>
      <c r="AT17" s="123">
        <f>IF(OR(F17="",AI17=""),"",IF(AND((F17&lt;=85),(AI17&gt;=15)),"O","X"))</f>
        <v/>
      </c>
      <c r="AU17" s="123">
        <f>IF(C17="","",IF(C17&gt;=$AU$1,"O","X"))</f>
        <v/>
      </c>
      <c r="AV17" s="123">
        <f>IF(AO17="","",IF(AND(AO17="O",AP17="O",AR17="O",AT17="O",AU17="O"),"후보","X"))</f>
        <v/>
      </c>
    </row>
    <row r="18">
      <c r="A18" s="9" t="n"/>
      <c r="B18" s="123" t="n"/>
      <c r="C18" s="6" t="n"/>
      <c r="D18" s="9" t="n"/>
      <c r="E18" s="14" t="n"/>
      <c r="F18" s="133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8" t="n"/>
      <c r="P18" s="138" t="n"/>
      <c r="Q18" s="134" t="n"/>
      <c r="R18" s="134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8">
        <f>IF(E18="","",E18)</f>
        <v/>
      </c>
      <c r="AJ18" s="123" t="n"/>
      <c r="AK18" s="123" t="n"/>
      <c r="AL18" s="123" t="n"/>
      <c r="AM18" s="123" t="n"/>
      <c r="AN18" s="123" t="n"/>
      <c r="AO18" s="123" t="n"/>
      <c r="AP18" s="123" t="n"/>
      <c r="AQ18" s="123" t="n"/>
      <c r="AR18" s="123" t="n"/>
      <c r="AS18" s="123" t="n"/>
      <c r="AT18" s="123" t="n"/>
      <c r="AU18" s="123" t="n"/>
      <c r="AV18" s="123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5" t="n">
        <v>1078</v>
      </c>
      <c r="D19" s="133" t="n">
        <v>80.3</v>
      </c>
      <c r="E19" s="134" t="n">
        <v>24</v>
      </c>
      <c r="F19" s="133" t="n">
        <v>60</v>
      </c>
      <c r="G19" s="17" t="n">
        <v>18</v>
      </c>
      <c r="H19" s="135" t="n">
        <v>141</v>
      </c>
      <c r="I19" s="136" t="n">
        <v>26000</v>
      </c>
      <c r="J19" s="136" t="inlineStr">
        <is>
          <t>6</t>
        </is>
      </c>
      <c r="K19" s="136" t="n"/>
      <c r="L19" s="136" t="n"/>
      <c r="M19" s="137">
        <f>I19-K19</f>
        <v/>
      </c>
      <c r="N19" s="4">
        <f>IF(ISERROR(K19/I19),"",K19/I19)</f>
        <v/>
      </c>
      <c r="O19" s="138">
        <f>I19/E19</f>
        <v/>
      </c>
      <c r="P19" s="138">
        <f>K19/E19</f>
        <v/>
      </c>
      <c r="Q19" s="123" t="n">
        <v>3</v>
      </c>
      <c r="R19" s="123" t="n">
        <v>2</v>
      </c>
      <c r="S19" s="123" t="inlineStr">
        <is>
          <t>계</t>
        </is>
      </c>
      <c r="T19" s="5" t="n">
        <v>80</v>
      </c>
      <c r="U19" s="9" t="n"/>
      <c r="W19" s="133">
        <f>D19</f>
        <v/>
      </c>
      <c r="X19" s="134">
        <f>E19</f>
        <v/>
      </c>
      <c r="Y19" s="139">
        <f>H19</f>
        <v/>
      </c>
      <c r="Z19" s="137">
        <f>I19</f>
        <v/>
      </c>
      <c r="AA19" s="137">
        <f>K19</f>
        <v/>
      </c>
      <c r="AB19" s="137">
        <f>M19</f>
        <v/>
      </c>
      <c r="AC19" s="4">
        <f>N19</f>
        <v/>
      </c>
      <c r="AD19" s="138">
        <f>O19</f>
        <v/>
      </c>
      <c r="AE19" s="123">
        <f>S19</f>
        <v/>
      </c>
      <c r="AF19" s="123">
        <f>Q19&amp;"/"&amp;R19</f>
        <v/>
      </c>
      <c r="AH19" s="20">
        <f>IF(A19="","",A19)</f>
        <v/>
      </c>
      <c r="AI19" s="134">
        <f>IF(E19="","",E19)</f>
        <v/>
      </c>
      <c r="AJ19" s="123">
        <f>IF(AI19="","",$AJ$2)</f>
        <v/>
      </c>
      <c r="AK19" s="123" t="inlineStr">
        <is>
          <t>A</t>
        </is>
      </c>
      <c r="AL19" s="123" t="inlineStr">
        <is>
          <t>A+</t>
        </is>
      </c>
      <c r="AM19" s="123" t="inlineStr">
        <is>
          <t>B+</t>
        </is>
      </c>
      <c r="AN19" s="123">
        <f>IF(AI19="","",$AN$2)</f>
        <v/>
      </c>
      <c r="AO19" s="123">
        <f>IF(N19="","",IF(N19&gt;=$AO$1/100,"O","X"))</f>
        <v/>
      </c>
      <c r="AP19" s="123">
        <f>IF(I19="","",IF(I19&lt;=$AP$1,"O","X"))</f>
        <v/>
      </c>
      <c r="AQ19" s="123">
        <f>IF(O19="","",IF(O19&lt;=$AQ$1,"O","X"))</f>
        <v/>
      </c>
      <c r="AR19" s="123">
        <f>IF(M19="","",IF(M19&lt;=$AR$1,"O","X"))</f>
        <v/>
      </c>
      <c r="AS19" s="123" t="inlineStr">
        <is>
          <t>X</t>
        </is>
      </c>
      <c r="AT19" s="123">
        <f>IF(OR(F19="",AI19=""),"",IF(AND((F19&lt;=85),(AI19&gt;=15)),"O","X"))</f>
        <v/>
      </c>
      <c r="AU19" s="123">
        <f>IF(C19="","",IF(C19&gt;=$AU$1,"O","X"))</f>
        <v/>
      </c>
      <c r="AV19" s="123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5" t="n">
        <v>1078</v>
      </c>
      <c r="D20" s="133" t="n">
        <v>111.3</v>
      </c>
      <c r="E20" s="134" t="n">
        <v>34</v>
      </c>
      <c r="F20" s="133" t="n">
        <v>85</v>
      </c>
      <c r="G20" s="17" t="n">
        <v>26</v>
      </c>
      <c r="H20" s="135" t="n">
        <v>435</v>
      </c>
      <c r="I20" s="136" t="n">
        <v>35500</v>
      </c>
      <c r="J20" s="136" t="inlineStr">
        <is>
          <t>8</t>
        </is>
      </c>
      <c r="K20" s="136" t="n">
        <v>28000</v>
      </c>
      <c r="L20" s="136" t="inlineStr">
        <is>
          <t>14</t>
        </is>
      </c>
      <c r="M20" s="137">
        <f>I20-K20</f>
        <v/>
      </c>
      <c r="N20" s="4">
        <f>IF(ISERROR(K20/I20),"",K20/I20)</f>
        <v/>
      </c>
      <c r="O20" s="138">
        <f>I20/E20</f>
        <v/>
      </c>
      <c r="P20" s="138">
        <f>K20/E20</f>
        <v/>
      </c>
      <c r="Q20" s="123" t="n">
        <v>3</v>
      </c>
      <c r="R20" s="123" t="n">
        <v>2</v>
      </c>
      <c r="S20" s="123" t="inlineStr">
        <is>
          <t>계</t>
        </is>
      </c>
      <c r="T20" s="5" t="inlineStr">
        <is>
          <t>111A</t>
        </is>
      </c>
      <c r="U20" s="9" t="n"/>
      <c r="W20" s="133">
        <f>D20</f>
        <v/>
      </c>
      <c r="X20" s="134">
        <f>E20</f>
        <v/>
      </c>
      <c r="Y20" s="139">
        <f>H20</f>
        <v/>
      </c>
      <c r="Z20" s="137">
        <f>I20</f>
        <v/>
      </c>
      <c r="AA20" s="137">
        <f>K20</f>
        <v/>
      </c>
      <c r="AB20" s="137">
        <f>M20</f>
        <v/>
      </c>
      <c r="AC20" s="4">
        <f>N20</f>
        <v/>
      </c>
      <c r="AD20" s="138">
        <f>O20</f>
        <v/>
      </c>
      <c r="AE20" s="123">
        <f>S20</f>
        <v/>
      </c>
      <c r="AF20" s="123">
        <f>Q20&amp;"/"&amp;R20</f>
        <v/>
      </c>
      <c r="AH20" s="20">
        <f>IF(A20="","",A20)</f>
        <v/>
      </c>
      <c r="AI20" s="134">
        <f>IF(E20="","",E20)</f>
        <v/>
      </c>
      <c r="AJ20" s="123">
        <f>IF(AI20="","",$AJ$2)</f>
        <v/>
      </c>
      <c r="AK20" s="123" t="inlineStr">
        <is>
          <t>A</t>
        </is>
      </c>
      <c r="AL20" s="123" t="inlineStr">
        <is>
          <t>A+</t>
        </is>
      </c>
      <c r="AM20" s="123" t="inlineStr">
        <is>
          <t>B+</t>
        </is>
      </c>
      <c r="AN20" s="123">
        <f>IF(AI20="","",$AN$2)</f>
        <v/>
      </c>
      <c r="AO20" s="123">
        <f>IF(N20="","",IF(N20&gt;=$AO$1/100,"O","X"))</f>
        <v/>
      </c>
      <c r="AP20" s="123">
        <f>IF(I20="","",IF(I20&lt;=$AP$1,"O","X"))</f>
        <v/>
      </c>
      <c r="AQ20" s="123">
        <f>IF(O20="","",IF(O20&lt;=$AQ$1,"O","X"))</f>
        <v/>
      </c>
      <c r="AR20" s="123">
        <f>IF(M20="","",IF(M20&lt;=$AR$1,"O","X"))</f>
        <v/>
      </c>
      <c r="AS20" s="123" t="inlineStr">
        <is>
          <t>X</t>
        </is>
      </c>
      <c r="AT20" s="123">
        <f>IF(OR(F20="",AI20=""),"",IF(AND((F20&lt;=85),(AI20&gt;=15)),"O","X"))</f>
        <v/>
      </c>
      <c r="AU20" s="123">
        <f>IF(C20="","",IF(C20&gt;=$AU$1,"O","X"))</f>
        <v/>
      </c>
      <c r="AV20" s="123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5" t="n">
        <v>1078</v>
      </c>
      <c r="D21" s="133" t="n">
        <v>111.3</v>
      </c>
      <c r="E21" s="134" t="n">
        <v>34</v>
      </c>
      <c r="F21" s="133" t="n">
        <v>85</v>
      </c>
      <c r="G21" s="17" t="n">
        <v>26</v>
      </c>
      <c r="H21" s="135" t="n">
        <v>40</v>
      </c>
      <c r="I21" s="136" t="n">
        <v>35500</v>
      </c>
      <c r="J21" s="136" t="inlineStr">
        <is>
          <t>8</t>
        </is>
      </c>
      <c r="K21" s="136" t="n">
        <v>28000</v>
      </c>
      <c r="L21" s="136" t="inlineStr">
        <is>
          <t>14</t>
        </is>
      </c>
      <c r="M21" s="137">
        <f>I21-K21</f>
        <v/>
      </c>
      <c r="N21" s="4">
        <f>IF(ISERROR(K21/I21),"",K21/I21)</f>
        <v/>
      </c>
      <c r="O21" s="138">
        <f>I21/E21</f>
        <v/>
      </c>
      <c r="P21" s="138">
        <f>K21/E21</f>
        <v/>
      </c>
      <c r="Q21" s="123" t="n">
        <v>3</v>
      </c>
      <c r="R21" s="123" t="n">
        <v>2</v>
      </c>
      <c r="S21" s="123" t="inlineStr">
        <is>
          <t>계</t>
        </is>
      </c>
      <c r="T21" s="5" t="inlineStr">
        <is>
          <t>111E</t>
        </is>
      </c>
      <c r="U21" s="9" t="n"/>
      <c r="W21" s="133">
        <f>D21</f>
        <v/>
      </c>
      <c r="X21" s="134">
        <f>E21</f>
        <v/>
      </c>
      <c r="Y21" s="139">
        <f>H21</f>
        <v/>
      </c>
      <c r="Z21" s="137">
        <f>I21</f>
        <v/>
      </c>
      <c r="AA21" s="137">
        <f>K21</f>
        <v/>
      </c>
      <c r="AB21" s="137">
        <f>M21</f>
        <v/>
      </c>
      <c r="AC21" s="4">
        <f>N21</f>
        <v/>
      </c>
      <c r="AD21" s="138">
        <f>O21</f>
        <v/>
      </c>
      <c r="AE21" s="123">
        <f>S21</f>
        <v/>
      </c>
      <c r="AF21" s="123">
        <f>Q21&amp;"/"&amp;R21</f>
        <v/>
      </c>
      <c r="AH21" s="20">
        <f>IF(A21="","",A21)</f>
        <v/>
      </c>
      <c r="AI21" s="134">
        <f>IF(E21="","",E21)</f>
        <v/>
      </c>
      <c r="AJ21" s="123">
        <f>IF(AI21="","",$AJ$2)</f>
        <v/>
      </c>
      <c r="AK21" s="123" t="inlineStr">
        <is>
          <t>A</t>
        </is>
      </c>
      <c r="AL21" s="123" t="inlineStr">
        <is>
          <t>A+</t>
        </is>
      </c>
      <c r="AM21" s="123" t="inlineStr">
        <is>
          <t>B+</t>
        </is>
      </c>
      <c r="AN21" s="123">
        <f>IF(AI21="","",$AN$2)</f>
        <v/>
      </c>
      <c r="AO21" s="123">
        <f>IF(N21="","",IF(N21&gt;=$AO$1/100,"O","X"))</f>
        <v/>
      </c>
      <c r="AP21" s="123">
        <f>IF(I21="","",IF(I21&lt;=$AP$1,"O","X"))</f>
        <v/>
      </c>
      <c r="AQ21" s="123">
        <f>IF(O21="","",IF(O21&lt;=$AQ$1,"O","X"))</f>
        <v/>
      </c>
      <c r="AR21" s="123">
        <f>IF(M21="","",IF(M21&lt;=$AR$1,"O","X"))</f>
        <v/>
      </c>
      <c r="AS21" s="123" t="inlineStr">
        <is>
          <t>X</t>
        </is>
      </c>
      <c r="AT21" s="123">
        <f>IF(OR(F21="",AI21=""),"",IF(AND((F21&lt;=85),(AI21&gt;=15)),"O","X"))</f>
        <v/>
      </c>
      <c r="AU21" s="123">
        <f>IF(C21="","",IF(C21&gt;=$AU$1,"O","X"))</f>
        <v/>
      </c>
      <c r="AV21" s="123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5" t="n">
        <v>1078</v>
      </c>
      <c r="D22" s="133" t="n">
        <v>113</v>
      </c>
      <c r="E22" s="134" t="n">
        <v>34</v>
      </c>
      <c r="F22" s="133" t="n">
        <v>85</v>
      </c>
      <c r="G22" s="17" t="n">
        <v>26</v>
      </c>
      <c r="H22" s="135" t="n">
        <v>200</v>
      </c>
      <c r="I22" s="136" t="n">
        <v>38000</v>
      </c>
      <c r="J22" s="136" t="inlineStr">
        <is>
          <t>14</t>
        </is>
      </c>
      <c r="K22" s="136" t="n">
        <v>29000</v>
      </c>
      <c r="L22" s="136" t="inlineStr">
        <is>
          <t>8</t>
        </is>
      </c>
      <c r="M22" s="137">
        <f>I22-K22</f>
        <v/>
      </c>
      <c r="N22" s="4">
        <f>IF(ISERROR(K22/I22),"",K22/I22)</f>
        <v/>
      </c>
      <c r="O22" s="138">
        <f>I22/E22</f>
        <v/>
      </c>
      <c r="P22" s="138">
        <f>K22/E22</f>
        <v/>
      </c>
      <c r="Q22" s="123" t="n">
        <v>3</v>
      </c>
      <c r="R22" s="123" t="n">
        <v>2</v>
      </c>
      <c r="S22" s="123" t="inlineStr">
        <is>
          <t>계</t>
        </is>
      </c>
      <c r="T22" s="5" t="inlineStr">
        <is>
          <t>112B</t>
        </is>
      </c>
      <c r="U22" s="9" t="n"/>
      <c r="W22" s="133">
        <f>D22</f>
        <v/>
      </c>
      <c r="X22" s="134">
        <f>E22</f>
        <v/>
      </c>
      <c r="Y22" s="139">
        <f>H22</f>
        <v/>
      </c>
      <c r="Z22" s="137">
        <f>I22</f>
        <v/>
      </c>
      <c r="AA22" s="137">
        <f>K22</f>
        <v/>
      </c>
      <c r="AB22" s="137">
        <f>M22</f>
        <v/>
      </c>
      <c r="AC22" s="4">
        <f>N22</f>
        <v/>
      </c>
      <c r="AD22" s="138">
        <f>O22</f>
        <v/>
      </c>
      <c r="AE22" s="123">
        <f>S22</f>
        <v/>
      </c>
      <c r="AF22" s="123">
        <f>Q22&amp;"/"&amp;R22</f>
        <v/>
      </c>
      <c r="AH22" s="20">
        <f>IF(A22="","",A22)</f>
        <v/>
      </c>
      <c r="AI22" s="134">
        <f>IF(E22="","",E22)</f>
        <v/>
      </c>
      <c r="AJ22" s="123">
        <f>IF(AI22="","",$AJ$2)</f>
        <v/>
      </c>
      <c r="AK22" s="123" t="inlineStr">
        <is>
          <t>A</t>
        </is>
      </c>
      <c r="AL22" s="123" t="inlineStr">
        <is>
          <t>A+</t>
        </is>
      </c>
      <c r="AM22" s="123" t="inlineStr">
        <is>
          <t>B+</t>
        </is>
      </c>
      <c r="AN22" s="123">
        <f>IF(AI22="","",$AN$2)</f>
        <v/>
      </c>
      <c r="AO22" s="123">
        <f>IF(N22="","",IF(N22&gt;=$AO$1/100,"O","X"))</f>
        <v/>
      </c>
      <c r="AP22" s="123">
        <f>IF(I22="","",IF(I22&lt;=$AP$1,"O","X"))</f>
        <v/>
      </c>
      <c r="AQ22" s="123">
        <f>IF(O22="","",IF(O22&lt;=$AQ$1,"O","X"))</f>
        <v/>
      </c>
      <c r="AR22" s="123">
        <f>IF(M22="","",IF(M22&lt;=$AR$1,"O","X"))</f>
        <v/>
      </c>
      <c r="AS22" s="123" t="inlineStr">
        <is>
          <t>X</t>
        </is>
      </c>
      <c r="AT22" s="123">
        <f>IF(OR(F22="",AI22=""),"",IF(AND((F22&lt;=85),(AI22&gt;=15)),"O","X"))</f>
        <v/>
      </c>
      <c r="AU22" s="123">
        <f>IF(C22="","",IF(C22&gt;=$AU$1,"O","X"))</f>
        <v/>
      </c>
      <c r="AV22" s="123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5" t="n">
        <v>1078</v>
      </c>
      <c r="D23" s="133" t="n">
        <v>112.2</v>
      </c>
      <c r="E23" s="134" t="n">
        <v>34</v>
      </c>
      <c r="F23" s="133" t="n">
        <v>85</v>
      </c>
      <c r="G23" s="17" t="n">
        <v>26</v>
      </c>
      <c r="H23" s="135" t="n">
        <v>134</v>
      </c>
      <c r="I23" s="136" t="n">
        <v>38000</v>
      </c>
      <c r="J23" s="136" t="inlineStr">
        <is>
          <t>20</t>
        </is>
      </c>
      <c r="K23" s="136" t="n">
        <v>31000</v>
      </c>
      <c r="L23" s="136" t="inlineStr">
        <is>
          <t>17</t>
        </is>
      </c>
      <c r="M23" s="137">
        <f>I23-K23</f>
        <v/>
      </c>
      <c r="N23" s="4">
        <f>IF(ISERROR(K23/I23),"",K23/I23)</f>
        <v/>
      </c>
      <c r="O23" s="138">
        <f>I23/E23</f>
        <v/>
      </c>
      <c r="P23" s="138">
        <f>K23/E23</f>
        <v/>
      </c>
      <c r="Q23" s="123" t="n">
        <v>3</v>
      </c>
      <c r="R23" s="123" t="n">
        <v>2</v>
      </c>
      <c r="S23" s="123" t="inlineStr">
        <is>
          <t>계</t>
        </is>
      </c>
      <c r="T23" s="5" t="inlineStr">
        <is>
          <t>112C</t>
        </is>
      </c>
      <c r="U23" s="9" t="n"/>
      <c r="W23" s="133">
        <f>D23</f>
        <v/>
      </c>
      <c r="X23" s="134">
        <f>E23</f>
        <v/>
      </c>
      <c r="Y23" s="139">
        <f>H23</f>
        <v/>
      </c>
      <c r="Z23" s="137">
        <f>I23</f>
        <v/>
      </c>
      <c r="AA23" s="137">
        <f>K23</f>
        <v/>
      </c>
      <c r="AB23" s="137">
        <f>M23</f>
        <v/>
      </c>
      <c r="AC23" s="4">
        <f>N23</f>
        <v/>
      </c>
      <c r="AD23" s="138">
        <f>O23</f>
        <v/>
      </c>
      <c r="AE23" s="123">
        <f>S23</f>
        <v/>
      </c>
      <c r="AF23" s="123">
        <f>Q23&amp;"/"&amp;R23</f>
        <v/>
      </c>
      <c r="AH23" s="20">
        <f>IF(A23="","",A23)</f>
        <v/>
      </c>
      <c r="AI23" s="134">
        <f>IF(E23="","",E23)</f>
        <v/>
      </c>
      <c r="AJ23" s="123">
        <f>IF(AI23="","",$AJ$2)</f>
        <v/>
      </c>
      <c r="AK23" s="123" t="inlineStr">
        <is>
          <t>A</t>
        </is>
      </c>
      <c r="AL23" s="123" t="inlineStr">
        <is>
          <t>A+</t>
        </is>
      </c>
      <c r="AM23" s="123" t="inlineStr">
        <is>
          <t>B+</t>
        </is>
      </c>
      <c r="AN23" s="123">
        <f>IF(AI23="","",$AN$2)</f>
        <v/>
      </c>
      <c r="AO23" s="123">
        <f>IF(N23="","",IF(N23&gt;=$AO$1/100,"O","X"))</f>
        <v/>
      </c>
      <c r="AP23" s="123">
        <f>IF(I23="","",IF(I23&lt;=$AP$1,"O","X"))</f>
        <v/>
      </c>
      <c r="AQ23" s="123">
        <f>IF(O23="","",IF(O23&lt;=$AQ$1,"O","X"))</f>
        <v/>
      </c>
      <c r="AR23" s="123">
        <f>IF(M23="","",IF(M23&lt;=$AR$1,"O","X"))</f>
        <v/>
      </c>
      <c r="AS23" s="123" t="inlineStr">
        <is>
          <t>X</t>
        </is>
      </c>
      <c r="AT23" s="123">
        <f>IF(OR(F23="",AI23=""),"",IF(AND((F23&lt;=85),(AI23&gt;=15)),"O","X"))</f>
        <v/>
      </c>
      <c r="AU23" s="123">
        <f>IF(C23="","",IF(C23&gt;=$AU$1,"O","X"))</f>
        <v/>
      </c>
      <c r="AV23" s="123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5" t="n">
        <v>1078</v>
      </c>
      <c r="D24" s="133" t="n">
        <v>112.6</v>
      </c>
      <c r="E24" s="134" t="n">
        <v>34</v>
      </c>
      <c r="F24" s="133" t="n">
        <v>85</v>
      </c>
      <c r="G24" s="17" t="n">
        <v>26</v>
      </c>
      <c r="H24" s="135" t="n">
        <v>54</v>
      </c>
      <c r="I24" s="136" t="n">
        <v>39000</v>
      </c>
      <c r="J24" s="136" t="inlineStr">
        <is>
          <t>고</t>
        </is>
      </c>
      <c r="K24" s="136" t="n"/>
      <c r="L24" s="136" t="n"/>
      <c r="M24" s="137">
        <f>I24-K24</f>
        <v/>
      </c>
      <c r="N24" s="4">
        <f>IF(ISERROR(K24/I24),"",K24/I24)</f>
        <v/>
      </c>
      <c r="O24" s="138">
        <f>I24/E24</f>
        <v/>
      </c>
      <c r="P24" s="138">
        <f>K24/E24</f>
        <v/>
      </c>
      <c r="Q24" s="123" t="n">
        <v>3</v>
      </c>
      <c r="R24" s="123" t="n">
        <v>2</v>
      </c>
      <c r="S24" s="123" t="inlineStr">
        <is>
          <t>계</t>
        </is>
      </c>
      <c r="T24" s="5" t="inlineStr">
        <is>
          <t>112D</t>
        </is>
      </c>
      <c r="U24" s="9" t="n"/>
      <c r="W24" s="133">
        <f>D24</f>
        <v/>
      </c>
      <c r="X24" s="134">
        <f>E24</f>
        <v/>
      </c>
      <c r="Y24" s="139">
        <f>H24</f>
        <v/>
      </c>
      <c r="Z24" s="137">
        <f>I24</f>
        <v/>
      </c>
      <c r="AA24" s="137">
        <f>K24</f>
        <v/>
      </c>
      <c r="AB24" s="137">
        <f>M24</f>
        <v/>
      </c>
      <c r="AC24" s="4">
        <f>N24</f>
        <v/>
      </c>
      <c r="AD24" s="138">
        <f>O24</f>
        <v/>
      </c>
      <c r="AE24" s="123">
        <f>S24</f>
        <v/>
      </c>
      <c r="AF24" s="123">
        <f>Q24&amp;"/"&amp;R24</f>
        <v/>
      </c>
      <c r="AH24" s="20">
        <f>IF(A24="","",A24)</f>
        <v/>
      </c>
      <c r="AI24" s="134">
        <f>IF(E24="","",E24)</f>
        <v/>
      </c>
      <c r="AJ24" s="123">
        <f>IF(AI24="","",$AJ$2)</f>
        <v/>
      </c>
      <c r="AK24" s="123" t="inlineStr">
        <is>
          <t>A</t>
        </is>
      </c>
      <c r="AL24" s="123" t="inlineStr">
        <is>
          <t>A+</t>
        </is>
      </c>
      <c r="AM24" s="123" t="inlineStr">
        <is>
          <t>B+</t>
        </is>
      </c>
      <c r="AN24" s="123">
        <f>IF(AI24="","",$AN$2)</f>
        <v/>
      </c>
      <c r="AO24" s="123">
        <f>IF(N24="","",IF(N24&gt;=$AO$1/100,"O","X"))</f>
        <v/>
      </c>
      <c r="AP24" s="123">
        <f>IF(I24="","",IF(I24&lt;=$AP$1,"O","X"))</f>
        <v/>
      </c>
      <c r="AQ24" s="123">
        <f>IF(O24="","",IF(O24&lt;=$AQ$1,"O","X"))</f>
        <v/>
      </c>
      <c r="AR24" s="123">
        <f>IF(M24="","",IF(M24&lt;=$AR$1,"O","X"))</f>
        <v/>
      </c>
      <c r="AS24" s="123" t="inlineStr">
        <is>
          <t>X</t>
        </is>
      </c>
      <c r="AT24" s="123">
        <f>IF(OR(F24="",AI24=""),"",IF(AND((F24&lt;=85),(AI24&gt;=15)),"O","X"))</f>
        <v/>
      </c>
      <c r="AU24" s="123">
        <f>IF(C24="","",IF(C24&gt;=$AU$1,"O","X"))</f>
        <v/>
      </c>
      <c r="AV24" s="123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5" t="n">
        <v>1078</v>
      </c>
      <c r="D25" s="133" t="n">
        <v>131.7</v>
      </c>
      <c r="E25" s="134" t="n">
        <v>40</v>
      </c>
      <c r="F25" s="133" t="n">
        <v>100.4</v>
      </c>
      <c r="G25" s="17" t="n">
        <v>30</v>
      </c>
      <c r="H25" s="135" t="n">
        <v>74</v>
      </c>
      <c r="I25" s="136" t="n"/>
      <c r="J25" s="136" t="n"/>
      <c r="K25" s="136" t="n">
        <v>35000</v>
      </c>
      <c r="L25" s="136" t="inlineStr">
        <is>
          <t>10</t>
        </is>
      </c>
      <c r="M25" s="137">
        <f>I25-K25</f>
        <v/>
      </c>
      <c r="N25" s="4">
        <f>IF(ISERROR(K25/I25),"",K25/I25)</f>
        <v/>
      </c>
      <c r="O25" s="138">
        <f>I25/E25</f>
        <v/>
      </c>
      <c r="P25" s="138">
        <f>K25/E25</f>
        <v/>
      </c>
      <c r="Q25" s="123" t="n">
        <v>4</v>
      </c>
      <c r="R25" s="123" t="n">
        <v>2</v>
      </c>
      <c r="S25" s="123" t="inlineStr">
        <is>
          <t>계</t>
        </is>
      </c>
      <c r="T25" s="5" t="n">
        <v>131</v>
      </c>
      <c r="U25" s="9" t="n"/>
      <c r="W25" s="133">
        <f>D25</f>
        <v/>
      </c>
      <c r="X25" s="134">
        <f>E25</f>
        <v/>
      </c>
      <c r="Y25" s="139">
        <f>H25</f>
        <v/>
      </c>
      <c r="Z25" s="137">
        <f>I25</f>
        <v/>
      </c>
      <c r="AA25" s="137">
        <f>K25</f>
        <v/>
      </c>
      <c r="AB25" s="137">
        <f>M25</f>
        <v/>
      </c>
      <c r="AC25" s="4">
        <f>N25</f>
        <v/>
      </c>
      <c r="AD25" s="138">
        <f>O25</f>
        <v/>
      </c>
      <c r="AE25" s="123">
        <f>S25</f>
        <v/>
      </c>
      <c r="AF25" s="123">
        <f>Q25&amp;"/"&amp;R25</f>
        <v/>
      </c>
      <c r="AH25" s="20">
        <f>IF(A25="","",A25)</f>
        <v/>
      </c>
      <c r="AI25" s="134">
        <f>IF(E25="","",E25)</f>
        <v/>
      </c>
      <c r="AJ25" s="123">
        <f>IF(AI25="","",$AJ$2)</f>
        <v/>
      </c>
      <c r="AK25" s="123" t="inlineStr">
        <is>
          <t>A</t>
        </is>
      </c>
      <c r="AL25" s="123" t="inlineStr">
        <is>
          <t>A+</t>
        </is>
      </c>
      <c r="AM25" s="123" t="inlineStr">
        <is>
          <t>B+</t>
        </is>
      </c>
      <c r="AN25" s="123">
        <f>IF(AI25="","",$AN$2)</f>
        <v/>
      </c>
      <c r="AO25" s="123">
        <f>IF(N25="","",IF(N25&gt;=$AO$1/100,"O","X"))</f>
        <v/>
      </c>
      <c r="AP25" s="123">
        <f>IF(I25="","",IF(I25&lt;=$AP$1,"O","X"))</f>
        <v/>
      </c>
      <c r="AQ25" s="123">
        <f>IF(O25="","",IF(O25&lt;=$AQ$1,"O","X"))</f>
        <v/>
      </c>
      <c r="AR25" s="123">
        <f>IF(M25="","",IF(M25&lt;=$AR$1,"O","X"))</f>
        <v/>
      </c>
      <c r="AS25" s="123" t="inlineStr">
        <is>
          <t>X</t>
        </is>
      </c>
      <c r="AT25" s="123">
        <f>IF(OR(F25="",AI25=""),"",IF(AND((F25&lt;=85),(AI25&gt;=15)),"O","X"))</f>
        <v/>
      </c>
      <c r="AU25" s="123">
        <f>IF(C25="","",IF(C25&gt;=$AU$1,"O","X"))</f>
        <v/>
      </c>
      <c r="AV25" s="123">
        <f>IF(AO25="","",IF(AND(AO25="O",AP25="O",AR25="O",AT25="O",AU25="O"),"후보","X"))</f>
        <v/>
      </c>
    </row>
    <row r="26">
      <c r="A26" s="9" t="n"/>
      <c r="B26" s="123" t="n"/>
      <c r="C26" s="6" t="n"/>
      <c r="D26" s="9" t="n"/>
      <c r="E26" s="14" t="n"/>
      <c r="F26" s="133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8" t="n"/>
      <c r="P26" s="138" t="n"/>
      <c r="Q26" s="134" t="n"/>
      <c r="R26" s="134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8">
        <f>IF(E26="","",E26)</f>
        <v/>
      </c>
      <c r="AJ26" s="123" t="n"/>
      <c r="AK26" s="123" t="n"/>
      <c r="AL26" s="123" t="n"/>
      <c r="AM26" s="123" t="n"/>
      <c r="AN26" s="123" t="n"/>
      <c r="AO26" s="123" t="n"/>
      <c r="AP26" s="123" t="n"/>
      <c r="AQ26" s="123" t="n"/>
      <c r="AR26" s="123" t="n"/>
      <c r="AS26" s="123" t="n"/>
      <c r="AT26" s="123" t="n"/>
      <c r="AU26" s="123" t="n"/>
      <c r="AV26" s="123" t="n"/>
    </row>
    <row r="27">
      <c r="A27" s="9" t="inlineStr">
        <is>
          <t>미장코아루</t>
        </is>
      </c>
      <c r="B27" s="10" t="inlineStr">
        <is>
          <t>'07.06.</t>
        </is>
      </c>
      <c r="C27" s="135" t="n">
        <v>354</v>
      </c>
      <c r="D27" s="133" t="n">
        <v>160.8</v>
      </c>
      <c r="E27" s="134" t="n">
        <v>49</v>
      </c>
      <c r="F27" s="133" t="n">
        <v>129.2</v>
      </c>
      <c r="G27" s="17" t="n">
        <v>39</v>
      </c>
      <c r="H27" s="135" t="n">
        <v>174</v>
      </c>
      <c r="I27" s="136" t="n">
        <v>34000</v>
      </c>
      <c r="J27" s="136" t="inlineStr">
        <is>
          <t>5</t>
        </is>
      </c>
      <c r="K27" s="136" t="n"/>
      <c r="L27" s="136" t="n"/>
      <c r="M27" s="137">
        <f>I27-K27</f>
        <v/>
      </c>
      <c r="N27" s="4">
        <f>IF(ISERROR(K27/I27),"",K27/I27)</f>
        <v/>
      </c>
      <c r="O27" s="138">
        <f>I27/E27</f>
        <v/>
      </c>
      <c r="P27" s="138">
        <f>K27/E27</f>
        <v/>
      </c>
      <c r="Q27" s="123" t="n">
        <v>4</v>
      </c>
      <c r="R27" s="123" t="n">
        <v>2</v>
      </c>
      <c r="S27" s="123" t="inlineStr">
        <is>
          <t>계</t>
        </is>
      </c>
      <c r="T27" s="5" t="n">
        <v>160</v>
      </c>
      <c r="U27" s="9" t="n"/>
      <c r="W27" s="133">
        <f>D27</f>
        <v/>
      </c>
      <c r="X27" s="134">
        <f>E27</f>
        <v/>
      </c>
      <c r="Y27" s="139">
        <f>H27</f>
        <v/>
      </c>
      <c r="Z27" s="137">
        <f>I27</f>
        <v/>
      </c>
      <c r="AA27" s="137">
        <f>K27</f>
        <v/>
      </c>
      <c r="AB27" s="137">
        <f>M27</f>
        <v/>
      </c>
      <c r="AC27" s="4">
        <f>N27</f>
        <v/>
      </c>
      <c r="AD27" s="138">
        <f>O27</f>
        <v/>
      </c>
      <c r="AE27" s="123">
        <f>S27</f>
        <v/>
      </c>
      <c r="AF27" s="123">
        <f>Q27&amp;"/"&amp;R27</f>
        <v/>
      </c>
      <c r="AH27" s="20">
        <f>IF(A27="","",A27)</f>
        <v/>
      </c>
      <c r="AI27" s="134">
        <f>IF(E27="","",E27)</f>
        <v/>
      </c>
      <c r="AJ27" s="123">
        <f>IF(AI27="","",$AJ$2)</f>
        <v/>
      </c>
      <c r="AK27" s="123" t="inlineStr">
        <is>
          <t>A</t>
        </is>
      </c>
      <c r="AL27" s="123" t="inlineStr">
        <is>
          <t>A+</t>
        </is>
      </c>
      <c r="AM27" s="123" t="inlineStr">
        <is>
          <t>B+</t>
        </is>
      </c>
      <c r="AN27" s="123">
        <f>IF(AI27="","",$AN$2)</f>
        <v/>
      </c>
      <c r="AO27" s="123">
        <f>IF(N27="","",IF(N27&gt;=$AO$1/100,"O","X"))</f>
        <v/>
      </c>
      <c r="AP27" s="123">
        <f>IF(I27="","",IF(I27&lt;=$AP$1,"O","X"))</f>
        <v/>
      </c>
      <c r="AQ27" s="123">
        <f>IF(O27="","",IF(O27&lt;=$AQ$1,"O","X"))</f>
        <v/>
      </c>
      <c r="AR27" s="123">
        <f>IF(M27="","",IF(M27&lt;=$AR$1,"O","X"))</f>
        <v/>
      </c>
      <c r="AS27" s="123" t="inlineStr">
        <is>
          <t>X</t>
        </is>
      </c>
      <c r="AT27" s="123">
        <f>IF(OR(F27="",AI27=""),"",IF(AND((F27&lt;=85),(AI27&gt;=15)),"O","X"))</f>
        <v/>
      </c>
      <c r="AU27" s="123">
        <f>IF(C27="","",IF(C27&gt;=$AU$1,"O","X"))</f>
        <v/>
      </c>
      <c r="AV27" s="123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5" t="n">
        <v>354</v>
      </c>
      <c r="D28" s="133" t="n">
        <v>185.7</v>
      </c>
      <c r="E28" s="134" t="n">
        <v>56</v>
      </c>
      <c r="F28" s="133" t="n">
        <v>152.7</v>
      </c>
      <c r="G28" s="17" t="n">
        <v>46</v>
      </c>
      <c r="H28" s="135" t="n">
        <v>120</v>
      </c>
      <c r="I28" s="136" t="n"/>
      <c r="J28" s="136" t="n"/>
      <c r="K28" s="136" t="n"/>
      <c r="L28" s="136" t="n"/>
      <c r="M28" s="137">
        <f>I28-K28</f>
        <v/>
      </c>
      <c r="N28" s="4">
        <f>IF(ISERROR(K28/I28),"",K28/I28)</f>
        <v/>
      </c>
      <c r="O28" s="138">
        <f>I28/E28</f>
        <v/>
      </c>
      <c r="P28" s="138">
        <f>K28/E28</f>
        <v/>
      </c>
      <c r="Q28" s="123" t="n">
        <v>4</v>
      </c>
      <c r="R28" s="123" t="n">
        <v>2</v>
      </c>
      <c r="S28" s="123" t="inlineStr">
        <is>
          <t>계</t>
        </is>
      </c>
      <c r="T28" s="5" t="n">
        <v>185</v>
      </c>
      <c r="U28" s="9" t="n"/>
      <c r="W28" s="133">
        <f>D28</f>
        <v/>
      </c>
      <c r="X28" s="134">
        <f>E28</f>
        <v/>
      </c>
      <c r="Y28" s="139">
        <f>H28</f>
        <v/>
      </c>
      <c r="Z28" s="137">
        <f>I28</f>
        <v/>
      </c>
      <c r="AA28" s="137">
        <f>K28</f>
        <v/>
      </c>
      <c r="AB28" s="137">
        <f>M28</f>
        <v/>
      </c>
      <c r="AC28" s="4">
        <f>N28</f>
        <v/>
      </c>
      <c r="AD28" s="138">
        <f>O28</f>
        <v/>
      </c>
      <c r="AE28" s="123">
        <f>S28</f>
        <v/>
      </c>
      <c r="AF28" s="123">
        <f>Q28&amp;"/"&amp;R28</f>
        <v/>
      </c>
      <c r="AH28" s="20">
        <f>IF(A28="","",A28)</f>
        <v/>
      </c>
      <c r="AI28" s="134">
        <f>IF(E28="","",E28)</f>
        <v/>
      </c>
      <c r="AJ28" s="123">
        <f>IF(AI28="","",$AJ$2)</f>
        <v/>
      </c>
      <c r="AK28" s="123" t="inlineStr">
        <is>
          <t>A</t>
        </is>
      </c>
      <c r="AL28" s="123" t="inlineStr">
        <is>
          <t>A+</t>
        </is>
      </c>
      <c r="AM28" s="123" t="inlineStr">
        <is>
          <t>B+</t>
        </is>
      </c>
      <c r="AN28" s="123">
        <f>IF(AI28="","",$AN$2)</f>
        <v/>
      </c>
      <c r="AO28" s="123">
        <f>IF(N28="","",IF(N28&gt;=$AO$1/100,"O","X"))</f>
        <v/>
      </c>
      <c r="AP28" s="123">
        <f>IF(I28="","",IF(I28&lt;=$AP$1,"O","X"))</f>
        <v/>
      </c>
      <c r="AQ28" s="123">
        <f>IF(O28="","",IF(O28&lt;=$AQ$1,"O","X"))</f>
        <v/>
      </c>
      <c r="AR28" s="123">
        <f>IF(M28="","",IF(M28&lt;=$AR$1,"O","X"))</f>
        <v/>
      </c>
      <c r="AS28" s="123" t="inlineStr">
        <is>
          <t>X</t>
        </is>
      </c>
      <c r="AT28" s="123">
        <f>IF(OR(F28="",AI28=""),"",IF(AND((F28&lt;=85),(AI28&gt;=15)),"O","X"))</f>
        <v/>
      </c>
      <c r="AU28" s="123">
        <f>IF(C28="","",IF(C28&gt;=$AU$1,"O","X"))</f>
        <v/>
      </c>
      <c r="AV28" s="123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5" t="n">
        <v>354</v>
      </c>
      <c r="D29" s="133" t="n">
        <v>215.8</v>
      </c>
      <c r="E29" s="134" t="n">
        <v>65</v>
      </c>
      <c r="F29" s="133" t="n">
        <v>181.1</v>
      </c>
      <c r="G29" s="17" t="n">
        <v>55</v>
      </c>
      <c r="H29" s="135" t="n">
        <v>60</v>
      </c>
      <c r="I29" s="136" t="n">
        <v>56000</v>
      </c>
      <c r="J29" s="136" t="inlineStr">
        <is>
          <t>5</t>
        </is>
      </c>
      <c r="K29" s="136" t="n">
        <v>45000</v>
      </c>
      <c r="L29" s="136" t="inlineStr">
        <is>
          <t>8</t>
        </is>
      </c>
      <c r="M29" s="137">
        <f>I29-K29</f>
        <v/>
      </c>
      <c r="N29" s="4">
        <f>IF(ISERROR(K29/I29),"",K29/I29)</f>
        <v/>
      </c>
      <c r="O29" s="138">
        <f>I29/E29</f>
        <v/>
      </c>
      <c r="P29" s="138">
        <f>K29/E29</f>
        <v/>
      </c>
      <c r="Q29" s="123" t="n">
        <v>5</v>
      </c>
      <c r="R29" s="123" t="n">
        <v>2</v>
      </c>
      <c r="S29" s="123" t="inlineStr">
        <is>
          <t>계</t>
        </is>
      </c>
      <c r="T29" s="5" t="n">
        <v>215</v>
      </c>
      <c r="U29" s="9" t="n"/>
      <c r="W29" s="133">
        <f>D29</f>
        <v/>
      </c>
      <c r="X29" s="134">
        <f>E29</f>
        <v/>
      </c>
      <c r="Y29" s="139">
        <f>H29</f>
        <v/>
      </c>
      <c r="Z29" s="137">
        <f>I29</f>
        <v/>
      </c>
      <c r="AA29" s="137">
        <f>K29</f>
        <v/>
      </c>
      <c r="AB29" s="137">
        <f>M29</f>
        <v/>
      </c>
      <c r="AC29" s="4">
        <f>N29</f>
        <v/>
      </c>
      <c r="AD29" s="138">
        <f>O29</f>
        <v/>
      </c>
      <c r="AE29" s="123">
        <f>S29</f>
        <v/>
      </c>
      <c r="AF29" s="123">
        <f>Q29&amp;"/"&amp;R29</f>
        <v/>
      </c>
      <c r="AH29" s="20">
        <f>IF(A29="","",A29)</f>
        <v/>
      </c>
      <c r="AI29" s="134">
        <f>IF(E29="","",E29)</f>
        <v/>
      </c>
      <c r="AJ29" s="123">
        <f>IF(AI29="","",$AJ$2)</f>
        <v/>
      </c>
      <c r="AK29" s="123" t="inlineStr">
        <is>
          <t>A</t>
        </is>
      </c>
      <c r="AL29" s="123" t="inlineStr">
        <is>
          <t>A+</t>
        </is>
      </c>
      <c r="AM29" s="123" t="inlineStr">
        <is>
          <t>B+</t>
        </is>
      </c>
      <c r="AN29" s="123">
        <f>IF(AI29="","",$AN$2)</f>
        <v/>
      </c>
      <c r="AO29" s="123">
        <f>IF(N29="","",IF(N29&gt;=$AO$1/100,"O","X"))</f>
        <v/>
      </c>
      <c r="AP29" s="123">
        <f>IF(I29="","",IF(I29&lt;=$AP$1,"O","X"))</f>
        <v/>
      </c>
      <c r="AQ29" s="123">
        <f>IF(O29="","",IF(O29&lt;=$AQ$1,"O","X"))</f>
        <v/>
      </c>
      <c r="AR29" s="123">
        <f>IF(M29="","",IF(M29&lt;=$AR$1,"O","X"))</f>
        <v/>
      </c>
      <c r="AS29" s="123" t="inlineStr">
        <is>
          <t>X</t>
        </is>
      </c>
      <c r="AT29" s="123">
        <f>IF(OR(F29="",AI29=""),"",IF(AND((F29&lt;=85),(AI29&gt;=15)),"O","X"))</f>
        <v/>
      </c>
      <c r="AU29" s="123">
        <f>IF(C29="","",IF(C29&gt;=$AU$1,"O","X"))</f>
        <v/>
      </c>
      <c r="AV29" s="123">
        <f>IF(AO29="","",IF(AND(AO29="O",AP29="O",AR29="O",AT29="O",AU29="O"),"후보","X"))</f>
        <v/>
      </c>
    </row>
    <row r="30">
      <c r="A30" s="9" t="n"/>
      <c r="B30" s="123" t="n"/>
      <c r="C30" s="6" t="n"/>
      <c r="D30" s="9" t="n"/>
      <c r="E30" s="14" t="n"/>
      <c r="F30" s="133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8" t="n"/>
      <c r="P30" s="138" t="n"/>
      <c r="Q30" s="134" t="n"/>
      <c r="R30" s="134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8">
        <f>IF(E30="","",E30)</f>
        <v/>
      </c>
      <c r="AJ30" s="123" t="n"/>
      <c r="AK30" s="123" t="n"/>
      <c r="AL30" s="123" t="n"/>
      <c r="AM30" s="123" t="n"/>
      <c r="AN30" s="123" t="n"/>
      <c r="AO30" s="123" t="n"/>
      <c r="AP30" s="123" t="n"/>
      <c r="AQ30" s="123" t="n"/>
      <c r="AR30" s="123" t="n"/>
      <c r="AS30" s="123" t="n"/>
      <c r="AT30" s="123" t="n"/>
      <c r="AU30" s="123" t="n"/>
      <c r="AV30" s="123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5" t="n">
        <v>654</v>
      </c>
      <c r="D31" s="133" t="n">
        <v>113</v>
      </c>
      <c r="E31" s="134" t="n">
        <v>34</v>
      </c>
      <c r="F31" s="133" t="n">
        <v>84.40000000000001</v>
      </c>
      <c r="G31" s="17" t="n">
        <v>26</v>
      </c>
      <c r="H31" s="135" t="n">
        <v>205</v>
      </c>
      <c r="I31" s="136" t="n">
        <v>30000</v>
      </c>
      <c r="J31" s="136" t="inlineStr">
        <is>
          <t>고</t>
        </is>
      </c>
      <c r="K31" s="136" t="n">
        <v>23000</v>
      </c>
      <c r="L31" s="136" t="inlineStr">
        <is>
          <t>8</t>
        </is>
      </c>
      <c r="M31" s="137">
        <f>I31-K31</f>
        <v/>
      </c>
      <c r="N31" s="4">
        <f>IF(ISERROR(K31/I31),"",K31/I31)</f>
        <v/>
      </c>
      <c r="O31" s="138">
        <f>I31/E31</f>
        <v/>
      </c>
      <c r="P31" s="138">
        <f>K31/E31</f>
        <v/>
      </c>
      <c r="Q31" s="123" t="n">
        <v>3</v>
      </c>
      <c r="R31" s="123" t="n">
        <v>2</v>
      </c>
      <c r="S31" s="123" t="inlineStr">
        <is>
          <t>계</t>
        </is>
      </c>
      <c r="T31" s="5" t="inlineStr">
        <is>
          <t>113A</t>
        </is>
      </c>
      <c r="U31" s="9" t="n"/>
      <c r="W31" s="133">
        <f>D31</f>
        <v/>
      </c>
      <c r="X31" s="134">
        <f>E31</f>
        <v/>
      </c>
      <c r="Y31" s="139">
        <f>H31</f>
        <v/>
      </c>
      <c r="Z31" s="137">
        <f>I31</f>
        <v/>
      </c>
      <c r="AA31" s="137">
        <f>K31</f>
        <v/>
      </c>
      <c r="AB31" s="137">
        <f>M31</f>
        <v/>
      </c>
      <c r="AC31" s="4">
        <f>N31</f>
        <v/>
      </c>
      <c r="AD31" s="138">
        <f>O31</f>
        <v/>
      </c>
      <c r="AE31" s="123">
        <f>S31</f>
        <v/>
      </c>
      <c r="AF31" s="123">
        <f>Q31&amp;"/"&amp;R31</f>
        <v/>
      </c>
      <c r="AH31" s="20">
        <f>IF(A31="","",A31)</f>
        <v/>
      </c>
      <c r="AI31" s="134">
        <f>IF(E31="","",E31)</f>
        <v/>
      </c>
      <c r="AJ31" s="123">
        <f>IF(AI31="","",$AJ$2)</f>
        <v/>
      </c>
      <c r="AK31" s="123" t="inlineStr">
        <is>
          <t>A</t>
        </is>
      </c>
      <c r="AL31" s="123" t="inlineStr">
        <is>
          <t>A+</t>
        </is>
      </c>
      <c r="AM31" s="123" t="inlineStr">
        <is>
          <t>B+</t>
        </is>
      </c>
      <c r="AN31" s="123">
        <f>IF(AI31="","",$AN$2)</f>
        <v/>
      </c>
      <c r="AO31" s="123">
        <f>IF(N31="","",IF(N31&gt;=$AO$1/100,"O","X"))</f>
        <v/>
      </c>
      <c r="AP31" s="123">
        <f>IF(I31="","",IF(I31&lt;=$AP$1,"O","X"))</f>
        <v/>
      </c>
      <c r="AQ31" s="123">
        <f>IF(O31="","",IF(O31&lt;=$AQ$1,"O","X"))</f>
        <v/>
      </c>
      <c r="AR31" s="123">
        <f>IF(M31="","",IF(M31&lt;=$AR$1,"O","X"))</f>
        <v/>
      </c>
      <c r="AS31" s="123" t="inlineStr">
        <is>
          <t>X</t>
        </is>
      </c>
      <c r="AT31" s="123">
        <f>IF(OR(F31="",AI31=""),"",IF(AND((F31&lt;=85),(AI31&gt;=15)),"O","X"))</f>
        <v/>
      </c>
      <c r="AU31" s="123">
        <f>IF(C31="","",IF(C31&gt;=$AU$1,"O","X"))</f>
        <v/>
      </c>
      <c r="AV31" s="123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5" t="n">
        <v>654</v>
      </c>
      <c r="D32" s="133" t="n">
        <v>115.3</v>
      </c>
      <c r="E32" s="134" t="n">
        <v>35</v>
      </c>
      <c r="F32" s="133" t="n">
        <v>84.90000000000001</v>
      </c>
      <c r="G32" s="17" t="n">
        <v>26</v>
      </c>
      <c r="H32" s="135" t="n">
        <v>60</v>
      </c>
      <c r="I32" s="136" t="n">
        <v>27500</v>
      </c>
      <c r="J32" s="136" t="inlineStr">
        <is>
          <t>7</t>
        </is>
      </c>
      <c r="K32" s="136" t="n"/>
      <c r="L32" s="136" t="n"/>
      <c r="M32" s="137">
        <f>I32-K32</f>
        <v/>
      </c>
      <c r="N32" s="4">
        <f>IF(ISERROR(K32/I32),"",K32/I32)</f>
        <v/>
      </c>
      <c r="O32" s="138">
        <f>I32/E32</f>
        <v/>
      </c>
      <c r="P32" s="138">
        <f>K32/E32</f>
        <v/>
      </c>
      <c r="Q32" s="123" t="n">
        <v>3</v>
      </c>
      <c r="R32" s="123" t="n">
        <v>2</v>
      </c>
      <c r="S32" s="123" t="inlineStr">
        <is>
          <t>계</t>
        </is>
      </c>
      <c r="T32" s="5" t="inlineStr">
        <is>
          <t>115B</t>
        </is>
      </c>
      <c r="U32" s="9" t="n"/>
      <c r="W32" s="133">
        <f>D32</f>
        <v/>
      </c>
      <c r="X32" s="134">
        <f>E32</f>
        <v/>
      </c>
      <c r="Y32" s="139">
        <f>H32</f>
        <v/>
      </c>
      <c r="Z32" s="137">
        <f>I32</f>
        <v/>
      </c>
      <c r="AA32" s="137">
        <f>K32</f>
        <v/>
      </c>
      <c r="AB32" s="137">
        <f>M32</f>
        <v/>
      </c>
      <c r="AC32" s="4">
        <f>N32</f>
        <v/>
      </c>
      <c r="AD32" s="138">
        <f>O32</f>
        <v/>
      </c>
      <c r="AE32" s="123">
        <f>S32</f>
        <v/>
      </c>
      <c r="AF32" s="123">
        <f>Q32&amp;"/"&amp;R32</f>
        <v/>
      </c>
      <c r="AH32" s="20">
        <f>IF(A32="","",A32)</f>
        <v/>
      </c>
      <c r="AI32" s="134">
        <f>IF(E32="","",E32)</f>
        <v/>
      </c>
      <c r="AJ32" s="123">
        <f>IF(AI32="","",$AJ$2)</f>
        <v/>
      </c>
      <c r="AK32" s="123" t="inlineStr">
        <is>
          <t>A</t>
        </is>
      </c>
      <c r="AL32" s="123" t="inlineStr">
        <is>
          <t>A+</t>
        </is>
      </c>
      <c r="AM32" s="123" t="inlineStr">
        <is>
          <t>B+</t>
        </is>
      </c>
      <c r="AN32" s="123">
        <f>IF(AI32="","",$AN$2)</f>
        <v/>
      </c>
      <c r="AO32" s="123">
        <f>IF(N32="","",IF(N32&gt;=$AO$1/100,"O","X"))</f>
        <v/>
      </c>
      <c r="AP32" s="123">
        <f>IF(I32="","",IF(I32&lt;=$AP$1,"O","X"))</f>
        <v/>
      </c>
      <c r="AQ32" s="123">
        <f>IF(O32="","",IF(O32&lt;=$AQ$1,"O","X"))</f>
        <v/>
      </c>
      <c r="AR32" s="123">
        <f>IF(M32="","",IF(M32&lt;=$AR$1,"O","X"))</f>
        <v/>
      </c>
      <c r="AS32" s="123" t="inlineStr">
        <is>
          <t>X</t>
        </is>
      </c>
      <c r="AT32" s="123">
        <f>IF(OR(F32="",AI32=""),"",IF(AND((F32&lt;=85),(AI32&gt;=15)),"O","X"))</f>
        <v/>
      </c>
      <c r="AU32" s="123">
        <f>IF(C32="","",IF(C32&gt;=$AU$1,"O","X"))</f>
        <v/>
      </c>
      <c r="AV32" s="123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5" t="n">
        <v>654</v>
      </c>
      <c r="D33" s="133" t="n">
        <v>135.3</v>
      </c>
      <c r="E33" s="134" t="n">
        <v>41</v>
      </c>
      <c r="F33" s="133" t="n">
        <v>103.8</v>
      </c>
      <c r="G33" s="17" t="n">
        <v>31</v>
      </c>
      <c r="H33" s="135" t="n">
        <v>163</v>
      </c>
      <c r="I33" s="136" t="n">
        <v>37000</v>
      </c>
      <c r="J33" s="136" t="inlineStr">
        <is>
          <t>10</t>
        </is>
      </c>
      <c r="K33" s="136" t="n">
        <v>29500</v>
      </c>
      <c r="L33" s="136" t="inlineStr">
        <is>
          <t>9</t>
        </is>
      </c>
      <c r="M33" s="137">
        <f>I33-K33</f>
        <v/>
      </c>
      <c r="N33" s="4">
        <f>IF(ISERROR(K33/I33),"",K33/I33)</f>
        <v/>
      </c>
      <c r="O33" s="138">
        <f>I33/E33</f>
        <v/>
      </c>
      <c r="P33" s="138">
        <f>K33/E33</f>
        <v/>
      </c>
      <c r="Q33" s="123" t="n">
        <v>3</v>
      </c>
      <c r="R33" s="123" t="n">
        <v>2</v>
      </c>
      <c r="S33" s="123" t="inlineStr">
        <is>
          <t>계</t>
        </is>
      </c>
      <c r="T33" s="5" t="inlineStr">
        <is>
          <t>135A</t>
        </is>
      </c>
      <c r="U33" s="9" t="n"/>
      <c r="W33" s="133">
        <f>D33</f>
        <v/>
      </c>
      <c r="X33" s="134">
        <f>E33</f>
        <v/>
      </c>
      <c r="Y33" s="139">
        <f>H33</f>
        <v/>
      </c>
      <c r="Z33" s="137">
        <f>I33</f>
        <v/>
      </c>
      <c r="AA33" s="137">
        <f>K33</f>
        <v/>
      </c>
      <c r="AB33" s="137">
        <f>M33</f>
        <v/>
      </c>
      <c r="AC33" s="4">
        <f>N33</f>
        <v/>
      </c>
      <c r="AD33" s="138">
        <f>O33</f>
        <v/>
      </c>
      <c r="AE33" s="123">
        <f>S33</f>
        <v/>
      </c>
      <c r="AF33" s="123">
        <f>Q33&amp;"/"&amp;R33</f>
        <v/>
      </c>
      <c r="AH33" s="20">
        <f>IF(A33="","",A33)</f>
        <v/>
      </c>
      <c r="AI33" s="134">
        <f>IF(E33="","",E33)</f>
        <v/>
      </c>
      <c r="AJ33" s="123">
        <f>IF(AI33="","",$AJ$2)</f>
        <v/>
      </c>
      <c r="AK33" s="123" t="inlineStr">
        <is>
          <t>A</t>
        </is>
      </c>
      <c r="AL33" s="123" t="inlineStr">
        <is>
          <t>A+</t>
        </is>
      </c>
      <c r="AM33" s="123" t="inlineStr">
        <is>
          <t>B+</t>
        </is>
      </c>
      <c r="AN33" s="123">
        <f>IF(AI33="","",$AN$2)</f>
        <v/>
      </c>
      <c r="AO33" s="123">
        <f>IF(N33="","",IF(N33&gt;=$AO$1/100,"O","X"))</f>
        <v/>
      </c>
      <c r="AP33" s="123">
        <f>IF(I33="","",IF(I33&lt;=$AP$1,"O","X"))</f>
        <v/>
      </c>
      <c r="AQ33" s="123">
        <f>IF(O33="","",IF(O33&lt;=$AQ$1,"O","X"))</f>
        <v/>
      </c>
      <c r="AR33" s="123">
        <f>IF(M33="","",IF(M33&lt;=$AR$1,"O","X"))</f>
        <v/>
      </c>
      <c r="AS33" s="123" t="inlineStr">
        <is>
          <t>X</t>
        </is>
      </c>
      <c r="AT33" s="123">
        <f>IF(OR(F33="",AI33=""),"",IF(AND((F33&lt;=85),(AI33&gt;=15)),"O","X"))</f>
        <v/>
      </c>
      <c r="AU33" s="123">
        <f>IF(C33="","",IF(C33&gt;=$AU$1,"O","X"))</f>
        <v/>
      </c>
      <c r="AV33" s="123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5" t="n">
        <v>654</v>
      </c>
      <c r="D34" s="133" t="n">
        <v>135.2</v>
      </c>
      <c r="E34" s="134" t="n">
        <v>41</v>
      </c>
      <c r="F34" s="133" t="n">
        <v>104.2</v>
      </c>
      <c r="G34" s="17" t="n">
        <v>32</v>
      </c>
      <c r="H34" s="135" t="n">
        <v>113</v>
      </c>
      <c r="I34" s="136" t="n">
        <v>35000</v>
      </c>
      <c r="J34" s="136" t="inlineStr">
        <is>
          <t>7</t>
        </is>
      </c>
      <c r="K34" s="136" t="n">
        <v>32000</v>
      </c>
      <c r="L34" s="136" t="inlineStr">
        <is>
          <t>9</t>
        </is>
      </c>
      <c r="M34" s="137">
        <f>I34-K34</f>
        <v/>
      </c>
      <c r="N34" s="4">
        <f>IF(ISERROR(K34/I34),"",K34/I34)</f>
        <v/>
      </c>
      <c r="O34" s="138">
        <f>I34/E34</f>
        <v/>
      </c>
      <c r="P34" s="138">
        <f>K34/E34</f>
        <v/>
      </c>
      <c r="Q34" s="123" t="n">
        <v>3</v>
      </c>
      <c r="R34" s="123" t="n">
        <v>2</v>
      </c>
      <c r="S34" s="123" t="inlineStr">
        <is>
          <t>계</t>
        </is>
      </c>
      <c r="T34" s="5" t="inlineStr">
        <is>
          <t>135B</t>
        </is>
      </c>
      <c r="U34" s="9" t="n"/>
      <c r="W34" s="133">
        <f>D34</f>
        <v/>
      </c>
      <c r="X34" s="134">
        <f>E34</f>
        <v/>
      </c>
      <c r="Y34" s="139">
        <f>H34</f>
        <v/>
      </c>
      <c r="Z34" s="137">
        <f>I34</f>
        <v/>
      </c>
      <c r="AA34" s="137">
        <f>K34</f>
        <v/>
      </c>
      <c r="AB34" s="137">
        <f>M34</f>
        <v/>
      </c>
      <c r="AC34" s="4">
        <f>N34</f>
        <v/>
      </c>
      <c r="AD34" s="138">
        <f>O34</f>
        <v/>
      </c>
      <c r="AE34" s="123">
        <f>S34</f>
        <v/>
      </c>
      <c r="AF34" s="123">
        <f>Q34&amp;"/"&amp;R34</f>
        <v/>
      </c>
      <c r="AH34" s="20">
        <f>IF(A34="","",A34)</f>
        <v/>
      </c>
      <c r="AI34" s="134">
        <f>IF(E34="","",E34)</f>
        <v/>
      </c>
      <c r="AJ34" s="123">
        <f>IF(AI34="","",$AJ$2)</f>
        <v/>
      </c>
      <c r="AK34" s="123" t="inlineStr">
        <is>
          <t>A</t>
        </is>
      </c>
      <c r="AL34" s="123" t="inlineStr">
        <is>
          <t>A+</t>
        </is>
      </c>
      <c r="AM34" s="123" t="inlineStr">
        <is>
          <t>B+</t>
        </is>
      </c>
      <c r="AN34" s="123">
        <f>IF(AI34="","",$AN$2)</f>
        <v/>
      </c>
      <c r="AO34" s="123">
        <f>IF(N34="","",IF(N34&gt;=$AO$1/100,"O","X"))</f>
        <v/>
      </c>
      <c r="AP34" s="123">
        <f>IF(I34="","",IF(I34&lt;=$AP$1,"O","X"))</f>
        <v/>
      </c>
      <c r="AQ34" s="123">
        <f>IF(O34="","",IF(O34&lt;=$AQ$1,"O","X"))</f>
        <v/>
      </c>
      <c r="AR34" s="123">
        <f>IF(M34="","",IF(M34&lt;=$AR$1,"O","X"))</f>
        <v/>
      </c>
      <c r="AS34" s="123" t="inlineStr">
        <is>
          <t>X</t>
        </is>
      </c>
      <c r="AT34" s="123">
        <f>IF(OR(F34="",AI34=""),"",IF(AND((F34&lt;=85),(AI34&gt;=15)),"O","X"))</f>
        <v/>
      </c>
      <c r="AU34" s="123">
        <f>IF(C34="","",IF(C34&gt;=$AU$1,"O","X"))</f>
        <v/>
      </c>
      <c r="AV34" s="123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5" t="n">
        <v>654</v>
      </c>
      <c r="D35" s="133" t="n">
        <v>152</v>
      </c>
      <c r="E35" s="134" t="n">
        <v>46</v>
      </c>
      <c r="F35" s="133" t="n">
        <v>121.3</v>
      </c>
      <c r="G35" s="17" t="n">
        <v>37</v>
      </c>
      <c r="H35" s="135" t="n">
        <v>52</v>
      </c>
      <c r="I35" s="136" t="n">
        <v>38500</v>
      </c>
      <c r="J35" s="136" t="inlineStr">
        <is>
          <t>6</t>
        </is>
      </c>
      <c r="K35" s="136" t="n"/>
      <c r="L35" s="136" t="n"/>
      <c r="M35" s="137">
        <f>I35-K35</f>
        <v/>
      </c>
      <c r="N35" s="4">
        <f>IF(ISERROR(K35/I35),"",K35/I35)</f>
        <v/>
      </c>
      <c r="O35" s="138">
        <f>I35/E35</f>
        <v/>
      </c>
      <c r="P35" s="138">
        <f>K35/E35</f>
        <v/>
      </c>
      <c r="Q35" s="123" t="n">
        <v>4</v>
      </c>
      <c r="R35" s="123" t="n">
        <v>2</v>
      </c>
      <c r="S35" s="123" t="inlineStr">
        <is>
          <t>계</t>
        </is>
      </c>
      <c r="T35" s="5" t="n">
        <v>151</v>
      </c>
      <c r="U35" s="9" t="n"/>
      <c r="W35" s="133">
        <f>D35</f>
        <v/>
      </c>
      <c r="X35" s="134">
        <f>E35</f>
        <v/>
      </c>
      <c r="Y35" s="139">
        <f>H35</f>
        <v/>
      </c>
      <c r="Z35" s="137">
        <f>I35</f>
        <v/>
      </c>
      <c r="AA35" s="137">
        <f>K35</f>
        <v/>
      </c>
      <c r="AB35" s="137">
        <f>M35</f>
        <v/>
      </c>
      <c r="AC35" s="4">
        <f>N35</f>
        <v/>
      </c>
      <c r="AD35" s="138">
        <f>O35</f>
        <v/>
      </c>
      <c r="AE35" s="123">
        <f>S35</f>
        <v/>
      </c>
      <c r="AF35" s="123">
        <f>Q35&amp;"/"&amp;R35</f>
        <v/>
      </c>
      <c r="AH35" s="20">
        <f>IF(A35="","",A35)</f>
        <v/>
      </c>
      <c r="AI35" s="134">
        <f>IF(E35="","",E35)</f>
        <v/>
      </c>
      <c r="AJ35" s="123">
        <f>IF(AI35="","",$AJ$2)</f>
        <v/>
      </c>
      <c r="AK35" s="123" t="inlineStr">
        <is>
          <t>A</t>
        </is>
      </c>
      <c r="AL35" s="123" t="inlineStr">
        <is>
          <t>A+</t>
        </is>
      </c>
      <c r="AM35" s="123" t="inlineStr">
        <is>
          <t>B+</t>
        </is>
      </c>
      <c r="AN35" s="123">
        <f>IF(AI35="","",$AN$2)</f>
        <v/>
      </c>
      <c r="AO35" s="123">
        <f>IF(N35="","",IF(N35&gt;=$AO$1/100,"O","X"))</f>
        <v/>
      </c>
      <c r="AP35" s="123">
        <f>IF(I35="","",IF(I35&lt;=$AP$1,"O","X"))</f>
        <v/>
      </c>
      <c r="AQ35" s="123">
        <f>IF(O35="","",IF(O35&lt;=$AQ$1,"O","X"))</f>
        <v/>
      </c>
      <c r="AR35" s="123">
        <f>IF(M35="","",IF(M35&lt;=$AR$1,"O","X"))</f>
        <v/>
      </c>
      <c r="AS35" s="123" t="inlineStr">
        <is>
          <t>X</t>
        </is>
      </c>
      <c r="AT35" s="123">
        <f>IF(OR(F35="",AI35=""),"",IF(AND((F35&lt;=85),(AI35&gt;=15)),"O","X"))</f>
        <v/>
      </c>
      <c r="AU35" s="123">
        <f>IF(C35="","",IF(C35&gt;=$AU$1,"O","X"))</f>
        <v/>
      </c>
      <c r="AV35" s="123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5" t="n">
        <v>654</v>
      </c>
      <c r="D36" s="133" t="n">
        <v>181.8</v>
      </c>
      <c r="E36" s="134" t="n">
        <v>55</v>
      </c>
      <c r="F36" s="133" t="n">
        <v>149.9</v>
      </c>
      <c r="G36" s="17" t="n">
        <v>45</v>
      </c>
      <c r="H36" s="135" t="n">
        <v>57</v>
      </c>
      <c r="I36" s="136" t="n">
        <v>45000</v>
      </c>
      <c r="J36" s="136" t="inlineStr">
        <is>
          <t>6</t>
        </is>
      </c>
      <c r="K36" s="136" t="n"/>
      <c r="L36" s="136" t="n"/>
      <c r="M36" s="137">
        <f>I36-K36</f>
        <v/>
      </c>
      <c r="N36" s="4">
        <f>IF(ISERROR(K36/I36),"",K36/I36)</f>
        <v/>
      </c>
      <c r="O36" s="138">
        <f>I36/E36</f>
        <v/>
      </c>
      <c r="P36" s="138">
        <f>K36/E36</f>
        <v/>
      </c>
      <c r="Q36" s="123" t="n">
        <v>4</v>
      </c>
      <c r="R36" s="123" t="n">
        <v>2</v>
      </c>
      <c r="S36" s="123" t="inlineStr">
        <is>
          <t>계</t>
        </is>
      </c>
      <c r="T36" s="5" t="n">
        <v>181</v>
      </c>
      <c r="U36" s="9" t="n"/>
      <c r="W36" s="133">
        <f>D36</f>
        <v/>
      </c>
      <c r="X36" s="134">
        <f>E36</f>
        <v/>
      </c>
      <c r="Y36" s="139">
        <f>H36</f>
        <v/>
      </c>
      <c r="Z36" s="137">
        <f>I36</f>
        <v/>
      </c>
      <c r="AA36" s="137">
        <f>K36</f>
        <v/>
      </c>
      <c r="AB36" s="137">
        <f>M36</f>
        <v/>
      </c>
      <c r="AC36" s="4">
        <f>N36</f>
        <v/>
      </c>
      <c r="AD36" s="138">
        <f>O36</f>
        <v/>
      </c>
      <c r="AE36" s="123">
        <f>S36</f>
        <v/>
      </c>
      <c r="AF36" s="123">
        <f>Q36&amp;"/"&amp;R36</f>
        <v/>
      </c>
      <c r="AH36" s="20">
        <f>IF(A36="","",A36)</f>
        <v/>
      </c>
      <c r="AI36" s="134">
        <f>IF(E36="","",E36)</f>
        <v/>
      </c>
      <c r="AJ36" s="123">
        <f>IF(AI36="","",$AJ$2)</f>
        <v/>
      </c>
      <c r="AK36" s="123" t="inlineStr">
        <is>
          <t>A</t>
        </is>
      </c>
      <c r="AL36" s="123" t="inlineStr">
        <is>
          <t>A+</t>
        </is>
      </c>
      <c r="AM36" s="123" t="inlineStr">
        <is>
          <t>B+</t>
        </is>
      </c>
      <c r="AN36" s="123">
        <f>IF(AI36="","",$AN$2)</f>
        <v/>
      </c>
      <c r="AO36" s="123">
        <f>IF(N36="","",IF(N36&gt;=$AO$1/100,"O","X"))</f>
        <v/>
      </c>
      <c r="AP36" s="123">
        <f>IF(I36="","",IF(I36&lt;=$AP$1,"O","X"))</f>
        <v/>
      </c>
      <c r="AQ36" s="123">
        <f>IF(O36="","",IF(O36&lt;=$AQ$1,"O","X"))</f>
        <v/>
      </c>
      <c r="AR36" s="123">
        <f>IF(M36="","",IF(M36&lt;=$AR$1,"O","X"))</f>
        <v/>
      </c>
      <c r="AS36" s="123" t="inlineStr">
        <is>
          <t>X</t>
        </is>
      </c>
      <c r="AT36" s="123">
        <f>IF(OR(F36="",AI36=""),"",IF(AND((F36&lt;=85),(AI36&gt;=15)),"O","X"))</f>
        <v/>
      </c>
      <c r="AU36" s="123">
        <f>IF(C36="","",IF(C36&gt;=$AU$1,"O","X"))</f>
        <v/>
      </c>
      <c r="AV36" s="123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5" t="n">
        <v>654</v>
      </c>
      <c r="D37" s="133" t="n">
        <v>209.2</v>
      </c>
      <c r="E37" s="134" t="n">
        <v>63</v>
      </c>
      <c r="F37" s="133" t="n">
        <v>160.1</v>
      </c>
      <c r="G37" s="17" t="n">
        <v>48</v>
      </c>
      <c r="H37" s="135" t="n">
        <v>4</v>
      </c>
      <c r="I37" s="136" t="n"/>
      <c r="J37" s="136" t="n"/>
      <c r="K37" s="136" t="n"/>
      <c r="L37" s="136" t="n"/>
      <c r="M37" s="137">
        <f>I37-K37</f>
        <v/>
      </c>
      <c r="N37" s="4">
        <f>IF(ISERROR(K37/I37),"",K37/I37)</f>
        <v/>
      </c>
      <c r="O37" s="138">
        <f>I37/E37</f>
        <v/>
      </c>
      <c r="P37" s="138">
        <f>K37/E37</f>
        <v/>
      </c>
      <c r="Q37" s="123" t="n">
        <v>5</v>
      </c>
      <c r="R37" s="123" t="n">
        <v>2</v>
      </c>
      <c r="S37" s="123" t="inlineStr">
        <is>
          <t>계</t>
        </is>
      </c>
      <c r="T37" s="5" t="n">
        <v>209</v>
      </c>
      <c r="U37" s="9" t="n"/>
      <c r="W37" s="133">
        <f>D37</f>
        <v/>
      </c>
      <c r="X37" s="134">
        <f>E37</f>
        <v/>
      </c>
      <c r="Y37" s="139">
        <f>H37</f>
        <v/>
      </c>
      <c r="Z37" s="137">
        <f>I37</f>
        <v/>
      </c>
      <c r="AA37" s="137">
        <f>K37</f>
        <v/>
      </c>
      <c r="AB37" s="137">
        <f>M37</f>
        <v/>
      </c>
      <c r="AC37" s="4">
        <f>N37</f>
        <v/>
      </c>
      <c r="AD37" s="138">
        <f>O37</f>
        <v/>
      </c>
      <c r="AE37" s="123">
        <f>S37</f>
        <v/>
      </c>
      <c r="AF37" s="123">
        <f>Q37&amp;"/"&amp;R37</f>
        <v/>
      </c>
      <c r="AH37" s="20">
        <f>IF(A37="","",A37)</f>
        <v/>
      </c>
      <c r="AI37" s="134">
        <f>IF(E37="","",E37)</f>
        <v/>
      </c>
      <c r="AJ37" s="123">
        <f>IF(AI37="","",$AJ$2)</f>
        <v/>
      </c>
      <c r="AK37" s="123" t="inlineStr">
        <is>
          <t>A</t>
        </is>
      </c>
      <c r="AL37" s="123" t="inlineStr">
        <is>
          <t>A+</t>
        </is>
      </c>
      <c r="AM37" s="123" t="inlineStr">
        <is>
          <t>B+</t>
        </is>
      </c>
      <c r="AN37" s="123">
        <f>IF(AI37="","",$AN$2)</f>
        <v/>
      </c>
      <c r="AO37" s="123">
        <f>IF(N37="","",IF(N37&gt;=$AO$1/100,"O","X"))</f>
        <v/>
      </c>
      <c r="AP37" s="123">
        <f>IF(I37="","",IF(I37&lt;=$AP$1,"O","X"))</f>
        <v/>
      </c>
      <c r="AQ37" s="123">
        <f>IF(O37="","",IF(O37&lt;=$AQ$1,"O","X"))</f>
        <v/>
      </c>
      <c r="AR37" s="123">
        <f>IF(M37="","",IF(M37&lt;=$AR$1,"O","X"))</f>
        <v/>
      </c>
      <c r="AS37" s="123" t="inlineStr">
        <is>
          <t>X</t>
        </is>
      </c>
      <c r="AT37" s="123">
        <f>IF(OR(F37="",AI37=""),"",IF(AND((F37&lt;=85),(AI37&gt;=15)),"O","X"))</f>
        <v/>
      </c>
      <c r="AU37" s="123">
        <f>IF(C37="","",IF(C37&gt;=$AU$1,"O","X"))</f>
        <v/>
      </c>
      <c r="AV37" s="123">
        <f>IF(AO37="","",IF(AND(AO37="O",AP37="O",AR37="O",AT37="O",AU37="O"),"후보","X"))</f>
        <v/>
      </c>
    </row>
    <row r="38">
      <c r="A38" s="9" t="n"/>
      <c r="B38" s="123" t="n"/>
      <c r="C38" s="6" t="n"/>
      <c r="D38" s="9" t="n"/>
      <c r="E38" s="14" t="n"/>
      <c r="F38" s="133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8" t="n"/>
      <c r="P38" s="138" t="n"/>
      <c r="Q38" s="134" t="n"/>
      <c r="R38" s="134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8">
        <f>IF(E38="","",E38)</f>
        <v/>
      </c>
      <c r="AJ38" s="123" t="n"/>
      <c r="AK38" s="123" t="n"/>
      <c r="AL38" s="123" t="n"/>
      <c r="AM38" s="123" t="n"/>
      <c r="AN38" s="123" t="n"/>
      <c r="AO38" s="123" t="n"/>
      <c r="AP38" s="123" t="n"/>
      <c r="AQ38" s="123" t="n"/>
      <c r="AR38" s="123" t="n"/>
      <c r="AS38" s="123" t="n"/>
      <c r="AT38" s="123" t="n"/>
      <c r="AU38" s="123" t="n"/>
      <c r="AV38" s="123" t="n"/>
    </row>
    <row r="39">
      <c r="A39" s="9" t="inlineStr">
        <is>
          <t>미장대원칸타빌</t>
        </is>
      </c>
      <c r="B39" s="10" t="inlineStr">
        <is>
          <t>'18.06.</t>
        </is>
      </c>
      <c r="C39" s="135" t="n">
        <v>805</v>
      </c>
      <c r="D39" s="133" t="n">
        <v>80.3</v>
      </c>
      <c r="E39" s="134" t="n">
        <v>24</v>
      </c>
      <c r="F39" s="133" t="n">
        <v>59.9</v>
      </c>
      <c r="G39" s="17" t="n">
        <v>18</v>
      </c>
      <c r="H39" s="135" t="n">
        <v>78</v>
      </c>
      <c r="I39" s="136" t="n">
        <v>28500</v>
      </c>
      <c r="J39" s="136" t="inlineStr">
        <is>
          <t>19</t>
        </is>
      </c>
      <c r="K39" s="136" t="n"/>
      <c r="L39" s="136" t="n"/>
      <c r="M39" s="137">
        <f>I39-K39</f>
        <v/>
      </c>
      <c r="N39" s="4">
        <f>IF(ISERROR(K39/I39),"",K39/I39)</f>
        <v/>
      </c>
      <c r="O39" s="138">
        <f>I39/E39</f>
        <v/>
      </c>
      <c r="P39" s="138">
        <f>K39/E39</f>
        <v/>
      </c>
      <c r="Q39" s="123" t="n">
        <v>3</v>
      </c>
      <c r="R39" s="123" t="n">
        <v>1</v>
      </c>
      <c r="S39" s="123" t="inlineStr">
        <is>
          <t>계</t>
        </is>
      </c>
      <c r="T39" s="5" t="n">
        <v>80</v>
      </c>
      <c r="U39" s="9" t="n"/>
      <c r="W39" s="133">
        <f>D39</f>
        <v/>
      </c>
      <c r="X39" s="134">
        <f>E39</f>
        <v/>
      </c>
      <c r="Y39" s="139">
        <f>H39</f>
        <v/>
      </c>
      <c r="Z39" s="137">
        <f>I39</f>
        <v/>
      </c>
      <c r="AA39" s="137">
        <f>K39</f>
        <v/>
      </c>
      <c r="AB39" s="137">
        <f>M39</f>
        <v/>
      </c>
      <c r="AC39" s="4">
        <f>N39</f>
        <v/>
      </c>
      <c r="AD39" s="138">
        <f>O39</f>
        <v/>
      </c>
      <c r="AE39" s="123">
        <f>S39</f>
        <v/>
      </c>
      <c r="AF39" s="123">
        <f>Q39&amp;"/"&amp;R39</f>
        <v/>
      </c>
      <c r="AH39" s="20">
        <f>IF(A39="","",A39)</f>
        <v/>
      </c>
      <c r="AI39" s="134">
        <f>IF(E39="","",E39)</f>
        <v/>
      </c>
      <c r="AJ39" s="123">
        <f>IF(AI39="","",$AJ$2)</f>
        <v/>
      </c>
      <c r="AK39" s="123" t="inlineStr">
        <is>
          <t>A</t>
        </is>
      </c>
      <c r="AL39" s="123" t="inlineStr">
        <is>
          <t>A+</t>
        </is>
      </c>
      <c r="AM39" s="123" t="inlineStr">
        <is>
          <t>B+</t>
        </is>
      </c>
      <c r="AN39" s="123">
        <f>IF(AI39="","",$AN$2)</f>
        <v/>
      </c>
      <c r="AO39" s="123">
        <f>IF(N39="","",IF(N39&gt;=$AO$1/100,"O","X"))</f>
        <v/>
      </c>
      <c r="AP39" s="123">
        <f>IF(I39="","",IF(I39&lt;=$AP$1,"O","X"))</f>
        <v/>
      </c>
      <c r="AQ39" s="123">
        <f>IF(O39="","",IF(O39&lt;=$AQ$1,"O","X"))</f>
        <v/>
      </c>
      <c r="AR39" s="123">
        <f>IF(M39="","",IF(M39&lt;=$AR$1,"O","X"))</f>
        <v/>
      </c>
      <c r="AS39" s="123" t="inlineStr">
        <is>
          <t>X</t>
        </is>
      </c>
      <c r="AT39" s="123">
        <f>IF(OR(F39="",AI39=""),"",IF(AND((F39&lt;=85),(AI39&gt;=15)),"O","X"))</f>
        <v/>
      </c>
      <c r="AU39" s="123">
        <f>IF(C39="","",IF(C39&gt;=$AU$1,"O","X"))</f>
        <v/>
      </c>
      <c r="AV39" s="123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5" t="n">
        <v>805</v>
      </c>
      <c r="D40" s="133" t="n">
        <v>87.90000000000001</v>
      </c>
      <c r="E40" s="134" t="n">
        <v>27</v>
      </c>
      <c r="F40" s="133" t="n">
        <v>65.90000000000001</v>
      </c>
      <c r="G40" s="17" t="n">
        <v>20</v>
      </c>
      <c r="H40" s="135" t="n">
        <v>47</v>
      </c>
      <c r="I40" s="136" t="n">
        <v>29000</v>
      </c>
      <c r="J40" s="136" t="inlineStr">
        <is>
          <t>21</t>
        </is>
      </c>
      <c r="K40" s="136" t="n"/>
      <c r="L40" s="136" t="n"/>
      <c r="M40" s="137">
        <f>I40-K40</f>
        <v/>
      </c>
      <c r="N40" s="4">
        <f>IF(ISERROR(K40/I40),"",K40/I40)</f>
        <v/>
      </c>
      <c r="O40" s="138">
        <f>I40/E40</f>
        <v/>
      </c>
      <c r="P40" s="138">
        <f>K40/E40</f>
        <v/>
      </c>
      <c r="Q40" s="123" t="n">
        <v>3</v>
      </c>
      <c r="R40" s="123" t="n">
        <v>2</v>
      </c>
      <c r="S40" s="123" t="inlineStr">
        <is>
          <t>계</t>
        </is>
      </c>
      <c r="T40" s="5" t="inlineStr">
        <is>
          <t>87B</t>
        </is>
      </c>
      <c r="U40" s="9" t="n"/>
      <c r="W40" s="133">
        <f>D40</f>
        <v/>
      </c>
      <c r="X40" s="134">
        <f>E40</f>
        <v/>
      </c>
      <c r="Y40" s="139">
        <f>H40</f>
        <v/>
      </c>
      <c r="Z40" s="137">
        <f>I40</f>
        <v/>
      </c>
      <c r="AA40" s="137">
        <f>K40</f>
        <v/>
      </c>
      <c r="AB40" s="137">
        <f>M40</f>
        <v/>
      </c>
      <c r="AC40" s="4">
        <f>N40</f>
        <v/>
      </c>
      <c r="AD40" s="138">
        <f>O40</f>
        <v/>
      </c>
      <c r="AE40" s="123">
        <f>S40</f>
        <v/>
      </c>
      <c r="AF40" s="123">
        <f>Q40&amp;"/"&amp;R40</f>
        <v/>
      </c>
      <c r="AH40" s="20">
        <f>IF(A40="","",A40)</f>
        <v/>
      </c>
      <c r="AI40" s="134">
        <f>IF(E40="","",E40)</f>
        <v/>
      </c>
      <c r="AJ40" s="123">
        <f>IF(AI40="","",$AJ$2)</f>
        <v/>
      </c>
      <c r="AK40" s="123" t="inlineStr">
        <is>
          <t>A</t>
        </is>
      </c>
      <c r="AL40" s="123" t="inlineStr">
        <is>
          <t>A+</t>
        </is>
      </c>
      <c r="AM40" s="123" t="inlineStr">
        <is>
          <t>B+</t>
        </is>
      </c>
      <c r="AN40" s="123">
        <f>IF(AI40="","",$AN$2)</f>
        <v/>
      </c>
      <c r="AO40" s="123">
        <f>IF(N40="","",IF(N40&gt;=$AO$1/100,"O","X"))</f>
        <v/>
      </c>
      <c r="AP40" s="123">
        <f>IF(I40="","",IF(I40&lt;=$AP$1,"O","X"))</f>
        <v/>
      </c>
      <c r="AQ40" s="123">
        <f>IF(O40="","",IF(O40&lt;=$AQ$1,"O","X"))</f>
        <v/>
      </c>
      <c r="AR40" s="123">
        <f>IF(M40="","",IF(M40&lt;=$AR$1,"O","X"))</f>
        <v/>
      </c>
      <c r="AS40" s="123" t="inlineStr">
        <is>
          <t>X</t>
        </is>
      </c>
      <c r="AT40" s="123">
        <f>IF(OR(F40="",AI40=""),"",IF(AND((F40&lt;=85),(AI40&gt;=15)),"O","X"))</f>
        <v/>
      </c>
      <c r="AU40" s="123">
        <f>IF(C40="","",IF(C40&gt;=$AU$1,"O","X"))</f>
        <v/>
      </c>
      <c r="AV40" s="123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5" t="n">
        <v>805</v>
      </c>
      <c r="D41" s="133" t="n">
        <v>88.7</v>
      </c>
      <c r="E41" s="134" t="n">
        <v>27</v>
      </c>
      <c r="F41" s="133" t="n">
        <v>65.90000000000001</v>
      </c>
      <c r="G41" s="17" t="n">
        <v>20</v>
      </c>
      <c r="H41" s="135" t="n">
        <v>44</v>
      </c>
      <c r="I41" s="136" t="n">
        <v>29000</v>
      </c>
      <c r="J41" s="136" t="inlineStr">
        <is>
          <t>15</t>
        </is>
      </c>
      <c r="K41" s="136" t="n">
        <v>22000</v>
      </c>
      <c r="L41" s="136" t="inlineStr">
        <is>
          <t>18</t>
        </is>
      </c>
      <c r="M41" s="137">
        <f>I41-K41</f>
        <v/>
      </c>
      <c r="N41" s="4">
        <f>IF(ISERROR(K41/I41),"",K41/I41)</f>
        <v/>
      </c>
      <c r="O41" s="138">
        <f>I41/E41</f>
        <v/>
      </c>
      <c r="P41" s="138">
        <f>K41/E41</f>
        <v/>
      </c>
      <c r="Q41" s="123" t="n">
        <v>3</v>
      </c>
      <c r="R41" s="123" t="n">
        <v>2</v>
      </c>
      <c r="S41" s="123" t="inlineStr">
        <is>
          <t>계</t>
        </is>
      </c>
      <c r="T41" s="5" t="inlineStr">
        <is>
          <t>88A</t>
        </is>
      </c>
      <c r="U41" s="9" t="n"/>
      <c r="W41" s="133">
        <f>D41</f>
        <v/>
      </c>
      <c r="X41" s="134">
        <f>E41</f>
        <v/>
      </c>
      <c r="Y41" s="139">
        <f>H41</f>
        <v/>
      </c>
      <c r="Z41" s="137">
        <f>I41</f>
        <v/>
      </c>
      <c r="AA41" s="137">
        <f>K41</f>
        <v/>
      </c>
      <c r="AB41" s="137">
        <f>M41</f>
        <v/>
      </c>
      <c r="AC41" s="4">
        <f>N41</f>
        <v/>
      </c>
      <c r="AD41" s="138">
        <f>O41</f>
        <v/>
      </c>
      <c r="AE41" s="123">
        <f>S41</f>
        <v/>
      </c>
      <c r="AF41" s="123">
        <f>Q41&amp;"/"&amp;R41</f>
        <v/>
      </c>
      <c r="AH41" s="20">
        <f>IF(A41="","",A41)</f>
        <v/>
      </c>
      <c r="AI41" s="134">
        <f>IF(E41="","",E41)</f>
        <v/>
      </c>
      <c r="AJ41" s="123">
        <f>IF(AI41="","",$AJ$2)</f>
        <v/>
      </c>
      <c r="AK41" s="123" t="inlineStr">
        <is>
          <t>A</t>
        </is>
      </c>
      <c r="AL41" s="123" t="inlineStr">
        <is>
          <t>A+</t>
        </is>
      </c>
      <c r="AM41" s="123" t="inlineStr">
        <is>
          <t>B+</t>
        </is>
      </c>
      <c r="AN41" s="123">
        <f>IF(AI41="","",$AN$2)</f>
        <v/>
      </c>
      <c r="AO41" s="123">
        <f>IF(N41="","",IF(N41&gt;=$AO$1/100,"O","X"))</f>
        <v/>
      </c>
      <c r="AP41" s="123">
        <f>IF(I41="","",IF(I41&lt;=$AP$1,"O","X"))</f>
        <v/>
      </c>
      <c r="AQ41" s="123">
        <f>IF(O41="","",IF(O41&lt;=$AQ$1,"O","X"))</f>
        <v/>
      </c>
      <c r="AR41" s="123">
        <f>IF(M41="","",IF(M41&lt;=$AR$1,"O","X"))</f>
        <v/>
      </c>
      <c r="AS41" s="123" t="inlineStr">
        <is>
          <t>X</t>
        </is>
      </c>
      <c r="AT41" s="123">
        <f>IF(OR(F41="",AI41=""),"",IF(AND((F41&lt;=85),(AI41&gt;=15)),"O","X"))</f>
        <v/>
      </c>
      <c r="AU41" s="123">
        <f>IF(C41="","",IF(C41&gt;=$AU$1,"O","X"))</f>
        <v/>
      </c>
      <c r="AV41" s="123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5" t="n">
        <v>805</v>
      </c>
      <c r="D42" s="133" t="n">
        <v>100</v>
      </c>
      <c r="E42" s="134" t="n">
        <v>30</v>
      </c>
      <c r="F42" s="133" t="n">
        <v>74.90000000000001</v>
      </c>
      <c r="G42" s="17" t="n">
        <v>23</v>
      </c>
      <c r="H42" s="135" t="n">
        <v>186</v>
      </c>
      <c r="I42" s="136" t="n">
        <v>34500</v>
      </c>
      <c r="J42" s="136" t="inlineStr">
        <is>
          <t>23</t>
        </is>
      </c>
      <c r="K42" s="136" t="n">
        <v>27000</v>
      </c>
      <c r="L42" s="136" t="inlineStr">
        <is>
          <t>19</t>
        </is>
      </c>
      <c r="M42" s="137">
        <f>I42-K42</f>
        <v/>
      </c>
      <c r="N42" s="4">
        <f>IF(ISERROR(K42/I42),"",K42/I42)</f>
        <v/>
      </c>
      <c r="O42" s="138">
        <f>I42/E42</f>
        <v/>
      </c>
      <c r="P42" s="138">
        <f>K42/E42</f>
        <v/>
      </c>
      <c r="Q42" s="123" t="n">
        <v>3</v>
      </c>
      <c r="R42" s="123" t="n">
        <v>2</v>
      </c>
      <c r="S42" s="123" t="inlineStr">
        <is>
          <t>계</t>
        </is>
      </c>
      <c r="T42" s="5" t="inlineStr">
        <is>
          <t>99A</t>
        </is>
      </c>
      <c r="U42" s="9" t="n"/>
      <c r="W42" s="133">
        <f>D42</f>
        <v/>
      </c>
      <c r="X42" s="134">
        <f>E42</f>
        <v/>
      </c>
      <c r="Y42" s="139">
        <f>H42</f>
        <v/>
      </c>
      <c r="Z42" s="137">
        <f>I42</f>
        <v/>
      </c>
      <c r="AA42" s="137">
        <f>K42</f>
        <v/>
      </c>
      <c r="AB42" s="137">
        <f>M42</f>
        <v/>
      </c>
      <c r="AC42" s="4">
        <f>N42</f>
        <v/>
      </c>
      <c r="AD42" s="138">
        <f>O42</f>
        <v/>
      </c>
      <c r="AE42" s="123">
        <f>S42</f>
        <v/>
      </c>
      <c r="AF42" s="123">
        <f>Q42&amp;"/"&amp;R42</f>
        <v/>
      </c>
      <c r="AH42" s="20">
        <f>IF(A42="","",A42)</f>
        <v/>
      </c>
      <c r="AI42" s="134">
        <f>IF(E42="","",E42)</f>
        <v/>
      </c>
      <c r="AJ42" s="123">
        <f>IF(AI42="","",$AJ$2)</f>
        <v/>
      </c>
      <c r="AK42" s="123" t="inlineStr">
        <is>
          <t>A</t>
        </is>
      </c>
      <c r="AL42" s="123" t="inlineStr">
        <is>
          <t>A+</t>
        </is>
      </c>
      <c r="AM42" s="123" t="inlineStr">
        <is>
          <t>B+</t>
        </is>
      </c>
      <c r="AN42" s="123">
        <f>IF(AI42="","",$AN$2)</f>
        <v/>
      </c>
      <c r="AO42" s="123">
        <f>IF(N42="","",IF(N42&gt;=$AO$1/100,"O","X"))</f>
        <v/>
      </c>
      <c r="AP42" s="123">
        <f>IF(I42="","",IF(I42&lt;=$AP$1,"O","X"))</f>
        <v/>
      </c>
      <c r="AQ42" s="123">
        <f>IF(O42="","",IF(O42&lt;=$AQ$1,"O","X"))</f>
        <v/>
      </c>
      <c r="AR42" s="123">
        <f>IF(M42="","",IF(M42&lt;=$AR$1,"O","X"))</f>
        <v/>
      </c>
      <c r="AS42" s="123" t="inlineStr">
        <is>
          <t>X</t>
        </is>
      </c>
      <c r="AT42" s="123">
        <f>IF(OR(F42="",AI42=""),"",IF(AND((F42&lt;=85),(AI42&gt;=15)),"O","X"))</f>
        <v/>
      </c>
      <c r="AU42" s="123">
        <f>IF(C42="","",IF(C42&gt;=$AU$1,"O","X"))</f>
        <v/>
      </c>
      <c r="AV42" s="123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5" t="n">
        <v>805</v>
      </c>
      <c r="D43" s="133" t="n">
        <v>99.7</v>
      </c>
      <c r="E43" s="134" t="n">
        <v>30</v>
      </c>
      <c r="F43" s="133" t="n">
        <v>74.90000000000001</v>
      </c>
      <c r="G43" s="17" t="n">
        <v>23</v>
      </c>
      <c r="H43" s="135" t="n">
        <v>18</v>
      </c>
      <c r="I43" s="136" t="n"/>
      <c r="J43" s="136" t="n"/>
      <c r="K43" s="136" t="n"/>
      <c r="L43" s="136" t="n"/>
      <c r="M43" s="137">
        <f>I43-K43</f>
        <v/>
      </c>
      <c r="N43" s="4">
        <f>IF(ISERROR(K43/I43),"",K43/I43)</f>
        <v/>
      </c>
      <c r="O43" s="138">
        <f>I43/E43</f>
        <v/>
      </c>
      <c r="P43" s="138">
        <f>K43/E43</f>
        <v/>
      </c>
      <c r="Q43" s="123" t="n">
        <v>3</v>
      </c>
      <c r="R43" s="123" t="n">
        <v>2</v>
      </c>
      <c r="S43" s="123" t="inlineStr">
        <is>
          <t>계</t>
        </is>
      </c>
      <c r="T43" s="5" t="inlineStr">
        <is>
          <t>99D</t>
        </is>
      </c>
      <c r="U43" s="9" t="n"/>
      <c r="W43" s="133">
        <f>D43</f>
        <v/>
      </c>
      <c r="X43" s="134">
        <f>E43</f>
        <v/>
      </c>
      <c r="Y43" s="139">
        <f>H43</f>
        <v/>
      </c>
      <c r="Z43" s="137">
        <f>I43</f>
        <v/>
      </c>
      <c r="AA43" s="137">
        <f>K43</f>
        <v/>
      </c>
      <c r="AB43" s="137">
        <f>M43</f>
        <v/>
      </c>
      <c r="AC43" s="4">
        <f>N43</f>
        <v/>
      </c>
      <c r="AD43" s="138">
        <f>O43</f>
        <v/>
      </c>
      <c r="AE43" s="123">
        <f>S43</f>
        <v/>
      </c>
      <c r="AF43" s="123">
        <f>Q43&amp;"/"&amp;R43</f>
        <v/>
      </c>
      <c r="AH43" s="20">
        <f>IF(A43="","",A43)</f>
        <v/>
      </c>
      <c r="AI43" s="134">
        <f>IF(E43="","",E43)</f>
        <v/>
      </c>
      <c r="AJ43" s="123">
        <f>IF(AI43="","",$AJ$2)</f>
        <v/>
      </c>
      <c r="AK43" s="123" t="inlineStr">
        <is>
          <t>A</t>
        </is>
      </c>
      <c r="AL43" s="123" t="inlineStr">
        <is>
          <t>A+</t>
        </is>
      </c>
      <c r="AM43" s="123" t="inlineStr">
        <is>
          <t>B+</t>
        </is>
      </c>
      <c r="AN43" s="123">
        <f>IF(AI43="","",$AN$2)</f>
        <v/>
      </c>
      <c r="AO43" s="123">
        <f>IF(N43="","",IF(N43&gt;=$AO$1/100,"O","X"))</f>
        <v/>
      </c>
      <c r="AP43" s="123">
        <f>IF(I43="","",IF(I43&lt;=$AP$1,"O","X"))</f>
        <v/>
      </c>
      <c r="AQ43" s="123">
        <f>IF(O43="","",IF(O43&lt;=$AQ$1,"O","X"))</f>
        <v/>
      </c>
      <c r="AR43" s="123">
        <f>IF(M43="","",IF(M43&lt;=$AR$1,"O","X"))</f>
        <v/>
      </c>
      <c r="AS43" s="123" t="inlineStr">
        <is>
          <t>X</t>
        </is>
      </c>
      <c r="AT43" s="123">
        <f>IF(OR(F43="",AI43=""),"",IF(AND((F43&lt;=85),(AI43&gt;=15)),"O","X"))</f>
        <v/>
      </c>
      <c r="AU43" s="123">
        <f>IF(C43="","",IF(C43&gt;=$AU$1,"O","X"))</f>
        <v/>
      </c>
      <c r="AV43" s="123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5" t="n">
        <v>805</v>
      </c>
      <c r="D44" s="133" t="n">
        <v>100.4</v>
      </c>
      <c r="E44" s="134" t="n">
        <v>30</v>
      </c>
      <c r="F44" s="133" t="n">
        <v>74.90000000000001</v>
      </c>
      <c r="G44" s="17" t="n">
        <v>23</v>
      </c>
      <c r="H44" s="135" t="n">
        <v>44</v>
      </c>
      <c r="I44" s="136" t="n">
        <v>34300</v>
      </c>
      <c r="J44" s="136" t="inlineStr">
        <is>
          <t>11</t>
        </is>
      </c>
      <c r="K44" s="136" t="n"/>
      <c r="L44" s="136" t="n"/>
      <c r="M44" s="137">
        <f>I44-K44</f>
        <v/>
      </c>
      <c r="N44" s="4">
        <f>IF(ISERROR(K44/I44),"",K44/I44)</f>
        <v/>
      </c>
      <c r="O44" s="138">
        <f>I44/E44</f>
        <v/>
      </c>
      <c r="P44" s="138">
        <f>K44/E44</f>
        <v/>
      </c>
      <c r="Q44" s="123" t="n">
        <v>3</v>
      </c>
      <c r="R44" s="123" t="n">
        <v>2</v>
      </c>
      <c r="S44" s="123" t="inlineStr">
        <is>
          <t>계</t>
        </is>
      </c>
      <c r="T44" s="5" t="inlineStr">
        <is>
          <t>100C</t>
        </is>
      </c>
      <c r="U44" s="9" t="n"/>
      <c r="W44" s="133">
        <f>D44</f>
        <v/>
      </c>
      <c r="X44" s="134">
        <f>E44</f>
        <v/>
      </c>
      <c r="Y44" s="139">
        <f>H44</f>
        <v/>
      </c>
      <c r="Z44" s="137">
        <f>I44</f>
        <v/>
      </c>
      <c r="AA44" s="137">
        <f>K44</f>
        <v/>
      </c>
      <c r="AB44" s="137">
        <f>M44</f>
        <v/>
      </c>
      <c r="AC44" s="4">
        <f>N44</f>
        <v/>
      </c>
      <c r="AD44" s="138">
        <f>O44</f>
        <v/>
      </c>
      <c r="AE44" s="123">
        <f>S44</f>
        <v/>
      </c>
      <c r="AF44" s="123">
        <f>Q44&amp;"/"&amp;R44</f>
        <v/>
      </c>
      <c r="AH44" s="20">
        <f>IF(A44="","",A44)</f>
        <v/>
      </c>
      <c r="AI44" s="134">
        <f>IF(E44="","",E44)</f>
        <v/>
      </c>
      <c r="AJ44" s="123">
        <f>IF(AI44="","",$AJ$2)</f>
        <v/>
      </c>
      <c r="AK44" s="123" t="inlineStr">
        <is>
          <t>A</t>
        </is>
      </c>
      <c r="AL44" s="123" t="inlineStr">
        <is>
          <t>A+</t>
        </is>
      </c>
      <c r="AM44" s="123" t="inlineStr">
        <is>
          <t>B+</t>
        </is>
      </c>
      <c r="AN44" s="123">
        <f>IF(AI44="","",$AN$2)</f>
        <v/>
      </c>
      <c r="AO44" s="123">
        <f>IF(N44="","",IF(N44&gt;=$AO$1/100,"O","X"))</f>
        <v/>
      </c>
      <c r="AP44" s="123">
        <f>IF(I44="","",IF(I44&lt;=$AP$1,"O","X"))</f>
        <v/>
      </c>
      <c r="AQ44" s="123">
        <f>IF(O44="","",IF(O44&lt;=$AQ$1,"O","X"))</f>
        <v/>
      </c>
      <c r="AR44" s="123">
        <f>IF(M44="","",IF(M44&lt;=$AR$1,"O","X"))</f>
        <v/>
      </c>
      <c r="AS44" s="123" t="inlineStr">
        <is>
          <t>X</t>
        </is>
      </c>
      <c r="AT44" s="123">
        <f>IF(OR(F44="",AI44=""),"",IF(AND((F44&lt;=85),(AI44&gt;=15)),"O","X"))</f>
        <v/>
      </c>
      <c r="AU44" s="123">
        <f>IF(C44="","",IF(C44&gt;=$AU$1,"O","X"))</f>
        <v/>
      </c>
      <c r="AV44" s="123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5" t="n">
        <v>805</v>
      </c>
      <c r="D45" s="133" t="n">
        <v>100.1</v>
      </c>
      <c r="E45" s="134" t="n">
        <v>30</v>
      </c>
      <c r="F45" s="133" t="n">
        <v>75</v>
      </c>
      <c r="G45" s="17" t="n">
        <v>23</v>
      </c>
      <c r="H45" s="135" t="n">
        <v>40</v>
      </c>
      <c r="I45" s="136" t="n">
        <v>35000</v>
      </c>
      <c r="J45" s="136" t="inlineStr">
        <is>
          <t>23</t>
        </is>
      </c>
      <c r="K45" s="136" t="n"/>
      <c r="L45" s="136" t="n"/>
      <c r="M45" s="137">
        <f>I45-K45</f>
        <v/>
      </c>
      <c r="N45" s="4">
        <f>IF(ISERROR(K45/I45),"",K45/I45)</f>
        <v/>
      </c>
      <c r="O45" s="138">
        <f>I45/E45</f>
        <v/>
      </c>
      <c r="P45" s="138">
        <f>K45/E45</f>
        <v/>
      </c>
      <c r="Q45" s="123" t="n">
        <v>3</v>
      </c>
      <c r="R45" s="123" t="n">
        <v>2</v>
      </c>
      <c r="S45" s="123" t="inlineStr">
        <is>
          <t>계</t>
        </is>
      </c>
      <c r="T45" s="5" t="inlineStr">
        <is>
          <t>100B</t>
        </is>
      </c>
      <c r="U45" s="9" t="n"/>
      <c r="W45" s="133">
        <f>D45</f>
        <v/>
      </c>
      <c r="X45" s="134">
        <f>E45</f>
        <v/>
      </c>
      <c r="Y45" s="139">
        <f>H45</f>
        <v/>
      </c>
      <c r="Z45" s="137">
        <f>I45</f>
        <v/>
      </c>
      <c r="AA45" s="137">
        <f>K45</f>
        <v/>
      </c>
      <c r="AB45" s="137">
        <f>M45</f>
        <v/>
      </c>
      <c r="AC45" s="4">
        <f>N45</f>
        <v/>
      </c>
      <c r="AD45" s="138">
        <f>O45</f>
        <v/>
      </c>
      <c r="AE45" s="123">
        <f>S45</f>
        <v/>
      </c>
      <c r="AF45" s="123">
        <f>Q45&amp;"/"&amp;R45</f>
        <v/>
      </c>
      <c r="AH45" s="20">
        <f>IF(A45="","",A45)</f>
        <v/>
      </c>
      <c r="AI45" s="134">
        <f>IF(E45="","",E45)</f>
        <v/>
      </c>
      <c r="AJ45" s="123">
        <f>IF(AI45="","",$AJ$2)</f>
        <v/>
      </c>
      <c r="AK45" s="123" t="inlineStr">
        <is>
          <t>A</t>
        </is>
      </c>
      <c r="AL45" s="123" t="inlineStr">
        <is>
          <t>A+</t>
        </is>
      </c>
      <c r="AM45" s="123" t="inlineStr">
        <is>
          <t>B+</t>
        </is>
      </c>
      <c r="AN45" s="123">
        <f>IF(AI45="","",$AN$2)</f>
        <v/>
      </c>
      <c r="AO45" s="123">
        <f>IF(N45="","",IF(N45&gt;=$AO$1/100,"O","X"))</f>
        <v/>
      </c>
      <c r="AP45" s="123">
        <f>IF(I45="","",IF(I45&lt;=$AP$1,"O","X"))</f>
        <v/>
      </c>
      <c r="AQ45" s="123">
        <f>IF(O45="","",IF(O45&lt;=$AQ$1,"O","X"))</f>
        <v/>
      </c>
      <c r="AR45" s="123">
        <f>IF(M45="","",IF(M45&lt;=$AR$1,"O","X"))</f>
        <v/>
      </c>
      <c r="AS45" s="123" t="inlineStr">
        <is>
          <t>X</t>
        </is>
      </c>
      <c r="AT45" s="123">
        <f>IF(OR(F45="",AI45=""),"",IF(AND((F45&lt;=85),(AI45&gt;=15)),"O","X"))</f>
        <v/>
      </c>
      <c r="AU45" s="123">
        <f>IF(C45="","",IF(C45&gt;=$AU$1,"O","X"))</f>
        <v/>
      </c>
      <c r="AV45" s="123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5" t="n">
        <v>805</v>
      </c>
      <c r="D46" s="133" t="n">
        <v>112.4</v>
      </c>
      <c r="E46" s="134" t="n">
        <v>34</v>
      </c>
      <c r="F46" s="133" t="n">
        <v>84.90000000000001</v>
      </c>
      <c r="G46" s="17" t="n">
        <v>26</v>
      </c>
      <c r="H46" s="135" t="n">
        <v>274</v>
      </c>
      <c r="I46" s="136" t="n">
        <v>36800</v>
      </c>
      <c r="J46" s="136" t="inlineStr">
        <is>
          <t>5</t>
        </is>
      </c>
      <c r="K46" s="136" t="n"/>
      <c r="L46" s="136" t="n"/>
      <c r="M46" s="137">
        <f>I46-K46</f>
        <v/>
      </c>
      <c r="N46" s="4">
        <f>IF(ISERROR(K46/I46),"",K46/I46)</f>
        <v/>
      </c>
      <c r="O46" s="138">
        <f>I46/E46</f>
        <v/>
      </c>
      <c r="P46" s="138">
        <f>K46/E46</f>
        <v/>
      </c>
      <c r="Q46" s="123" t="n">
        <v>4</v>
      </c>
      <c r="R46" s="123" t="n">
        <v>2</v>
      </c>
      <c r="S46" s="123" t="inlineStr">
        <is>
          <t>계</t>
        </is>
      </c>
      <c r="T46" s="5" t="n">
        <v>112</v>
      </c>
      <c r="U46" s="9" t="n"/>
      <c r="W46" s="133">
        <f>D46</f>
        <v/>
      </c>
      <c r="X46" s="134">
        <f>E46</f>
        <v/>
      </c>
      <c r="Y46" s="139">
        <f>H46</f>
        <v/>
      </c>
      <c r="Z46" s="137">
        <f>I46</f>
        <v/>
      </c>
      <c r="AA46" s="137">
        <f>K46</f>
        <v/>
      </c>
      <c r="AB46" s="137">
        <f>M46</f>
        <v/>
      </c>
      <c r="AC46" s="4">
        <f>N46</f>
        <v/>
      </c>
      <c r="AD46" s="138">
        <f>O46</f>
        <v/>
      </c>
      <c r="AE46" s="123">
        <f>S46</f>
        <v/>
      </c>
      <c r="AF46" s="123">
        <f>Q46&amp;"/"&amp;R46</f>
        <v/>
      </c>
      <c r="AH46" s="20">
        <f>IF(A46="","",A46)</f>
        <v/>
      </c>
      <c r="AI46" s="134">
        <f>IF(E46="","",E46)</f>
        <v/>
      </c>
      <c r="AJ46" s="123">
        <f>IF(AI46="","",$AJ$2)</f>
        <v/>
      </c>
      <c r="AK46" s="123" t="inlineStr">
        <is>
          <t>A</t>
        </is>
      </c>
      <c r="AL46" s="123" t="inlineStr">
        <is>
          <t>A+</t>
        </is>
      </c>
      <c r="AM46" s="123" t="inlineStr">
        <is>
          <t>B+</t>
        </is>
      </c>
      <c r="AN46" s="123">
        <f>IF(AI46="","",$AN$2)</f>
        <v/>
      </c>
      <c r="AO46" s="123">
        <f>IF(N46="","",IF(N46&gt;=$AO$1/100,"O","X"))</f>
        <v/>
      </c>
      <c r="AP46" s="123">
        <f>IF(I46="","",IF(I46&lt;=$AP$1,"O","X"))</f>
        <v/>
      </c>
      <c r="AQ46" s="123">
        <f>IF(O46="","",IF(O46&lt;=$AQ$1,"O","X"))</f>
        <v/>
      </c>
      <c r="AR46" s="123">
        <f>IF(M46="","",IF(M46&lt;=$AR$1,"O","X"))</f>
        <v/>
      </c>
      <c r="AS46" s="123" t="inlineStr">
        <is>
          <t>X</t>
        </is>
      </c>
      <c r="AT46" s="123">
        <f>IF(OR(F46="",AI46=""),"",IF(AND((F46&lt;=85),(AI46&gt;=15)),"O","X"))</f>
        <v/>
      </c>
      <c r="AU46" s="123">
        <f>IF(C46="","",IF(C46&gt;=$AU$1,"O","X"))</f>
        <v/>
      </c>
      <c r="AV46" s="123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5" t="n">
        <v>805</v>
      </c>
      <c r="D47" s="133" t="n">
        <v>134.7</v>
      </c>
      <c r="E47" s="134" t="n">
        <v>41</v>
      </c>
      <c r="F47" s="133" t="n">
        <v>101.8</v>
      </c>
      <c r="G47" s="17" t="n">
        <v>31</v>
      </c>
      <c r="H47" s="135" t="n">
        <v>70</v>
      </c>
      <c r="I47" s="136" t="n">
        <v>51000</v>
      </c>
      <c r="J47" s="136" t="inlineStr">
        <is>
          <t>9</t>
        </is>
      </c>
      <c r="K47" s="136" t="n"/>
      <c r="L47" s="136" t="n"/>
      <c r="M47" s="137">
        <f>I47-K47</f>
        <v/>
      </c>
      <c r="N47" s="4">
        <f>IF(ISERROR(K47/I47),"",K47/I47)</f>
        <v/>
      </c>
      <c r="O47" s="138">
        <f>I47/E47</f>
        <v/>
      </c>
      <c r="P47" s="138">
        <f>K47/E47</f>
        <v/>
      </c>
      <c r="Q47" s="123" t="n">
        <v>4</v>
      </c>
      <c r="R47" s="123" t="n">
        <v>2</v>
      </c>
      <c r="S47" s="123" t="inlineStr">
        <is>
          <t>계</t>
        </is>
      </c>
      <c r="T47" s="5" t="n">
        <v>134</v>
      </c>
      <c r="U47" s="9" t="n"/>
      <c r="W47" s="133">
        <f>D47</f>
        <v/>
      </c>
      <c r="X47" s="134">
        <f>E47</f>
        <v/>
      </c>
      <c r="Y47" s="139">
        <f>H47</f>
        <v/>
      </c>
      <c r="Z47" s="137">
        <f>I47</f>
        <v/>
      </c>
      <c r="AA47" s="137">
        <f>K47</f>
        <v/>
      </c>
      <c r="AB47" s="137">
        <f>M47</f>
        <v/>
      </c>
      <c r="AC47" s="4">
        <f>N47</f>
        <v/>
      </c>
      <c r="AD47" s="138">
        <f>O47</f>
        <v/>
      </c>
      <c r="AE47" s="123">
        <f>S47</f>
        <v/>
      </c>
      <c r="AF47" s="123">
        <f>Q47&amp;"/"&amp;R47</f>
        <v/>
      </c>
      <c r="AH47" s="20">
        <f>IF(A47="","",A47)</f>
        <v/>
      </c>
      <c r="AI47" s="134">
        <f>IF(E47="","",E47)</f>
        <v/>
      </c>
      <c r="AJ47" s="123">
        <f>IF(AI47="","",$AJ$2)</f>
        <v/>
      </c>
      <c r="AK47" s="123" t="inlineStr">
        <is>
          <t>A</t>
        </is>
      </c>
      <c r="AL47" s="123" t="inlineStr">
        <is>
          <t>A+</t>
        </is>
      </c>
      <c r="AM47" s="123" t="inlineStr">
        <is>
          <t>B+</t>
        </is>
      </c>
      <c r="AN47" s="123">
        <f>IF(AI47="","",$AN$2)</f>
        <v/>
      </c>
      <c r="AO47" s="123">
        <f>IF(N47="","",IF(N47&gt;=$AO$1/100,"O","X"))</f>
        <v/>
      </c>
      <c r="AP47" s="123">
        <f>IF(I47="","",IF(I47&lt;=$AP$1,"O","X"))</f>
        <v/>
      </c>
      <c r="AQ47" s="123">
        <f>IF(O47="","",IF(O47&lt;=$AQ$1,"O","X"))</f>
        <v/>
      </c>
      <c r="AR47" s="123">
        <f>IF(M47="","",IF(M47&lt;=$AR$1,"O","X"))</f>
        <v/>
      </c>
      <c r="AS47" s="123" t="inlineStr">
        <is>
          <t>X</t>
        </is>
      </c>
      <c r="AT47" s="123">
        <f>IF(OR(F47="",AI47=""),"",IF(AND((F47&lt;=85),(AI47&gt;=15)),"O","X"))</f>
        <v/>
      </c>
      <c r="AU47" s="123">
        <f>IF(C47="","",IF(C47&gt;=$AU$1,"O","X"))</f>
        <v/>
      </c>
      <c r="AV47" s="123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5" t="n">
        <v>805</v>
      </c>
      <c r="D48" s="133" t="n">
        <v>174.2</v>
      </c>
      <c r="E48" s="134" t="n">
        <v>53</v>
      </c>
      <c r="F48" s="133" t="n">
        <v>128.7</v>
      </c>
      <c r="G48" s="17" t="n">
        <v>39</v>
      </c>
      <c r="H48" s="135" t="n">
        <v>4</v>
      </c>
      <c r="I48" s="136" t="n">
        <v>90000</v>
      </c>
      <c r="J48" s="136" t="inlineStr">
        <is>
          <t>25</t>
        </is>
      </c>
      <c r="K48" s="136" t="n">
        <v>50000</v>
      </c>
      <c r="L48" s="136" t="inlineStr">
        <is>
          <t>25</t>
        </is>
      </c>
      <c r="M48" s="137">
        <f>I48-K48</f>
        <v/>
      </c>
      <c r="N48" s="4">
        <f>IF(ISERROR(K48/I48),"",K48/I48)</f>
        <v/>
      </c>
      <c r="O48" s="138">
        <f>I48/E48</f>
        <v/>
      </c>
      <c r="P48" s="138">
        <f>K48/E48</f>
        <v/>
      </c>
      <c r="Q48" s="123" t="n">
        <v>4</v>
      </c>
      <c r="R48" s="123" t="n">
        <v>2</v>
      </c>
      <c r="S48" s="123" t="inlineStr">
        <is>
          <t>계</t>
        </is>
      </c>
      <c r="T48" s="5" t="n">
        <v>174</v>
      </c>
      <c r="U48" s="9" t="n"/>
      <c r="W48" s="133">
        <f>D48</f>
        <v/>
      </c>
      <c r="X48" s="134">
        <f>E48</f>
        <v/>
      </c>
      <c r="Y48" s="139">
        <f>H48</f>
        <v/>
      </c>
      <c r="Z48" s="137">
        <f>I48</f>
        <v/>
      </c>
      <c r="AA48" s="137">
        <f>K48</f>
        <v/>
      </c>
      <c r="AB48" s="137">
        <f>M48</f>
        <v/>
      </c>
      <c r="AC48" s="4">
        <f>N48</f>
        <v/>
      </c>
      <c r="AD48" s="138">
        <f>O48</f>
        <v/>
      </c>
      <c r="AE48" s="123">
        <f>S48</f>
        <v/>
      </c>
      <c r="AF48" s="123">
        <f>Q48&amp;"/"&amp;R48</f>
        <v/>
      </c>
      <c r="AH48" s="20">
        <f>IF(A48="","",A48)</f>
        <v/>
      </c>
      <c r="AI48" s="134">
        <f>IF(E48="","",E48)</f>
        <v/>
      </c>
      <c r="AJ48" s="123">
        <f>IF(AI48="","",$AJ$2)</f>
        <v/>
      </c>
      <c r="AK48" s="123" t="inlineStr">
        <is>
          <t>A</t>
        </is>
      </c>
      <c r="AL48" s="123" t="inlineStr">
        <is>
          <t>A+</t>
        </is>
      </c>
      <c r="AM48" s="123" t="inlineStr">
        <is>
          <t>B+</t>
        </is>
      </c>
      <c r="AN48" s="123">
        <f>IF(AI48="","",$AN$2)</f>
        <v/>
      </c>
      <c r="AO48" s="123">
        <f>IF(N48="","",IF(N48&gt;=$AO$1/100,"O","X"))</f>
        <v/>
      </c>
      <c r="AP48" s="123">
        <f>IF(I48="","",IF(I48&lt;=$AP$1,"O","X"))</f>
        <v/>
      </c>
      <c r="AQ48" s="123">
        <f>IF(O48="","",IF(O48&lt;=$AQ$1,"O","X"))</f>
        <v/>
      </c>
      <c r="AR48" s="123">
        <f>IF(M48="","",IF(M48&lt;=$AR$1,"O","X"))</f>
        <v/>
      </c>
      <c r="AS48" s="123" t="inlineStr">
        <is>
          <t>X</t>
        </is>
      </c>
      <c r="AT48" s="123">
        <f>IF(OR(F48="",AI48=""),"",IF(AND((F48&lt;=85),(AI48&gt;=15)),"O","X"))</f>
        <v/>
      </c>
      <c r="AU48" s="123">
        <f>IF(C48="","",IF(C48&gt;=$AU$1,"O","X"))</f>
        <v/>
      </c>
      <c r="AV48" s="12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7">
      <formula>AV4="X"</formula>
    </cfRule>
    <cfRule type="expression" priority="692" dxfId="16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7">
      <formula>AV7="X"</formula>
    </cfRule>
    <cfRule type="expression" priority="672" dxfId="16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7">
      <formula>AV8="X"</formula>
    </cfRule>
    <cfRule type="expression" priority="654" dxfId="16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7">
      <formula>AV9="X"</formula>
    </cfRule>
    <cfRule type="expression" priority="650" dxfId="16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7">
      <formula>AV10="X"</formula>
    </cfRule>
    <cfRule type="expression" priority="632" dxfId="16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7">
      <formula>AV11="X"</formula>
    </cfRule>
    <cfRule type="expression" priority="614" dxfId="16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7">
      <formula>AV13="X"</formula>
    </cfRule>
    <cfRule type="expression" priority="592" dxfId="16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7">
      <formula>AV14="X"</formula>
    </cfRule>
    <cfRule type="expression" priority="574" dxfId="16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7">
      <formula>AV15="X"</formula>
    </cfRule>
    <cfRule type="expression" priority="556" dxfId="16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7">
      <formula>AV16="X"</formula>
    </cfRule>
    <cfRule type="expression" priority="538" dxfId="16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7">
      <formula>AV17="X"</formula>
    </cfRule>
    <cfRule type="expression" priority="520" dxfId="16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7">
      <formula>AV18="X"</formula>
    </cfRule>
    <cfRule type="expression" priority="502" dxfId="16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7">
      <formula>AV19="X"</formula>
    </cfRule>
    <cfRule type="expression" priority="498" dxfId="16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7">
      <formula>AV20="X"</formula>
    </cfRule>
    <cfRule type="expression" priority="480" dxfId="16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7">
      <formula>AV21="X"</formula>
    </cfRule>
    <cfRule type="expression" priority="462" dxfId="16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7">
      <formula>AV22="X"</formula>
    </cfRule>
    <cfRule type="expression" priority="444" dxfId="16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7">
      <formula>AV23="X"</formula>
    </cfRule>
    <cfRule type="expression" priority="426" dxfId="16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7">
      <formula>AV24="X"</formula>
    </cfRule>
    <cfRule type="expression" priority="408" dxfId="16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7">
      <formula>AV25="X"</formula>
    </cfRule>
    <cfRule type="expression" priority="390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7">
      <formula>AV27="X"</formula>
    </cfRule>
    <cfRule type="expression" priority="368" dxfId="16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7">
      <formula>AV28="X"</formula>
    </cfRule>
    <cfRule type="expression" priority="350" dxfId="16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7">
      <formula>AV29="X"</formula>
    </cfRule>
    <cfRule type="expression" priority="332" dxfId="16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7">
      <formula>AV30="X"</formula>
    </cfRule>
    <cfRule type="expression" priority="314" dxfId="16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7">
      <formula>AV31="X"</formula>
    </cfRule>
    <cfRule type="expression" priority="310" dxfId="16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7">
      <formula>AV32="X"</formula>
    </cfRule>
    <cfRule type="expression" priority="292" dxfId="16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7">
      <formula>AV33="X"</formula>
    </cfRule>
    <cfRule type="expression" priority="274" dxfId="16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7">
      <formula>AV34="X"</formula>
    </cfRule>
    <cfRule type="expression" priority="256" dxfId="16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7">
      <formula>AV36="X"</formula>
    </cfRule>
    <cfRule type="expression" priority="220" dxfId="16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7">
      <formula>AV37="X"</formula>
    </cfRule>
    <cfRule type="expression" priority="202" dxfId="16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7">
      <formula>AV38="X"</formula>
    </cfRule>
    <cfRule type="expression" priority="184" dxfId="16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7">
      <formula>AV39="X"</formula>
    </cfRule>
    <cfRule type="expression" priority="180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7">
      <formula>AV41="X"</formula>
    </cfRule>
    <cfRule type="expression" priority="144" dxfId="16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7">
      <formula>AV42="X"</formula>
    </cfRule>
    <cfRule type="expression" priority="126" dxfId="16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7">
      <formula>AV43="X"</formula>
    </cfRule>
    <cfRule type="expression" priority="108" dxfId="16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7">
      <formula>AV44="X"</formula>
    </cfRule>
    <cfRule type="expression" priority="90" dxfId="16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7">
      <formula>AV45="X"</formula>
    </cfRule>
    <cfRule type="expression" priority="72" dxfId="16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7">
      <formula>AV46="X"</formula>
    </cfRule>
    <cfRule type="expression" priority="54" dxfId="16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7">
      <formula>AV47="X"</formula>
    </cfRule>
    <cfRule type="expression" priority="36" dxfId="16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7">
      <formula>AV48="X"</formula>
    </cfRule>
    <cfRule type="expression" priority="18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금호타운2단지</t>
        </is>
      </c>
      <c r="B6" s="10" t="inlineStr">
        <is>
          <t>'96.11.</t>
        </is>
      </c>
      <c r="C6" s="135" t="n">
        <v>358</v>
      </c>
      <c r="D6" s="133" t="n">
        <v>76.2</v>
      </c>
      <c r="E6" s="134" t="n">
        <v>23</v>
      </c>
      <c r="F6" s="133" t="n">
        <v>59.6</v>
      </c>
      <c r="G6" s="17" t="n">
        <v>18</v>
      </c>
      <c r="H6" s="135" t="n">
        <v>150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1</v>
      </c>
      <c r="S6" s="123" t="inlineStr">
        <is>
          <t>계</t>
        </is>
      </c>
      <c r="T6" s="5" t="n">
        <v>76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5" t="n">
        <v>358</v>
      </c>
      <c r="D7" s="133" t="n">
        <v>103</v>
      </c>
      <c r="E7" s="134" t="n">
        <v>31</v>
      </c>
      <c r="F7" s="133" t="n">
        <v>84.59999999999999</v>
      </c>
      <c r="G7" s="17" t="n">
        <v>26</v>
      </c>
      <c r="H7" s="135" t="n">
        <v>208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n">
        <v>102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n"/>
      <c r="B8" s="123" t="n"/>
      <c r="C8" s="6" t="n"/>
      <c r="D8" s="9" t="n"/>
      <c r="E8" s="14" t="n"/>
      <c r="F8" s="133" t="n"/>
      <c r="G8" s="9" t="n"/>
      <c r="H8" s="9" t="n"/>
      <c r="I8" s="9" t="n"/>
      <c r="J8" s="9" t="n"/>
      <c r="K8" s="9" t="n"/>
      <c r="L8" s="9" t="n"/>
      <c r="M8" s="9" t="n"/>
      <c r="N8" s="9" t="n"/>
      <c r="O8" s="138" t="n"/>
      <c r="P8" s="138" t="n"/>
      <c r="Q8" s="134" t="n"/>
      <c r="R8" s="134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8">
        <f>IF(E8="","",E8)</f>
        <v/>
      </c>
      <c r="AJ8" s="123" t="n"/>
      <c r="AK8" s="123" t="n"/>
      <c r="AL8" s="123" t="n"/>
      <c r="AM8" s="123" t="n"/>
      <c r="AN8" s="123" t="n"/>
      <c r="AO8" s="123" t="n"/>
      <c r="AP8" s="123" t="n"/>
      <c r="AQ8" s="123" t="n"/>
      <c r="AR8" s="123" t="n"/>
      <c r="AS8" s="123" t="n"/>
      <c r="AT8" s="123" t="n"/>
      <c r="AU8" s="123" t="n"/>
      <c r="AV8" s="123" t="n"/>
    </row>
    <row r="9">
      <c r="A9" s="9" t="inlineStr">
        <is>
          <t>금호타운1단지</t>
        </is>
      </c>
      <c r="B9" s="10" t="inlineStr">
        <is>
          <t>'93.02.</t>
        </is>
      </c>
      <c r="C9" s="135" t="n">
        <v>342</v>
      </c>
      <c r="D9" s="133" t="n">
        <v>89.40000000000001</v>
      </c>
      <c r="E9" s="134" t="n">
        <v>27</v>
      </c>
      <c r="F9" s="133" t="n">
        <v>73.09999999999999</v>
      </c>
      <c r="G9" s="17" t="n">
        <v>22</v>
      </c>
      <c r="H9" s="135" t="n">
        <v>138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n">
        <v>89</v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5" t="n">
        <v>342</v>
      </c>
      <c r="D10" s="133" t="n">
        <v>102</v>
      </c>
      <c r="E10" s="134" t="n">
        <v>31</v>
      </c>
      <c r="F10" s="133" t="n">
        <v>84.8</v>
      </c>
      <c r="G10" s="17" t="n">
        <v>26</v>
      </c>
      <c r="H10" s="135" t="n">
        <v>204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n">
        <v>102</v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7">
      <formula>AV7="X"</formula>
    </cfRule>
    <cfRule type="expression" priority="58" dxfId="16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7">
      <formula>AV8="X"</formula>
    </cfRule>
    <cfRule type="expression" priority="40" dxfId="16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7">
      <formula>AV9="X"</formula>
    </cfRule>
    <cfRule type="expression" priority="36" dxfId="16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7">
      <formula>AV10="X"</formula>
    </cfRule>
    <cfRule type="expression" priority="18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시영1단지</t>
        </is>
      </c>
      <c r="B6" s="10" t="inlineStr">
        <is>
          <t>'90.12.</t>
        </is>
      </c>
      <c r="C6" s="135" t="n">
        <v>280</v>
      </c>
      <c r="D6" s="133" t="n">
        <v>43.9</v>
      </c>
      <c r="E6" s="134" t="n">
        <v>13</v>
      </c>
      <c r="F6" s="133" t="n">
        <v>34.4</v>
      </c>
      <c r="G6" s="17" t="n">
        <v>10</v>
      </c>
      <c r="H6" s="135" t="n">
        <v>40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2</v>
      </c>
      <c r="R6" s="123" t="n">
        <v>1</v>
      </c>
      <c r="S6" s="123" t="inlineStr">
        <is>
          <t>계</t>
        </is>
      </c>
      <c r="T6" s="5" t="inlineStr">
        <is>
          <t>43A</t>
        </is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5" t="n">
        <v>280</v>
      </c>
      <c r="D7" s="133" t="n">
        <v>44.1</v>
      </c>
      <c r="E7" s="134" t="n">
        <v>13</v>
      </c>
      <c r="F7" s="133" t="n">
        <v>34.7</v>
      </c>
      <c r="G7" s="17" t="n">
        <v>10</v>
      </c>
      <c r="H7" s="135" t="n">
        <v>40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2</v>
      </c>
      <c r="R7" s="123" t="n">
        <v>1</v>
      </c>
      <c r="S7" s="123" t="inlineStr">
        <is>
          <t>계</t>
        </is>
      </c>
      <c r="T7" s="5" t="inlineStr">
        <is>
          <t>44B</t>
        </is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5" t="n">
        <v>280</v>
      </c>
      <c r="D8" s="133" t="n">
        <v>53.4</v>
      </c>
      <c r="E8" s="134" t="n">
        <v>16</v>
      </c>
      <c r="F8" s="133" t="n">
        <v>43.5</v>
      </c>
      <c r="G8" s="17" t="n">
        <v>13</v>
      </c>
      <c r="H8" s="135" t="n">
        <v>150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1</v>
      </c>
      <c r="S8" s="123" t="inlineStr">
        <is>
          <t>계</t>
        </is>
      </c>
      <c r="T8" s="5" t="inlineStr">
        <is>
          <t>53A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5" t="n">
        <v>280</v>
      </c>
      <c r="D9" s="133" t="n">
        <v>54</v>
      </c>
      <c r="E9" s="134" t="n">
        <v>16</v>
      </c>
      <c r="F9" s="133" t="n">
        <v>44.1</v>
      </c>
      <c r="G9" s="17" t="n">
        <v>13</v>
      </c>
      <c r="H9" s="135" t="n">
        <v>50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1</v>
      </c>
      <c r="S9" s="123" t="inlineStr">
        <is>
          <t>계</t>
        </is>
      </c>
      <c r="T9" s="5" t="inlineStr">
        <is>
          <t>54B</t>
        </is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n"/>
      <c r="B10" s="123" t="n"/>
      <c r="C10" s="6" t="n"/>
      <c r="D10" s="9" t="n"/>
      <c r="E10" s="14" t="n"/>
      <c r="F10" s="133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8" t="n"/>
      <c r="P10" s="138" t="n"/>
      <c r="Q10" s="134" t="n"/>
      <c r="R10" s="134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8">
        <f>IF(E10="","",E10)</f>
        <v/>
      </c>
      <c r="AJ10" s="123" t="n"/>
      <c r="AK10" s="123" t="n"/>
      <c r="AL10" s="123" t="n"/>
      <c r="AM10" s="123" t="n"/>
      <c r="AN10" s="123" t="n"/>
      <c r="AO10" s="123" t="n"/>
      <c r="AP10" s="123" t="n"/>
      <c r="AQ10" s="123" t="n"/>
      <c r="AR10" s="123" t="n"/>
      <c r="AS10" s="123" t="n"/>
      <c r="AT10" s="123" t="n"/>
      <c r="AU10" s="123" t="n"/>
      <c r="AV10" s="123" t="n"/>
    </row>
    <row r="11">
      <c r="A11" s="9" t="inlineStr">
        <is>
          <t>산북대명1차</t>
        </is>
      </c>
      <c r="B11" s="10" t="inlineStr">
        <is>
          <t>'97.09.</t>
        </is>
      </c>
      <c r="C11" s="135" t="n">
        <v>225</v>
      </c>
      <c r="D11" s="133" t="n">
        <v>56.1</v>
      </c>
      <c r="E11" s="134" t="n">
        <v>17</v>
      </c>
      <c r="F11" s="133" t="n">
        <v>40</v>
      </c>
      <c r="G11" s="17" t="n">
        <v>12</v>
      </c>
      <c r="H11" s="135" t="n">
        <v>225</v>
      </c>
      <c r="I11" s="136" t="n"/>
      <c r="J11" s="136" t="n"/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2</v>
      </c>
      <c r="R11" s="123" t="n">
        <v>1</v>
      </c>
      <c r="S11" s="123" t="inlineStr">
        <is>
          <t>복</t>
        </is>
      </c>
      <c r="T11" s="5" t="n">
        <v>56</v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n"/>
      <c r="B12" s="123" t="n"/>
      <c r="C12" s="6" t="n"/>
      <c r="D12" s="9" t="n"/>
      <c r="E12" s="14" t="n"/>
      <c r="F12" s="133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8" t="n"/>
      <c r="P12" s="138" t="n"/>
      <c r="Q12" s="134" t="n"/>
      <c r="R12" s="134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8">
        <f>IF(E12="","",E12)</f>
        <v/>
      </c>
      <c r="AJ12" s="123" t="n"/>
      <c r="AK12" s="123" t="n"/>
      <c r="AL12" s="123" t="n"/>
      <c r="AM12" s="123" t="n"/>
      <c r="AN12" s="123" t="n"/>
      <c r="AO12" s="123" t="n"/>
      <c r="AP12" s="123" t="n"/>
      <c r="AQ12" s="123" t="n"/>
      <c r="AR12" s="123" t="n"/>
      <c r="AS12" s="123" t="n"/>
      <c r="AT12" s="123" t="n"/>
      <c r="AU12" s="123" t="n"/>
      <c r="AV12" s="123" t="n"/>
    </row>
    <row r="13">
      <c r="A13" s="9" t="inlineStr">
        <is>
          <t>시영2단지</t>
        </is>
      </c>
      <c r="B13" s="10" t="inlineStr">
        <is>
          <t>'91.11.</t>
        </is>
      </c>
      <c r="C13" s="135" t="n">
        <v>200</v>
      </c>
      <c r="D13" s="133" t="n">
        <v>44.5</v>
      </c>
      <c r="E13" s="134" t="n">
        <v>13</v>
      </c>
      <c r="F13" s="133" t="n">
        <v>35.4</v>
      </c>
      <c r="G13" s="17" t="n">
        <v>11</v>
      </c>
      <c r="H13" s="135" t="n">
        <v>100</v>
      </c>
      <c r="I13" s="136" t="n"/>
      <c r="J13" s="136" t="n"/>
      <c r="K13" s="136" t="n"/>
      <c r="L13" s="136" t="n"/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2</v>
      </c>
      <c r="R13" s="123" t="n">
        <v>1</v>
      </c>
      <c r="S13" s="123" t="inlineStr">
        <is>
          <t>계</t>
        </is>
      </c>
      <c r="T13" s="5" t="n">
        <v>44</v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5" t="n">
        <v>200</v>
      </c>
      <c r="D14" s="133" t="n">
        <v>59.9</v>
      </c>
      <c r="E14" s="134" t="n">
        <v>18</v>
      </c>
      <c r="F14" s="133" t="n">
        <v>48.5</v>
      </c>
      <c r="G14" s="17" t="n">
        <v>15</v>
      </c>
      <c r="H14" s="135" t="n">
        <v>100</v>
      </c>
      <c r="I14" s="136" t="n"/>
      <c r="J14" s="136" t="n"/>
      <c r="K14" s="136" t="n"/>
      <c r="L14" s="136" t="n"/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3</v>
      </c>
      <c r="R14" s="123" t="n">
        <v>1</v>
      </c>
      <c r="S14" s="123" t="inlineStr">
        <is>
          <t>계</t>
        </is>
      </c>
      <c r="T14" s="5" t="n">
        <v>59</v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  <row r="15">
      <c r="A15" s="9" t="n"/>
      <c r="B15" s="123" t="n"/>
      <c r="C15" s="6" t="n"/>
      <c r="D15" s="9" t="n"/>
      <c r="E15" s="14" t="n"/>
      <c r="F15" s="133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8" t="n"/>
      <c r="P15" s="138" t="n"/>
      <c r="Q15" s="134" t="n"/>
      <c r="R15" s="134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8">
        <f>IF(E15="","",E15)</f>
        <v/>
      </c>
      <c r="AJ15" s="123" t="n"/>
      <c r="AK15" s="123" t="n"/>
      <c r="AL15" s="123" t="n"/>
      <c r="AM15" s="123" t="n"/>
      <c r="AN15" s="123" t="n"/>
      <c r="AO15" s="123" t="n"/>
      <c r="AP15" s="123" t="n"/>
      <c r="AQ15" s="123" t="n"/>
      <c r="AR15" s="123" t="n"/>
      <c r="AS15" s="123" t="n"/>
      <c r="AT15" s="123" t="n"/>
      <c r="AU15" s="123" t="n"/>
      <c r="AV15" s="123" t="n"/>
    </row>
    <row r="16">
      <c r="A16" s="9" t="inlineStr">
        <is>
          <t>코오롱</t>
        </is>
      </c>
      <c r="B16" s="10" t="inlineStr">
        <is>
          <t>'94.11.</t>
        </is>
      </c>
      <c r="C16" s="135" t="n">
        <v>380</v>
      </c>
      <c r="D16" s="133" t="n">
        <v>75.90000000000001</v>
      </c>
      <c r="E16" s="134" t="n">
        <v>23</v>
      </c>
      <c r="F16" s="133" t="n">
        <v>59.4</v>
      </c>
      <c r="G16" s="17" t="n">
        <v>18</v>
      </c>
      <c r="H16" s="135" t="n">
        <v>254</v>
      </c>
      <c r="I16" s="136" t="n">
        <v>9000</v>
      </c>
      <c r="J16" s="136" t="inlineStr">
        <is>
          <t>12</t>
        </is>
      </c>
      <c r="K16" s="136" t="n"/>
      <c r="L16" s="136" t="n"/>
      <c r="M16" s="137">
        <f>I16-K16</f>
        <v/>
      </c>
      <c r="N16" s="4">
        <f>IF(ISERROR(K16/I16),"",K16/I16)</f>
        <v/>
      </c>
      <c r="O16" s="138">
        <f>I16/E16</f>
        <v/>
      </c>
      <c r="P16" s="138">
        <f>K16/E16</f>
        <v/>
      </c>
      <c r="Q16" s="123" t="n">
        <v>3</v>
      </c>
      <c r="R16" s="123" t="n">
        <v>1</v>
      </c>
      <c r="S16" s="123" t="inlineStr">
        <is>
          <t>계</t>
        </is>
      </c>
      <c r="T16" s="5" t="n">
        <v>75</v>
      </c>
      <c r="U16" s="9" t="n"/>
      <c r="W16" s="133">
        <f>D16</f>
        <v/>
      </c>
      <c r="X16" s="134">
        <f>E16</f>
        <v/>
      </c>
      <c r="Y16" s="139">
        <f>H16</f>
        <v/>
      </c>
      <c r="Z16" s="137">
        <f>I16</f>
        <v/>
      </c>
      <c r="AA16" s="137">
        <f>K16</f>
        <v/>
      </c>
      <c r="AB16" s="137">
        <f>M16</f>
        <v/>
      </c>
      <c r="AC16" s="4">
        <f>N16</f>
        <v/>
      </c>
      <c r="AD16" s="138">
        <f>O16</f>
        <v/>
      </c>
      <c r="AE16" s="123">
        <f>S16</f>
        <v/>
      </c>
      <c r="AF16" s="123">
        <f>Q16&amp;"/"&amp;R16</f>
        <v/>
      </c>
      <c r="AH16" s="20">
        <f>IF(A16="","",A16)</f>
        <v/>
      </c>
      <c r="AI16" s="134">
        <f>IF(E16="","",E16)</f>
        <v/>
      </c>
      <c r="AJ16" s="123">
        <f>IF(AI16="","",$AJ$2)</f>
        <v/>
      </c>
      <c r="AK16" s="123" t="inlineStr">
        <is>
          <t>A</t>
        </is>
      </c>
      <c r="AL16" s="123" t="inlineStr">
        <is>
          <t>A+</t>
        </is>
      </c>
      <c r="AM16" s="123" t="inlineStr">
        <is>
          <t>B+</t>
        </is>
      </c>
      <c r="AN16" s="123">
        <f>IF(AI16="","",$AN$2)</f>
        <v/>
      </c>
      <c r="AO16" s="123">
        <f>IF(N16="","",IF(N16&gt;=$AO$1/100,"O","X"))</f>
        <v/>
      </c>
      <c r="AP16" s="123">
        <f>IF(I16="","",IF(I16&lt;=$AP$1,"O","X"))</f>
        <v/>
      </c>
      <c r="AQ16" s="123">
        <f>IF(O16="","",IF(O16&lt;=$AQ$1,"O","X"))</f>
        <v/>
      </c>
      <c r="AR16" s="123">
        <f>IF(M16="","",IF(M16&lt;=$AR$1,"O","X"))</f>
        <v/>
      </c>
      <c r="AS16" s="123" t="inlineStr">
        <is>
          <t>X</t>
        </is>
      </c>
      <c r="AT16" s="123">
        <f>IF(OR(F16="",AI16=""),"",IF(AND((F16&lt;=85),(AI16&gt;=15)),"O","X"))</f>
        <v/>
      </c>
      <c r="AU16" s="123">
        <f>IF(C16="","",IF(C16&gt;=$AU$1,"O","X"))</f>
        <v/>
      </c>
      <c r="AV16" s="123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5" t="n">
        <v>380</v>
      </c>
      <c r="D17" s="133" t="n">
        <v>102.9</v>
      </c>
      <c r="E17" s="134" t="n">
        <v>31</v>
      </c>
      <c r="F17" s="133" t="n">
        <v>84.5</v>
      </c>
      <c r="G17" s="17" t="n">
        <v>26</v>
      </c>
      <c r="H17" s="135" t="n">
        <v>126</v>
      </c>
      <c r="I17" s="136" t="n"/>
      <c r="J17" s="136" t="n"/>
      <c r="K17" s="136" t="n"/>
      <c r="L17" s="136" t="n"/>
      <c r="M17" s="137">
        <f>I17-K17</f>
        <v/>
      </c>
      <c r="N17" s="4">
        <f>IF(ISERROR(K17/I17),"",K17/I17)</f>
        <v/>
      </c>
      <c r="O17" s="138">
        <f>I17/E17</f>
        <v/>
      </c>
      <c r="P17" s="138">
        <f>K17/E17</f>
        <v/>
      </c>
      <c r="Q17" s="123" t="n">
        <v>3</v>
      </c>
      <c r="R17" s="123" t="n">
        <v>2</v>
      </c>
      <c r="S17" s="123" t="inlineStr">
        <is>
          <t>계</t>
        </is>
      </c>
      <c r="T17" s="5" t="n">
        <v>102</v>
      </c>
      <c r="U17" s="9" t="n"/>
      <c r="W17" s="133">
        <f>D17</f>
        <v/>
      </c>
      <c r="X17" s="134">
        <f>E17</f>
        <v/>
      </c>
      <c r="Y17" s="139">
        <f>H17</f>
        <v/>
      </c>
      <c r="Z17" s="137">
        <f>I17</f>
        <v/>
      </c>
      <c r="AA17" s="137">
        <f>K17</f>
        <v/>
      </c>
      <c r="AB17" s="137">
        <f>M17</f>
        <v/>
      </c>
      <c r="AC17" s="4">
        <f>N17</f>
        <v/>
      </c>
      <c r="AD17" s="138">
        <f>O17</f>
        <v/>
      </c>
      <c r="AE17" s="123">
        <f>S17</f>
        <v/>
      </c>
      <c r="AF17" s="123">
        <f>Q17&amp;"/"&amp;R17</f>
        <v/>
      </c>
      <c r="AH17" s="20">
        <f>IF(A17="","",A17)</f>
        <v/>
      </c>
      <c r="AI17" s="134">
        <f>IF(E17="","",E17)</f>
        <v/>
      </c>
      <c r="AJ17" s="123">
        <f>IF(AI17="","",$AJ$2)</f>
        <v/>
      </c>
      <c r="AK17" s="123" t="inlineStr">
        <is>
          <t>A</t>
        </is>
      </c>
      <c r="AL17" s="123" t="inlineStr">
        <is>
          <t>A+</t>
        </is>
      </c>
      <c r="AM17" s="123" t="inlineStr">
        <is>
          <t>B+</t>
        </is>
      </c>
      <c r="AN17" s="123">
        <f>IF(AI17="","",$AN$2)</f>
        <v/>
      </c>
      <c r="AO17" s="123">
        <f>IF(N17="","",IF(N17&gt;=$AO$1/100,"O","X"))</f>
        <v/>
      </c>
      <c r="AP17" s="123">
        <f>IF(I17="","",IF(I17&lt;=$AP$1,"O","X"))</f>
        <v/>
      </c>
      <c r="AQ17" s="123">
        <f>IF(O17="","",IF(O17&lt;=$AQ$1,"O","X"))</f>
        <v/>
      </c>
      <c r="AR17" s="123">
        <f>IF(M17="","",IF(M17&lt;=$AR$1,"O","X"))</f>
        <v/>
      </c>
      <c r="AS17" s="123" t="inlineStr">
        <is>
          <t>X</t>
        </is>
      </c>
      <c r="AT17" s="123">
        <f>IF(OR(F17="",AI17=""),"",IF(AND((F17&lt;=85),(AI17&gt;=15)),"O","X"))</f>
        <v/>
      </c>
      <c r="AU17" s="123">
        <f>IF(C17="","",IF(C17&gt;=$AU$1,"O","X"))</f>
        <v/>
      </c>
      <c r="AV17" s="123">
        <f>IF(AO17="","",IF(AND(AO17="O",AP17="O",AR17="O",AT17="O",AU17="O"),"후보","X"))</f>
        <v/>
      </c>
    </row>
    <row r="18">
      <c r="A18" s="9" t="n"/>
      <c r="B18" s="123" t="n"/>
      <c r="C18" s="6" t="n"/>
      <c r="D18" s="9" t="n"/>
      <c r="E18" s="14" t="n"/>
      <c r="F18" s="133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8" t="n"/>
      <c r="P18" s="138" t="n"/>
      <c r="Q18" s="134" t="n"/>
      <c r="R18" s="134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8">
        <f>IF(E18="","",E18)</f>
        <v/>
      </c>
      <c r="AJ18" s="123" t="n"/>
      <c r="AK18" s="123" t="n"/>
      <c r="AL18" s="123" t="n"/>
      <c r="AM18" s="123" t="n"/>
      <c r="AN18" s="123" t="n"/>
      <c r="AO18" s="123" t="n"/>
      <c r="AP18" s="123" t="n"/>
      <c r="AQ18" s="123" t="n"/>
      <c r="AR18" s="123" t="n"/>
      <c r="AS18" s="123" t="n"/>
      <c r="AT18" s="123" t="n"/>
      <c r="AU18" s="123" t="n"/>
      <c r="AV18" s="123" t="n"/>
    </row>
    <row r="19">
      <c r="A19" s="9" t="inlineStr">
        <is>
          <t>산북주공</t>
        </is>
      </c>
      <c r="B19" s="10" t="inlineStr">
        <is>
          <t>'89.04.</t>
        </is>
      </c>
      <c r="C19" s="135" t="n">
        <v>750</v>
      </c>
      <c r="D19" s="133" t="n">
        <v>49.9</v>
      </c>
      <c r="E19" s="134" t="n">
        <v>15</v>
      </c>
      <c r="F19" s="133" t="n">
        <v>39.7</v>
      </c>
      <c r="G19" s="17" t="n">
        <v>12</v>
      </c>
      <c r="H19" s="135" t="n">
        <v>110</v>
      </c>
      <c r="I19" s="136" t="n">
        <v>7400</v>
      </c>
      <c r="J19" s="136" t="inlineStr">
        <is>
          <t>5</t>
        </is>
      </c>
      <c r="K19" s="136" t="n"/>
      <c r="L19" s="136" t="n"/>
      <c r="M19" s="137">
        <f>I19-K19</f>
        <v/>
      </c>
      <c r="N19" s="4">
        <f>IF(ISERROR(K19/I19),"",K19/I19)</f>
        <v/>
      </c>
      <c r="O19" s="138">
        <f>I19/E19</f>
        <v/>
      </c>
      <c r="P19" s="138">
        <f>K19/E19</f>
        <v/>
      </c>
      <c r="Q19" s="123" t="n">
        <v>2</v>
      </c>
      <c r="R19" s="123" t="n">
        <v>1</v>
      </c>
      <c r="S19" s="123" t="inlineStr">
        <is>
          <t>계</t>
        </is>
      </c>
      <c r="T19" s="5" t="inlineStr">
        <is>
          <t>49A</t>
        </is>
      </c>
      <c r="U19" s="9" t="n"/>
      <c r="W19" s="133">
        <f>D19</f>
        <v/>
      </c>
      <c r="X19" s="134">
        <f>E19</f>
        <v/>
      </c>
      <c r="Y19" s="139">
        <f>H19</f>
        <v/>
      </c>
      <c r="Z19" s="137">
        <f>I19</f>
        <v/>
      </c>
      <c r="AA19" s="137">
        <f>K19</f>
        <v/>
      </c>
      <c r="AB19" s="137">
        <f>M19</f>
        <v/>
      </c>
      <c r="AC19" s="4">
        <f>N19</f>
        <v/>
      </c>
      <c r="AD19" s="138">
        <f>O19</f>
        <v/>
      </c>
      <c r="AE19" s="123">
        <f>S19</f>
        <v/>
      </c>
      <c r="AF19" s="123">
        <f>Q19&amp;"/"&amp;R19</f>
        <v/>
      </c>
      <c r="AH19" s="20">
        <f>IF(A19="","",A19)</f>
        <v/>
      </c>
      <c r="AI19" s="134">
        <f>IF(E19="","",E19)</f>
        <v/>
      </c>
      <c r="AJ19" s="123">
        <f>IF(AI19="","",$AJ$2)</f>
        <v/>
      </c>
      <c r="AK19" s="123" t="inlineStr">
        <is>
          <t>A</t>
        </is>
      </c>
      <c r="AL19" s="123" t="inlineStr">
        <is>
          <t>A+</t>
        </is>
      </c>
      <c r="AM19" s="123" t="inlineStr">
        <is>
          <t>B+</t>
        </is>
      </c>
      <c r="AN19" s="123">
        <f>IF(AI19="","",$AN$2)</f>
        <v/>
      </c>
      <c r="AO19" s="123">
        <f>IF(N19="","",IF(N19&gt;=$AO$1/100,"O","X"))</f>
        <v/>
      </c>
      <c r="AP19" s="123">
        <f>IF(I19="","",IF(I19&lt;=$AP$1,"O","X"))</f>
        <v/>
      </c>
      <c r="AQ19" s="123">
        <f>IF(O19="","",IF(O19&lt;=$AQ$1,"O","X"))</f>
        <v/>
      </c>
      <c r="AR19" s="123">
        <f>IF(M19="","",IF(M19&lt;=$AR$1,"O","X"))</f>
        <v/>
      </c>
      <c r="AS19" s="123" t="inlineStr">
        <is>
          <t>X</t>
        </is>
      </c>
      <c r="AT19" s="123">
        <f>IF(OR(F19="",AI19=""),"",IF(AND((F19&lt;=85),(AI19&gt;=15)),"O","X"))</f>
        <v/>
      </c>
      <c r="AU19" s="123">
        <f>IF(C19="","",IF(C19&gt;=$AU$1,"O","X"))</f>
        <v/>
      </c>
      <c r="AV19" s="123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5" t="n">
        <v>750</v>
      </c>
      <c r="D20" s="133" t="n">
        <v>49.5</v>
      </c>
      <c r="E20" s="134" t="n">
        <v>15</v>
      </c>
      <c r="F20" s="133" t="n">
        <v>39.3</v>
      </c>
      <c r="G20" s="17" t="n">
        <v>12</v>
      </c>
      <c r="H20" s="135" t="n">
        <v>110</v>
      </c>
      <c r="I20" s="136" t="n"/>
      <c r="J20" s="136" t="n"/>
      <c r="K20" s="136" t="n"/>
      <c r="L20" s="136" t="n"/>
      <c r="M20" s="137">
        <f>I20-K20</f>
        <v/>
      </c>
      <c r="N20" s="4">
        <f>IF(ISERROR(K20/I20),"",K20/I20)</f>
        <v/>
      </c>
      <c r="O20" s="138">
        <f>I20/E20</f>
        <v/>
      </c>
      <c r="P20" s="138">
        <f>K20/E20</f>
        <v/>
      </c>
      <c r="Q20" s="123" t="n">
        <v>2</v>
      </c>
      <c r="R20" s="123" t="n">
        <v>1</v>
      </c>
      <c r="S20" s="123" t="inlineStr">
        <is>
          <t>계</t>
        </is>
      </c>
      <c r="T20" s="5" t="inlineStr">
        <is>
          <t>49B</t>
        </is>
      </c>
      <c r="U20" s="9" t="n"/>
      <c r="W20" s="133">
        <f>D20</f>
        <v/>
      </c>
      <c r="X20" s="134">
        <f>E20</f>
        <v/>
      </c>
      <c r="Y20" s="139">
        <f>H20</f>
        <v/>
      </c>
      <c r="Z20" s="137">
        <f>I20</f>
        <v/>
      </c>
      <c r="AA20" s="137">
        <f>K20</f>
        <v/>
      </c>
      <c r="AB20" s="137">
        <f>M20</f>
        <v/>
      </c>
      <c r="AC20" s="4">
        <f>N20</f>
        <v/>
      </c>
      <c r="AD20" s="138">
        <f>O20</f>
        <v/>
      </c>
      <c r="AE20" s="123">
        <f>S20</f>
        <v/>
      </c>
      <c r="AF20" s="123">
        <f>Q20&amp;"/"&amp;R20</f>
        <v/>
      </c>
      <c r="AH20" s="20">
        <f>IF(A20="","",A20)</f>
        <v/>
      </c>
      <c r="AI20" s="134">
        <f>IF(E20="","",E20)</f>
        <v/>
      </c>
      <c r="AJ20" s="123">
        <f>IF(AI20="","",$AJ$2)</f>
        <v/>
      </c>
      <c r="AK20" s="123" t="inlineStr">
        <is>
          <t>A</t>
        </is>
      </c>
      <c r="AL20" s="123" t="inlineStr">
        <is>
          <t>A+</t>
        </is>
      </c>
      <c r="AM20" s="123" t="inlineStr">
        <is>
          <t>B+</t>
        </is>
      </c>
      <c r="AN20" s="123">
        <f>IF(AI20="","",$AN$2)</f>
        <v/>
      </c>
      <c r="AO20" s="123">
        <f>IF(N20="","",IF(N20&gt;=$AO$1/100,"O","X"))</f>
        <v/>
      </c>
      <c r="AP20" s="123">
        <f>IF(I20="","",IF(I20&lt;=$AP$1,"O","X"))</f>
        <v/>
      </c>
      <c r="AQ20" s="123">
        <f>IF(O20="","",IF(O20&lt;=$AQ$1,"O","X"))</f>
        <v/>
      </c>
      <c r="AR20" s="123">
        <f>IF(M20="","",IF(M20&lt;=$AR$1,"O","X"))</f>
        <v/>
      </c>
      <c r="AS20" s="123" t="inlineStr">
        <is>
          <t>X</t>
        </is>
      </c>
      <c r="AT20" s="123">
        <f>IF(OR(F20="",AI20=""),"",IF(AND((F20&lt;=85),(AI20&gt;=15)),"O","X"))</f>
        <v/>
      </c>
      <c r="AU20" s="123">
        <f>IF(C20="","",IF(C20&gt;=$AU$1,"O","X"))</f>
        <v/>
      </c>
      <c r="AV20" s="123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5" t="n">
        <v>750</v>
      </c>
      <c r="D21" s="133" t="n">
        <v>57.9</v>
      </c>
      <c r="E21" s="134" t="n">
        <v>18</v>
      </c>
      <c r="F21" s="133" t="n">
        <v>47</v>
      </c>
      <c r="G21" s="17" t="n">
        <v>14</v>
      </c>
      <c r="H21" s="135" t="n">
        <v>290</v>
      </c>
      <c r="I21" s="136" t="n">
        <v>8000</v>
      </c>
      <c r="J21" s="136" t="inlineStr">
        <is>
          <t>5</t>
        </is>
      </c>
      <c r="K21" s="136" t="n"/>
      <c r="L21" s="136" t="n"/>
      <c r="M21" s="137">
        <f>I21-K21</f>
        <v/>
      </c>
      <c r="N21" s="4">
        <f>IF(ISERROR(K21/I21),"",K21/I21)</f>
        <v/>
      </c>
      <c r="O21" s="138">
        <f>I21/E21</f>
        <v/>
      </c>
      <c r="P21" s="138">
        <f>K21/E21</f>
        <v/>
      </c>
      <c r="Q21" s="123" t="n">
        <v>2</v>
      </c>
      <c r="R21" s="123" t="n">
        <v>1</v>
      </c>
      <c r="S21" s="123" t="inlineStr">
        <is>
          <t>계</t>
        </is>
      </c>
      <c r="T21" s="5" t="n">
        <v>57</v>
      </c>
      <c r="U21" s="9" t="n"/>
      <c r="W21" s="133">
        <f>D21</f>
        <v/>
      </c>
      <c r="X21" s="134">
        <f>E21</f>
        <v/>
      </c>
      <c r="Y21" s="139">
        <f>H21</f>
        <v/>
      </c>
      <c r="Z21" s="137">
        <f>I21</f>
        <v/>
      </c>
      <c r="AA21" s="137">
        <f>K21</f>
        <v/>
      </c>
      <c r="AB21" s="137">
        <f>M21</f>
        <v/>
      </c>
      <c r="AC21" s="4">
        <f>N21</f>
        <v/>
      </c>
      <c r="AD21" s="138">
        <f>O21</f>
        <v/>
      </c>
      <c r="AE21" s="123">
        <f>S21</f>
        <v/>
      </c>
      <c r="AF21" s="123">
        <f>Q21&amp;"/"&amp;R21</f>
        <v/>
      </c>
      <c r="AH21" s="20">
        <f>IF(A21="","",A21)</f>
        <v/>
      </c>
      <c r="AI21" s="134">
        <f>IF(E21="","",E21)</f>
        <v/>
      </c>
      <c r="AJ21" s="123">
        <f>IF(AI21="","",$AJ$2)</f>
        <v/>
      </c>
      <c r="AK21" s="123" t="inlineStr">
        <is>
          <t>A</t>
        </is>
      </c>
      <c r="AL21" s="123" t="inlineStr">
        <is>
          <t>A+</t>
        </is>
      </c>
      <c r="AM21" s="123" t="inlineStr">
        <is>
          <t>B+</t>
        </is>
      </c>
      <c r="AN21" s="123">
        <f>IF(AI21="","",$AN$2)</f>
        <v/>
      </c>
      <c r="AO21" s="123">
        <f>IF(N21="","",IF(N21&gt;=$AO$1/100,"O","X"))</f>
        <v/>
      </c>
      <c r="AP21" s="123">
        <f>IF(I21="","",IF(I21&lt;=$AP$1,"O","X"))</f>
        <v/>
      </c>
      <c r="AQ21" s="123">
        <f>IF(O21="","",IF(O21&lt;=$AQ$1,"O","X"))</f>
        <v/>
      </c>
      <c r="AR21" s="123">
        <f>IF(M21="","",IF(M21&lt;=$AR$1,"O","X"))</f>
        <v/>
      </c>
      <c r="AS21" s="123" t="inlineStr">
        <is>
          <t>X</t>
        </is>
      </c>
      <c r="AT21" s="123">
        <f>IF(OR(F21="",AI21=""),"",IF(AND((F21&lt;=85),(AI21&gt;=15)),"O","X"))</f>
        <v/>
      </c>
      <c r="AU21" s="123">
        <f>IF(C21="","",IF(C21&gt;=$AU$1,"O","X"))</f>
        <v/>
      </c>
      <c r="AV21" s="123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5" t="n">
        <v>750</v>
      </c>
      <c r="D22" s="133" t="n">
        <v>57.6</v>
      </c>
      <c r="E22" s="134" t="n">
        <v>17</v>
      </c>
      <c r="F22" s="133" t="n">
        <v>46.7</v>
      </c>
      <c r="G22" s="17" t="n">
        <v>14</v>
      </c>
      <c r="H22" s="135" t="n">
        <v>240</v>
      </c>
      <c r="I22" s="136" t="n">
        <v>8500</v>
      </c>
      <c r="J22" s="136" t="inlineStr">
        <is>
          <t>5</t>
        </is>
      </c>
      <c r="K22" s="136" t="n">
        <v>2500</v>
      </c>
      <c r="L22" s="136" t="inlineStr">
        <is>
          <t>5</t>
        </is>
      </c>
      <c r="M22" s="137">
        <f>I22-K22</f>
        <v/>
      </c>
      <c r="N22" s="4">
        <f>IF(ISERROR(K22/I22),"",K22/I22)</f>
        <v/>
      </c>
      <c r="O22" s="138">
        <f>I22/E22</f>
        <v/>
      </c>
      <c r="P22" s="138">
        <f>K22/E22</f>
        <v/>
      </c>
      <c r="Q22" s="123" t="n">
        <v>2</v>
      </c>
      <c r="R22" s="123" t="n">
        <v>1</v>
      </c>
      <c r="S22" s="123" t="inlineStr">
        <is>
          <t>계</t>
        </is>
      </c>
      <c r="T22" s="5" t="n">
        <v>57</v>
      </c>
      <c r="U22" s="9" t="n"/>
      <c r="W22" s="133">
        <f>D22</f>
        <v/>
      </c>
      <c r="X22" s="134">
        <f>E22</f>
        <v/>
      </c>
      <c r="Y22" s="139">
        <f>H22</f>
        <v/>
      </c>
      <c r="Z22" s="137">
        <f>I22</f>
        <v/>
      </c>
      <c r="AA22" s="137">
        <f>K22</f>
        <v/>
      </c>
      <c r="AB22" s="137">
        <f>M22</f>
        <v/>
      </c>
      <c r="AC22" s="4">
        <f>N22</f>
        <v/>
      </c>
      <c r="AD22" s="138">
        <f>O22</f>
        <v/>
      </c>
      <c r="AE22" s="123">
        <f>S22</f>
        <v/>
      </c>
      <c r="AF22" s="123">
        <f>Q22&amp;"/"&amp;R22</f>
        <v/>
      </c>
      <c r="AH22" s="20">
        <f>IF(A22="","",A22)</f>
        <v/>
      </c>
      <c r="AI22" s="134">
        <f>IF(E22="","",E22)</f>
        <v/>
      </c>
      <c r="AJ22" s="123">
        <f>IF(AI22="","",$AJ$2)</f>
        <v/>
      </c>
      <c r="AK22" s="123" t="inlineStr">
        <is>
          <t>A</t>
        </is>
      </c>
      <c r="AL22" s="123" t="inlineStr">
        <is>
          <t>A+</t>
        </is>
      </c>
      <c r="AM22" s="123" t="inlineStr">
        <is>
          <t>B+</t>
        </is>
      </c>
      <c r="AN22" s="123">
        <f>IF(AI22="","",$AN$2)</f>
        <v/>
      </c>
      <c r="AO22" s="123">
        <f>IF(N22="","",IF(N22&gt;=$AO$1/100,"O","X"))</f>
        <v/>
      </c>
      <c r="AP22" s="123">
        <f>IF(I22="","",IF(I22&lt;=$AP$1,"O","X"))</f>
        <v/>
      </c>
      <c r="AQ22" s="123">
        <f>IF(O22="","",IF(O22&lt;=$AQ$1,"O","X"))</f>
        <v/>
      </c>
      <c r="AR22" s="123">
        <f>IF(M22="","",IF(M22&lt;=$AR$1,"O","X"))</f>
        <v/>
      </c>
      <c r="AS22" s="123" t="inlineStr">
        <is>
          <t>X</t>
        </is>
      </c>
      <c r="AT22" s="123">
        <f>IF(OR(F22="",AI22=""),"",IF(AND((F22&lt;=85),(AI22&gt;=15)),"O","X"))</f>
        <v/>
      </c>
      <c r="AU22" s="123">
        <f>IF(C22="","",IF(C22&gt;=$AU$1,"O","X"))</f>
        <v/>
      </c>
      <c r="AV22" s="123">
        <f>IF(AO22="","",IF(AND(AO22="O",AP22="O",AR22="O",AT22="O",AU22="O"),"후보","X"))</f>
        <v/>
      </c>
    </row>
    <row r="23">
      <c r="A23" s="9" t="n"/>
      <c r="B23" s="123" t="n"/>
      <c r="C23" s="6" t="n"/>
      <c r="D23" s="9" t="n"/>
      <c r="E23" s="14" t="n"/>
      <c r="F23" s="133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8" t="n"/>
      <c r="P23" s="138" t="n"/>
      <c r="Q23" s="134" t="n"/>
      <c r="R23" s="134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8">
        <f>IF(E23="","",E23)</f>
        <v/>
      </c>
      <c r="AJ23" s="123" t="n"/>
      <c r="AK23" s="123" t="n"/>
      <c r="AL23" s="123" t="n"/>
      <c r="AM23" s="123" t="n"/>
      <c r="AN23" s="123" t="n"/>
      <c r="AO23" s="123" t="n"/>
      <c r="AP23" s="123" t="n"/>
      <c r="AQ23" s="123" t="n"/>
      <c r="AR23" s="123" t="n"/>
      <c r="AS23" s="123" t="n"/>
      <c r="AT23" s="123" t="n"/>
      <c r="AU23" s="123" t="n"/>
      <c r="AV23" s="123" t="n"/>
    </row>
    <row r="24">
      <c r="A24" s="9" t="inlineStr">
        <is>
          <t>산북하늘가201동</t>
        </is>
      </c>
      <c r="B24" s="10" t="inlineStr">
        <is>
          <t>'07.02.</t>
        </is>
      </c>
      <c r="C24" s="135" t="n">
        <v>220</v>
      </c>
      <c r="D24" s="133" t="n">
        <v>49</v>
      </c>
      <c r="E24" s="134" t="n">
        <v>15</v>
      </c>
      <c r="F24" s="133" t="n">
        <v>35.9</v>
      </c>
      <c r="G24" s="17" t="n">
        <v>11</v>
      </c>
      <c r="H24" s="135" t="n">
        <v>220</v>
      </c>
      <c r="I24" s="136" t="n"/>
      <c r="J24" s="136" t="n"/>
      <c r="K24" s="136" t="n"/>
      <c r="L24" s="136" t="n"/>
      <c r="M24" s="137">
        <f>I24-K24</f>
        <v/>
      </c>
      <c r="N24" s="4">
        <f>IF(ISERROR(K24/I24),"",K24/I24)</f>
        <v/>
      </c>
      <c r="O24" s="138">
        <f>I24/E24</f>
        <v/>
      </c>
      <c r="P24" s="138">
        <f>K24/E24</f>
        <v/>
      </c>
      <c r="Q24" s="123" t="n">
        <v>1</v>
      </c>
      <c r="R24" s="123" t="n">
        <v>1</v>
      </c>
      <c r="S24" s="123" t="inlineStr">
        <is>
          <t>계</t>
        </is>
      </c>
      <c r="T24" s="5" t="n">
        <v>48</v>
      </c>
      <c r="U24" s="9" t="n"/>
      <c r="W24" s="133">
        <f>D24</f>
        <v/>
      </c>
      <c r="X24" s="134">
        <f>E24</f>
        <v/>
      </c>
      <c r="Y24" s="139">
        <f>H24</f>
        <v/>
      </c>
      <c r="Z24" s="137">
        <f>I24</f>
        <v/>
      </c>
      <c r="AA24" s="137">
        <f>K24</f>
        <v/>
      </c>
      <c r="AB24" s="137">
        <f>M24</f>
        <v/>
      </c>
      <c r="AC24" s="4">
        <f>N24</f>
        <v/>
      </c>
      <c r="AD24" s="138">
        <f>O24</f>
        <v/>
      </c>
      <c r="AE24" s="123">
        <f>S24</f>
        <v/>
      </c>
      <c r="AF24" s="123">
        <f>Q24&amp;"/"&amp;R24</f>
        <v/>
      </c>
      <c r="AH24" s="20">
        <f>IF(A24="","",A24)</f>
        <v/>
      </c>
      <c r="AI24" s="134">
        <f>IF(E24="","",E24)</f>
        <v/>
      </c>
      <c r="AJ24" s="123">
        <f>IF(AI24="","",$AJ$2)</f>
        <v/>
      </c>
      <c r="AK24" s="123" t="inlineStr">
        <is>
          <t>A</t>
        </is>
      </c>
      <c r="AL24" s="123" t="inlineStr">
        <is>
          <t>A+</t>
        </is>
      </c>
      <c r="AM24" s="123" t="inlineStr">
        <is>
          <t>B+</t>
        </is>
      </c>
      <c r="AN24" s="123">
        <f>IF(AI24="","",$AN$2)</f>
        <v/>
      </c>
      <c r="AO24" s="123">
        <f>IF(N24="","",IF(N24&gt;=$AO$1/100,"O","X"))</f>
        <v/>
      </c>
      <c r="AP24" s="123">
        <f>IF(I24="","",IF(I24&lt;=$AP$1,"O","X"))</f>
        <v/>
      </c>
      <c r="AQ24" s="123">
        <f>IF(O24="","",IF(O24&lt;=$AQ$1,"O","X"))</f>
        <v/>
      </c>
      <c r="AR24" s="123">
        <f>IF(M24="","",IF(M24&lt;=$AR$1,"O","X"))</f>
        <v/>
      </c>
      <c r="AS24" s="123" t="inlineStr">
        <is>
          <t>X</t>
        </is>
      </c>
      <c r="AT24" s="123">
        <f>IF(OR(F24="",AI24=""),"",IF(AND((F24&lt;=85),(AI24&gt;=15)),"O","X"))</f>
        <v/>
      </c>
      <c r="AU24" s="123">
        <f>IF(C24="","",IF(C24&gt;=$AU$1,"O","X"))</f>
        <v/>
      </c>
      <c r="AV24" s="123">
        <f>IF(AO24="","",IF(AND(AO24="O",AP24="O",AR24="O",AT24="O",AU24="O"),"후보","X"))</f>
        <v/>
      </c>
    </row>
    <row r="25">
      <c r="A25" s="9" t="n"/>
      <c r="B25" s="123" t="n"/>
      <c r="C25" s="6" t="n"/>
      <c r="D25" s="9" t="n"/>
      <c r="E25" s="14" t="n"/>
      <c r="F25" s="133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8" t="n"/>
      <c r="P25" s="138" t="n"/>
      <c r="Q25" s="134" t="n"/>
      <c r="R25" s="134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8">
        <f>IF(E25="","",E25)</f>
        <v/>
      </c>
      <c r="AJ25" s="123" t="n"/>
      <c r="AK25" s="123" t="n"/>
      <c r="AL25" s="123" t="n"/>
      <c r="AM25" s="123" t="n"/>
      <c r="AN25" s="123" t="n"/>
      <c r="AO25" s="123" t="n"/>
      <c r="AP25" s="123" t="n"/>
      <c r="AQ25" s="123" t="n"/>
      <c r="AR25" s="123" t="n"/>
      <c r="AS25" s="123" t="n"/>
      <c r="AT25" s="123" t="n"/>
      <c r="AU25" s="123" t="n"/>
      <c r="AV25" s="123" t="n"/>
    </row>
    <row r="26">
      <c r="A26" s="9" t="inlineStr">
        <is>
          <t>하늘가1차</t>
        </is>
      </c>
      <c r="B26" s="10" t="inlineStr">
        <is>
          <t>'01.08.</t>
        </is>
      </c>
      <c r="C26" s="135" t="n">
        <v>221</v>
      </c>
      <c r="D26" s="133" t="n">
        <v>52</v>
      </c>
      <c r="E26" s="134" t="n">
        <v>16</v>
      </c>
      <c r="F26" s="133" t="n">
        <v>40</v>
      </c>
      <c r="G26" s="17" t="n">
        <v>12</v>
      </c>
      <c r="H26" s="135" t="n">
        <v>221</v>
      </c>
      <c r="I26" s="136" t="n"/>
      <c r="J26" s="136" t="n"/>
      <c r="K26" s="136" t="n"/>
      <c r="L26" s="136" t="n"/>
      <c r="M26" s="137">
        <f>I26-K26</f>
        <v/>
      </c>
      <c r="N26" s="4">
        <f>IF(ISERROR(K26/I26),"",K26/I26)</f>
        <v/>
      </c>
      <c r="O26" s="138">
        <f>I26/E26</f>
        <v/>
      </c>
      <c r="P26" s="138">
        <f>K26/E26</f>
        <v/>
      </c>
      <c r="Q26" s="123" t="n">
        <v>2</v>
      </c>
      <c r="R26" s="123" t="n">
        <v>1</v>
      </c>
      <c r="S26" s="123" t="inlineStr">
        <is>
          <t>복</t>
        </is>
      </c>
      <c r="T26" s="5" t="n">
        <v>52</v>
      </c>
      <c r="U26" s="9" t="n"/>
      <c r="W26" s="133">
        <f>D26</f>
        <v/>
      </c>
      <c r="X26" s="134">
        <f>E26</f>
        <v/>
      </c>
      <c r="Y26" s="139">
        <f>H26</f>
        <v/>
      </c>
      <c r="Z26" s="137">
        <f>I26</f>
        <v/>
      </c>
      <c r="AA26" s="137">
        <f>K26</f>
        <v/>
      </c>
      <c r="AB26" s="137">
        <f>M26</f>
        <v/>
      </c>
      <c r="AC26" s="4">
        <f>N26</f>
        <v/>
      </c>
      <c r="AD26" s="138">
        <f>O26</f>
        <v/>
      </c>
      <c r="AE26" s="123">
        <f>S26</f>
        <v/>
      </c>
      <c r="AF26" s="123">
        <f>Q26&amp;"/"&amp;R26</f>
        <v/>
      </c>
      <c r="AH26" s="20">
        <f>IF(A26="","",A26)</f>
        <v/>
      </c>
      <c r="AI26" s="134">
        <f>IF(E26="","",E26)</f>
        <v/>
      </c>
      <c r="AJ26" s="123">
        <f>IF(AI26="","",$AJ$2)</f>
        <v/>
      </c>
      <c r="AK26" s="123" t="inlineStr">
        <is>
          <t>A</t>
        </is>
      </c>
      <c r="AL26" s="123" t="inlineStr">
        <is>
          <t>A+</t>
        </is>
      </c>
      <c r="AM26" s="123" t="inlineStr">
        <is>
          <t>B+</t>
        </is>
      </c>
      <c r="AN26" s="123">
        <f>IF(AI26="","",$AN$2)</f>
        <v/>
      </c>
      <c r="AO26" s="123">
        <f>IF(N26="","",IF(N26&gt;=$AO$1/100,"O","X"))</f>
        <v/>
      </c>
      <c r="AP26" s="123">
        <f>IF(I26="","",IF(I26&lt;=$AP$1,"O","X"))</f>
        <v/>
      </c>
      <c r="AQ26" s="123">
        <f>IF(O26="","",IF(O26&lt;=$AQ$1,"O","X"))</f>
        <v/>
      </c>
      <c r="AR26" s="123">
        <f>IF(M26="","",IF(M26&lt;=$AR$1,"O","X"))</f>
        <v/>
      </c>
      <c r="AS26" s="123" t="inlineStr">
        <is>
          <t>X</t>
        </is>
      </c>
      <c r="AT26" s="123">
        <f>IF(OR(F26="",AI26=""),"",IF(AND((F26&lt;=85),(AI26&gt;=15)),"O","X"))</f>
        <v/>
      </c>
      <c r="AU26" s="123">
        <f>IF(C26="","",IF(C26&gt;=$AU$1,"O","X"))</f>
        <v/>
      </c>
      <c r="AV26" s="123">
        <f>IF(AO26="","",IF(AND(AO26="O",AP26="O",AR26="O",AT26="O",AU26="O"),"후보","X"))</f>
        <v/>
      </c>
    </row>
    <row r="27">
      <c r="A27" s="9" t="n"/>
      <c r="B27" s="123" t="n"/>
      <c r="C27" s="6" t="n"/>
      <c r="D27" s="9" t="n"/>
      <c r="E27" s="14" t="n"/>
      <c r="F27" s="133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8" t="n"/>
      <c r="P27" s="138" t="n"/>
      <c r="Q27" s="134" t="n"/>
      <c r="R27" s="134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8">
        <f>IF(E27="","",E27)</f>
        <v/>
      </c>
      <c r="AJ27" s="123" t="n"/>
      <c r="AK27" s="123" t="n"/>
      <c r="AL27" s="123" t="n"/>
      <c r="AM27" s="123" t="n"/>
      <c r="AN27" s="123" t="n"/>
      <c r="AO27" s="123" t="n"/>
      <c r="AP27" s="123" t="n"/>
      <c r="AQ27" s="123" t="n"/>
      <c r="AR27" s="123" t="n"/>
      <c r="AS27" s="123" t="n"/>
      <c r="AT27" s="123" t="n"/>
      <c r="AU27" s="123" t="n"/>
      <c r="AV27" s="123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5" t="n">
        <v>404</v>
      </c>
      <c r="D28" s="133" t="n">
        <v>40.3</v>
      </c>
      <c r="E28" s="134" t="n">
        <v>12</v>
      </c>
      <c r="F28" s="133" t="n">
        <v>30.3</v>
      </c>
      <c r="G28" s="17" t="n">
        <v>9</v>
      </c>
      <c r="H28" s="135" t="n">
        <v>9</v>
      </c>
      <c r="I28" s="136" t="n"/>
      <c r="J28" s="136" t="n"/>
      <c r="K28" s="136" t="n"/>
      <c r="L28" s="136" t="n"/>
      <c r="M28" s="137">
        <f>I28-K28</f>
        <v/>
      </c>
      <c r="N28" s="4">
        <f>IF(ISERROR(K28/I28),"",K28/I28)</f>
        <v/>
      </c>
      <c r="O28" s="138">
        <f>I28/E28</f>
        <v/>
      </c>
      <c r="P28" s="138">
        <f>K28/E28</f>
        <v/>
      </c>
      <c r="Q28" s="123" t="n">
        <v>1</v>
      </c>
      <c r="R28" s="123" t="n">
        <v>1</v>
      </c>
      <c r="S28" s="123" t="inlineStr">
        <is>
          <t>계</t>
        </is>
      </c>
      <c r="T28" s="5" t="n">
        <v>40</v>
      </c>
      <c r="U28" s="9" t="n"/>
      <c r="W28" s="133">
        <f>D28</f>
        <v/>
      </c>
      <c r="X28" s="134">
        <f>E28</f>
        <v/>
      </c>
      <c r="Y28" s="139">
        <f>H28</f>
        <v/>
      </c>
      <c r="Z28" s="137">
        <f>I28</f>
        <v/>
      </c>
      <c r="AA28" s="137">
        <f>K28</f>
        <v/>
      </c>
      <c r="AB28" s="137">
        <f>M28</f>
        <v/>
      </c>
      <c r="AC28" s="4">
        <f>N28</f>
        <v/>
      </c>
      <c r="AD28" s="138">
        <f>O28</f>
        <v/>
      </c>
      <c r="AE28" s="123">
        <f>S28</f>
        <v/>
      </c>
      <c r="AF28" s="123">
        <f>Q28&amp;"/"&amp;R28</f>
        <v/>
      </c>
      <c r="AH28" s="20">
        <f>IF(A28="","",A28)</f>
        <v/>
      </c>
      <c r="AI28" s="134">
        <f>IF(E28="","",E28)</f>
        <v/>
      </c>
      <c r="AJ28" s="123">
        <f>IF(AI28="","",$AJ$2)</f>
        <v/>
      </c>
      <c r="AK28" s="123" t="inlineStr">
        <is>
          <t>A</t>
        </is>
      </c>
      <c r="AL28" s="123" t="inlineStr">
        <is>
          <t>A+</t>
        </is>
      </c>
      <c r="AM28" s="123" t="inlineStr">
        <is>
          <t>B+</t>
        </is>
      </c>
      <c r="AN28" s="123">
        <f>IF(AI28="","",$AN$2)</f>
        <v/>
      </c>
      <c r="AO28" s="123">
        <f>IF(N28="","",IF(N28&gt;=$AO$1/100,"O","X"))</f>
        <v/>
      </c>
      <c r="AP28" s="123">
        <f>IF(I28="","",IF(I28&lt;=$AP$1,"O","X"))</f>
        <v/>
      </c>
      <c r="AQ28" s="123">
        <f>IF(O28="","",IF(O28&lt;=$AQ$1,"O","X"))</f>
        <v/>
      </c>
      <c r="AR28" s="123">
        <f>IF(M28="","",IF(M28&lt;=$AR$1,"O","X"))</f>
        <v/>
      </c>
      <c r="AS28" s="123" t="inlineStr">
        <is>
          <t>X</t>
        </is>
      </c>
      <c r="AT28" s="123">
        <f>IF(OR(F28="",AI28=""),"",IF(AND((F28&lt;=85),(AI28&gt;=15)),"O","X"))</f>
        <v/>
      </c>
      <c r="AU28" s="123">
        <f>IF(C28="","",IF(C28&gt;=$AU$1,"O","X"))</f>
        <v/>
      </c>
      <c r="AV28" s="123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5" t="n">
        <v>404</v>
      </c>
      <c r="D29" s="133" t="n">
        <v>52.1</v>
      </c>
      <c r="E29" s="134" t="n">
        <v>16</v>
      </c>
      <c r="F29" s="133" t="n">
        <v>39.1</v>
      </c>
      <c r="G29" s="17" t="n">
        <v>12</v>
      </c>
      <c r="H29" s="135" t="n">
        <v>105</v>
      </c>
      <c r="I29" s="136" t="n">
        <v>1900</v>
      </c>
      <c r="J29" s="136" t="inlineStr">
        <is>
          <t>11</t>
        </is>
      </c>
      <c r="K29" s="136" t="n"/>
      <c r="L29" s="136" t="n"/>
      <c r="M29" s="137">
        <f>I29-K29</f>
        <v/>
      </c>
      <c r="N29" s="4">
        <f>IF(ISERROR(K29/I29),"",K29/I29)</f>
        <v/>
      </c>
      <c r="O29" s="138">
        <f>I29/E29</f>
        <v/>
      </c>
      <c r="P29" s="138">
        <f>K29/E29</f>
        <v/>
      </c>
      <c r="Q29" s="123" t="n">
        <v>1</v>
      </c>
      <c r="R29" s="123" t="n">
        <v>1</v>
      </c>
      <c r="S29" s="123" t="inlineStr">
        <is>
          <t>계</t>
        </is>
      </c>
      <c r="T29" s="5" t="n">
        <v>52</v>
      </c>
      <c r="U29" s="9" t="n"/>
      <c r="W29" s="133">
        <f>D29</f>
        <v/>
      </c>
      <c r="X29" s="134">
        <f>E29</f>
        <v/>
      </c>
      <c r="Y29" s="139">
        <f>H29</f>
        <v/>
      </c>
      <c r="Z29" s="137">
        <f>I29</f>
        <v/>
      </c>
      <c r="AA29" s="137">
        <f>K29</f>
        <v/>
      </c>
      <c r="AB29" s="137">
        <f>M29</f>
        <v/>
      </c>
      <c r="AC29" s="4">
        <f>N29</f>
        <v/>
      </c>
      <c r="AD29" s="138">
        <f>O29</f>
        <v/>
      </c>
      <c r="AE29" s="123">
        <f>S29</f>
        <v/>
      </c>
      <c r="AF29" s="123">
        <f>Q29&amp;"/"&amp;R29</f>
        <v/>
      </c>
      <c r="AH29" s="20">
        <f>IF(A29="","",A29)</f>
        <v/>
      </c>
      <c r="AI29" s="134">
        <f>IF(E29="","",E29)</f>
        <v/>
      </c>
      <c r="AJ29" s="123">
        <f>IF(AI29="","",$AJ$2)</f>
        <v/>
      </c>
      <c r="AK29" s="123" t="inlineStr">
        <is>
          <t>A</t>
        </is>
      </c>
      <c r="AL29" s="123" t="inlineStr">
        <is>
          <t>A+</t>
        </is>
      </c>
      <c r="AM29" s="123" t="inlineStr">
        <is>
          <t>B+</t>
        </is>
      </c>
      <c r="AN29" s="123">
        <f>IF(AI29="","",$AN$2)</f>
        <v/>
      </c>
      <c r="AO29" s="123">
        <f>IF(N29="","",IF(N29&gt;=$AO$1/100,"O","X"))</f>
        <v/>
      </c>
      <c r="AP29" s="123">
        <f>IF(I29="","",IF(I29&lt;=$AP$1,"O","X"))</f>
        <v/>
      </c>
      <c r="AQ29" s="123">
        <f>IF(O29="","",IF(O29&lt;=$AQ$1,"O","X"))</f>
        <v/>
      </c>
      <c r="AR29" s="123">
        <f>IF(M29="","",IF(M29&lt;=$AR$1,"O","X"))</f>
        <v/>
      </c>
      <c r="AS29" s="123" t="inlineStr">
        <is>
          <t>X</t>
        </is>
      </c>
      <c r="AT29" s="123">
        <f>IF(OR(F29="",AI29=""),"",IF(AND((F29&lt;=85),(AI29&gt;=15)),"O","X"))</f>
        <v/>
      </c>
      <c r="AU29" s="123">
        <f>IF(C29="","",IF(C29&gt;=$AU$1,"O","X"))</f>
        <v/>
      </c>
      <c r="AV29" s="123">
        <f>IF(AO29="","",IF(AND(AO29="O",AP29="O",AR29="O",AT29="O",AU29="O"),"후보","X"))</f>
        <v/>
      </c>
    </row>
    <row r="30">
      <c r="A30" s="9" t="n"/>
      <c r="B30" s="123" t="n"/>
      <c r="C30" s="6" t="n"/>
      <c r="D30" s="9" t="n"/>
      <c r="E30" s="14" t="n"/>
      <c r="F30" s="133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8" t="n"/>
      <c r="P30" s="138" t="n"/>
      <c r="Q30" s="134" t="n"/>
      <c r="R30" s="134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8">
        <f>IF(E30="","",E30)</f>
        <v/>
      </c>
      <c r="AJ30" s="123" t="n"/>
      <c r="AK30" s="123" t="n"/>
      <c r="AL30" s="123" t="n"/>
      <c r="AM30" s="123" t="n"/>
      <c r="AN30" s="123" t="n"/>
      <c r="AO30" s="123" t="n"/>
      <c r="AP30" s="123" t="n"/>
      <c r="AQ30" s="123" t="n"/>
      <c r="AR30" s="123" t="n"/>
      <c r="AS30" s="123" t="n"/>
      <c r="AT30" s="123" t="n"/>
      <c r="AU30" s="123" t="n"/>
      <c r="AV30" s="123" t="n"/>
    </row>
    <row r="31">
      <c r="A31" s="9" t="inlineStr">
        <is>
          <t>부향하나로1차</t>
        </is>
      </c>
      <c r="B31" s="10" t="inlineStr">
        <is>
          <t>'97.03.</t>
        </is>
      </c>
      <c r="C31" s="135" t="n">
        <v>349</v>
      </c>
      <c r="D31" s="133" t="n">
        <v>35.6</v>
      </c>
      <c r="E31" s="134" t="n">
        <v>11</v>
      </c>
      <c r="F31" s="133" t="n">
        <v>27</v>
      </c>
      <c r="G31" s="17" t="n">
        <v>8</v>
      </c>
      <c r="H31" s="135" t="n">
        <v>54</v>
      </c>
      <c r="I31" s="136" t="n"/>
      <c r="J31" s="136" t="n"/>
      <c r="K31" s="136" t="n"/>
      <c r="L31" s="136" t="n"/>
      <c r="M31" s="137">
        <f>I31-K31</f>
        <v/>
      </c>
      <c r="N31" s="4">
        <f>IF(ISERROR(K31/I31),"",K31/I31)</f>
        <v/>
      </c>
      <c r="O31" s="138">
        <f>I31/E31</f>
        <v/>
      </c>
      <c r="P31" s="138">
        <f>K31/E31</f>
        <v/>
      </c>
      <c r="Q31" s="123" t="n">
        <v>1</v>
      </c>
      <c r="R31" s="123" t="n">
        <v>1</v>
      </c>
      <c r="S31" s="123" t="inlineStr">
        <is>
          <t>복</t>
        </is>
      </c>
      <c r="T31" s="5" t="n">
        <v>35</v>
      </c>
      <c r="U31" s="9" t="n"/>
      <c r="W31" s="133">
        <f>D31</f>
        <v/>
      </c>
      <c r="X31" s="134">
        <f>E31</f>
        <v/>
      </c>
      <c r="Y31" s="139">
        <f>H31</f>
        <v/>
      </c>
      <c r="Z31" s="137">
        <f>I31</f>
        <v/>
      </c>
      <c r="AA31" s="137">
        <f>K31</f>
        <v/>
      </c>
      <c r="AB31" s="137">
        <f>M31</f>
        <v/>
      </c>
      <c r="AC31" s="4">
        <f>N31</f>
        <v/>
      </c>
      <c r="AD31" s="138">
        <f>O31</f>
        <v/>
      </c>
      <c r="AE31" s="123">
        <f>S31</f>
        <v/>
      </c>
      <c r="AF31" s="123">
        <f>Q31&amp;"/"&amp;R31</f>
        <v/>
      </c>
      <c r="AH31" s="20">
        <f>IF(A31="","",A31)</f>
        <v/>
      </c>
      <c r="AI31" s="134">
        <f>IF(E31="","",E31)</f>
        <v/>
      </c>
      <c r="AJ31" s="123">
        <f>IF(AI31="","",$AJ$2)</f>
        <v/>
      </c>
      <c r="AK31" s="123" t="inlineStr">
        <is>
          <t>A</t>
        </is>
      </c>
      <c r="AL31" s="123" t="inlineStr">
        <is>
          <t>A+</t>
        </is>
      </c>
      <c r="AM31" s="123" t="inlineStr">
        <is>
          <t>B+</t>
        </is>
      </c>
      <c r="AN31" s="123">
        <f>IF(AI31="","",$AN$2)</f>
        <v/>
      </c>
      <c r="AO31" s="123">
        <f>IF(N31="","",IF(N31&gt;=$AO$1/100,"O","X"))</f>
        <v/>
      </c>
      <c r="AP31" s="123">
        <f>IF(I31="","",IF(I31&lt;=$AP$1,"O","X"))</f>
        <v/>
      </c>
      <c r="AQ31" s="123">
        <f>IF(O31="","",IF(O31&lt;=$AQ$1,"O","X"))</f>
        <v/>
      </c>
      <c r="AR31" s="123">
        <f>IF(M31="","",IF(M31&lt;=$AR$1,"O","X"))</f>
        <v/>
      </c>
      <c r="AS31" s="123" t="inlineStr">
        <is>
          <t>X</t>
        </is>
      </c>
      <c r="AT31" s="123">
        <f>IF(OR(F31="",AI31=""),"",IF(AND((F31&lt;=85),(AI31&gt;=15)),"O","X"))</f>
        <v/>
      </c>
      <c r="AU31" s="123">
        <f>IF(C31="","",IF(C31&gt;=$AU$1,"O","X"))</f>
        <v/>
      </c>
      <c r="AV31" s="123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5" t="n">
        <v>349</v>
      </c>
      <c r="D32" s="133" t="n">
        <v>51.5</v>
      </c>
      <c r="E32" s="134" t="n">
        <v>16</v>
      </c>
      <c r="F32" s="133" t="n">
        <v>39</v>
      </c>
      <c r="G32" s="17" t="n">
        <v>12</v>
      </c>
      <c r="H32" s="135" t="n">
        <v>295</v>
      </c>
      <c r="I32" s="136" t="n">
        <v>2100</v>
      </c>
      <c r="J32" s="136" t="inlineStr">
        <is>
          <t>7</t>
        </is>
      </c>
      <c r="K32" s="136" t="n"/>
      <c r="L32" s="136" t="n"/>
      <c r="M32" s="137">
        <f>I32-K32</f>
        <v/>
      </c>
      <c r="N32" s="4">
        <f>IF(ISERROR(K32/I32),"",K32/I32)</f>
        <v/>
      </c>
      <c r="O32" s="138">
        <f>I32/E32</f>
        <v/>
      </c>
      <c r="P32" s="138">
        <f>K32/E32</f>
        <v/>
      </c>
      <c r="Q32" s="123" t="n">
        <v>2</v>
      </c>
      <c r="R32" s="123" t="n">
        <v>1</v>
      </c>
      <c r="S32" s="123" t="inlineStr">
        <is>
          <t>복</t>
        </is>
      </c>
      <c r="T32" s="5" t="n">
        <v>51</v>
      </c>
      <c r="U32" s="9" t="n"/>
      <c r="W32" s="133">
        <f>D32</f>
        <v/>
      </c>
      <c r="X32" s="134">
        <f>E32</f>
        <v/>
      </c>
      <c r="Y32" s="139">
        <f>H32</f>
        <v/>
      </c>
      <c r="Z32" s="137">
        <f>I32</f>
        <v/>
      </c>
      <c r="AA32" s="137">
        <f>K32</f>
        <v/>
      </c>
      <c r="AB32" s="137">
        <f>M32</f>
        <v/>
      </c>
      <c r="AC32" s="4">
        <f>N32</f>
        <v/>
      </c>
      <c r="AD32" s="138">
        <f>O32</f>
        <v/>
      </c>
      <c r="AE32" s="123">
        <f>S32</f>
        <v/>
      </c>
      <c r="AF32" s="123">
        <f>Q32&amp;"/"&amp;R32</f>
        <v/>
      </c>
      <c r="AH32" s="20">
        <f>IF(A32="","",A32)</f>
        <v/>
      </c>
      <c r="AI32" s="134">
        <f>IF(E32="","",E32)</f>
        <v/>
      </c>
      <c r="AJ32" s="123">
        <f>IF(AI32="","",$AJ$2)</f>
        <v/>
      </c>
      <c r="AK32" s="123" t="inlineStr">
        <is>
          <t>A</t>
        </is>
      </c>
      <c r="AL32" s="123" t="inlineStr">
        <is>
          <t>A+</t>
        </is>
      </c>
      <c r="AM32" s="123" t="inlineStr">
        <is>
          <t>B+</t>
        </is>
      </c>
      <c r="AN32" s="123">
        <f>IF(AI32="","",$AN$2)</f>
        <v/>
      </c>
      <c r="AO32" s="123">
        <f>IF(N32="","",IF(N32&gt;=$AO$1/100,"O","X"))</f>
        <v/>
      </c>
      <c r="AP32" s="123">
        <f>IF(I32="","",IF(I32&lt;=$AP$1,"O","X"))</f>
        <v/>
      </c>
      <c r="AQ32" s="123">
        <f>IF(O32="","",IF(O32&lt;=$AQ$1,"O","X"))</f>
        <v/>
      </c>
      <c r="AR32" s="123">
        <f>IF(M32="","",IF(M32&lt;=$AR$1,"O","X"))</f>
        <v/>
      </c>
      <c r="AS32" s="123" t="inlineStr">
        <is>
          <t>X</t>
        </is>
      </c>
      <c r="AT32" s="123">
        <f>IF(OR(F32="",AI32=""),"",IF(AND((F32&lt;=85),(AI32&gt;=15)),"O","X"))</f>
        <v/>
      </c>
      <c r="AU32" s="123">
        <f>IF(C32="","",IF(C32&gt;=$AU$1,"O","X"))</f>
        <v/>
      </c>
      <c r="AV32" s="12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7">
      <formula>AV4="X"</formula>
    </cfRule>
    <cfRule type="expression" priority="376" dxfId="16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7">
      <formula>AV7="X"</formula>
    </cfRule>
    <cfRule type="expression" priority="356" dxfId="16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7">
      <formula>AV8="X"</formula>
    </cfRule>
    <cfRule type="expression" priority="338" dxfId="16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7">
      <formula>AV9="X"</formula>
    </cfRule>
    <cfRule type="expression" priority="320" dxfId="16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7">
      <formula>AV10="X"</formula>
    </cfRule>
    <cfRule type="expression" priority="302" dxfId="16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7">
      <formula>AV11="X"</formula>
    </cfRule>
    <cfRule type="expression" priority="298" dxfId="16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7">
      <formula>AV12="X"</formula>
    </cfRule>
    <cfRule type="expression" priority="280" dxfId="16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7">
      <formula>AV13="X"</formula>
    </cfRule>
    <cfRule type="expression" priority="276" dxfId="16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7">
      <formula>AV14="X"</formula>
    </cfRule>
    <cfRule type="expression" priority="258" dxfId="16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7">
      <formula>AV15="X"</formula>
    </cfRule>
    <cfRule type="expression" priority="240" dxfId="16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7">
      <formula>AV16="X"</formula>
    </cfRule>
    <cfRule type="expression" priority="236" dxfId="16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7">
      <formula>AV17="X"</formula>
    </cfRule>
    <cfRule type="expression" priority="218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7">
      <formula>AV19="X"</formula>
    </cfRule>
    <cfRule type="expression" priority="196" dxfId="16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7">
      <formula>AV20="X"</formula>
    </cfRule>
    <cfRule type="expression" priority="178" dxfId="16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7">
      <formula>AV21="X"</formula>
    </cfRule>
    <cfRule type="expression" priority="160" dxfId="16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7">
      <formula>AV22="X"</formula>
    </cfRule>
    <cfRule type="expression" priority="142" dxfId="16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7">
      <formula>AV23="X"</formula>
    </cfRule>
    <cfRule type="expression" priority="124" dxfId="16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7">
      <formula>AV24="X"</formula>
    </cfRule>
    <cfRule type="expression" priority="120" dxfId="16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7">
      <formula>AV25="X"</formula>
    </cfRule>
    <cfRule type="expression" priority="102" dxfId="16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7">
      <formula>AV26="X"</formula>
    </cfRule>
    <cfRule type="expression" priority="98" dxfId="16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7">
      <formula>AV27="X"</formula>
    </cfRule>
    <cfRule type="expression" priority="80" dxfId="16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7">
      <formula>AV28="X"</formula>
    </cfRule>
    <cfRule type="expression" priority="76" dxfId="16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7">
      <formula>AV29="X"</formula>
    </cfRule>
    <cfRule type="expression" priority="58" dxfId="16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7">
      <formula>AV30="X"</formula>
    </cfRule>
    <cfRule type="expression" priority="40" dxfId="16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7">
      <formula>AV31="X"</formula>
    </cfRule>
    <cfRule type="expression" priority="36" dxfId="16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7">
      <formula>AV32="X"</formula>
    </cfRule>
    <cfRule type="expression" priority="18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군산삼학대우</t>
        </is>
      </c>
      <c r="B6" s="10" t="inlineStr">
        <is>
          <t>'96.07.</t>
        </is>
      </c>
      <c r="C6" s="135" t="n">
        <v>381</v>
      </c>
      <c r="D6" s="133" t="n">
        <v>81.09999999999999</v>
      </c>
      <c r="E6" s="134" t="n">
        <v>25</v>
      </c>
      <c r="F6" s="133" t="n">
        <v>59.9</v>
      </c>
      <c r="G6" s="17" t="n">
        <v>18</v>
      </c>
      <c r="H6" s="135" t="n">
        <v>159</v>
      </c>
      <c r="I6" s="136" t="n">
        <v>8500</v>
      </c>
      <c r="J6" s="136" t="inlineStr">
        <is>
          <t>고</t>
        </is>
      </c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1</v>
      </c>
      <c r="S6" s="123" t="inlineStr">
        <is>
          <t>복</t>
        </is>
      </c>
      <c r="T6" s="5" t="n">
        <v>81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5" t="n">
        <v>381</v>
      </c>
      <c r="D7" s="133" t="n">
        <v>104.4</v>
      </c>
      <c r="E7" s="134" t="n">
        <v>32</v>
      </c>
      <c r="F7" s="133" t="n">
        <v>84.90000000000001</v>
      </c>
      <c r="G7" s="17" t="n">
        <v>26</v>
      </c>
      <c r="H7" s="135" t="n">
        <v>132</v>
      </c>
      <c r="I7" s="136" t="n">
        <v>17500</v>
      </c>
      <c r="J7" s="136" t="inlineStr">
        <is>
          <t>9</t>
        </is>
      </c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n">
        <v>104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5" t="n">
        <v>381</v>
      </c>
      <c r="D8" s="133" t="n">
        <v>155.2</v>
      </c>
      <c r="E8" s="134" t="n">
        <v>47</v>
      </c>
      <c r="F8" s="133" t="n">
        <v>131.4</v>
      </c>
      <c r="G8" s="17" t="n">
        <v>40</v>
      </c>
      <c r="H8" s="135" t="n">
        <v>90</v>
      </c>
      <c r="I8" s="136" t="n">
        <v>16000</v>
      </c>
      <c r="J8" s="136" t="inlineStr">
        <is>
          <t>11</t>
        </is>
      </c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4</v>
      </c>
      <c r="R8" s="123" t="n">
        <v>2</v>
      </c>
      <c r="S8" s="123" t="inlineStr">
        <is>
          <t>계</t>
        </is>
      </c>
      <c r="T8" s="5" t="n">
        <v>155</v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7">
      <formula>AV4="X"</formula>
    </cfRule>
    <cfRule type="expression" priority="56" dxfId="16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7">
      <formula>AV7="X"</formula>
    </cfRule>
    <cfRule type="expression" priority="36" dxfId="16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7">
      <formula>AV8="X"</formula>
    </cfRule>
    <cfRule type="expression" priority="18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고려타운</t>
        </is>
      </c>
      <c r="B6" s="10" t="inlineStr">
        <is>
          <t>'92.05.</t>
        </is>
      </c>
      <c r="C6" s="135" t="n">
        <v>226</v>
      </c>
      <c r="D6" s="133" t="n">
        <v>56.3</v>
      </c>
      <c r="E6" s="134" t="n">
        <v>17</v>
      </c>
      <c r="F6" s="133" t="n">
        <v>43.1</v>
      </c>
      <c r="G6" s="17" t="n">
        <v>13</v>
      </c>
      <c r="H6" s="135" t="n">
        <v>12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2</v>
      </c>
      <c r="R6" s="123" t="n">
        <v>1</v>
      </c>
      <c r="S6" s="123" t="inlineStr">
        <is>
          <t>계</t>
        </is>
      </c>
      <c r="T6" s="5" t="n">
        <v>56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5" t="n">
        <v>226</v>
      </c>
      <c r="D7" s="133" t="n">
        <v>64.8</v>
      </c>
      <c r="E7" s="134" t="n">
        <v>20</v>
      </c>
      <c r="F7" s="133" t="n">
        <v>49</v>
      </c>
      <c r="G7" s="17" t="n">
        <v>15</v>
      </c>
      <c r="H7" s="135" t="n">
        <v>20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2</v>
      </c>
      <c r="R7" s="123" t="n">
        <v>1</v>
      </c>
      <c r="S7" s="123" t="inlineStr">
        <is>
          <t>계</t>
        </is>
      </c>
      <c r="T7" s="5" t="n">
        <v>64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5" t="n">
        <v>226</v>
      </c>
      <c r="D8" s="133" t="n">
        <v>74.59999999999999</v>
      </c>
      <c r="E8" s="134" t="n">
        <v>23</v>
      </c>
      <c r="F8" s="133" t="n">
        <v>58.8</v>
      </c>
      <c r="G8" s="17" t="n">
        <v>18</v>
      </c>
      <c r="H8" s="135" t="n">
        <v>18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inlineStr">
        <is>
          <t>74A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5" t="n">
        <v>226</v>
      </c>
      <c r="D9" s="133" t="n">
        <v>76.90000000000001</v>
      </c>
      <c r="E9" s="134" t="n">
        <v>23</v>
      </c>
      <c r="F9" s="133" t="n">
        <v>59.5</v>
      </c>
      <c r="G9" s="17" t="n">
        <v>18</v>
      </c>
      <c r="H9" s="135" t="n">
        <v>56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inlineStr">
        <is>
          <t>76C</t>
        </is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5" t="n">
        <v>226</v>
      </c>
      <c r="D10" s="133" t="n">
        <v>77.5</v>
      </c>
      <c r="E10" s="134" t="n">
        <v>23</v>
      </c>
      <c r="F10" s="133" t="n">
        <v>59.7</v>
      </c>
      <c r="G10" s="17" t="n">
        <v>18</v>
      </c>
      <c r="H10" s="135" t="n">
        <v>60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inlineStr">
        <is>
          <t>77B</t>
        </is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5" t="n">
        <v>226</v>
      </c>
      <c r="D11" s="133" t="n">
        <v>77.5</v>
      </c>
      <c r="E11" s="134" t="n">
        <v>23</v>
      </c>
      <c r="F11" s="133" t="n">
        <v>59.5</v>
      </c>
      <c r="G11" s="17" t="n">
        <v>18</v>
      </c>
      <c r="H11" s="135" t="n">
        <v>20</v>
      </c>
      <c r="I11" s="136" t="n"/>
      <c r="J11" s="136" t="n"/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2</v>
      </c>
      <c r="S11" s="123" t="inlineStr">
        <is>
          <t>계</t>
        </is>
      </c>
      <c r="T11" s="5" t="inlineStr">
        <is>
          <t>77D</t>
        </is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5" t="n">
        <v>226</v>
      </c>
      <c r="D12" s="133" t="n">
        <v>104.9</v>
      </c>
      <c r="E12" s="134" t="n">
        <v>32</v>
      </c>
      <c r="F12" s="133" t="n">
        <v>84.8</v>
      </c>
      <c r="G12" s="17" t="n">
        <v>26</v>
      </c>
      <c r="H12" s="135" t="n">
        <v>6</v>
      </c>
      <c r="I12" s="136" t="n"/>
      <c r="J12" s="136" t="n"/>
      <c r="K12" s="136" t="n"/>
      <c r="L12" s="136" t="n"/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3</v>
      </c>
      <c r="R12" s="123" t="n">
        <v>2</v>
      </c>
      <c r="S12" s="123" t="inlineStr">
        <is>
          <t>계</t>
        </is>
      </c>
      <c r="T12" s="5" t="inlineStr">
        <is>
          <t>104B</t>
        </is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5" t="n">
        <v>226</v>
      </c>
      <c r="D13" s="133" t="n">
        <v>105.4</v>
      </c>
      <c r="E13" s="134" t="n">
        <v>32</v>
      </c>
      <c r="F13" s="133" t="n">
        <v>84.59999999999999</v>
      </c>
      <c r="G13" s="17" t="n">
        <v>26</v>
      </c>
      <c r="H13" s="135" t="n">
        <v>24</v>
      </c>
      <c r="I13" s="136" t="n"/>
      <c r="J13" s="136" t="n"/>
      <c r="K13" s="136" t="n"/>
      <c r="L13" s="136" t="n"/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3</v>
      </c>
      <c r="R13" s="123" t="n">
        <v>2</v>
      </c>
      <c r="S13" s="123" t="inlineStr">
        <is>
          <t>계</t>
        </is>
      </c>
      <c r="T13" s="5" t="inlineStr">
        <is>
          <t>105A</t>
        </is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5" t="n">
        <v>226</v>
      </c>
      <c r="D14" s="133" t="n">
        <v>110</v>
      </c>
      <c r="E14" s="134" t="n">
        <v>33</v>
      </c>
      <c r="F14" s="133" t="n">
        <v>80.59999999999999</v>
      </c>
      <c r="G14" s="17" t="n">
        <v>24</v>
      </c>
      <c r="H14" s="135" t="n">
        <v>5</v>
      </c>
      <c r="I14" s="136" t="n"/>
      <c r="J14" s="136" t="n"/>
      <c r="K14" s="136" t="n"/>
      <c r="L14" s="136" t="n"/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3</v>
      </c>
      <c r="R14" s="123" t="n">
        <v>2</v>
      </c>
      <c r="S14" s="123" t="inlineStr">
        <is>
          <t>복</t>
        </is>
      </c>
      <c r="T14" s="5" t="n">
        <v>109</v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5" t="n">
        <v>226</v>
      </c>
      <c r="D15" s="133" t="n">
        <v>110.8</v>
      </c>
      <c r="E15" s="134" t="n">
        <v>34</v>
      </c>
      <c r="F15" s="133" t="n">
        <v>81.3</v>
      </c>
      <c r="G15" s="17" t="n">
        <v>25</v>
      </c>
      <c r="H15" s="135" t="n">
        <v>5</v>
      </c>
      <c r="I15" s="136" t="n"/>
      <c r="J15" s="136" t="n"/>
      <c r="K15" s="136" t="n"/>
      <c r="L15" s="136" t="n"/>
      <c r="M15" s="137">
        <f>I15-K15</f>
        <v/>
      </c>
      <c r="N15" s="4">
        <f>IF(ISERROR(K15/I15),"",K15/I15)</f>
        <v/>
      </c>
      <c r="O15" s="138">
        <f>I15/E15</f>
        <v/>
      </c>
      <c r="P15" s="138">
        <f>K15/E15</f>
        <v/>
      </c>
      <c r="Q15" s="123" t="n">
        <v>3</v>
      </c>
      <c r="R15" s="123" t="n">
        <v>2</v>
      </c>
      <c r="S15" s="123" t="inlineStr">
        <is>
          <t>복</t>
        </is>
      </c>
      <c r="T15" s="5" t="n">
        <v>110</v>
      </c>
      <c r="U15" s="9" t="n"/>
      <c r="W15" s="133">
        <f>D15</f>
        <v/>
      </c>
      <c r="X15" s="134">
        <f>E15</f>
        <v/>
      </c>
      <c r="Y15" s="139">
        <f>H15</f>
        <v/>
      </c>
      <c r="Z15" s="137">
        <f>I15</f>
        <v/>
      </c>
      <c r="AA15" s="137">
        <f>K15</f>
        <v/>
      </c>
      <c r="AB15" s="137">
        <f>M15</f>
        <v/>
      </c>
      <c r="AC15" s="4">
        <f>N15</f>
        <v/>
      </c>
      <c r="AD15" s="138">
        <f>O15</f>
        <v/>
      </c>
      <c r="AE15" s="123">
        <f>S15</f>
        <v/>
      </c>
      <c r="AF15" s="123">
        <f>Q15&amp;"/"&amp;R15</f>
        <v/>
      </c>
      <c r="AH15" s="20">
        <f>IF(A15="","",A15)</f>
        <v/>
      </c>
      <c r="AI15" s="134">
        <f>IF(E15="","",E15)</f>
        <v/>
      </c>
      <c r="AJ15" s="123">
        <f>IF(AI15="","",$AJ$2)</f>
        <v/>
      </c>
      <c r="AK15" s="123" t="inlineStr">
        <is>
          <t>A</t>
        </is>
      </c>
      <c r="AL15" s="123" t="inlineStr">
        <is>
          <t>A+</t>
        </is>
      </c>
      <c r="AM15" s="123" t="inlineStr">
        <is>
          <t>B+</t>
        </is>
      </c>
      <c r="AN15" s="123">
        <f>IF(AI15="","",$AN$2)</f>
        <v/>
      </c>
      <c r="AO15" s="123">
        <f>IF(N15="","",IF(N15&gt;=$AO$1/100,"O","X"))</f>
        <v/>
      </c>
      <c r="AP15" s="123">
        <f>IF(I15="","",IF(I15&lt;=$AP$1,"O","X"))</f>
        <v/>
      </c>
      <c r="AQ15" s="123">
        <f>IF(O15="","",IF(O15&lt;=$AQ$1,"O","X"))</f>
        <v/>
      </c>
      <c r="AR15" s="123">
        <f>IF(M15="","",IF(M15&lt;=$AR$1,"O","X"))</f>
        <v/>
      </c>
      <c r="AS15" s="123" t="inlineStr">
        <is>
          <t>X</t>
        </is>
      </c>
      <c r="AT15" s="123">
        <f>IF(OR(F15="",AI15=""),"",IF(AND((F15&lt;=85),(AI15&gt;=15)),"O","X"))</f>
        <v/>
      </c>
      <c r="AU15" s="123">
        <f>IF(C15="","",IF(C15&gt;=$AU$1,"O","X"))</f>
        <v/>
      </c>
      <c r="AV15" s="123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7">
      <formula>AV4="X"</formula>
    </cfRule>
    <cfRule type="expression" priority="182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7">
      <formula>AV8="X"</formula>
    </cfRule>
    <cfRule type="expression" priority="144" dxfId="16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7">
      <formula>AV9="X"</formula>
    </cfRule>
    <cfRule type="expression" priority="126" dxfId="16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7">
      <formula>AV10="X"</formula>
    </cfRule>
    <cfRule type="expression" priority="108" dxfId="16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7">
      <formula>AV11="X"</formula>
    </cfRule>
    <cfRule type="expression" priority="90" dxfId="16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7">
      <formula>AV12="X"</formula>
    </cfRule>
    <cfRule type="expression" priority="72" dxfId="16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7">
      <formula>AV13="X"</formula>
    </cfRule>
    <cfRule type="expression" priority="54" dxfId="16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7">
      <formula>AV14="X"</formula>
    </cfRule>
    <cfRule type="expression" priority="36" dxfId="16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7">
      <formula>AV15="X"</formula>
    </cfRule>
    <cfRule type="expression" priority="18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군산성원</t>
        </is>
      </c>
      <c r="B6" s="10" t="inlineStr">
        <is>
          <t>'04.07.</t>
        </is>
      </c>
      <c r="C6" s="135" t="n">
        <v>675</v>
      </c>
      <c r="D6" s="133" t="n">
        <v>75</v>
      </c>
      <c r="E6" s="134" t="n">
        <v>23</v>
      </c>
      <c r="F6" s="133" t="n">
        <v>59.7</v>
      </c>
      <c r="G6" s="17" t="n">
        <v>18</v>
      </c>
      <c r="H6" s="135" t="n">
        <v>270</v>
      </c>
      <c r="I6" s="136" t="n">
        <v>9000</v>
      </c>
      <c r="J6" s="136" t="inlineStr">
        <is>
          <t>12</t>
        </is>
      </c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1</v>
      </c>
      <c r="S6" s="123" t="inlineStr">
        <is>
          <t>계</t>
        </is>
      </c>
      <c r="T6" s="5" t="n">
        <v>75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5" t="n">
        <v>675</v>
      </c>
      <c r="D7" s="133" t="n">
        <v>106.8</v>
      </c>
      <c r="E7" s="134" t="n">
        <v>32</v>
      </c>
      <c r="F7" s="133" t="n">
        <v>85</v>
      </c>
      <c r="G7" s="17" t="n">
        <v>26</v>
      </c>
      <c r="H7" s="135" t="n">
        <v>405</v>
      </c>
      <c r="I7" s="136" t="n">
        <v>10500</v>
      </c>
      <c r="J7" s="136" t="inlineStr">
        <is>
          <t>5</t>
        </is>
      </c>
      <c r="K7" s="136" t="n">
        <v>11200</v>
      </c>
      <c r="L7" s="136" t="inlineStr">
        <is>
          <t>12</t>
        </is>
      </c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n">
        <v>106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n"/>
      <c r="B8" s="123" t="n"/>
      <c r="C8" s="6" t="n"/>
      <c r="D8" s="9" t="n"/>
      <c r="E8" s="14" t="n"/>
      <c r="F8" s="133" t="n"/>
      <c r="G8" s="9" t="n"/>
      <c r="H8" s="9" t="n"/>
      <c r="I8" s="9" t="n"/>
      <c r="J8" s="9" t="n"/>
      <c r="K8" s="9" t="n"/>
      <c r="L8" s="9" t="n"/>
      <c r="M8" s="9" t="n"/>
      <c r="N8" s="9" t="n"/>
      <c r="O8" s="138" t="n"/>
      <c r="P8" s="138" t="n"/>
      <c r="Q8" s="134" t="n"/>
      <c r="R8" s="134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8">
        <f>IF(E8="","",E8)</f>
        <v/>
      </c>
      <c r="AJ8" s="123" t="n"/>
      <c r="AK8" s="123" t="n"/>
      <c r="AL8" s="123" t="n"/>
      <c r="AM8" s="123" t="n"/>
      <c r="AN8" s="123" t="n"/>
      <c r="AO8" s="123" t="n"/>
      <c r="AP8" s="123" t="n"/>
      <c r="AQ8" s="123" t="n"/>
      <c r="AR8" s="123" t="n"/>
      <c r="AS8" s="123" t="n"/>
      <c r="AT8" s="123" t="n"/>
      <c r="AU8" s="123" t="n"/>
      <c r="AV8" s="123" t="n"/>
    </row>
    <row r="9">
      <c r="A9" s="9" t="inlineStr">
        <is>
          <t>금강골드빌</t>
        </is>
      </c>
      <c r="B9" s="10" t="inlineStr">
        <is>
          <t>'03.02.</t>
        </is>
      </c>
      <c r="C9" s="135" t="n">
        <v>294</v>
      </c>
      <c r="D9" s="133" t="n">
        <v>113.6</v>
      </c>
      <c r="E9" s="134" t="n">
        <v>34</v>
      </c>
      <c r="F9" s="133" t="n">
        <v>84.7</v>
      </c>
      <c r="G9" s="17" t="n">
        <v>26</v>
      </c>
      <c r="H9" s="135" t="n">
        <v>294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n">
        <v>113</v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n"/>
      <c r="B10" s="123" t="n"/>
      <c r="C10" s="6" t="n"/>
      <c r="D10" s="9" t="n"/>
      <c r="E10" s="14" t="n"/>
      <c r="F10" s="133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8" t="n"/>
      <c r="P10" s="138" t="n"/>
      <c r="Q10" s="134" t="n"/>
      <c r="R10" s="134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8">
        <f>IF(E10="","",E10)</f>
        <v/>
      </c>
      <c r="AJ10" s="123" t="n"/>
      <c r="AK10" s="123" t="n"/>
      <c r="AL10" s="123" t="n"/>
      <c r="AM10" s="123" t="n"/>
      <c r="AN10" s="123" t="n"/>
      <c r="AO10" s="123" t="n"/>
      <c r="AP10" s="123" t="n"/>
      <c r="AQ10" s="123" t="n"/>
      <c r="AR10" s="123" t="n"/>
      <c r="AS10" s="123" t="n"/>
      <c r="AT10" s="123" t="n"/>
      <c r="AU10" s="123" t="n"/>
      <c r="AV10" s="123" t="n"/>
    </row>
    <row r="11">
      <c r="A11" s="9" t="inlineStr">
        <is>
          <t>그린서해맨션</t>
        </is>
      </c>
      <c r="B11" s="10" t="inlineStr">
        <is>
          <t>'93.12.</t>
        </is>
      </c>
      <c r="C11" s="135" t="n">
        <v>350</v>
      </c>
      <c r="D11" s="133" t="n">
        <v>77.8</v>
      </c>
      <c r="E11" s="134" t="n">
        <v>24</v>
      </c>
      <c r="F11" s="133" t="n">
        <v>59.4</v>
      </c>
      <c r="G11" s="17" t="n">
        <v>18</v>
      </c>
      <c r="H11" s="135" t="n">
        <v>174</v>
      </c>
      <c r="I11" s="136" t="n"/>
      <c r="J11" s="136" t="n"/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1</v>
      </c>
      <c r="S11" s="123" t="inlineStr">
        <is>
          <t>복</t>
        </is>
      </c>
      <c r="T11" s="5" t="inlineStr">
        <is>
          <t>77A</t>
        </is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5" t="n">
        <v>350</v>
      </c>
      <c r="D12" s="133" t="n">
        <v>79.3</v>
      </c>
      <c r="E12" s="134" t="n">
        <v>24</v>
      </c>
      <c r="F12" s="133" t="n">
        <v>59.4</v>
      </c>
      <c r="G12" s="17" t="n">
        <v>18</v>
      </c>
      <c r="H12" s="135" t="n">
        <v>60</v>
      </c>
      <c r="I12" s="136" t="n"/>
      <c r="J12" s="136" t="n"/>
      <c r="K12" s="136" t="n"/>
      <c r="L12" s="136" t="n"/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3</v>
      </c>
      <c r="R12" s="123" t="n">
        <v>1</v>
      </c>
      <c r="S12" s="123" t="inlineStr">
        <is>
          <t>복</t>
        </is>
      </c>
      <c r="T12" s="5" t="inlineStr">
        <is>
          <t>79B</t>
        </is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5" t="n">
        <v>350</v>
      </c>
      <c r="D13" s="133" t="n">
        <v>91.40000000000001</v>
      </c>
      <c r="E13" s="134" t="n">
        <v>28</v>
      </c>
      <c r="F13" s="133" t="n">
        <v>75</v>
      </c>
      <c r="G13" s="17" t="n">
        <v>23</v>
      </c>
      <c r="H13" s="135" t="n">
        <v>59</v>
      </c>
      <c r="I13" s="136" t="n">
        <v>8000</v>
      </c>
      <c r="J13" s="136" t="inlineStr">
        <is>
          <t>11</t>
        </is>
      </c>
      <c r="K13" s="136" t="n"/>
      <c r="L13" s="136" t="n"/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3</v>
      </c>
      <c r="R13" s="123" t="n">
        <v>1</v>
      </c>
      <c r="S13" s="123" t="inlineStr">
        <is>
          <t>계</t>
        </is>
      </c>
      <c r="T13" s="5" t="n">
        <v>91</v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5" t="n">
        <v>350</v>
      </c>
      <c r="D14" s="133" t="n">
        <v>101.3</v>
      </c>
      <c r="E14" s="134" t="n">
        <v>31</v>
      </c>
      <c r="F14" s="133" t="n">
        <v>75</v>
      </c>
      <c r="G14" s="17" t="n">
        <v>23</v>
      </c>
      <c r="H14" s="135" t="n">
        <v>1</v>
      </c>
      <c r="I14" s="136" t="n"/>
      <c r="J14" s="136" t="n"/>
      <c r="K14" s="136" t="n"/>
      <c r="L14" s="136" t="n"/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3</v>
      </c>
      <c r="R14" s="123" t="n">
        <v>2</v>
      </c>
      <c r="S14" s="123" t="inlineStr">
        <is>
          <t>계</t>
        </is>
      </c>
      <c r="T14" s="5" t="inlineStr">
        <is>
          <t>101A</t>
        </is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5" t="n">
        <v>350</v>
      </c>
      <c r="D15" s="133" t="n">
        <v>103.5</v>
      </c>
      <c r="E15" s="134" t="n">
        <v>31</v>
      </c>
      <c r="F15" s="133" t="n">
        <v>84.90000000000001</v>
      </c>
      <c r="G15" s="17" t="n">
        <v>26</v>
      </c>
      <c r="H15" s="135" t="n">
        <v>52</v>
      </c>
      <c r="I15" s="136" t="n">
        <v>8500</v>
      </c>
      <c r="J15" s="136" t="inlineStr">
        <is>
          <t>10</t>
        </is>
      </c>
      <c r="K15" s="136" t="n"/>
      <c r="L15" s="136" t="n"/>
      <c r="M15" s="137">
        <f>I15-K15</f>
        <v/>
      </c>
      <c r="N15" s="4">
        <f>IF(ISERROR(K15/I15),"",K15/I15)</f>
        <v/>
      </c>
      <c r="O15" s="138">
        <f>I15/E15</f>
        <v/>
      </c>
      <c r="P15" s="138">
        <f>K15/E15</f>
        <v/>
      </c>
      <c r="Q15" s="123" t="n">
        <v>3</v>
      </c>
      <c r="R15" s="123" t="n">
        <v>2</v>
      </c>
      <c r="S15" s="123" t="inlineStr">
        <is>
          <t>계</t>
        </is>
      </c>
      <c r="T15" s="5" t="inlineStr">
        <is>
          <t>103B</t>
        </is>
      </c>
      <c r="U15" s="9" t="n"/>
      <c r="W15" s="133">
        <f>D15</f>
        <v/>
      </c>
      <c r="X15" s="134">
        <f>E15</f>
        <v/>
      </c>
      <c r="Y15" s="139">
        <f>H15</f>
        <v/>
      </c>
      <c r="Z15" s="137">
        <f>I15</f>
        <v/>
      </c>
      <c r="AA15" s="137">
        <f>K15</f>
        <v/>
      </c>
      <c r="AB15" s="137">
        <f>M15</f>
        <v/>
      </c>
      <c r="AC15" s="4">
        <f>N15</f>
        <v/>
      </c>
      <c r="AD15" s="138">
        <f>O15</f>
        <v/>
      </c>
      <c r="AE15" s="123">
        <f>S15</f>
        <v/>
      </c>
      <c r="AF15" s="123">
        <f>Q15&amp;"/"&amp;R15</f>
        <v/>
      </c>
      <c r="AH15" s="20">
        <f>IF(A15="","",A15)</f>
        <v/>
      </c>
      <c r="AI15" s="134">
        <f>IF(E15="","",E15)</f>
        <v/>
      </c>
      <c r="AJ15" s="123">
        <f>IF(AI15="","",$AJ$2)</f>
        <v/>
      </c>
      <c r="AK15" s="123" t="inlineStr">
        <is>
          <t>A</t>
        </is>
      </c>
      <c r="AL15" s="123" t="inlineStr">
        <is>
          <t>A+</t>
        </is>
      </c>
      <c r="AM15" s="123" t="inlineStr">
        <is>
          <t>B+</t>
        </is>
      </c>
      <c r="AN15" s="123">
        <f>IF(AI15="","",$AN$2)</f>
        <v/>
      </c>
      <c r="AO15" s="123">
        <f>IF(N15="","",IF(N15&gt;=$AO$1/100,"O","X"))</f>
        <v/>
      </c>
      <c r="AP15" s="123">
        <f>IF(I15="","",IF(I15&lt;=$AP$1,"O","X"))</f>
        <v/>
      </c>
      <c r="AQ15" s="123">
        <f>IF(O15="","",IF(O15&lt;=$AQ$1,"O","X"))</f>
        <v/>
      </c>
      <c r="AR15" s="123">
        <f>IF(M15="","",IF(M15&lt;=$AR$1,"O","X"))</f>
        <v/>
      </c>
      <c r="AS15" s="123" t="inlineStr">
        <is>
          <t>X</t>
        </is>
      </c>
      <c r="AT15" s="123">
        <f>IF(OR(F15="",AI15=""),"",IF(AND((F15&lt;=85),(AI15&gt;=15)),"O","X"))</f>
        <v/>
      </c>
      <c r="AU15" s="123">
        <f>IF(C15="","",IF(C15&gt;=$AU$1,"O","X"))</f>
        <v/>
      </c>
      <c r="AV15" s="123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5" t="n">
        <v>350</v>
      </c>
      <c r="D16" s="133" t="n">
        <v>115.2</v>
      </c>
      <c r="E16" s="134" t="n">
        <v>35</v>
      </c>
      <c r="F16" s="133" t="n">
        <v>84.90000000000001</v>
      </c>
      <c r="G16" s="17" t="n">
        <v>26</v>
      </c>
      <c r="H16" s="135" t="n">
        <v>4</v>
      </c>
      <c r="I16" s="136" t="n"/>
      <c r="J16" s="136" t="n"/>
      <c r="K16" s="136" t="n"/>
      <c r="L16" s="136" t="n"/>
      <c r="M16" s="137">
        <f>I16-K16</f>
        <v/>
      </c>
      <c r="N16" s="4">
        <f>IF(ISERROR(K16/I16),"",K16/I16)</f>
        <v/>
      </c>
      <c r="O16" s="138">
        <f>I16/E16</f>
        <v/>
      </c>
      <c r="P16" s="138">
        <f>K16/E16</f>
        <v/>
      </c>
      <c r="Q16" s="123" t="n">
        <v>3</v>
      </c>
      <c r="R16" s="123" t="n">
        <v>2</v>
      </c>
      <c r="S16" s="123" t="inlineStr">
        <is>
          <t>복</t>
        </is>
      </c>
      <c r="T16" s="5" t="n">
        <v>115</v>
      </c>
      <c r="U16" s="9" t="n"/>
      <c r="W16" s="133">
        <f>D16</f>
        <v/>
      </c>
      <c r="X16" s="134">
        <f>E16</f>
        <v/>
      </c>
      <c r="Y16" s="139">
        <f>H16</f>
        <v/>
      </c>
      <c r="Z16" s="137">
        <f>I16</f>
        <v/>
      </c>
      <c r="AA16" s="137">
        <f>K16</f>
        <v/>
      </c>
      <c r="AB16" s="137">
        <f>M16</f>
        <v/>
      </c>
      <c r="AC16" s="4">
        <f>N16</f>
        <v/>
      </c>
      <c r="AD16" s="138">
        <f>O16</f>
        <v/>
      </c>
      <c r="AE16" s="123">
        <f>S16</f>
        <v/>
      </c>
      <c r="AF16" s="123">
        <f>Q16&amp;"/"&amp;R16</f>
        <v/>
      </c>
      <c r="AH16" s="20">
        <f>IF(A16="","",A16)</f>
        <v/>
      </c>
      <c r="AI16" s="134">
        <f>IF(E16="","",E16)</f>
        <v/>
      </c>
      <c r="AJ16" s="123">
        <f>IF(AI16="","",$AJ$2)</f>
        <v/>
      </c>
      <c r="AK16" s="123" t="inlineStr">
        <is>
          <t>A</t>
        </is>
      </c>
      <c r="AL16" s="123" t="inlineStr">
        <is>
          <t>A+</t>
        </is>
      </c>
      <c r="AM16" s="123" t="inlineStr">
        <is>
          <t>B+</t>
        </is>
      </c>
      <c r="AN16" s="123">
        <f>IF(AI16="","",$AN$2)</f>
        <v/>
      </c>
      <c r="AO16" s="123">
        <f>IF(N16="","",IF(N16&gt;=$AO$1/100,"O","X"))</f>
        <v/>
      </c>
      <c r="AP16" s="123">
        <f>IF(I16="","",IF(I16&lt;=$AP$1,"O","X"))</f>
        <v/>
      </c>
      <c r="AQ16" s="123">
        <f>IF(O16="","",IF(O16&lt;=$AQ$1,"O","X"))</f>
        <v/>
      </c>
      <c r="AR16" s="123">
        <f>IF(M16="","",IF(M16&lt;=$AR$1,"O","X"))</f>
        <v/>
      </c>
      <c r="AS16" s="123" t="inlineStr">
        <is>
          <t>X</t>
        </is>
      </c>
      <c r="AT16" s="123">
        <f>IF(OR(F16="",AI16=""),"",IF(AND((F16&lt;=85),(AI16&gt;=15)),"O","X"))</f>
        <v/>
      </c>
      <c r="AU16" s="123">
        <f>IF(C16="","",IF(C16&gt;=$AU$1,"O","X"))</f>
        <v/>
      </c>
      <c r="AV16" s="123">
        <f>IF(AO16="","",IF(AND(AO16="O",AP16="O",AR16="O",AT16="O",AU16="O"),"후보","X"))</f>
        <v/>
      </c>
    </row>
    <row r="17">
      <c r="A17" s="9" t="n"/>
      <c r="B17" s="123" t="n"/>
      <c r="C17" s="6" t="n"/>
      <c r="D17" s="9" t="n"/>
      <c r="E17" s="14" t="n"/>
      <c r="F17" s="133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8" t="n"/>
      <c r="P17" s="138" t="n"/>
      <c r="Q17" s="134" t="n"/>
      <c r="R17" s="134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8">
        <f>IF(E17="","",E17)</f>
        <v/>
      </c>
      <c r="AJ17" s="123" t="n"/>
      <c r="AK17" s="123" t="n"/>
      <c r="AL17" s="123" t="n"/>
      <c r="AM17" s="123" t="n"/>
      <c r="AN17" s="123" t="n"/>
      <c r="AO17" s="123" t="n"/>
      <c r="AP17" s="123" t="n"/>
      <c r="AQ17" s="123" t="n"/>
      <c r="AR17" s="123" t="n"/>
      <c r="AS17" s="123" t="n"/>
      <c r="AT17" s="123" t="n"/>
      <c r="AU17" s="123" t="n"/>
      <c r="AV17" s="123" t="n"/>
    </row>
    <row r="18">
      <c r="A18" s="9" t="inlineStr">
        <is>
          <t>동아</t>
        </is>
      </c>
      <c r="B18" s="10" t="inlineStr">
        <is>
          <t>'90.10.</t>
        </is>
      </c>
      <c r="C18" s="135" t="n">
        <v>702</v>
      </c>
      <c r="D18" s="133" t="n">
        <v>79.5</v>
      </c>
      <c r="E18" s="134" t="n">
        <v>24</v>
      </c>
      <c r="F18" s="133" t="n">
        <v>60.5</v>
      </c>
      <c r="G18" s="17" t="n">
        <v>18</v>
      </c>
      <c r="H18" s="135" t="n">
        <v>251</v>
      </c>
      <c r="I18" s="136" t="n">
        <v>6000</v>
      </c>
      <c r="J18" s="136" t="inlineStr">
        <is>
          <t>10</t>
        </is>
      </c>
      <c r="K18" s="136" t="n"/>
      <c r="L18" s="136" t="n"/>
      <c r="M18" s="137">
        <f>I18-K18</f>
        <v/>
      </c>
      <c r="N18" s="4">
        <f>IF(ISERROR(K18/I18),"",K18/I18)</f>
        <v/>
      </c>
      <c r="O18" s="138">
        <f>I18/E18</f>
        <v/>
      </c>
      <c r="P18" s="138">
        <f>K18/E18</f>
        <v/>
      </c>
      <c r="Q18" s="123" t="n">
        <v>3</v>
      </c>
      <c r="R18" s="123" t="n">
        <v>1</v>
      </c>
      <c r="S18" s="123" t="inlineStr">
        <is>
          <t>계</t>
        </is>
      </c>
      <c r="T18" s="5" t="inlineStr">
        <is>
          <t>79A</t>
        </is>
      </c>
      <c r="U18" s="9" t="n"/>
      <c r="W18" s="133">
        <f>D18</f>
        <v/>
      </c>
      <c r="X18" s="134">
        <f>E18</f>
        <v/>
      </c>
      <c r="Y18" s="139">
        <f>H18</f>
        <v/>
      </c>
      <c r="Z18" s="137">
        <f>I18</f>
        <v/>
      </c>
      <c r="AA18" s="137">
        <f>K18</f>
        <v/>
      </c>
      <c r="AB18" s="137">
        <f>M18</f>
        <v/>
      </c>
      <c r="AC18" s="4">
        <f>N18</f>
        <v/>
      </c>
      <c r="AD18" s="138">
        <f>O18</f>
        <v/>
      </c>
      <c r="AE18" s="123">
        <f>S18</f>
        <v/>
      </c>
      <c r="AF18" s="123">
        <f>Q18&amp;"/"&amp;R18</f>
        <v/>
      </c>
      <c r="AH18" s="20">
        <f>IF(A18="","",A18)</f>
        <v/>
      </c>
      <c r="AI18" s="134">
        <f>IF(E18="","",E18)</f>
        <v/>
      </c>
      <c r="AJ18" s="123">
        <f>IF(AI18="","",$AJ$2)</f>
        <v/>
      </c>
      <c r="AK18" s="123" t="inlineStr">
        <is>
          <t>A</t>
        </is>
      </c>
      <c r="AL18" s="123" t="inlineStr">
        <is>
          <t>A+</t>
        </is>
      </c>
      <c r="AM18" s="123" t="inlineStr">
        <is>
          <t>B+</t>
        </is>
      </c>
      <c r="AN18" s="123">
        <f>IF(AI18="","",$AN$2)</f>
        <v/>
      </c>
      <c r="AO18" s="123">
        <f>IF(N18="","",IF(N18&gt;=$AO$1/100,"O","X"))</f>
        <v/>
      </c>
      <c r="AP18" s="123">
        <f>IF(I18="","",IF(I18&lt;=$AP$1,"O","X"))</f>
        <v/>
      </c>
      <c r="AQ18" s="123">
        <f>IF(O18="","",IF(O18&lt;=$AQ$1,"O","X"))</f>
        <v/>
      </c>
      <c r="AR18" s="123">
        <f>IF(M18="","",IF(M18&lt;=$AR$1,"O","X"))</f>
        <v/>
      </c>
      <c r="AS18" s="123" t="inlineStr">
        <is>
          <t>X</t>
        </is>
      </c>
      <c r="AT18" s="123">
        <f>IF(OR(F18="",AI18=""),"",IF(AND((F18&lt;=85),(AI18&gt;=15)),"O","X"))</f>
        <v/>
      </c>
      <c r="AU18" s="123">
        <f>IF(C18="","",IF(C18&gt;=$AU$1,"O","X"))</f>
        <v/>
      </c>
      <c r="AV18" s="123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5" t="n">
        <v>702</v>
      </c>
      <c r="D19" s="133" t="n">
        <v>79.2</v>
      </c>
      <c r="E19" s="134" t="n">
        <v>24</v>
      </c>
      <c r="F19" s="133" t="n">
        <v>60.7</v>
      </c>
      <c r="G19" s="17" t="n">
        <v>18</v>
      </c>
      <c r="H19" s="135" t="n">
        <v>1</v>
      </c>
      <c r="I19" s="136" t="n"/>
      <c r="J19" s="136" t="n"/>
      <c r="K19" s="136" t="n"/>
      <c r="L19" s="136" t="n"/>
      <c r="M19" s="137">
        <f>I19-K19</f>
        <v/>
      </c>
      <c r="N19" s="4">
        <f>IF(ISERROR(K19/I19),"",K19/I19)</f>
        <v/>
      </c>
      <c r="O19" s="138">
        <f>I19/E19</f>
        <v/>
      </c>
      <c r="P19" s="138">
        <f>K19/E19</f>
        <v/>
      </c>
      <c r="Q19" s="123" t="n">
        <v>2</v>
      </c>
      <c r="R19" s="123" t="n">
        <v>1</v>
      </c>
      <c r="S19" s="123" t="inlineStr">
        <is>
          <t>계</t>
        </is>
      </c>
      <c r="T19" s="5" t="inlineStr">
        <is>
          <t>79B</t>
        </is>
      </c>
      <c r="U19" s="9" t="n"/>
      <c r="W19" s="133">
        <f>D19</f>
        <v/>
      </c>
      <c r="X19" s="134">
        <f>E19</f>
        <v/>
      </c>
      <c r="Y19" s="139">
        <f>H19</f>
        <v/>
      </c>
      <c r="Z19" s="137">
        <f>I19</f>
        <v/>
      </c>
      <c r="AA19" s="137">
        <f>K19</f>
        <v/>
      </c>
      <c r="AB19" s="137">
        <f>M19</f>
        <v/>
      </c>
      <c r="AC19" s="4">
        <f>N19</f>
        <v/>
      </c>
      <c r="AD19" s="138">
        <f>O19</f>
        <v/>
      </c>
      <c r="AE19" s="123">
        <f>S19</f>
        <v/>
      </c>
      <c r="AF19" s="123">
        <f>Q19&amp;"/"&amp;R19</f>
        <v/>
      </c>
      <c r="AH19" s="20">
        <f>IF(A19="","",A19)</f>
        <v/>
      </c>
      <c r="AI19" s="134">
        <f>IF(E19="","",E19)</f>
        <v/>
      </c>
      <c r="AJ19" s="123">
        <f>IF(AI19="","",$AJ$2)</f>
        <v/>
      </c>
      <c r="AK19" s="123" t="inlineStr">
        <is>
          <t>A</t>
        </is>
      </c>
      <c r="AL19" s="123" t="inlineStr">
        <is>
          <t>A+</t>
        </is>
      </c>
      <c r="AM19" s="123" t="inlineStr">
        <is>
          <t>B+</t>
        </is>
      </c>
      <c r="AN19" s="123">
        <f>IF(AI19="","",$AN$2)</f>
        <v/>
      </c>
      <c r="AO19" s="123">
        <f>IF(N19="","",IF(N19&gt;=$AO$1/100,"O","X"))</f>
        <v/>
      </c>
      <c r="AP19" s="123">
        <f>IF(I19="","",IF(I19&lt;=$AP$1,"O","X"))</f>
        <v/>
      </c>
      <c r="AQ19" s="123">
        <f>IF(O19="","",IF(O19&lt;=$AQ$1,"O","X"))</f>
        <v/>
      </c>
      <c r="AR19" s="123">
        <f>IF(M19="","",IF(M19&lt;=$AR$1,"O","X"))</f>
        <v/>
      </c>
      <c r="AS19" s="123" t="inlineStr">
        <is>
          <t>X</t>
        </is>
      </c>
      <c r="AT19" s="123">
        <f>IF(OR(F19="",AI19=""),"",IF(AND((F19&lt;=85),(AI19&gt;=15)),"O","X"))</f>
        <v/>
      </c>
      <c r="AU19" s="123">
        <f>IF(C19="","",IF(C19&gt;=$AU$1,"O","X"))</f>
        <v/>
      </c>
      <c r="AV19" s="123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5" t="n">
        <v>702</v>
      </c>
      <c r="D20" s="133" t="n">
        <v>93.59999999999999</v>
      </c>
      <c r="E20" s="134" t="n">
        <v>28</v>
      </c>
      <c r="F20" s="133" t="n">
        <v>75.59999999999999</v>
      </c>
      <c r="G20" s="17" t="n">
        <v>23</v>
      </c>
      <c r="H20" s="135" t="n">
        <v>240</v>
      </c>
      <c r="I20" s="136" t="n"/>
      <c r="J20" s="136" t="n"/>
      <c r="K20" s="136" t="n"/>
      <c r="L20" s="136" t="n"/>
      <c r="M20" s="137">
        <f>I20-K20</f>
        <v/>
      </c>
      <c r="N20" s="4">
        <f>IF(ISERROR(K20/I20),"",K20/I20)</f>
        <v/>
      </c>
      <c r="O20" s="138">
        <f>I20/E20</f>
        <v/>
      </c>
      <c r="P20" s="138">
        <f>K20/E20</f>
        <v/>
      </c>
      <c r="Q20" s="123" t="n">
        <v>3</v>
      </c>
      <c r="R20" s="123" t="n">
        <v>1</v>
      </c>
      <c r="S20" s="123" t="inlineStr">
        <is>
          <t>계</t>
        </is>
      </c>
      <c r="T20" s="5" t="n">
        <v>93</v>
      </c>
      <c r="U20" s="9" t="n"/>
      <c r="W20" s="133">
        <f>D20</f>
        <v/>
      </c>
      <c r="X20" s="134">
        <f>E20</f>
        <v/>
      </c>
      <c r="Y20" s="139">
        <f>H20</f>
        <v/>
      </c>
      <c r="Z20" s="137">
        <f>I20</f>
        <v/>
      </c>
      <c r="AA20" s="137">
        <f>K20</f>
        <v/>
      </c>
      <c r="AB20" s="137">
        <f>M20</f>
        <v/>
      </c>
      <c r="AC20" s="4">
        <f>N20</f>
        <v/>
      </c>
      <c r="AD20" s="138">
        <f>O20</f>
        <v/>
      </c>
      <c r="AE20" s="123">
        <f>S20</f>
        <v/>
      </c>
      <c r="AF20" s="123">
        <f>Q20&amp;"/"&amp;R20</f>
        <v/>
      </c>
      <c r="AH20" s="20">
        <f>IF(A20="","",A20)</f>
        <v/>
      </c>
      <c r="AI20" s="134">
        <f>IF(E20="","",E20)</f>
        <v/>
      </c>
      <c r="AJ20" s="123">
        <f>IF(AI20="","",$AJ$2)</f>
        <v/>
      </c>
      <c r="AK20" s="123" t="inlineStr">
        <is>
          <t>A</t>
        </is>
      </c>
      <c r="AL20" s="123" t="inlineStr">
        <is>
          <t>A+</t>
        </is>
      </c>
      <c r="AM20" s="123" t="inlineStr">
        <is>
          <t>B+</t>
        </is>
      </c>
      <c r="AN20" s="123">
        <f>IF(AI20="","",$AN$2)</f>
        <v/>
      </c>
      <c r="AO20" s="123">
        <f>IF(N20="","",IF(N20&gt;=$AO$1/100,"O","X"))</f>
        <v/>
      </c>
      <c r="AP20" s="123">
        <f>IF(I20="","",IF(I20&lt;=$AP$1,"O","X"))</f>
        <v/>
      </c>
      <c r="AQ20" s="123">
        <f>IF(O20="","",IF(O20&lt;=$AQ$1,"O","X"))</f>
        <v/>
      </c>
      <c r="AR20" s="123">
        <f>IF(M20="","",IF(M20&lt;=$AR$1,"O","X"))</f>
        <v/>
      </c>
      <c r="AS20" s="123" t="inlineStr">
        <is>
          <t>X</t>
        </is>
      </c>
      <c r="AT20" s="123">
        <f>IF(OR(F20="",AI20=""),"",IF(AND((F20&lt;=85),(AI20&gt;=15)),"O","X"))</f>
        <v/>
      </c>
      <c r="AU20" s="123">
        <f>IF(C20="","",IF(C20&gt;=$AU$1,"O","X"))</f>
        <v/>
      </c>
      <c r="AV20" s="123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5" t="n">
        <v>702</v>
      </c>
      <c r="D21" s="133" t="n">
        <v>103.9</v>
      </c>
      <c r="E21" s="134" t="n">
        <v>31</v>
      </c>
      <c r="F21" s="133" t="n">
        <v>84.90000000000001</v>
      </c>
      <c r="G21" s="17" t="n">
        <v>26</v>
      </c>
      <c r="H21" s="135" t="n">
        <v>210</v>
      </c>
      <c r="I21" s="136" t="n">
        <v>9500</v>
      </c>
      <c r="J21" s="136" t="inlineStr">
        <is>
          <t>10</t>
        </is>
      </c>
      <c r="K21" s="136" t="n"/>
      <c r="L21" s="136" t="n"/>
      <c r="M21" s="137">
        <f>I21-K21</f>
        <v/>
      </c>
      <c r="N21" s="4">
        <f>IF(ISERROR(K21/I21),"",K21/I21)</f>
        <v/>
      </c>
      <c r="O21" s="138">
        <f>I21/E21</f>
        <v/>
      </c>
      <c r="P21" s="138">
        <f>K21/E21</f>
        <v/>
      </c>
      <c r="Q21" s="123" t="n">
        <v>3</v>
      </c>
      <c r="R21" s="123" t="n">
        <v>2</v>
      </c>
      <c r="S21" s="123" t="inlineStr">
        <is>
          <t>계</t>
        </is>
      </c>
      <c r="T21" s="5" t="n">
        <v>103</v>
      </c>
      <c r="U21" s="9" t="n"/>
      <c r="W21" s="133">
        <f>D21</f>
        <v/>
      </c>
      <c r="X21" s="134">
        <f>E21</f>
        <v/>
      </c>
      <c r="Y21" s="139">
        <f>H21</f>
        <v/>
      </c>
      <c r="Z21" s="137">
        <f>I21</f>
        <v/>
      </c>
      <c r="AA21" s="137">
        <f>K21</f>
        <v/>
      </c>
      <c r="AB21" s="137">
        <f>M21</f>
        <v/>
      </c>
      <c r="AC21" s="4">
        <f>N21</f>
        <v/>
      </c>
      <c r="AD21" s="138">
        <f>O21</f>
        <v/>
      </c>
      <c r="AE21" s="123">
        <f>S21</f>
        <v/>
      </c>
      <c r="AF21" s="123">
        <f>Q21&amp;"/"&amp;R21</f>
        <v/>
      </c>
      <c r="AH21" s="20">
        <f>IF(A21="","",A21)</f>
        <v/>
      </c>
      <c r="AI21" s="134">
        <f>IF(E21="","",E21)</f>
        <v/>
      </c>
      <c r="AJ21" s="123">
        <f>IF(AI21="","",$AJ$2)</f>
        <v/>
      </c>
      <c r="AK21" s="123" t="inlineStr">
        <is>
          <t>A</t>
        </is>
      </c>
      <c r="AL21" s="123" t="inlineStr">
        <is>
          <t>A+</t>
        </is>
      </c>
      <c r="AM21" s="123" t="inlineStr">
        <is>
          <t>B+</t>
        </is>
      </c>
      <c r="AN21" s="123">
        <f>IF(AI21="","",$AN$2)</f>
        <v/>
      </c>
      <c r="AO21" s="123">
        <f>IF(N21="","",IF(N21&gt;=$AO$1/100,"O","X"))</f>
        <v/>
      </c>
      <c r="AP21" s="123">
        <f>IF(I21="","",IF(I21&lt;=$AP$1,"O","X"))</f>
        <v/>
      </c>
      <c r="AQ21" s="123">
        <f>IF(O21="","",IF(O21&lt;=$AQ$1,"O","X"))</f>
        <v/>
      </c>
      <c r="AR21" s="123">
        <f>IF(M21="","",IF(M21&lt;=$AR$1,"O","X"))</f>
        <v/>
      </c>
      <c r="AS21" s="123" t="inlineStr">
        <is>
          <t>X</t>
        </is>
      </c>
      <c r="AT21" s="123">
        <f>IF(OR(F21="",AI21=""),"",IF(AND((F21&lt;=85),(AI21&gt;=15)),"O","X"))</f>
        <v/>
      </c>
      <c r="AU21" s="123">
        <f>IF(C21="","",IF(C21&gt;=$AU$1,"O","X"))</f>
        <v/>
      </c>
      <c r="AV21" s="123">
        <f>IF(AO21="","",IF(AND(AO21="O",AP21="O",AR21="O",AT21="O",AU21="O"),"후보","X"))</f>
        <v/>
      </c>
    </row>
    <row r="22">
      <c r="A22" s="9" t="n"/>
      <c r="B22" s="123" t="n"/>
      <c r="C22" s="6" t="n"/>
      <c r="D22" s="9" t="n"/>
      <c r="E22" s="14" t="n"/>
      <c r="F22" s="133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8" t="n"/>
      <c r="P22" s="138" t="n"/>
      <c r="Q22" s="134" t="n"/>
      <c r="R22" s="134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8">
        <f>IF(E22="","",E22)</f>
        <v/>
      </c>
      <c r="AJ22" s="123" t="n"/>
      <c r="AK22" s="123" t="n"/>
      <c r="AL22" s="123" t="n"/>
      <c r="AM22" s="123" t="n"/>
      <c r="AN22" s="123" t="n"/>
      <c r="AO22" s="123" t="n"/>
      <c r="AP22" s="123" t="n"/>
      <c r="AQ22" s="123" t="n"/>
      <c r="AR22" s="123" t="n"/>
      <c r="AS22" s="123" t="n"/>
      <c r="AT22" s="123" t="n"/>
      <c r="AU22" s="123" t="n"/>
      <c r="AV22" s="123" t="n"/>
    </row>
    <row r="23">
      <c r="A23" s="9" t="inlineStr">
        <is>
          <t>소룡진흥</t>
        </is>
      </c>
      <c r="B23" s="10" t="inlineStr">
        <is>
          <t>'91.05.</t>
        </is>
      </c>
      <c r="C23" s="135" t="n">
        <v>499</v>
      </c>
      <c r="D23" s="133" t="n">
        <v>57.5</v>
      </c>
      <c r="E23" s="134" t="n">
        <v>17</v>
      </c>
      <c r="F23" s="133" t="n">
        <v>43.7</v>
      </c>
      <c r="G23" s="17" t="n">
        <v>13</v>
      </c>
      <c r="H23" s="135" t="n">
        <v>123</v>
      </c>
      <c r="I23" s="136" t="n"/>
      <c r="J23" s="136" t="n"/>
      <c r="K23" s="136" t="n"/>
      <c r="L23" s="136" t="n"/>
      <c r="M23" s="137">
        <f>I23-K23</f>
        <v/>
      </c>
      <c r="N23" s="4">
        <f>IF(ISERROR(K23/I23),"",K23/I23)</f>
        <v/>
      </c>
      <c r="O23" s="138">
        <f>I23/E23</f>
        <v/>
      </c>
      <c r="P23" s="138">
        <f>K23/E23</f>
        <v/>
      </c>
      <c r="Q23" s="123" t="n">
        <v>2</v>
      </c>
      <c r="R23" s="123" t="n">
        <v>1</v>
      </c>
      <c r="S23" s="123" t="inlineStr">
        <is>
          <t>계</t>
        </is>
      </c>
      <c r="T23" s="5" t="n">
        <v>57</v>
      </c>
      <c r="U23" s="9" t="n"/>
      <c r="W23" s="133">
        <f>D23</f>
        <v/>
      </c>
      <c r="X23" s="134">
        <f>E23</f>
        <v/>
      </c>
      <c r="Y23" s="139">
        <f>H23</f>
        <v/>
      </c>
      <c r="Z23" s="137">
        <f>I23</f>
        <v/>
      </c>
      <c r="AA23" s="137">
        <f>K23</f>
        <v/>
      </c>
      <c r="AB23" s="137">
        <f>M23</f>
        <v/>
      </c>
      <c r="AC23" s="4">
        <f>N23</f>
        <v/>
      </c>
      <c r="AD23" s="138">
        <f>O23</f>
        <v/>
      </c>
      <c r="AE23" s="123">
        <f>S23</f>
        <v/>
      </c>
      <c r="AF23" s="123">
        <f>Q23&amp;"/"&amp;R23</f>
        <v/>
      </c>
      <c r="AH23" s="20">
        <f>IF(A23="","",A23)</f>
        <v/>
      </c>
      <c r="AI23" s="134">
        <f>IF(E23="","",E23)</f>
        <v/>
      </c>
      <c r="AJ23" s="123">
        <f>IF(AI23="","",$AJ$2)</f>
        <v/>
      </c>
      <c r="AK23" s="123" t="inlineStr">
        <is>
          <t>A</t>
        </is>
      </c>
      <c r="AL23" s="123" t="inlineStr">
        <is>
          <t>A+</t>
        </is>
      </c>
      <c r="AM23" s="123" t="inlineStr">
        <is>
          <t>B+</t>
        </is>
      </c>
      <c r="AN23" s="123">
        <f>IF(AI23="","",$AN$2)</f>
        <v/>
      </c>
      <c r="AO23" s="123">
        <f>IF(N23="","",IF(N23&gt;=$AO$1/100,"O","X"))</f>
        <v/>
      </c>
      <c r="AP23" s="123">
        <f>IF(I23="","",IF(I23&lt;=$AP$1,"O","X"))</f>
        <v/>
      </c>
      <c r="AQ23" s="123">
        <f>IF(O23="","",IF(O23&lt;=$AQ$1,"O","X"))</f>
        <v/>
      </c>
      <c r="AR23" s="123">
        <f>IF(M23="","",IF(M23&lt;=$AR$1,"O","X"))</f>
        <v/>
      </c>
      <c r="AS23" s="123" t="inlineStr">
        <is>
          <t>X</t>
        </is>
      </c>
      <c r="AT23" s="123">
        <f>IF(OR(F23="",AI23=""),"",IF(AND((F23&lt;=85),(AI23&gt;=15)),"O","X"))</f>
        <v/>
      </c>
      <c r="AU23" s="123">
        <f>IF(C23="","",IF(C23&gt;=$AU$1,"O","X"))</f>
        <v/>
      </c>
      <c r="AV23" s="123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5" t="n">
        <v>499</v>
      </c>
      <c r="D24" s="133" t="n">
        <v>63.4</v>
      </c>
      <c r="E24" s="134" t="n">
        <v>19</v>
      </c>
      <c r="F24" s="133" t="n">
        <v>49.3</v>
      </c>
      <c r="G24" s="17" t="n">
        <v>15</v>
      </c>
      <c r="H24" s="135" t="n">
        <v>50</v>
      </c>
      <c r="I24" s="136" t="n">
        <v>4000</v>
      </c>
      <c r="J24" s="136" t="inlineStr">
        <is>
          <t>9</t>
        </is>
      </c>
      <c r="K24" s="136" t="n"/>
      <c r="L24" s="136" t="n"/>
      <c r="M24" s="137">
        <f>I24-K24</f>
        <v/>
      </c>
      <c r="N24" s="4">
        <f>IF(ISERROR(K24/I24),"",K24/I24)</f>
        <v/>
      </c>
      <c r="O24" s="138">
        <f>I24/E24</f>
        <v/>
      </c>
      <c r="P24" s="138">
        <f>K24/E24</f>
        <v/>
      </c>
      <c r="Q24" s="123" t="n">
        <v>2</v>
      </c>
      <c r="R24" s="123" t="n">
        <v>1</v>
      </c>
      <c r="S24" s="123" t="inlineStr">
        <is>
          <t>계</t>
        </is>
      </c>
      <c r="T24" s="5" t="n">
        <v>63</v>
      </c>
      <c r="U24" s="9" t="n"/>
      <c r="W24" s="133">
        <f>D24</f>
        <v/>
      </c>
      <c r="X24" s="134">
        <f>E24</f>
        <v/>
      </c>
      <c r="Y24" s="139">
        <f>H24</f>
        <v/>
      </c>
      <c r="Z24" s="137">
        <f>I24</f>
        <v/>
      </c>
      <c r="AA24" s="137">
        <f>K24</f>
        <v/>
      </c>
      <c r="AB24" s="137">
        <f>M24</f>
        <v/>
      </c>
      <c r="AC24" s="4">
        <f>N24</f>
        <v/>
      </c>
      <c r="AD24" s="138">
        <f>O24</f>
        <v/>
      </c>
      <c r="AE24" s="123">
        <f>S24</f>
        <v/>
      </c>
      <c r="AF24" s="123">
        <f>Q24&amp;"/"&amp;R24</f>
        <v/>
      </c>
      <c r="AH24" s="20">
        <f>IF(A24="","",A24)</f>
        <v/>
      </c>
      <c r="AI24" s="134">
        <f>IF(E24="","",E24)</f>
        <v/>
      </c>
      <c r="AJ24" s="123">
        <f>IF(AI24="","",$AJ$2)</f>
        <v/>
      </c>
      <c r="AK24" s="123" t="inlineStr">
        <is>
          <t>A</t>
        </is>
      </c>
      <c r="AL24" s="123" t="inlineStr">
        <is>
          <t>A+</t>
        </is>
      </c>
      <c r="AM24" s="123" t="inlineStr">
        <is>
          <t>B+</t>
        </is>
      </c>
      <c r="AN24" s="123">
        <f>IF(AI24="","",$AN$2)</f>
        <v/>
      </c>
      <c r="AO24" s="123">
        <f>IF(N24="","",IF(N24&gt;=$AO$1/100,"O","X"))</f>
        <v/>
      </c>
      <c r="AP24" s="123">
        <f>IF(I24="","",IF(I24&lt;=$AP$1,"O","X"))</f>
        <v/>
      </c>
      <c r="AQ24" s="123">
        <f>IF(O24="","",IF(O24&lt;=$AQ$1,"O","X"))</f>
        <v/>
      </c>
      <c r="AR24" s="123">
        <f>IF(M24="","",IF(M24&lt;=$AR$1,"O","X"))</f>
        <v/>
      </c>
      <c r="AS24" s="123" t="inlineStr">
        <is>
          <t>X</t>
        </is>
      </c>
      <c r="AT24" s="123">
        <f>IF(OR(F24="",AI24=""),"",IF(AND((F24&lt;=85),(AI24&gt;=15)),"O","X"))</f>
        <v/>
      </c>
      <c r="AU24" s="123">
        <f>IF(C24="","",IF(C24&gt;=$AU$1,"O","X"))</f>
        <v/>
      </c>
      <c r="AV24" s="123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5" t="n">
        <v>499</v>
      </c>
      <c r="D25" s="133" t="n">
        <v>70.2</v>
      </c>
      <c r="E25" s="134" t="n">
        <v>21</v>
      </c>
      <c r="F25" s="133" t="n">
        <v>59.2</v>
      </c>
      <c r="G25" s="17" t="n">
        <v>18</v>
      </c>
      <c r="H25" s="135" t="n">
        <v>25</v>
      </c>
      <c r="I25" s="136" t="n"/>
      <c r="J25" s="136" t="n"/>
      <c r="K25" s="136" t="n"/>
      <c r="L25" s="136" t="n"/>
      <c r="M25" s="137">
        <f>I25-K25</f>
        <v/>
      </c>
      <c r="N25" s="4">
        <f>IF(ISERROR(K25/I25),"",K25/I25)</f>
        <v/>
      </c>
      <c r="O25" s="138">
        <f>I25/E25</f>
        <v/>
      </c>
      <c r="P25" s="138">
        <f>K25/E25</f>
        <v/>
      </c>
      <c r="Q25" s="123" t="n">
        <v>2</v>
      </c>
      <c r="R25" s="123" t="n">
        <v>1</v>
      </c>
      <c r="S25" s="123" t="inlineStr">
        <is>
          <t>계</t>
        </is>
      </c>
      <c r="T25" s="5" t="n">
        <v>70</v>
      </c>
      <c r="U25" s="9" t="n"/>
      <c r="W25" s="133">
        <f>D25</f>
        <v/>
      </c>
      <c r="X25" s="134">
        <f>E25</f>
        <v/>
      </c>
      <c r="Y25" s="139">
        <f>H25</f>
        <v/>
      </c>
      <c r="Z25" s="137">
        <f>I25</f>
        <v/>
      </c>
      <c r="AA25" s="137">
        <f>K25</f>
        <v/>
      </c>
      <c r="AB25" s="137">
        <f>M25</f>
        <v/>
      </c>
      <c r="AC25" s="4">
        <f>N25</f>
        <v/>
      </c>
      <c r="AD25" s="138">
        <f>O25</f>
        <v/>
      </c>
      <c r="AE25" s="123">
        <f>S25</f>
        <v/>
      </c>
      <c r="AF25" s="123">
        <f>Q25&amp;"/"&amp;R25</f>
        <v/>
      </c>
      <c r="AH25" s="20">
        <f>IF(A25="","",A25)</f>
        <v/>
      </c>
      <c r="AI25" s="134">
        <f>IF(E25="","",E25)</f>
        <v/>
      </c>
      <c r="AJ25" s="123">
        <f>IF(AI25="","",$AJ$2)</f>
        <v/>
      </c>
      <c r="AK25" s="123" t="inlineStr">
        <is>
          <t>A</t>
        </is>
      </c>
      <c r="AL25" s="123" t="inlineStr">
        <is>
          <t>A+</t>
        </is>
      </c>
      <c r="AM25" s="123" t="inlineStr">
        <is>
          <t>B+</t>
        </is>
      </c>
      <c r="AN25" s="123">
        <f>IF(AI25="","",$AN$2)</f>
        <v/>
      </c>
      <c r="AO25" s="123">
        <f>IF(N25="","",IF(N25&gt;=$AO$1/100,"O","X"))</f>
        <v/>
      </c>
      <c r="AP25" s="123">
        <f>IF(I25="","",IF(I25&lt;=$AP$1,"O","X"))</f>
        <v/>
      </c>
      <c r="AQ25" s="123">
        <f>IF(O25="","",IF(O25&lt;=$AQ$1,"O","X"))</f>
        <v/>
      </c>
      <c r="AR25" s="123">
        <f>IF(M25="","",IF(M25&lt;=$AR$1,"O","X"))</f>
        <v/>
      </c>
      <c r="AS25" s="123" t="inlineStr">
        <is>
          <t>X</t>
        </is>
      </c>
      <c r="AT25" s="123">
        <f>IF(OR(F25="",AI25=""),"",IF(AND((F25&lt;=85),(AI25&gt;=15)),"O","X"))</f>
        <v/>
      </c>
      <c r="AU25" s="123">
        <f>IF(C25="","",IF(C25&gt;=$AU$1,"O","X"))</f>
        <v/>
      </c>
      <c r="AV25" s="123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5" t="n">
        <v>499</v>
      </c>
      <c r="D26" s="133" t="n">
        <v>78.40000000000001</v>
      </c>
      <c r="E26" s="134" t="n">
        <v>24</v>
      </c>
      <c r="F26" s="133" t="n">
        <v>59.8</v>
      </c>
      <c r="G26" s="17" t="n">
        <v>18</v>
      </c>
      <c r="H26" s="135" t="n">
        <v>48</v>
      </c>
      <c r="I26" s="136" t="n">
        <v>5350</v>
      </c>
      <c r="J26" s="136" t="inlineStr">
        <is>
          <t>9</t>
        </is>
      </c>
      <c r="K26" s="136" t="n"/>
      <c r="L26" s="136" t="n"/>
      <c r="M26" s="137">
        <f>I26-K26</f>
        <v/>
      </c>
      <c r="N26" s="4">
        <f>IF(ISERROR(K26/I26),"",K26/I26)</f>
        <v/>
      </c>
      <c r="O26" s="138">
        <f>I26/E26</f>
        <v/>
      </c>
      <c r="P26" s="138">
        <f>K26/E26</f>
        <v/>
      </c>
      <c r="Q26" s="123" t="n">
        <v>3</v>
      </c>
      <c r="R26" s="123" t="n">
        <v>1</v>
      </c>
      <c r="S26" s="123" t="inlineStr">
        <is>
          <t>복</t>
        </is>
      </c>
      <c r="T26" s="5" t="inlineStr">
        <is>
          <t>78A</t>
        </is>
      </c>
      <c r="U26" s="9" t="n"/>
      <c r="W26" s="133">
        <f>D26</f>
        <v/>
      </c>
      <c r="X26" s="134">
        <f>E26</f>
        <v/>
      </c>
      <c r="Y26" s="139">
        <f>H26</f>
        <v/>
      </c>
      <c r="Z26" s="137">
        <f>I26</f>
        <v/>
      </c>
      <c r="AA26" s="137">
        <f>K26</f>
        <v/>
      </c>
      <c r="AB26" s="137">
        <f>M26</f>
        <v/>
      </c>
      <c r="AC26" s="4">
        <f>N26</f>
        <v/>
      </c>
      <c r="AD26" s="138">
        <f>O26</f>
        <v/>
      </c>
      <c r="AE26" s="123">
        <f>S26</f>
        <v/>
      </c>
      <c r="AF26" s="123">
        <f>Q26&amp;"/"&amp;R26</f>
        <v/>
      </c>
      <c r="AH26" s="20">
        <f>IF(A26="","",A26)</f>
        <v/>
      </c>
      <c r="AI26" s="134">
        <f>IF(E26="","",E26)</f>
        <v/>
      </c>
      <c r="AJ26" s="123">
        <f>IF(AI26="","",$AJ$2)</f>
        <v/>
      </c>
      <c r="AK26" s="123" t="inlineStr">
        <is>
          <t>A</t>
        </is>
      </c>
      <c r="AL26" s="123" t="inlineStr">
        <is>
          <t>A+</t>
        </is>
      </c>
      <c r="AM26" s="123" t="inlineStr">
        <is>
          <t>B+</t>
        </is>
      </c>
      <c r="AN26" s="123">
        <f>IF(AI26="","",$AN$2)</f>
        <v/>
      </c>
      <c r="AO26" s="123">
        <f>IF(N26="","",IF(N26&gt;=$AO$1/100,"O","X"))</f>
        <v/>
      </c>
      <c r="AP26" s="123">
        <f>IF(I26="","",IF(I26&lt;=$AP$1,"O","X"))</f>
        <v/>
      </c>
      <c r="AQ26" s="123">
        <f>IF(O26="","",IF(O26&lt;=$AQ$1,"O","X"))</f>
        <v/>
      </c>
      <c r="AR26" s="123">
        <f>IF(M26="","",IF(M26&lt;=$AR$1,"O","X"))</f>
        <v/>
      </c>
      <c r="AS26" s="123" t="inlineStr">
        <is>
          <t>X</t>
        </is>
      </c>
      <c r="AT26" s="123">
        <f>IF(OR(F26="",AI26=""),"",IF(AND((F26&lt;=85),(AI26&gt;=15)),"O","X"))</f>
        <v/>
      </c>
      <c r="AU26" s="123">
        <f>IF(C26="","",IF(C26&gt;=$AU$1,"O","X"))</f>
        <v/>
      </c>
      <c r="AV26" s="123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5" t="n">
        <v>499</v>
      </c>
      <c r="D27" s="133" t="n">
        <v>80.7</v>
      </c>
      <c r="E27" s="134" t="n">
        <v>24</v>
      </c>
      <c r="F27" s="133" t="n">
        <v>68.09999999999999</v>
      </c>
      <c r="G27" s="17" t="n">
        <v>21</v>
      </c>
      <c r="H27" s="135" t="n">
        <v>25</v>
      </c>
      <c r="I27" s="136" t="n"/>
      <c r="J27" s="136" t="n"/>
      <c r="K27" s="136" t="n"/>
      <c r="L27" s="136" t="n"/>
      <c r="M27" s="137">
        <f>I27-K27</f>
        <v/>
      </c>
      <c r="N27" s="4">
        <f>IF(ISERROR(K27/I27),"",K27/I27)</f>
        <v/>
      </c>
      <c r="O27" s="138">
        <f>I27/E27</f>
        <v/>
      </c>
      <c r="P27" s="138">
        <f>K27/E27</f>
        <v/>
      </c>
      <c r="Q27" s="123" t="n">
        <v>3</v>
      </c>
      <c r="R27" s="123" t="n">
        <v>1</v>
      </c>
      <c r="S27" s="123" t="inlineStr">
        <is>
          <t>계</t>
        </is>
      </c>
      <c r="T27" s="5" t="inlineStr">
        <is>
          <t>80B</t>
        </is>
      </c>
      <c r="U27" s="9" t="n"/>
      <c r="W27" s="133">
        <f>D27</f>
        <v/>
      </c>
      <c r="X27" s="134">
        <f>E27</f>
        <v/>
      </c>
      <c r="Y27" s="139">
        <f>H27</f>
        <v/>
      </c>
      <c r="Z27" s="137">
        <f>I27</f>
        <v/>
      </c>
      <c r="AA27" s="137">
        <f>K27</f>
        <v/>
      </c>
      <c r="AB27" s="137">
        <f>M27</f>
        <v/>
      </c>
      <c r="AC27" s="4">
        <f>N27</f>
        <v/>
      </c>
      <c r="AD27" s="138">
        <f>O27</f>
        <v/>
      </c>
      <c r="AE27" s="123">
        <f>S27</f>
        <v/>
      </c>
      <c r="AF27" s="123">
        <f>Q27&amp;"/"&amp;R27</f>
        <v/>
      </c>
      <c r="AH27" s="20">
        <f>IF(A27="","",A27)</f>
        <v/>
      </c>
      <c r="AI27" s="134">
        <f>IF(E27="","",E27)</f>
        <v/>
      </c>
      <c r="AJ27" s="123">
        <f>IF(AI27="","",$AJ$2)</f>
        <v/>
      </c>
      <c r="AK27" s="123" t="inlineStr">
        <is>
          <t>A</t>
        </is>
      </c>
      <c r="AL27" s="123" t="inlineStr">
        <is>
          <t>A+</t>
        </is>
      </c>
      <c r="AM27" s="123" t="inlineStr">
        <is>
          <t>B+</t>
        </is>
      </c>
      <c r="AN27" s="123">
        <f>IF(AI27="","",$AN$2)</f>
        <v/>
      </c>
      <c r="AO27" s="123">
        <f>IF(N27="","",IF(N27&gt;=$AO$1/100,"O","X"))</f>
        <v/>
      </c>
      <c r="AP27" s="123">
        <f>IF(I27="","",IF(I27&lt;=$AP$1,"O","X"))</f>
        <v/>
      </c>
      <c r="AQ27" s="123">
        <f>IF(O27="","",IF(O27&lt;=$AQ$1,"O","X"))</f>
        <v/>
      </c>
      <c r="AR27" s="123">
        <f>IF(M27="","",IF(M27&lt;=$AR$1,"O","X"))</f>
        <v/>
      </c>
      <c r="AS27" s="123" t="inlineStr">
        <is>
          <t>X</t>
        </is>
      </c>
      <c r="AT27" s="123">
        <f>IF(OR(F27="",AI27=""),"",IF(AND((F27&lt;=85),(AI27&gt;=15)),"O","X"))</f>
        <v/>
      </c>
      <c r="AU27" s="123">
        <f>IF(C27="","",IF(C27&gt;=$AU$1,"O","X"))</f>
        <v/>
      </c>
      <c r="AV27" s="123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5" t="n">
        <v>499</v>
      </c>
      <c r="D28" s="133" t="n">
        <v>88.3</v>
      </c>
      <c r="E28" s="134" t="n">
        <v>27</v>
      </c>
      <c r="F28" s="133" t="n">
        <v>72</v>
      </c>
      <c r="G28" s="17" t="n">
        <v>22</v>
      </c>
      <c r="H28" s="135" t="n">
        <v>128</v>
      </c>
      <c r="I28" s="136" t="n">
        <v>6700</v>
      </c>
      <c r="J28" s="136" t="inlineStr">
        <is>
          <t>12</t>
        </is>
      </c>
      <c r="K28" s="136" t="n"/>
      <c r="L28" s="136" t="n"/>
      <c r="M28" s="137">
        <f>I28-K28</f>
        <v/>
      </c>
      <c r="N28" s="4">
        <f>IF(ISERROR(K28/I28),"",K28/I28)</f>
        <v/>
      </c>
      <c r="O28" s="138">
        <f>I28/E28</f>
        <v/>
      </c>
      <c r="P28" s="138">
        <f>K28/E28</f>
        <v/>
      </c>
      <c r="Q28" s="123" t="n">
        <v>3</v>
      </c>
      <c r="R28" s="123" t="n">
        <v>2</v>
      </c>
      <c r="S28" s="123" t="inlineStr">
        <is>
          <t>계</t>
        </is>
      </c>
      <c r="T28" s="5" t="n">
        <v>88</v>
      </c>
      <c r="U28" s="9" t="n"/>
      <c r="W28" s="133">
        <f>D28</f>
        <v/>
      </c>
      <c r="X28" s="134">
        <f>E28</f>
        <v/>
      </c>
      <c r="Y28" s="139">
        <f>H28</f>
        <v/>
      </c>
      <c r="Z28" s="137">
        <f>I28</f>
        <v/>
      </c>
      <c r="AA28" s="137">
        <f>K28</f>
        <v/>
      </c>
      <c r="AB28" s="137">
        <f>M28</f>
        <v/>
      </c>
      <c r="AC28" s="4">
        <f>N28</f>
        <v/>
      </c>
      <c r="AD28" s="138">
        <f>O28</f>
        <v/>
      </c>
      <c r="AE28" s="123">
        <f>S28</f>
        <v/>
      </c>
      <c r="AF28" s="123">
        <f>Q28&amp;"/"&amp;R28</f>
        <v/>
      </c>
      <c r="AH28" s="20">
        <f>IF(A28="","",A28)</f>
        <v/>
      </c>
      <c r="AI28" s="134">
        <f>IF(E28="","",E28)</f>
        <v/>
      </c>
      <c r="AJ28" s="123">
        <f>IF(AI28="","",$AJ$2)</f>
        <v/>
      </c>
      <c r="AK28" s="123" t="inlineStr">
        <is>
          <t>A</t>
        </is>
      </c>
      <c r="AL28" s="123" t="inlineStr">
        <is>
          <t>A+</t>
        </is>
      </c>
      <c r="AM28" s="123" t="inlineStr">
        <is>
          <t>B+</t>
        </is>
      </c>
      <c r="AN28" s="123">
        <f>IF(AI28="","",$AN$2)</f>
        <v/>
      </c>
      <c r="AO28" s="123">
        <f>IF(N28="","",IF(N28&gt;=$AO$1/100,"O","X"))</f>
        <v/>
      </c>
      <c r="AP28" s="123">
        <f>IF(I28="","",IF(I28&lt;=$AP$1,"O","X"))</f>
        <v/>
      </c>
      <c r="AQ28" s="123">
        <f>IF(O28="","",IF(O28&lt;=$AQ$1,"O","X"))</f>
        <v/>
      </c>
      <c r="AR28" s="123">
        <f>IF(M28="","",IF(M28&lt;=$AR$1,"O","X"))</f>
        <v/>
      </c>
      <c r="AS28" s="123" t="inlineStr">
        <is>
          <t>X</t>
        </is>
      </c>
      <c r="AT28" s="123">
        <f>IF(OR(F28="",AI28=""),"",IF(AND((F28&lt;=85),(AI28&gt;=15)),"O","X"))</f>
        <v/>
      </c>
      <c r="AU28" s="123">
        <f>IF(C28="","",IF(C28&gt;=$AU$1,"O","X"))</f>
        <v/>
      </c>
      <c r="AV28" s="123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5" t="n">
        <v>499</v>
      </c>
      <c r="D29" s="133" t="n">
        <v>102.8</v>
      </c>
      <c r="E29" s="134" t="n">
        <v>31</v>
      </c>
      <c r="F29" s="133" t="n">
        <v>85</v>
      </c>
      <c r="G29" s="17" t="n">
        <v>26</v>
      </c>
      <c r="H29" s="135" t="n">
        <v>100</v>
      </c>
      <c r="I29" s="136" t="n"/>
      <c r="J29" s="136" t="n"/>
      <c r="K29" s="136" t="n"/>
      <c r="L29" s="136" t="n"/>
      <c r="M29" s="137">
        <f>I29-K29</f>
        <v/>
      </c>
      <c r="N29" s="4">
        <f>IF(ISERROR(K29/I29),"",K29/I29)</f>
        <v/>
      </c>
      <c r="O29" s="138">
        <f>I29/E29</f>
        <v/>
      </c>
      <c r="P29" s="138">
        <f>K29/E29</f>
        <v/>
      </c>
      <c r="Q29" s="123" t="n">
        <v>3</v>
      </c>
      <c r="R29" s="123" t="n">
        <v>2</v>
      </c>
      <c r="S29" s="123" t="inlineStr">
        <is>
          <t>계</t>
        </is>
      </c>
      <c r="T29" s="5" t="n">
        <v>102</v>
      </c>
      <c r="U29" s="9" t="n"/>
      <c r="W29" s="133">
        <f>D29</f>
        <v/>
      </c>
      <c r="X29" s="134">
        <f>E29</f>
        <v/>
      </c>
      <c r="Y29" s="139">
        <f>H29</f>
        <v/>
      </c>
      <c r="Z29" s="137">
        <f>I29</f>
        <v/>
      </c>
      <c r="AA29" s="137">
        <f>K29</f>
        <v/>
      </c>
      <c r="AB29" s="137">
        <f>M29</f>
        <v/>
      </c>
      <c r="AC29" s="4">
        <f>N29</f>
        <v/>
      </c>
      <c r="AD29" s="138">
        <f>O29</f>
        <v/>
      </c>
      <c r="AE29" s="123">
        <f>S29</f>
        <v/>
      </c>
      <c r="AF29" s="123">
        <f>Q29&amp;"/"&amp;R29</f>
        <v/>
      </c>
      <c r="AH29" s="20">
        <f>IF(A29="","",A29)</f>
        <v/>
      </c>
      <c r="AI29" s="134">
        <f>IF(E29="","",E29)</f>
        <v/>
      </c>
      <c r="AJ29" s="123">
        <f>IF(AI29="","",$AJ$2)</f>
        <v/>
      </c>
      <c r="AK29" s="123" t="inlineStr">
        <is>
          <t>A</t>
        </is>
      </c>
      <c r="AL29" s="123" t="inlineStr">
        <is>
          <t>A+</t>
        </is>
      </c>
      <c r="AM29" s="123" t="inlineStr">
        <is>
          <t>B+</t>
        </is>
      </c>
      <c r="AN29" s="123">
        <f>IF(AI29="","",$AN$2)</f>
        <v/>
      </c>
      <c r="AO29" s="123">
        <f>IF(N29="","",IF(N29&gt;=$AO$1/100,"O","X"))</f>
        <v/>
      </c>
      <c r="AP29" s="123">
        <f>IF(I29="","",IF(I29&lt;=$AP$1,"O","X"))</f>
        <v/>
      </c>
      <c r="AQ29" s="123">
        <f>IF(O29="","",IF(O29&lt;=$AQ$1,"O","X"))</f>
        <v/>
      </c>
      <c r="AR29" s="123">
        <f>IF(M29="","",IF(M29&lt;=$AR$1,"O","X"))</f>
        <v/>
      </c>
      <c r="AS29" s="123" t="inlineStr">
        <is>
          <t>X</t>
        </is>
      </c>
      <c r="AT29" s="123">
        <f>IF(OR(F29="",AI29=""),"",IF(AND((F29&lt;=85),(AI29&gt;=15)),"O","X"))</f>
        <v/>
      </c>
      <c r="AU29" s="123">
        <f>IF(C29="","",IF(C29&gt;=$AU$1,"O","X"))</f>
        <v/>
      </c>
      <c r="AV29" s="123">
        <f>IF(AO29="","",IF(AND(AO29="O",AP29="O",AR29="O",AT29="O",AU29="O"),"후보","X"))</f>
        <v/>
      </c>
    </row>
    <row r="30">
      <c r="A30" s="9" t="n"/>
      <c r="B30" s="123" t="n"/>
      <c r="C30" s="6" t="n"/>
      <c r="D30" s="9" t="n"/>
      <c r="E30" s="14" t="n"/>
      <c r="F30" s="133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8" t="n"/>
      <c r="P30" s="138" t="n"/>
      <c r="Q30" s="134" t="n"/>
      <c r="R30" s="134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8">
        <f>IF(E30="","",E30)</f>
        <v/>
      </c>
      <c r="AJ30" s="123" t="n"/>
      <c r="AK30" s="123" t="n"/>
      <c r="AL30" s="123" t="n"/>
      <c r="AM30" s="123" t="n"/>
      <c r="AN30" s="123" t="n"/>
      <c r="AO30" s="123" t="n"/>
      <c r="AP30" s="123" t="n"/>
      <c r="AQ30" s="123" t="n"/>
      <c r="AR30" s="123" t="n"/>
      <c r="AS30" s="123" t="n"/>
      <c r="AT30" s="123" t="n"/>
      <c r="AU30" s="123" t="n"/>
      <c r="AV30" s="123" t="n"/>
    </row>
    <row r="31">
      <c r="A31" s="9" t="inlineStr">
        <is>
          <t>스카이타운</t>
        </is>
      </c>
      <c r="B31" s="10" t="inlineStr">
        <is>
          <t>'08.08.</t>
        </is>
      </c>
      <c r="C31" s="135" t="n">
        <v>398</v>
      </c>
      <c r="D31" s="133" t="n">
        <v>41.3</v>
      </c>
      <c r="E31" s="134" t="n">
        <v>12</v>
      </c>
      <c r="F31" s="133" t="n">
        <v>31.8</v>
      </c>
      <c r="G31" s="17" t="n">
        <v>10</v>
      </c>
      <c r="H31" s="135" t="n">
        <v>390</v>
      </c>
      <c r="I31" s="136" t="n"/>
      <c r="J31" s="136" t="n"/>
      <c r="K31" s="136" t="n"/>
      <c r="L31" s="136" t="n"/>
      <c r="M31" s="137">
        <f>I31-K31</f>
        <v/>
      </c>
      <c r="N31" s="4">
        <f>IF(ISERROR(K31/I31),"",K31/I31)</f>
        <v/>
      </c>
      <c r="O31" s="138">
        <f>I31/E31</f>
        <v/>
      </c>
      <c r="P31" s="138">
        <f>K31/E31</f>
        <v/>
      </c>
      <c r="Q31" s="123" t="n">
        <v>1</v>
      </c>
      <c r="R31" s="123" t="n">
        <v>1</v>
      </c>
      <c r="S31" s="123" t="inlineStr">
        <is>
          <t>복</t>
        </is>
      </c>
      <c r="T31" s="5" t="n">
        <v>41</v>
      </c>
      <c r="U31" s="9" t="n"/>
      <c r="W31" s="133">
        <f>D31</f>
        <v/>
      </c>
      <c r="X31" s="134">
        <f>E31</f>
        <v/>
      </c>
      <c r="Y31" s="139">
        <f>H31</f>
        <v/>
      </c>
      <c r="Z31" s="137">
        <f>I31</f>
        <v/>
      </c>
      <c r="AA31" s="137">
        <f>K31</f>
        <v/>
      </c>
      <c r="AB31" s="137">
        <f>M31</f>
        <v/>
      </c>
      <c r="AC31" s="4">
        <f>N31</f>
        <v/>
      </c>
      <c r="AD31" s="138">
        <f>O31</f>
        <v/>
      </c>
      <c r="AE31" s="123">
        <f>S31</f>
        <v/>
      </c>
      <c r="AF31" s="123">
        <f>Q31&amp;"/"&amp;R31</f>
        <v/>
      </c>
      <c r="AH31" s="20">
        <f>IF(A31="","",A31)</f>
        <v/>
      </c>
      <c r="AI31" s="134">
        <f>IF(E31="","",E31)</f>
        <v/>
      </c>
      <c r="AJ31" s="123">
        <f>IF(AI31="","",$AJ$2)</f>
        <v/>
      </c>
      <c r="AK31" s="123" t="inlineStr">
        <is>
          <t>A</t>
        </is>
      </c>
      <c r="AL31" s="123" t="inlineStr">
        <is>
          <t>A+</t>
        </is>
      </c>
      <c r="AM31" s="123" t="inlineStr">
        <is>
          <t>B+</t>
        </is>
      </c>
      <c r="AN31" s="123">
        <f>IF(AI31="","",$AN$2)</f>
        <v/>
      </c>
      <c r="AO31" s="123">
        <f>IF(N31="","",IF(N31&gt;=$AO$1/100,"O","X"))</f>
        <v/>
      </c>
      <c r="AP31" s="123">
        <f>IF(I31="","",IF(I31&lt;=$AP$1,"O","X"))</f>
        <v/>
      </c>
      <c r="AQ31" s="123">
        <f>IF(O31="","",IF(O31&lt;=$AQ$1,"O","X"))</f>
        <v/>
      </c>
      <c r="AR31" s="123">
        <f>IF(M31="","",IF(M31&lt;=$AR$1,"O","X"))</f>
        <v/>
      </c>
      <c r="AS31" s="123" t="inlineStr">
        <is>
          <t>X</t>
        </is>
      </c>
      <c r="AT31" s="123">
        <f>IF(OR(F31="",AI31=""),"",IF(AND((F31&lt;=85),(AI31&gt;=15)),"O","X"))</f>
        <v/>
      </c>
      <c r="AU31" s="123">
        <f>IF(C31="","",IF(C31&gt;=$AU$1,"O","X"))</f>
        <v/>
      </c>
      <c r="AV31" s="123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5" t="n">
        <v>398</v>
      </c>
      <c r="D32" s="133" t="n">
        <v>53.8</v>
      </c>
      <c r="E32" s="134" t="n">
        <v>16</v>
      </c>
      <c r="F32" s="133" t="n">
        <v>41.5</v>
      </c>
      <c r="G32" s="17" t="n">
        <v>13</v>
      </c>
      <c r="H32" s="135" t="n">
        <v>8</v>
      </c>
      <c r="I32" s="136" t="n"/>
      <c r="J32" s="136" t="n"/>
      <c r="K32" s="136" t="n"/>
      <c r="L32" s="136" t="n"/>
      <c r="M32" s="137">
        <f>I32-K32</f>
        <v/>
      </c>
      <c r="N32" s="4">
        <f>IF(ISERROR(K32/I32),"",K32/I32)</f>
        <v/>
      </c>
      <c r="O32" s="138">
        <f>I32/E32</f>
        <v/>
      </c>
      <c r="P32" s="138">
        <f>K32/E32</f>
        <v/>
      </c>
      <c r="Q32" s="123" t="n">
        <v>2</v>
      </c>
      <c r="R32" s="123" t="n">
        <v>1</v>
      </c>
      <c r="S32" s="123" t="inlineStr">
        <is>
          <t>복</t>
        </is>
      </c>
      <c r="T32" s="5" t="n">
        <v>53</v>
      </c>
      <c r="U32" s="9" t="n"/>
      <c r="W32" s="133">
        <f>D32</f>
        <v/>
      </c>
      <c r="X32" s="134">
        <f>E32</f>
        <v/>
      </c>
      <c r="Y32" s="139">
        <f>H32</f>
        <v/>
      </c>
      <c r="Z32" s="137">
        <f>I32</f>
        <v/>
      </c>
      <c r="AA32" s="137">
        <f>K32</f>
        <v/>
      </c>
      <c r="AB32" s="137">
        <f>M32</f>
        <v/>
      </c>
      <c r="AC32" s="4">
        <f>N32</f>
        <v/>
      </c>
      <c r="AD32" s="138">
        <f>O32</f>
        <v/>
      </c>
      <c r="AE32" s="123">
        <f>S32</f>
        <v/>
      </c>
      <c r="AF32" s="123">
        <f>Q32&amp;"/"&amp;R32</f>
        <v/>
      </c>
      <c r="AH32" s="20">
        <f>IF(A32="","",A32)</f>
        <v/>
      </c>
      <c r="AI32" s="134">
        <f>IF(E32="","",E32)</f>
        <v/>
      </c>
      <c r="AJ32" s="123">
        <f>IF(AI32="","",$AJ$2)</f>
        <v/>
      </c>
      <c r="AK32" s="123" t="inlineStr">
        <is>
          <t>A</t>
        </is>
      </c>
      <c r="AL32" s="123" t="inlineStr">
        <is>
          <t>A+</t>
        </is>
      </c>
      <c r="AM32" s="123" t="inlineStr">
        <is>
          <t>B+</t>
        </is>
      </c>
      <c r="AN32" s="123">
        <f>IF(AI32="","",$AN$2)</f>
        <v/>
      </c>
      <c r="AO32" s="123">
        <f>IF(N32="","",IF(N32&gt;=$AO$1/100,"O","X"))</f>
        <v/>
      </c>
      <c r="AP32" s="123">
        <f>IF(I32="","",IF(I32&lt;=$AP$1,"O","X"))</f>
        <v/>
      </c>
      <c r="AQ32" s="123">
        <f>IF(O32="","",IF(O32&lt;=$AQ$1,"O","X"))</f>
        <v/>
      </c>
      <c r="AR32" s="123">
        <f>IF(M32="","",IF(M32&lt;=$AR$1,"O","X"))</f>
        <v/>
      </c>
      <c r="AS32" s="123" t="inlineStr">
        <is>
          <t>X</t>
        </is>
      </c>
      <c r="AT32" s="123">
        <f>IF(OR(F32="",AI32=""),"",IF(AND((F32&lt;=85),(AI32&gt;=15)),"O","X"))</f>
        <v/>
      </c>
      <c r="AU32" s="123">
        <f>IF(C32="","",IF(C32&gt;=$AU$1,"O","X"))</f>
        <v/>
      </c>
      <c r="AV32" s="123">
        <f>IF(AO32="","",IF(AND(AO32="O",AP32="O",AR32="O",AT32="O",AU32="O"),"후보","X"))</f>
        <v/>
      </c>
    </row>
    <row r="33">
      <c r="A33" s="9" t="n"/>
      <c r="B33" s="123" t="n"/>
      <c r="C33" s="6" t="n"/>
      <c r="D33" s="9" t="n"/>
      <c r="E33" s="14" t="n"/>
      <c r="F33" s="133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8" t="n"/>
      <c r="P33" s="138" t="n"/>
      <c r="Q33" s="134" t="n"/>
      <c r="R33" s="134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8">
        <f>IF(E33="","",E33)</f>
        <v/>
      </c>
      <c r="AJ33" s="123" t="n"/>
      <c r="AK33" s="123" t="n"/>
      <c r="AL33" s="123" t="n"/>
      <c r="AM33" s="123" t="n"/>
      <c r="AN33" s="123" t="n"/>
      <c r="AO33" s="123" t="n"/>
      <c r="AP33" s="123" t="n"/>
      <c r="AQ33" s="123" t="n"/>
      <c r="AR33" s="123" t="n"/>
      <c r="AS33" s="123" t="n"/>
      <c r="AT33" s="123" t="n"/>
      <c r="AU33" s="123" t="n"/>
      <c r="AV33" s="123" t="n"/>
    </row>
    <row r="34">
      <c r="A34" s="9" t="inlineStr">
        <is>
          <t>소룡제이파크</t>
        </is>
      </c>
      <c r="B34" s="10" t="inlineStr">
        <is>
          <t>'06.06.</t>
        </is>
      </c>
      <c r="C34" s="135" t="n">
        <v>972</v>
      </c>
      <c r="D34" s="133" t="n">
        <v>77.7</v>
      </c>
      <c r="E34" s="134" t="n">
        <v>23</v>
      </c>
      <c r="F34" s="133" t="n">
        <v>59.6</v>
      </c>
      <c r="G34" s="17" t="n">
        <v>18</v>
      </c>
      <c r="H34" s="135" t="n">
        <v>144</v>
      </c>
      <c r="I34" s="136" t="n"/>
      <c r="J34" s="136" t="n"/>
      <c r="K34" s="136" t="n"/>
      <c r="L34" s="136" t="n"/>
      <c r="M34" s="137">
        <f>I34-K34</f>
        <v/>
      </c>
      <c r="N34" s="4">
        <f>IF(ISERROR(K34/I34),"",K34/I34)</f>
        <v/>
      </c>
      <c r="O34" s="138">
        <f>I34/E34</f>
        <v/>
      </c>
      <c r="P34" s="138">
        <f>K34/E34</f>
        <v/>
      </c>
      <c r="Q34" s="123" t="n">
        <v>2</v>
      </c>
      <c r="R34" s="123" t="n">
        <v>1</v>
      </c>
      <c r="S34" s="123" t="inlineStr">
        <is>
          <t>계</t>
        </is>
      </c>
      <c r="T34" s="5" t="inlineStr">
        <is>
          <t>77A</t>
        </is>
      </c>
      <c r="U34" s="9" t="n"/>
      <c r="W34" s="133">
        <f>D34</f>
        <v/>
      </c>
      <c r="X34" s="134">
        <f>E34</f>
        <v/>
      </c>
      <c r="Y34" s="139">
        <f>H34</f>
        <v/>
      </c>
      <c r="Z34" s="137">
        <f>I34</f>
        <v/>
      </c>
      <c r="AA34" s="137">
        <f>K34</f>
        <v/>
      </c>
      <c r="AB34" s="137">
        <f>M34</f>
        <v/>
      </c>
      <c r="AC34" s="4">
        <f>N34</f>
        <v/>
      </c>
      <c r="AD34" s="138">
        <f>O34</f>
        <v/>
      </c>
      <c r="AE34" s="123">
        <f>S34</f>
        <v/>
      </c>
      <c r="AF34" s="123">
        <f>Q34&amp;"/"&amp;R34</f>
        <v/>
      </c>
      <c r="AH34" s="20">
        <f>IF(A34="","",A34)</f>
        <v/>
      </c>
      <c r="AI34" s="134">
        <f>IF(E34="","",E34)</f>
        <v/>
      </c>
      <c r="AJ34" s="123">
        <f>IF(AI34="","",$AJ$2)</f>
        <v/>
      </c>
      <c r="AK34" s="123" t="inlineStr">
        <is>
          <t>A</t>
        </is>
      </c>
      <c r="AL34" s="123" t="inlineStr">
        <is>
          <t>A+</t>
        </is>
      </c>
      <c r="AM34" s="123" t="inlineStr">
        <is>
          <t>B+</t>
        </is>
      </c>
      <c r="AN34" s="123">
        <f>IF(AI34="","",$AN$2)</f>
        <v/>
      </c>
      <c r="AO34" s="123">
        <f>IF(N34="","",IF(N34&gt;=$AO$1/100,"O","X"))</f>
        <v/>
      </c>
      <c r="AP34" s="123">
        <f>IF(I34="","",IF(I34&lt;=$AP$1,"O","X"))</f>
        <v/>
      </c>
      <c r="AQ34" s="123">
        <f>IF(O34="","",IF(O34&lt;=$AQ$1,"O","X"))</f>
        <v/>
      </c>
      <c r="AR34" s="123">
        <f>IF(M34="","",IF(M34&lt;=$AR$1,"O","X"))</f>
        <v/>
      </c>
      <c r="AS34" s="123" t="inlineStr">
        <is>
          <t>X</t>
        </is>
      </c>
      <c r="AT34" s="123">
        <f>IF(OR(F34="",AI34=""),"",IF(AND((F34&lt;=85),(AI34&gt;=15)),"O","X"))</f>
        <v/>
      </c>
      <c r="AU34" s="123">
        <f>IF(C34="","",IF(C34&gt;=$AU$1,"O","X"))</f>
        <v/>
      </c>
      <c r="AV34" s="123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5" t="n">
        <v>972</v>
      </c>
      <c r="D35" s="133" t="n">
        <v>78.8</v>
      </c>
      <c r="E35" s="134" t="n">
        <v>24</v>
      </c>
      <c r="F35" s="133" t="n">
        <v>60</v>
      </c>
      <c r="G35" s="17" t="n">
        <v>18</v>
      </c>
      <c r="H35" s="135" t="n">
        <v>252</v>
      </c>
      <c r="I35" s="136" t="n">
        <v>9500</v>
      </c>
      <c r="J35" s="136" t="inlineStr">
        <is>
          <t>6</t>
        </is>
      </c>
      <c r="K35" s="136" t="n"/>
      <c r="L35" s="136" t="n"/>
      <c r="M35" s="137">
        <f>I35-K35</f>
        <v/>
      </c>
      <c r="N35" s="4">
        <f>IF(ISERROR(K35/I35),"",K35/I35)</f>
        <v/>
      </c>
      <c r="O35" s="138">
        <f>I35/E35</f>
        <v/>
      </c>
      <c r="P35" s="138">
        <f>K35/E35</f>
        <v/>
      </c>
      <c r="Q35" s="123" t="n">
        <v>2</v>
      </c>
      <c r="R35" s="123" t="n">
        <v>1</v>
      </c>
      <c r="S35" s="123" t="inlineStr">
        <is>
          <t>계</t>
        </is>
      </c>
      <c r="T35" s="5" t="inlineStr">
        <is>
          <t>78B</t>
        </is>
      </c>
      <c r="U35" s="9" t="n"/>
      <c r="W35" s="133">
        <f>D35</f>
        <v/>
      </c>
      <c r="X35" s="134">
        <f>E35</f>
        <v/>
      </c>
      <c r="Y35" s="139">
        <f>H35</f>
        <v/>
      </c>
      <c r="Z35" s="137">
        <f>I35</f>
        <v/>
      </c>
      <c r="AA35" s="137">
        <f>K35</f>
        <v/>
      </c>
      <c r="AB35" s="137">
        <f>M35</f>
        <v/>
      </c>
      <c r="AC35" s="4">
        <f>N35</f>
        <v/>
      </c>
      <c r="AD35" s="138">
        <f>O35</f>
        <v/>
      </c>
      <c r="AE35" s="123">
        <f>S35</f>
        <v/>
      </c>
      <c r="AF35" s="123">
        <f>Q35&amp;"/"&amp;R35</f>
        <v/>
      </c>
      <c r="AH35" s="20">
        <f>IF(A35="","",A35)</f>
        <v/>
      </c>
      <c r="AI35" s="134">
        <f>IF(E35="","",E35)</f>
        <v/>
      </c>
      <c r="AJ35" s="123">
        <f>IF(AI35="","",$AJ$2)</f>
        <v/>
      </c>
      <c r="AK35" s="123" t="inlineStr">
        <is>
          <t>A</t>
        </is>
      </c>
      <c r="AL35" s="123" t="inlineStr">
        <is>
          <t>A+</t>
        </is>
      </c>
      <c r="AM35" s="123" t="inlineStr">
        <is>
          <t>B+</t>
        </is>
      </c>
      <c r="AN35" s="123">
        <f>IF(AI35="","",$AN$2)</f>
        <v/>
      </c>
      <c r="AO35" s="123">
        <f>IF(N35="","",IF(N35&gt;=$AO$1/100,"O","X"))</f>
        <v/>
      </c>
      <c r="AP35" s="123">
        <f>IF(I35="","",IF(I35&lt;=$AP$1,"O","X"))</f>
        <v/>
      </c>
      <c r="AQ35" s="123">
        <f>IF(O35="","",IF(O35&lt;=$AQ$1,"O","X"))</f>
        <v/>
      </c>
      <c r="AR35" s="123">
        <f>IF(M35="","",IF(M35&lt;=$AR$1,"O","X"))</f>
        <v/>
      </c>
      <c r="AS35" s="123" t="inlineStr">
        <is>
          <t>X</t>
        </is>
      </c>
      <c r="AT35" s="123">
        <f>IF(OR(F35="",AI35=""),"",IF(AND((F35&lt;=85),(AI35&gt;=15)),"O","X"))</f>
        <v/>
      </c>
      <c r="AU35" s="123">
        <f>IF(C35="","",IF(C35&gt;=$AU$1,"O","X"))</f>
        <v/>
      </c>
      <c r="AV35" s="123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5" t="n">
        <v>972</v>
      </c>
      <c r="D36" s="133" t="n">
        <v>106.3</v>
      </c>
      <c r="E36" s="134" t="n">
        <v>32</v>
      </c>
      <c r="F36" s="133" t="n">
        <v>84.5</v>
      </c>
      <c r="G36" s="17" t="n">
        <v>26</v>
      </c>
      <c r="H36" s="135" t="n">
        <v>576</v>
      </c>
      <c r="I36" s="136" t="n"/>
      <c r="J36" s="136" t="n"/>
      <c r="K36" s="136" t="n"/>
      <c r="L36" s="136" t="n"/>
      <c r="M36" s="137">
        <f>I36-K36</f>
        <v/>
      </c>
      <c r="N36" s="4">
        <f>IF(ISERROR(K36/I36),"",K36/I36)</f>
        <v/>
      </c>
      <c r="O36" s="138">
        <f>I36/E36</f>
        <v/>
      </c>
      <c r="P36" s="138">
        <f>K36/E36</f>
        <v/>
      </c>
      <c r="Q36" s="123" t="n">
        <v>3</v>
      </c>
      <c r="R36" s="123" t="n">
        <v>2</v>
      </c>
      <c r="S36" s="123" t="inlineStr">
        <is>
          <t>계</t>
        </is>
      </c>
      <c r="T36" s="5" t="n">
        <v>106</v>
      </c>
      <c r="U36" s="9" t="n"/>
      <c r="W36" s="133">
        <f>D36</f>
        <v/>
      </c>
      <c r="X36" s="134">
        <f>E36</f>
        <v/>
      </c>
      <c r="Y36" s="139">
        <f>H36</f>
        <v/>
      </c>
      <c r="Z36" s="137">
        <f>I36</f>
        <v/>
      </c>
      <c r="AA36" s="137">
        <f>K36</f>
        <v/>
      </c>
      <c r="AB36" s="137">
        <f>M36</f>
        <v/>
      </c>
      <c r="AC36" s="4">
        <f>N36</f>
        <v/>
      </c>
      <c r="AD36" s="138">
        <f>O36</f>
        <v/>
      </c>
      <c r="AE36" s="123">
        <f>S36</f>
        <v/>
      </c>
      <c r="AF36" s="123">
        <f>Q36&amp;"/"&amp;R36</f>
        <v/>
      </c>
      <c r="AH36" s="20">
        <f>IF(A36="","",A36)</f>
        <v/>
      </c>
      <c r="AI36" s="134">
        <f>IF(E36="","",E36)</f>
        <v/>
      </c>
      <c r="AJ36" s="123">
        <f>IF(AI36="","",$AJ$2)</f>
        <v/>
      </c>
      <c r="AK36" s="123" t="inlineStr">
        <is>
          <t>A</t>
        </is>
      </c>
      <c r="AL36" s="123" t="inlineStr">
        <is>
          <t>A+</t>
        </is>
      </c>
      <c r="AM36" s="123" t="inlineStr">
        <is>
          <t>B+</t>
        </is>
      </c>
      <c r="AN36" s="123">
        <f>IF(AI36="","",$AN$2)</f>
        <v/>
      </c>
      <c r="AO36" s="123">
        <f>IF(N36="","",IF(N36&gt;=$AO$1/100,"O","X"))</f>
        <v/>
      </c>
      <c r="AP36" s="123">
        <f>IF(I36="","",IF(I36&lt;=$AP$1,"O","X"))</f>
        <v/>
      </c>
      <c r="AQ36" s="123">
        <f>IF(O36="","",IF(O36&lt;=$AQ$1,"O","X"))</f>
        <v/>
      </c>
      <c r="AR36" s="123">
        <f>IF(M36="","",IF(M36&lt;=$AR$1,"O","X"))</f>
        <v/>
      </c>
      <c r="AS36" s="123" t="inlineStr">
        <is>
          <t>X</t>
        </is>
      </c>
      <c r="AT36" s="123">
        <f>IF(OR(F36="",AI36=""),"",IF(AND((F36&lt;=85),(AI36&gt;=15)),"O","X"))</f>
        <v/>
      </c>
      <c r="AU36" s="123">
        <f>IF(C36="","",IF(C36&gt;=$AU$1,"O","X"))</f>
        <v/>
      </c>
      <c r="AV36" s="123">
        <f>IF(AO36="","",IF(AND(AO36="O",AP36="O",AR36="O",AT36="O",AU36="O"),"후보","X"))</f>
        <v/>
      </c>
    </row>
    <row r="37">
      <c r="A37" s="9" t="n"/>
      <c r="B37" s="123" t="n"/>
      <c r="C37" s="6" t="n"/>
      <c r="D37" s="9" t="n"/>
      <c r="E37" s="14" t="n"/>
      <c r="F37" s="133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8" t="n"/>
      <c r="P37" s="138" t="n"/>
      <c r="Q37" s="134" t="n"/>
      <c r="R37" s="134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8">
        <f>IF(E37="","",E37)</f>
        <v/>
      </c>
      <c r="AJ37" s="123" t="n"/>
      <c r="AK37" s="123" t="n"/>
      <c r="AL37" s="123" t="n"/>
      <c r="AM37" s="123" t="n"/>
      <c r="AN37" s="123" t="n"/>
      <c r="AO37" s="123" t="n"/>
      <c r="AP37" s="123" t="n"/>
      <c r="AQ37" s="123" t="n"/>
      <c r="AR37" s="123" t="n"/>
      <c r="AS37" s="123" t="n"/>
      <c r="AT37" s="123" t="n"/>
      <c r="AU37" s="123" t="n"/>
      <c r="AV37" s="123" t="n"/>
    </row>
    <row r="38">
      <c r="A38" s="9" t="inlineStr">
        <is>
          <t>신도시</t>
        </is>
      </c>
      <c r="B38" s="10" t="inlineStr">
        <is>
          <t>'01.12.</t>
        </is>
      </c>
      <c r="C38" s="135" t="n">
        <v>720</v>
      </c>
      <c r="D38" s="133" t="n">
        <v>63</v>
      </c>
      <c r="E38" s="134" t="n">
        <v>19</v>
      </c>
      <c r="F38" s="133" t="n">
        <v>45.4</v>
      </c>
      <c r="G38" s="17" t="n">
        <v>14</v>
      </c>
      <c r="H38" s="135" t="n">
        <v>416</v>
      </c>
      <c r="I38" s="136" t="n">
        <v>4700</v>
      </c>
      <c r="J38" s="136" t="inlineStr">
        <is>
          <t>16</t>
        </is>
      </c>
      <c r="K38" s="136" t="n"/>
      <c r="L38" s="136" t="n"/>
      <c r="M38" s="137">
        <f>I38-K38</f>
        <v/>
      </c>
      <c r="N38" s="4">
        <f>IF(ISERROR(K38/I38),"",K38/I38)</f>
        <v/>
      </c>
      <c r="O38" s="138">
        <f>I38/E38</f>
        <v/>
      </c>
      <c r="P38" s="138">
        <f>K38/E38</f>
        <v/>
      </c>
      <c r="Q38" s="123" t="n">
        <v>2</v>
      </c>
      <c r="R38" s="123" t="n">
        <v>1</v>
      </c>
      <c r="S38" s="123" t="inlineStr">
        <is>
          <t>복</t>
        </is>
      </c>
      <c r="T38" s="5" t="inlineStr">
        <is>
          <t>62A</t>
        </is>
      </c>
      <c r="U38" s="9" t="n"/>
      <c r="W38" s="133">
        <f>D38</f>
        <v/>
      </c>
      <c r="X38" s="134">
        <f>E38</f>
        <v/>
      </c>
      <c r="Y38" s="139">
        <f>H38</f>
        <v/>
      </c>
      <c r="Z38" s="137">
        <f>I38</f>
        <v/>
      </c>
      <c r="AA38" s="137">
        <f>K38</f>
        <v/>
      </c>
      <c r="AB38" s="137">
        <f>M38</f>
        <v/>
      </c>
      <c r="AC38" s="4">
        <f>N38</f>
        <v/>
      </c>
      <c r="AD38" s="138">
        <f>O38</f>
        <v/>
      </c>
      <c r="AE38" s="123">
        <f>S38</f>
        <v/>
      </c>
      <c r="AF38" s="123">
        <f>Q38&amp;"/"&amp;R38</f>
        <v/>
      </c>
      <c r="AH38" s="20">
        <f>IF(A38="","",A38)</f>
        <v/>
      </c>
      <c r="AI38" s="134">
        <f>IF(E38="","",E38)</f>
        <v/>
      </c>
      <c r="AJ38" s="123">
        <f>IF(AI38="","",$AJ$2)</f>
        <v/>
      </c>
      <c r="AK38" s="123" t="inlineStr">
        <is>
          <t>A</t>
        </is>
      </c>
      <c r="AL38" s="123" t="inlineStr">
        <is>
          <t>A+</t>
        </is>
      </c>
      <c r="AM38" s="123" t="inlineStr">
        <is>
          <t>B+</t>
        </is>
      </c>
      <c r="AN38" s="123">
        <f>IF(AI38="","",$AN$2)</f>
        <v/>
      </c>
      <c r="AO38" s="123">
        <f>IF(N38="","",IF(N38&gt;=$AO$1/100,"O","X"))</f>
        <v/>
      </c>
      <c r="AP38" s="123">
        <f>IF(I38="","",IF(I38&lt;=$AP$1,"O","X"))</f>
        <v/>
      </c>
      <c r="AQ38" s="123">
        <f>IF(O38="","",IF(O38&lt;=$AQ$1,"O","X"))</f>
        <v/>
      </c>
      <c r="AR38" s="123">
        <f>IF(M38="","",IF(M38&lt;=$AR$1,"O","X"))</f>
        <v/>
      </c>
      <c r="AS38" s="123" t="inlineStr">
        <is>
          <t>X</t>
        </is>
      </c>
      <c r="AT38" s="123">
        <f>IF(OR(F38="",AI38=""),"",IF(AND((F38&lt;=85),(AI38&gt;=15)),"O","X"))</f>
        <v/>
      </c>
      <c r="AU38" s="123">
        <f>IF(C38="","",IF(C38&gt;=$AU$1,"O","X"))</f>
        <v/>
      </c>
      <c r="AV38" s="123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5" t="n">
        <v>720</v>
      </c>
      <c r="D39" s="133" t="n">
        <v>63.6</v>
      </c>
      <c r="E39" s="134" t="n">
        <v>19</v>
      </c>
      <c r="F39" s="133" t="n">
        <v>46.5</v>
      </c>
      <c r="G39" s="17" t="n">
        <v>14</v>
      </c>
      <c r="H39" s="135" t="n">
        <v>304</v>
      </c>
      <c r="I39" s="136" t="n"/>
      <c r="J39" s="136" t="n"/>
      <c r="K39" s="136" t="n"/>
      <c r="L39" s="136" t="n"/>
      <c r="M39" s="137">
        <f>I39-K39</f>
        <v/>
      </c>
      <c r="N39" s="4">
        <f>IF(ISERROR(K39/I39),"",K39/I39)</f>
        <v/>
      </c>
      <c r="O39" s="138">
        <f>I39/E39</f>
        <v/>
      </c>
      <c r="P39" s="138">
        <f>K39/E39</f>
        <v/>
      </c>
      <c r="Q39" s="123" t="n">
        <v>2</v>
      </c>
      <c r="R39" s="123" t="n">
        <v>1</v>
      </c>
      <c r="S39" s="123" t="inlineStr">
        <is>
          <t>복</t>
        </is>
      </c>
      <c r="T39" s="5" t="inlineStr">
        <is>
          <t>63B</t>
        </is>
      </c>
      <c r="U39" s="9" t="n"/>
      <c r="W39" s="133">
        <f>D39</f>
        <v/>
      </c>
      <c r="X39" s="134">
        <f>E39</f>
        <v/>
      </c>
      <c r="Y39" s="139">
        <f>H39</f>
        <v/>
      </c>
      <c r="Z39" s="137">
        <f>I39</f>
        <v/>
      </c>
      <c r="AA39" s="137">
        <f>K39</f>
        <v/>
      </c>
      <c r="AB39" s="137">
        <f>M39</f>
        <v/>
      </c>
      <c r="AC39" s="4">
        <f>N39</f>
        <v/>
      </c>
      <c r="AD39" s="138">
        <f>O39</f>
        <v/>
      </c>
      <c r="AE39" s="123">
        <f>S39</f>
        <v/>
      </c>
      <c r="AF39" s="123">
        <f>Q39&amp;"/"&amp;R39</f>
        <v/>
      </c>
      <c r="AH39" s="20">
        <f>IF(A39="","",A39)</f>
        <v/>
      </c>
      <c r="AI39" s="134">
        <f>IF(E39="","",E39)</f>
        <v/>
      </c>
      <c r="AJ39" s="123">
        <f>IF(AI39="","",$AJ$2)</f>
        <v/>
      </c>
      <c r="AK39" s="123" t="inlineStr">
        <is>
          <t>A</t>
        </is>
      </c>
      <c r="AL39" s="123" t="inlineStr">
        <is>
          <t>A+</t>
        </is>
      </c>
      <c r="AM39" s="123" t="inlineStr">
        <is>
          <t>B+</t>
        </is>
      </c>
      <c r="AN39" s="123">
        <f>IF(AI39="","",$AN$2)</f>
        <v/>
      </c>
      <c r="AO39" s="123">
        <f>IF(N39="","",IF(N39&gt;=$AO$1/100,"O","X"))</f>
        <v/>
      </c>
      <c r="AP39" s="123">
        <f>IF(I39="","",IF(I39&lt;=$AP$1,"O","X"))</f>
        <v/>
      </c>
      <c r="AQ39" s="123">
        <f>IF(O39="","",IF(O39&lt;=$AQ$1,"O","X"))</f>
        <v/>
      </c>
      <c r="AR39" s="123">
        <f>IF(M39="","",IF(M39&lt;=$AR$1,"O","X"))</f>
        <v/>
      </c>
      <c r="AS39" s="123" t="inlineStr">
        <is>
          <t>X</t>
        </is>
      </c>
      <c r="AT39" s="123">
        <f>IF(OR(F39="",AI39=""),"",IF(AND((F39&lt;=85),(AI39&gt;=15)),"O","X"))</f>
        <v/>
      </c>
      <c r="AU39" s="123">
        <f>IF(C39="","",IF(C39&gt;=$AU$1,"O","X"))</f>
        <v/>
      </c>
      <c r="AV39" s="123">
        <f>IF(AO39="","",IF(AND(AO39="O",AP39="O",AR39="O",AT39="O",AU39="O"),"후보","X"))</f>
        <v/>
      </c>
    </row>
    <row r="40">
      <c r="A40" s="9" t="n"/>
      <c r="B40" s="123" t="n"/>
      <c r="C40" s="6" t="n"/>
      <c r="D40" s="9" t="n"/>
      <c r="E40" s="14" t="n"/>
      <c r="F40" s="133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8" t="n"/>
      <c r="P40" s="138" t="n"/>
      <c r="Q40" s="134" t="n"/>
      <c r="R40" s="134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8">
        <f>IF(E40="","",E40)</f>
        <v/>
      </c>
      <c r="AJ40" s="123" t="n"/>
      <c r="AK40" s="123" t="n"/>
      <c r="AL40" s="123" t="n"/>
      <c r="AM40" s="123" t="n"/>
      <c r="AN40" s="123" t="n"/>
      <c r="AO40" s="123" t="n"/>
      <c r="AP40" s="123" t="n"/>
      <c r="AQ40" s="123" t="n"/>
      <c r="AR40" s="123" t="n"/>
      <c r="AS40" s="123" t="n"/>
      <c r="AT40" s="123" t="n"/>
      <c r="AU40" s="123" t="n"/>
      <c r="AV40" s="123" t="n"/>
    </row>
    <row r="41">
      <c r="A41" s="9" t="inlineStr">
        <is>
          <t>이화</t>
        </is>
      </c>
      <c r="B41" s="10" t="inlineStr">
        <is>
          <t>'92.02.</t>
        </is>
      </c>
      <c r="C41" s="135" t="n">
        <v>204</v>
      </c>
      <c r="D41" s="133" t="n">
        <v>58.6</v>
      </c>
      <c r="E41" s="134" t="n">
        <v>18</v>
      </c>
      <c r="F41" s="133" t="n">
        <v>44.8</v>
      </c>
      <c r="G41" s="17" t="n">
        <v>14</v>
      </c>
      <c r="H41" s="135" t="n">
        <v>60</v>
      </c>
      <c r="I41" s="136" t="n"/>
      <c r="J41" s="136" t="n"/>
      <c r="K41" s="136" t="n"/>
      <c r="L41" s="136" t="n"/>
      <c r="M41" s="137">
        <f>I41-K41</f>
        <v/>
      </c>
      <c r="N41" s="4">
        <f>IF(ISERROR(K41/I41),"",K41/I41)</f>
        <v/>
      </c>
      <c r="O41" s="138">
        <f>I41/E41</f>
        <v/>
      </c>
      <c r="P41" s="138">
        <f>K41/E41</f>
        <v/>
      </c>
      <c r="Q41" s="123" t="n">
        <v>2</v>
      </c>
      <c r="R41" s="123" t="n">
        <v>1</v>
      </c>
      <c r="S41" s="123" t="inlineStr">
        <is>
          <t>계</t>
        </is>
      </c>
      <c r="T41" s="5" t="n">
        <v>58</v>
      </c>
      <c r="U41" s="9" t="n"/>
      <c r="W41" s="133">
        <f>D41</f>
        <v/>
      </c>
      <c r="X41" s="134">
        <f>E41</f>
        <v/>
      </c>
      <c r="Y41" s="139">
        <f>H41</f>
        <v/>
      </c>
      <c r="Z41" s="137">
        <f>I41</f>
        <v/>
      </c>
      <c r="AA41" s="137">
        <f>K41</f>
        <v/>
      </c>
      <c r="AB41" s="137">
        <f>M41</f>
        <v/>
      </c>
      <c r="AC41" s="4">
        <f>N41</f>
        <v/>
      </c>
      <c r="AD41" s="138">
        <f>O41</f>
        <v/>
      </c>
      <c r="AE41" s="123">
        <f>S41</f>
        <v/>
      </c>
      <c r="AF41" s="123">
        <f>Q41&amp;"/"&amp;R41</f>
        <v/>
      </c>
      <c r="AH41" s="20">
        <f>IF(A41="","",A41)</f>
        <v/>
      </c>
      <c r="AI41" s="134">
        <f>IF(E41="","",E41)</f>
        <v/>
      </c>
      <c r="AJ41" s="123">
        <f>IF(AI41="","",$AJ$2)</f>
        <v/>
      </c>
      <c r="AK41" s="123" t="inlineStr">
        <is>
          <t>A</t>
        </is>
      </c>
      <c r="AL41" s="123" t="inlineStr">
        <is>
          <t>A+</t>
        </is>
      </c>
      <c r="AM41" s="123" t="inlineStr">
        <is>
          <t>B+</t>
        </is>
      </c>
      <c r="AN41" s="123">
        <f>IF(AI41="","",$AN$2)</f>
        <v/>
      </c>
      <c r="AO41" s="123">
        <f>IF(N41="","",IF(N41&gt;=$AO$1/100,"O","X"))</f>
        <v/>
      </c>
      <c r="AP41" s="123">
        <f>IF(I41="","",IF(I41&lt;=$AP$1,"O","X"))</f>
        <v/>
      </c>
      <c r="AQ41" s="123">
        <f>IF(O41="","",IF(O41&lt;=$AQ$1,"O","X"))</f>
        <v/>
      </c>
      <c r="AR41" s="123">
        <f>IF(M41="","",IF(M41&lt;=$AR$1,"O","X"))</f>
        <v/>
      </c>
      <c r="AS41" s="123" t="inlineStr">
        <is>
          <t>X</t>
        </is>
      </c>
      <c r="AT41" s="123">
        <f>IF(OR(F41="",AI41=""),"",IF(AND((F41&lt;=85),(AI41&gt;=15)),"O","X"))</f>
        <v/>
      </c>
      <c r="AU41" s="123">
        <f>IF(C41="","",IF(C41&gt;=$AU$1,"O","X"))</f>
        <v/>
      </c>
      <c r="AV41" s="123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5" t="n">
        <v>204</v>
      </c>
      <c r="D42" s="133" t="n">
        <v>69.3</v>
      </c>
      <c r="E42" s="134" t="n">
        <v>21</v>
      </c>
      <c r="F42" s="133" t="n">
        <v>53.9</v>
      </c>
      <c r="G42" s="17" t="n">
        <v>16</v>
      </c>
      <c r="H42" s="135" t="n">
        <v>132</v>
      </c>
      <c r="I42" s="136" t="n"/>
      <c r="J42" s="136" t="n"/>
      <c r="K42" s="136" t="n"/>
      <c r="L42" s="136" t="n"/>
      <c r="M42" s="137">
        <f>I42-K42</f>
        <v/>
      </c>
      <c r="N42" s="4">
        <f>IF(ISERROR(K42/I42),"",K42/I42)</f>
        <v/>
      </c>
      <c r="O42" s="138">
        <f>I42/E42</f>
        <v/>
      </c>
      <c r="P42" s="138">
        <f>K42/E42</f>
        <v/>
      </c>
      <c r="Q42" s="123" t="n">
        <v>3</v>
      </c>
      <c r="R42" s="123" t="n">
        <v>1</v>
      </c>
      <c r="S42" s="123" t="inlineStr">
        <is>
          <t>계</t>
        </is>
      </c>
      <c r="T42" s="5" t="n">
        <v>69</v>
      </c>
      <c r="U42" s="9" t="n"/>
      <c r="W42" s="133">
        <f>D42</f>
        <v/>
      </c>
      <c r="X42" s="134">
        <f>E42</f>
        <v/>
      </c>
      <c r="Y42" s="139">
        <f>H42</f>
        <v/>
      </c>
      <c r="Z42" s="137">
        <f>I42</f>
        <v/>
      </c>
      <c r="AA42" s="137">
        <f>K42</f>
        <v/>
      </c>
      <c r="AB42" s="137">
        <f>M42</f>
        <v/>
      </c>
      <c r="AC42" s="4">
        <f>N42</f>
        <v/>
      </c>
      <c r="AD42" s="138">
        <f>O42</f>
        <v/>
      </c>
      <c r="AE42" s="123">
        <f>S42</f>
        <v/>
      </c>
      <c r="AF42" s="123">
        <f>Q42&amp;"/"&amp;R42</f>
        <v/>
      </c>
      <c r="AH42" s="20">
        <f>IF(A42="","",A42)</f>
        <v/>
      </c>
      <c r="AI42" s="134">
        <f>IF(E42="","",E42)</f>
        <v/>
      </c>
      <c r="AJ42" s="123">
        <f>IF(AI42="","",$AJ$2)</f>
        <v/>
      </c>
      <c r="AK42" s="123" t="inlineStr">
        <is>
          <t>A</t>
        </is>
      </c>
      <c r="AL42" s="123" t="inlineStr">
        <is>
          <t>A+</t>
        </is>
      </c>
      <c r="AM42" s="123" t="inlineStr">
        <is>
          <t>B+</t>
        </is>
      </c>
      <c r="AN42" s="123">
        <f>IF(AI42="","",$AN$2)</f>
        <v/>
      </c>
      <c r="AO42" s="123">
        <f>IF(N42="","",IF(N42&gt;=$AO$1/100,"O","X"))</f>
        <v/>
      </c>
      <c r="AP42" s="123">
        <f>IF(I42="","",IF(I42&lt;=$AP$1,"O","X"))</f>
        <v/>
      </c>
      <c r="AQ42" s="123">
        <f>IF(O42="","",IF(O42&lt;=$AQ$1,"O","X"))</f>
        <v/>
      </c>
      <c r="AR42" s="123">
        <f>IF(M42="","",IF(M42&lt;=$AR$1,"O","X"))</f>
        <v/>
      </c>
      <c r="AS42" s="123" t="inlineStr">
        <is>
          <t>X</t>
        </is>
      </c>
      <c r="AT42" s="123">
        <f>IF(OR(F42="",AI42=""),"",IF(AND((F42&lt;=85),(AI42&gt;=15)),"O","X"))</f>
        <v/>
      </c>
      <c r="AU42" s="123">
        <f>IF(C42="","",IF(C42&gt;=$AU$1,"O","X"))</f>
        <v/>
      </c>
      <c r="AV42" s="123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5" t="n">
        <v>204</v>
      </c>
      <c r="D43" s="133" t="n">
        <v>75.09999999999999</v>
      </c>
      <c r="E43" s="134" t="n">
        <v>23</v>
      </c>
      <c r="F43" s="133" t="n">
        <v>58.9</v>
      </c>
      <c r="G43" s="17" t="n">
        <v>18</v>
      </c>
      <c r="H43" s="135" t="n">
        <v>12</v>
      </c>
      <c r="I43" s="136" t="n"/>
      <c r="J43" s="136" t="n"/>
      <c r="K43" s="136" t="n"/>
      <c r="L43" s="136" t="n"/>
      <c r="M43" s="137">
        <f>I43-K43</f>
        <v/>
      </c>
      <c r="N43" s="4">
        <f>IF(ISERROR(K43/I43),"",K43/I43)</f>
        <v/>
      </c>
      <c r="O43" s="138">
        <f>I43/E43</f>
        <v/>
      </c>
      <c r="P43" s="138">
        <f>K43/E43</f>
        <v/>
      </c>
      <c r="Q43" s="123" t="n">
        <v>3</v>
      </c>
      <c r="R43" s="123" t="n">
        <v>1</v>
      </c>
      <c r="S43" s="123" t="inlineStr">
        <is>
          <t>계</t>
        </is>
      </c>
      <c r="T43" s="5" t="n">
        <v>75</v>
      </c>
      <c r="U43" s="9" t="n"/>
      <c r="W43" s="133">
        <f>D43</f>
        <v/>
      </c>
      <c r="X43" s="134">
        <f>E43</f>
        <v/>
      </c>
      <c r="Y43" s="139">
        <f>H43</f>
        <v/>
      </c>
      <c r="Z43" s="137">
        <f>I43</f>
        <v/>
      </c>
      <c r="AA43" s="137">
        <f>K43</f>
        <v/>
      </c>
      <c r="AB43" s="137">
        <f>M43</f>
        <v/>
      </c>
      <c r="AC43" s="4">
        <f>N43</f>
        <v/>
      </c>
      <c r="AD43" s="138">
        <f>O43</f>
        <v/>
      </c>
      <c r="AE43" s="123">
        <f>S43</f>
        <v/>
      </c>
      <c r="AF43" s="123">
        <f>Q43&amp;"/"&amp;R43</f>
        <v/>
      </c>
      <c r="AH43" s="20">
        <f>IF(A43="","",A43)</f>
        <v/>
      </c>
      <c r="AI43" s="134">
        <f>IF(E43="","",E43)</f>
        <v/>
      </c>
      <c r="AJ43" s="123">
        <f>IF(AI43="","",$AJ$2)</f>
        <v/>
      </c>
      <c r="AK43" s="123" t="inlineStr">
        <is>
          <t>A</t>
        </is>
      </c>
      <c r="AL43" s="123" t="inlineStr">
        <is>
          <t>A+</t>
        </is>
      </c>
      <c r="AM43" s="123" t="inlineStr">
        <is>
          <t>B+</t>
        </is>
      </c>
      <c r="AN43" s="123">
        <f>IF(AI43="","",$AN$2)</f>
        <v/>
      </c>
      <c r="AO43" s="123">
        <f>IF(N43="","",IF(N43&gt;=$AO$1/100,"O","X"))</f>
        <v/>
      </c>
      <c r="AP43" s="123">
        <f>IF(I43="","",IF(I43&lt;=$AP$1,"O","X"))</f>
        <v/>
      </c>
      <c r="AQ43" s="123">
        <f>IF(O43="","",IF(O43&lt;=$AQ$1,"O","X"))</f>
        <v/>
      </c>
      <c r="AR43" s="123">
        <f>IF(M43="","",IF(M43&lt;=$AR$1,"O","X"))</f>
        <v/>
      </c>
      <c r="AS43" s="123" t="inlineStr">
        <is>
          <t>X</t>
        </is>
      </c>
      <c r="AT43" s="123">
        <f>IF(OR(F43="",AI43=""),"",IF(AND((F43&lt;=85),(AI43&gt;=15)),"O","X"))</f>
        <v/>
      </c>
      <c r="AU43" s="123">
        <f>IF(C43="","",IF(C43&gt;=$AU$1,"O","X"))</f>
        <v/>
      </c>
      <c r="AV43" s="12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7">
      <formula>AV4="X"</formula>
    </cfRule>
    <cfRule type="expression" priority="574" dxfId="16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7">
      <formula>AV7="X"</formula>
    </cfRule>
    <cfRule type="expression" priority="554" dxfId="16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7">
      <formula>AV8="X"</formula>
    </cfRule>
    <cfRule type="expression" priority="536" dxfId="16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7">
      <formula>AV9="X"</formula>
    </cfRule>
    <cfRule type="expression" priority="532" dxfId="16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7">
      <formula>AV10="X"</formula>
    </cfRule>
    <cfRule type="expression" priority="514" dxfId="16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7">
      <formula>AV11="X"</formula>
    </cfRule>
    <cfRule type="expression" priority="510" dxfId="16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7">
      <formula>AV12="X"</formula>
    </cfRule>
    <cfRule type="expression" priority="492" dxfId="16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7">
      <formula>AV13="X"</formula>
    </cfRule>
    <cfRule type="expression" priority="474" dxfId="16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7">
      <formula>AV14="X"</formula>
    </cfRule>
    <cfRule type="expression" priority="456" dxfId="16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7">
      <formula>AV15="X"</formula>
    </cfRule>
    <cfRule type="expression" priority="438" dxfId="16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7">
      <formula>AV16="X"</formula>
    </cfRule>
    <cfRule type="expression" priority="420" dxfId="16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7">
      <formula>AV17="X"</formula>
    </cfRule>
    <cfRule type="expression" priority="402" dxfId="16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7">
      <formula>AV18="X"</formula>
    </cfRule>
    <cfRule type="expression" priority="398" dxfId="16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7">
      <formula>AV19="X"</formula>
    </cfRule>
    <cfRule type="expression" priority="380" dxfId="16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7">
      <formula>AV20="X"</formula>
    </cfRule>
    <cfRule type="expression" priority="362" dxfId="16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7">
      <formula>AV21="X"</formula>
    </cfRule>
    <cfRule type="expression" priority="344" dxfId="16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7">
      <formula>AV22="X"</formula>
    </cfRule>
    <cfRule type="expression" priority="326" dxfId="16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7">
      <formula>AV23="X"</formula>
    </cfRule>
    <cfRule type="expression" priority="322" dxfId="16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7">
      <formula>AV24="X"</formula>
    </cfRule>
    <cfRule type="expression" priority="304" dxfId="16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7">
      <formula>AV25="X"</formula>
    </cfRule>
    <cfRule type="expression" priority="286" dxfId="16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7">
      <formula>AV26="X"</formula>
    </cfRule>
    <cfRule type="expression" priority="268" dxfId="16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7">
      <formula>AV27="X"</formula>
    </cfRule>
    <cfRule type="expression" priority="250" dxfId="16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7">
      <formula>AV28="X"</formula>
    </cfRule>
    <cfRule type="expression" priority="232" dxfId="16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7">
      <formula>AV29="X"</formula>
    </cfRule>
    <cfRule type="expression" priority="214" dxfId="16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7">
      <formula>AV30="X"</formula>
    </cfRule>
    <cfRule type="expression" priority="196" dxfId="16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7">
      <formula>AV31="X"</formula>
    </cfRule>
    <cfRule type="expression" priority="192" dxfId="16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7">
      <formula>AV32="X"</formula>
    </cfRule>
    <cfRule type="expression" priority="174" dxfId="16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7">
      <formula>AV33="X"</formula>
    </cfRule>
    <cfRule type="expression" priority="156" dxfId="16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7">
      <formula>AV34="X"</formula>
    </cfRule>
    <cfRule type="expression" priority="152" dxfId="16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7">
      <formula>AV35="X"</formula>
    </cfRule>
    <cfRule type="expression" priority="134" dxfId="16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7">
      <formula>AV36="X"</formula>
    </cfRule>
    <cfRule type="expression" priority="116" dxfId="16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7">
      <formula>AV37="X"</formula>
    </cfRule>
    <cfRule type="expression" priority="98" dxfId="16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7">
      <formula>AV38="X"</formula>
    </cfRule>
    <cfRule type="expression" priority="94" dxfId="16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7">
      <formula>AV39="X"</formula>
    </cfRule>
    <cfRule type="expression" priority="76" dxfId="16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7">
      <formula>AV40="X"</formula>
    </cfRule>
    <cfRule type="expression" priority="58" dxfId="16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7">
      <formula>AV41="X"</formula>
    </cfRule>
    <cfRule type="expression" priority="54" dxfId="16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7">
      <formula>AV42="X"</formula>
    </cfRule>
    <cfRule type="expression" priority="36" dxfId="16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7">
      <formula>AV43="X"</formula>
    </cfRule>
    <cfRule type="expression" priority="18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한라비발디2단지</t>
        </is>
      </c>
      <c r="B6" s="10" t="inlineStr">
        <is>
          <t>'08.11.</t>
        </is>
      </c>
      <c r="C6" s="135" t="n">
        <v>782</v>
      </c>
      <c r="D6" s="133" t="n">
        <v>113.3</v>
      </c>
      <c r="E6" s="134" t="n">
        <v>34</v>
      </c>
      <c r="F6" s="133" t="n">
        <v>85</v>
      </c>
      <c r="G6" s="17" t="n">
        <v>26</v>
      </c>
      <c r="H6" s="135" t="n">
        <v>480</v>
      </c>
      <c r="I6" s="136" t="n">
        <v>32000</v>
      </c>
      <c r="J6" s="136" t="inlineStr">
        <is>
          <t>18</t>
        </is>
      </c>
      <c r="K6" s="136" t="n">
        <v>27000</v>
      </c>
      <c r="L6" s="136" t="inlineStr">
        <is>
          <t>6</t>
        </is>
      </c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n">
        <v>113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5" t="n">
        <v>782</v>
      </c>
      <c r="D7" s="133" t="n">
        <v>114.2</v>
      </c>
      <c r="E7" s="134" t="n">
        <v>35</v>
      </c>
      <c r="F7" s="133" t="n">
        <v>85</v>
      </c>
      <c r="G7" s="17" t="n">
        <v>26</v>
      </c>
      <c r="H7" s="135" t="n">
        <v>160</v>
      </c>
      <c r="I7" s="136" t="n">
        <v>33000</v>
      </c>
      <c r="J7" s="136" t="inlineStr">
        <is>
          <t>5</t>
        </is>
      </c>
      <c r="K7" s="136" t="n">
        <v>25000</v>
      </c>
      <c r="L7" s="136" t="inlineStr">
        <is>
          <t>18</t>
        </is>
      </c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inlineStr">
        <is>
          <t>114A</t>
        </is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5" t="n">
        <v>782</v>
      </c>
      <c r="D8" s="133" t="n">
        <v>115.2</v>
      </c>
      <c r="E8" s="134" t="n">
        <v>35</v>
      </c>
      <c r="F8" s="133" t="n">
        <v>85</v>
      </c>
      <c r="G8" s="17" t="n">
        <v>26</v>
      </c>
      <c r="H8" s="135" t="n">
        <v>142</v>
      </c>
      <c r="I8" s="136" t="n">
        <v>33000</v>
      </c>
      <c r="J8" s="136" t="inlineStr">
        <is>
          <t>8</t>
        </is>
      </c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inlineStr">
        <is>
          <t>115B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n"/>
      <c r="B9" s="123" t="n"/>
      <c r="C9" s="6" t="n"/>
      <c r="D9" s="9" t="n"/>
      <c r="E9" s="14" t="n"/>
      <c r="F9" s="133" t="n"/>
      <c r="G9" s="9" t="n"/>
      <c r="H9" s="9" t="n"/>
      <c r="I9" s="9" t="n"/>
      <c r="J9" s="9" t="n"/>
      <c r="K9" s="9" t="n"/>
      <c r="L9" s="9" t="n"/>
      <c r="M9" s="9" t="n"/>
      <c r="N9" s="9" t="n"/>
      <c r="O9" s="138" t="n"/>
      <c r="P9" s="138" t="n"/>
      <c r="Q9" s="134" t="n"/>
      <c r="R9" s="134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8">
        <f>IF(E9="","",E9)</f>
        <v/>
      </c>
      <c r="AJ9" s="123" t="n"/>
      <c r="AK9" s="123" t="n"/>
      <c r="AL9" s="123" t="n"/>
      <c r="AM9" s="123" t="n"/>
      <c r="AN9" s="123" t="n"/>
      <c r="AO9" s="123" t="n"/>
      <c r="AP9" s="123" t="n"/>
      <c r="AQ9" s="123" t="n"/>
      <c r="AR9" s="123" t="n"/>
      <c r="AS9" s="123" t="n"/>
      <c r="AT9" s="123" t="n"/>
      <c r="AU9" s="123" t="n"/>
      <c r="AV9" s="123" t="n"/>
    </row>
    <row r="10">
      <c r="A10" s="9" t="inlineStr">
        <is>
          <t>한라비발디1단지</t>
        </is>
      </c>
      <c r="B10" s="10" t="inlineStr">
        <is>
          <t>'08.11.</t>
        </is>
      </c>
      <c r="C10" s="135" t="n">
        <v>332</v>
      </c>
      <c r="D10" s="133" t="n">
        <v>133</v>
      </c>
      <c r="E10" s="134" t="n">
        <v>40</v>
      </c>
      <c r="F10" s="133" t="n">
        <v>100.4</v>
      </c>
      <c r="G10" s="17" t="n">
        <v>30</v>
      </c>
      <c r="H10" s="135" t="n">
        <v>59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inlineStr">
        <is>
          <t>132A</t>
        </is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5" t="n">
        <v>332</v>
      </c>
      <c r="D11" s="133" t="n">
        <v>135.3</v>
      </c>
      <c r="E11" s="134" t="n">
        <v>41</v>
      </c>
      <c r="F11" s="133" t="n">
        <v>103.6</v>
      </c>
      <c r="G11" s="17" t="n">
        <v>31</v>
      </c>
      <c r="H11" s="135" t="n">
        <v>39</v>
      </c>
      <c r="I11" s="136" t="n">
        <v>42000</v>
      </c>
      <c r="J11" s="136" t="inlineStr">
        <is>
          <t>6</t>
        </is>
      </c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2</v>
      </c>
      <c r="S11" s="123" t="inlineStr">
        <is>
          <t>계</t>
        </is>
      </c>
      <c r="T11" s="5" t="inlineStr">
        <is>
          <t>135B</t>
        </is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5" t="n">
        <v>332</v>
      </c>
      <c r="D12" s="133" t="n">
        <v>159.2</v>
      </c>
      <c r="E12" s="134" t="n">
        <v>48</v>
      </c>
      <c r="F12" s="133" t="n">
        <v>123.1</v>
      </c>
      <c r="G12" s="17" t="n">
        <v>37</v>
      </c>
      <c r="H12" s="135" t="n">
        <v>80</v>
      </c>
      <c r="I12" s="136" t="n"/>
      <c r="J12" s="136" t="n"/>
      <c r="K12" s="136" t="n"/>
      <c r="L12" s="136" t="n"/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4</v>
      </c>
      <c r="R12" s="123" t="n">
        <v>2</v>
      </c>
      <c r="S12" s="123" t="inlineStr">
        <is>
          <t>계</t>
        </is>
      </c>
      <c r="T12" s="5" t="inlineStr">
        <is>
          <t>159A</t>
        </is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5" t="n">
        <v>332</v>
      </c>
      <c r="D13" s="133" t="n">
        <v>161.5</v>
      </c>
      <c r="E13" s="134" t="n">
        <v>49</v>
      </c>
      <c r="F13" s="133" t="n">
        <v>132.3</v>
      </c>
      <c r="G13" s="17" t="n">
        <v>40</v>
      </c>
      <c r="H13" s="135" t="n">
        <v>79</v>
      </c>
      <c r="I13" s="136" t="n"/>
      <c r="J13" s="136" t="n"/>
      <c r="K13" s="136" t="n"/>
      <c r="L13" s="136" t="n"/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4</v>
      </c>
      <c r="R13" s="123" t="n">
        <v>2</v>
      </c>
      <c r="S13" s="123" t="inlineStr">
        <is>
          <t>계</t>
        </is>
      </c>
      <c r="T13" s="5" t="inlineStr">
        <is>
          <t>161B</t>
        </is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5" t="n">
        <v>332</v>
      </c>
      <c r="D14" s="133" t="n">
        <v>189.5</v>
      </c>
      <c r="E14" s="134" t="n">
        <v>57</v>
      </c>
      <c r="F14" s="133" t="n">
        <v>155.9</v>
      </c>
      <c r="G14" s="17" t="n">
        <v>47</v>
      </c>
      <c r="H14" s="135" t="n">
        <v>71</v>
      </c>
      <c r="I14" s="136" t="n">
        <v>58000</v>
      </c>
      <c r="J14" s="136" t="inlineStr">
        <is>
          <t>18</t>
        </is>
      </c>
      <c r="K14" s="136" t="n"/>
      <c r="L14" s="136" t="n"/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4</v>
      </c>
      <c r="R14" s="123" t="n">
        <v>2</v>
      </c>
      <c r="S14" s="123" t="inlineStr">
        <is>
          <t>계</t>
        </is>
      </c>
      <c r="T14" s="5" t="n">
        <v>189</v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5" t="n">
        <v>332</v>
      </c>
      <c r="D15" s="133" t="n">
        <v>320.9</v>
      </c>
      <c r="E15" s="134" t="n">
        <v>97</v>
      </c>
      <c r="F15" s="133" t="n">
        <v>261.2</v>
      </c>
      <c r="G15" s="17" t="n">
        <v>79</v>
      </c>
      <c r="H15" s="135" t="n">
        <v>4</v>
      </c>
      <c r="I15" s="136" t="n"/>
      <c r="J15" s="136" t="n"/>
      <c r="K15" s="136" t="n"/>
      <c r="L15" s="136" t="n"/>
      <c r="M15" s="137">
        <f>I15-K15</f>
        <v/>
      </c>
      <c r="N15" s="4">
        <f>IF(ISERROR(K15/I15),"",K15/I15)</f>
        <v/>
      </c>
      <c r="O15" s="138">
        <f>I15/E15</f>
        <v/>
      </c>
      <c r="P15" s="138">
        <f>K15/E15</f>
        <v/>
      </c>
      <c r="Q15" s="123" t="n">
        <v>6</v>
      </c>
      <c r="R15" s="123" t="n">
        <v>4</v>
      </c>
      <c r="S15" s="123" t="inlineStr">
        <is>
          <t>계</t>
        </is>
      </c>
      <c r="T15" s="5" t="n">
        <v>320</v>
      </c>
      <c r="U15" s="9" t="n"/>
      <c r="W15" s="133">
        <f>D15</f>
        <v/>
      </c>
      <c r="X15" s="134">
        <f>E15</f>
        <v/>
      </c>
      <c r="Y15" s="139">
        <f>H15</f>
        <v/>
      </c>
      <c r="Z15" s="137">
        <f>I15</f>
        <v/>
      </c>
      <c r="AA15" s="137">
        <f>K15</f>
        <v/>
      </c>
      <c r="AB15" s="137">
        <f>M15</f>
        <v/>
      </c>
      <c r="AC15" s="4">
        <f>N15</f>
        <v/>
      </c>
      <c r="AD15" s="138">
        <f>O15</f>
        <v/>
      </c>
      <c r="AE15" s="123">
        <f>S15</f>
        <v/>
      </c>
      <c r="AF15" s="123">
        <f>Q15&amp;"/"&amp;R15</f>
        <v/>
      </c>
      <c r="AH15" s="20">
        <f>IF(A15="","",A15)</f>
        <v/>
      </c>
      <c r="AI15" s="134">
        <f>IF(E15="","",E15)</f>
        <v/>
      </c>
      <c r="AJ15" s="123">
        <f>IF(AI15="","",$AJ$2)</f>
        <v/>
      </c>
      <c r="AK15" s="123" t="inlineStr">
        <is>
          <t>A</t>
        </is>
      </c>
      <c r="AL15" s="123" t="inlineStr">
        <is>
          <t>A+</t>
        </is>
      </c>
      <c r="AM15" s="123" t="inlineStr">
        <is>
          <t>B+</t>
        </is>
      </c>
      <c r="AN15" s="123">
        <f>IF(AI15="","",$AN$2)</f>
        <v/>
      </c>
      <c r="AO15" s="123">
        <f>IF(N15="","",IF(N15&gt;=$AO$1/100,"O","X"))</f>
        <v/>
      </c>
      <c r="AP15" s="123">
        <f>IF(I15="","",IF(I15&lt;=$AP$1,"O","X"))</f>
        <v/>
      </c>
      <c r="AQ15" s="123">
        <f>IF(O15="","",IF(O15&lt;=$AQ$1,"O","X"))</f>
        <v/>
      </c>
      <c r="AR15" s="123">
        <f>IF(M15="","",IF(M15&lt;=$AR$1,"O","X"))</f>
        <v/>
      </c>
      <c r="AS15" s="123" t="inlineStr">
        <is>
          <t>X</t>
        </is>
      </c>
      <c r="AT15" s="123">
        <f>IF(OR(F15="",AI15=""),"",IF(AND((F15&lt;=85),(AI15&gt;=15)),"O","X"))</f>
        <v/>
      </c>
      <c r="AU15" s="123">
        <f>IF(C15="","",IF(C15&gt;=$AU$1,"O","X"))</f>
        <v/>
      </c>
      <c r="AV15" s="123">
        <f>IF(AO15="","",IF(AND(AO15="O",AP15="O",AR15="O",AT15="O",AU15="O"),"후보","X"))</f>
        <v/>
      </c>
    </row>
    <row r="16">
      <c r="A16" s="9" t="n"/>
      <c r="B16" s="123" t="n"/>
      <c r="C16" s="6" t="n"/>
      <c r="D16" s="9" t="n"/>
      <c r="E16" s="14" t="n"/>
      <c r="F16" s="133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8" t="n"/>
      <c r="P16" s="138" t="n"/>
      <c r="Q16" s="134" t="n"/>
      <c r="R16" s="134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8">
        <f>IF(E16="","",E16)</f>
        <v/>
      </c>
      <c r="AJ16" s="123" t="n"/>
      <c r="AK16" s="123" t="n"/>
      <c r="AL16" s="123" t="n"/>
      <c r="AM16" s="123" t="n"/>
      <c r="AN16" s="123" t="n"/>
      <c r="AO16" s="123" t="n"/>
      <c r="AP16" s="123" t="n"/>
      <c r="AQ16" s="123" t="n"/>
      <c r="AR16" s="123" t="n"/>
      <c r="AS16" s="123" t="n"/>
      <c r="AT16" s="123" t="n"/>
      <c r="AU16" s="123" t="n"/>
      <c r="AV16" s="123" t="n"/>
    </row>
    <row r="17">
      <c r="A17" s="9" t="inlineStr">
        <is>
          <t>동신</t>
        </is>
      </c>
      <c r="B17" s="10" t="inlineStr">
        <is>
          <t>'91.09.</t>
        </is>
      </c>
      <c r="C17" s="135" t="n">
        <v>660</v>
      </c>
      <c r="D17" s="133" t="n">
        <v>73.59999999999999</v>
      </c>
      <c r="E17" s="134" t="n">
        <v>22</v>
      </c>
      <c r="F17" s="133" t="n">
        <v>59.5</v>
      </c>
      <c r="G17" s="17" t="n">
        <v>18</v>
      </c>
      <c r="H17" s="135" t="n">
        <v>120</v>
      </c>
      <c r="I17" s="136" t="n"/>
      <c r="J17" s="136" t="n"/>
      <c r="K17" s="136" t="n"/>
      <c r="L17" s="136" t="n"/>
      <c r="M17" s="137">
        <f>I17-K17</f>
        <v/>
      </c>
      <c r="N17" s="4">
        <f>IF(ISERROR(K17/I17),"",K17/I17)</f>
        <v/>
      </c>
      <c r="O17" s="138">
        <f>I17/E17</f>
        <v/>
      </c>
      <c r="P17" s="138">
        <f>K17/E17</f>
        <v/>
      </c>
      <c r="Q17" s="123" t="n">
        <v>2</v>
      </c>
      <c r="R17" s="123" t="n">
        <v>1</v>
      </c>
      <c r="S17" s="123" t="inlineStr">
        <is>
          <t>계</t>
        </is>
      </c>
      <c r="T17" s="5" t="n">
        <v>73</v>
      </c>
      <c r="U17" s="9" t="n"/>
      <c r="W17" s="133">
        <f>D17</f>
        <v/>
      </c>
      <c r="X17" s="134">
        <f>E17</f>
        <v/>
      </c>
      <c r="Y17" s="139">
        <f>H17</f>
        <v/>
      </c>
      <c r="Z17" s="137">
        <f>I17</f>
        <v/>
      </c>
      <c r="AA17" s="137">
        <f>K17</f>
        <v/>
      </c>
      <c r="AB17" s="137">
        <f>M17</f>
        <v/>
      </c>
      <c r="AC17" s="4">
        <f>N17</f>
        <v/>
      </c>
      <c r="AD17" s="138">
        <f>O17</f>
        <v/>
      </c>
      <c r="AE17" s="123">
        <f>S17</f>
        <v/>
      </c>
      <c r="AF17" s="123">
        <f>Q17&amp;"/"&amp;R17</f>
        <v/>
      </c>
      <c r="AH17" s="20">
        <f>IF(A17="","",A17)</f>
        <v/>
      </c>
      <c r="AI17" s="134">
        <f>IF(E17="","",E17)</f>
        <v/>
      </c>
      <c r="AJ17" s="123">
        <f>IF(AI17="","",$AJ$2)</f>
        <v/>
      </c>
      <c r="AK17" s="123" t="inlineStr">
        <is>
          <t>A</t>
        </is>
      </c>
      <c r="AL17" s="123" t="inlineStr">
        <is>
          <t>A+</t>
        </is>
      </c>
      <c r="AM17" s="123" t="inlineStr">
        <is>
          <t>B+</t>
        </is>
      </c>
      <c r="AN17" s="123">
        <f>IF(AI17="","",$AN$2)</f>
        <v/>
      </c>
      <c r="AO17" s="123">
        <f>IF(N17="","",IF(N17&gt;=$AO$1/100,"O","X"))</f>
        <v/>
      </c>
      <c r="AP17" s="123">
        <f>IF(I17="","",IF(I17&lt;=$AP$1,"O","X"))</f>
        <v/>
      </c>
      <c r="AQ17" s="123">
        <f>IF(O17="","",IF(O17&lt;=$AQ$1,"O","X"))</f>
        <v/>
      </c>
      <c r="AR17" s="123">
        <f>IF(M17="","",IF(M17&lt;=$AR$1,"O","X"))</f>
        <v/>
      </c>
      <c r="AS17" s="123" t="inlineStr">
        <is>
          <t>X</t>
        </is>
      </c>
      <c r="AT17" s="123">
        <f>IF(OR(F17="",AI17=""),"",IF(AND((F17&lt;=85),(AI17&gt;=15)),"O","X"))</f>
        <v/>
      </c>
      <c r="AU17" s="123">
        <f>IF(C17="","",IF(C17&gt;=$AU$1,"O","X"))</f>
        <v/>
      </c>
      <c r="AV17" s="123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5" t="n">
        <v>660</v>
      </c>
      <c r="D18" s="133" t="n">
        <v>83.5</v>
      </c>
      <c r="E18" s="134" t="n">
        <v>25</v>
      </c>
      <c r="F18" s="133" t="n">
        <v>67.40000000000001</v>
      </c>
      <c r="G18" s="17" t="n">
        <v>20</v>
      </c>
      <c r="H18" s="135" t="n">
        <v>120</v>
      </c>
      <c r="I18" s="136" t="n">
        <v>7500</v>
      </c>
      <c r="J18" s="136" t="inlineStr">
        <is>
          <t>7</t>
        </is>
      </c>
      <c r="K18" s="136" t="n"/>
      <c r="L18" s="136" t="n"/>
      <c r="M18" s="137">
        <f>I18-K18</f>
        <v/>
      </c>
      <c r="N18" s="4">
        <f>IF(ISERROR(K18/I18),"",K18/I18)</f>
        <v/>
      </c>
      <c r="O18" s="138">
        <f>I18/E18</f>
        <v/>
      </c>
      <c r="P18" s="138">
        <f>K18/E18</f>
        <v/>
      </c>
      <c r="Q18" s="123" t="n">
        <v>3</v>
      </c>
      <c r="R18" s="123" t="n">
        <v>1</v>
      </c>
      <c r="S18" s="123" t="inlineStr">
        <is>
          <t>복</t>
        </is>
      </c>
      <c r="T18" s="5" t="n">
        <v>83</v>
      </c>
      <c r="U18" s="9" t="n"/>
      <c r="W18" s="133">
        <f>D18</f>
        <v/>
      </c>
      <c r="X18" s="134">
        <f>E18</f>
        <v/>
      </c>
      <c r="Y18" s="139">
        <f>H18</f>
        <v/>
      </c>
      <c r="Z18" s="137">
        <f>I18</f>
        <v/>
      </c>
      <c r="AA18" s="137">
        <f>K18</f>
        <v/>
      </c>
      <c r="AB18" s="137">
        <f>M18</f>
        <v/>
      </c>
      <c r="AC18" s="4">
        <f>N18</f>
        <v/>
      </c>
      <c r="AD18" s="138">
        <f>O18</f>
        <v/>
      </c>
      <c r="AE18" s="123">
        <f>S18</f>
        <v/>
      </c>
      <c r="AF18" s="123">
        <f>Q18&amp;"/"&amp;R18</f>
        <v/>
      </c>
      <c r="AH18" s="20">
        <f>IF(A18="","",A18)</f>
        <v/>
      </c>
      <c r="AI18" s="134">
        <f>IF(E18="","",E18)</f>
        <v/>
      </c>
      <c r="AJ18" s="123">
        <f>IF(AI18="","",$AJ$2)</f>
        <v/>
      </c>
      <c r="AK18" s="123" t="inlineStr">
        <is>
          <t>A</t>
        </is>
      </c>
      <c r="AL18" s="123" t="inlineStr">
        <is>
          <t>A+</t>
        </is>
      </c>
      <c r="AM18" s="123" t="inlineStr">
        <is>
          <t>B+</t>
        </is>
      </c>
      <c r="AN18" s="123">
        <f>IF(AI18="","",$AN$2)</f>
        <v/>
      </c>
      <c r="AO18" s="123">
        <f>IF(N18="","",IF(N18&gt;=$AO$1/100,"O","X"))</f>
        <v/>
      </c>
      <c r="AP18" s="123">
        <f>IF(I18="","",IF(I18&lt;=$AP$1,"O","X"))</f>
        <v/>
      </c>
      <c r="AQ18" s="123">
        <f>IF(O18="","",IF(O18&lt;=$AQ$1,"O","X"))</f>
        <v/>
      </c>
      <c r="AR18" s="123">
        <f>IF(M18="","",IF(M18&lt;=$AR$1,"O","X"))</f>
        <v/>
      </c>
      <c r="AS18" s="123" t="inlineStr">
        <is>
          <t>X</t>
        </is>
      </c>
      <c r="AT18" s="123">
        <f>IF(OR(F18="",AI18=""),"",IF(AND((F18&lt;=85),(AI18&gt;=15)),"O","X"))</f>
        <v/>
      </c>
      <c r="AU18" s="123">
        <f>IF(C18="","",IF(C18&gt;=$AU$1,"O","X"))</f>
        <v/>
      </c>
      <c r="AV18" s="123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5" t="n">
        <v>660</v>
      </c>
      <c r="D19" s="133" t="n">
        <v>94.59999999999999</v>
      </c>
      <c r="E19" s="134" t="n">
        <v>29</v>
      </c>
      <c r="F19" s="133" t="n">
        <v>76.40000000000001</v>
      </c>
      <c r="G19" s="17" t="n">
        <v>23</v>
      </c>
      <c r="H19" s="135" t="n">
        <v>60</v>
      </c>
      <c r="I19" s="136" t="n"/>
      <c r="J19" s="136" t="n"/>
      <c r="K19" s="136" t="n"/>
      <c r="L19" s="136" t="n"/>
      <c r="M19" s="137">
        <f>I19-K19</f>
        <v/>
      </c>
      <c r="N19" s="4">
        <f>IF(ISERROR(K19/I19),"",K19/I19)</f>
        <v/>
      </c>
      <c r="O19" s="138">
        <f>I19/E19</f>
        <v/>
      </c>
      <c r="P19" s="138">
        <f>K19/E19</f>
        <v/>
      </c>
      <c r="Q19" s="123" t="n">
        <v>3</v>
      </c>
      <c r="R19" s="123" t="n">
        <v>2</v>
      </c>
      <c r="S19" s="123" t="inlineStr">
        <is>
          <t>복</t>
        </is>
      </c>
      <c r="T19" s="5" t="n">
        <v>94</v>
      </c>
      <c r="U19" s="9" t="n"/>
      <c r="W19" s="133">
        <f>D19</f>
        <v/>
      </c>
      <c r="X19" s="134">
        <f>E19</f>
        <v/>
      </c>
      <c r="Y19" s="139">
        <f>H19</f>
        <v/>
      </c>
      <c r="Z19" s="137">
        <f>I19</f>
        <v/>
      </c>
      <c r="AA19" s="137">
        <f>K19</f>
        <v/>
      </c>
      <c r="AB19" s="137">
        <f>M19</f>
        <v/>
      </c>
      <c r="AC19" s="4">
        <f>N19</f>
        <v/>
      </c>
      <c r="AD19" s="138">
        <f>O19</f>
        <v/>
      </c>
      <c r="AE19" s="123">
        <f>S19</f>
        <v/>
      </c>
      <c r="AF19" s="123">
        <f>Q19&amp;"/"&amp;R19</f>
        <v/>
      </c>
      <c r="AH19" s="20">
        <f>IF(A19="","",A19)</f>
        <v/>
      </c>
      <c r="AI19" s="134">
        <f>IF(E19="","",E19)</f>
        <v/>
      </c>
      <c r="AJ19" s="123">
        <f>IF(AI19="","",$AJ$2)</f>
        <v/>
      </c>
      <c r="AK19" s="123" t="inlineStr">
        <is>
          <t>A</t>
        </is>
      </c>
      <c r="AL19" s="123" t="inlineStr">
        <is>
          <t>A+</t>
        </is>
      </c>
      <c r="AM19" s="123" t="inlineStr">
        <is>
          <t>B+</t>
        </is>
      </c>
      <c r="AN19" s="123">
        <f>IF(AI19="","",$AN$2)</f>
        <v/>
      </c>
      <c r="AO19" s="123">
        <f>IF(N19="","",IF(N19&gt;=$AO$1/100,"O","X"))</f>
        <v/>
      </c>
      <c r="AP19" s="123">
        <f>IF(I19="","",IF(I19&lt;=$AP$1,"O","X"))</f>
        <v/>
      </c>
      <c r="AQ19" s="123">
        <f>IF(O19="","",IF(O19&lt;=$AQ$1,"O","X"))</f>
        <v/>
      </c>
      <c r="AR19" s="123">
        <f>IF(M19="","",IF(M19&lt;=$AR$1,"O","X"))</f>
        <v/>
      </c>
      <c r="AS19" s="123" t="inlineStr">
        <is>
          <t>X</t>
        </is>
      </c>
      <c r="AT19" s="123">
        <f>IF(OR(F19="",AI19=""),"",IF(AND((F19&lt;=85),(AI19&gt;=15)),"O","X"))</f>
        <v/>
      </c>
      <c r="AU19" s="123">
        <f>IF(C19="","",IF(C19&gt;=$AU$1,"O","X"))</f>
        <v/>
      </c>
      <c r="AV19" s="123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5" t="n">
        <v>660</v>
      </c>
      <c r="D20" s="133" t="n">
        <v>97.2</v>
      </c>
      <c r="E20" s="134" t="n">
        <v>29</v>
      </c>
      <c r="F20" s="133" t="n">
        <v>78.5</v>
      </c>
      <c r="G20" s="17" t="n">
        <v>24</v>
      </c>
      <c r="H20" s="135" t="n">
        <v>120</v>
      </c>
      <c r="I20" s="136" t="n"/>
      <c r="J20" s="136" t="n"/>
      <c r="K20" s="136" t="n"/>
      <c r="L20" s="136" t="n"/>
      <c r="M20" s="137">
        <f>I20-K20</f>
        <v/>
      </c>
      <c r="N20" s="4">
        <f>IF(ISERROR(K20/I20),"",K20/I20)</f>
        <v/>
      </c>
      <c r="O20" s="138">
        <f>I20/E20</f>
        <v/>
      </c>
      <c r="P20" s="138">
        <f>K20/E20</f>
        <v/>
      </c>
      <c r="Q20" s="123" t="n">
        <v>3</v>
      </c>
      <c r="R20" s="123" t="n">
        <v>2</v>
      </c>
      <c r="S20" s="123" t="inlineStr">
        <is>
          <t>계</t>
        </is>
      </c>
      <c r="T20" s="5" t="n">
        <v>97</v>
      </c>
      <c r="U20" s="9" t="n"/>
      <c r="W20" s="133">
        <f>D20</f>
        <v/>
      </c>
      <c r="X20" s="134">
        <f>E20</f>
        <v/>
      </c>
      <c r="Y20" s="139">
        <f>H20</f>
        <v/>
      </c>
      <c r="Z20" s="137">
        <f>I20</f>
        <v/>
      </c>
      <c r="AA20" s="137">
        <f>K20</f>
        <v/>
      </c>
      <c r="AB20" s="137">
        <f>M20</f>
        <v/>
      </c>
      <c r="AC20" s="4">
        <f>N20</f>
        <v/>
      </c>
      <c r="AD20" s="138">
        <f>O20</f>
        <v/>
      </c>
      <c r="AE20" s="123">
        <f>S20</f>
        <v/>
      </c>
      <c r="AF20" s="123">
        <f>Q20&amp;"/"&amp;R20</f>
        <v/>
      </c>
      <c r="AH20" s="20">
        <f>IF(A20="","",A20)</f>
        <v/>
      </c>
      <c r="AI20" s="134">
        <f>IF(E20="","",E20)</f>
        <v/>
      </c>
      <c r="AJ20" s="123">
        <f>IF(AI20="","",$AJ$2)</f>
        <v/>
      </c>
      <c r="AK20" s="123" t="inlineStr">
        <is>
          <t>A</t>
        </is>
      </c>
      <c r="AL20" s="123" t="inlineStr">
        <is>
          <t>A+</t>
        </is>
      </c>
      <c r="AM20" s="123" t="inlineStr">
        <is>
          <t>B+</t>
        </is>
      </c>
      <c r="AN20" s="123">
        <f>IF(AI20="","",$AN$2)</f>
        <v/>
      </c>
      <c r="AO20" s="123">
        <f>IF(N20="","",IF(N20&gt;=$AO$1/100,"O","X"))</f>
        <v/>
      </c>
      <c r="AP20" s="123">
        <f>IF(I20="","",IF(I20&lt;=$AP$1,"O","X"))</f>
        <v/>
      </c>
      <c r="AQ20" s="123">
        <f>IF(O20="","",IF(O20&lt;=$AQ$1,"O","X"))</f>
        <v/>
      </c>
      <c r="AR20" s="123">
        <f>IF(M20="","",IF(M20&lt;=$AR$1,"O","X"))</f>
        <v/>
      </c>
      <c r="AS20" s="123" t="inlineStr">
        <is>
          <t>X</t>
        </is>
      </c>
      <c r="AT20" s="123">
        <f>IF(OR(F20="",AI20=""),"",IF(AND((F20&lt;=85),(AI20&gt;=15)),"O","X"))</f>
        <v/>
      </c>
      <c r="AU20" s="123">
        <f>IF(C20="","",IF(C20&gt;=$AU$1,"O","X"))</f>
        <v/>
      </c>
      <c r="AV20" s="123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5" t="n">
        <v>660</v>
      </c>
      <c r="D21" s="133" t="n">
        <v>105</v>
      </c>
      <c r="E21" s="134" t="n">
        <v>32</v>
      </c>
      <c r="F21" s="133" t="n">
        <v>84.8</v>
      </c>
      <c r="G21" s="17" t="n">
        <v>26</v>
      </c>
      <c r="H21" s="135" t="n">
        <v>240</v>
      </c>
      <c r="I21" s="136" t="n">
        <v>12000</v>
      </c>
      <c r="J21" s="136" t="inlineStr">
        <is>
          <t>15</t>
        </is>
      </c>
      <c r="K21" s="136" t="n">
        <v>11000</v>
      </c>
      <c r="L21" s="136" t="inlineStr">
        <is>
          <t>15</t>
        </is>
      </c>
      <c r="M21" s="137">
        <f>I21-K21</f>
        <v/>
      </c>
      <c r="N21" s="4">
        <f>IF(ISERROR(K21/I21),"",K21/I21)</f>
        <v/>
      </c>
      <c r="O21" s="138">
        <f>I21/E21</f>
        <v/>
      </c>
      <c r="P21" s="138">
        <f>K21/E21</f>
        <v/>
      </c>
      <c r="Q21" s="123" t="n">
        <v>3</v>
      </c>
      <c r="R21" s="123" t="n">
        <v>2</v>
      </c>
      <c r="S21" s="123" t="inlineStr">
        <is>
          <t>복</t>
        </is>
      </c>
      <c r="T21" s="5" t="n">
        <v>105</v>
      </c>
      <c r="U21" s="9" t="n"/>
      <c r="W21" s="133">
        <f>D21</f>
        <v/>
      </c>
      <c r="X21" s="134">
        <f>E21</f>
        <v/>
      </c>
      <c r="Y21" s="139">
        <f>H21</f>
        <v/>
      </c>
      <c r="Z21" s="137">
        <f>I21</f>
        <v/>
      </c>
      <c r="AA21" s="137">
        <f>K21</f>
        <v/>
      </c>
      <c r="AB21" s="137">
        <f>M21</f>
        <v/>
      </c>
      <c r="AC21" s="4">
        <f>N21</f>
        <v/>
      </c>
      <c r="AD21" s="138">
        <f>O21</f>
        <v/>
      </c>
      <c r="AE21" s="123">
        <f>S21</f>
        <v/>
      </c>
      <c r="AF21" s="123">
        <f>Q21&amp;"/"&amp;R21</f>
        <v/>
      </c>
      <c r="AH21" s="20">
        <f>IF(A21="","",A21)</f>
        <v/>
      </c>
      <c r="AI21" s="134">
        <f>IF(E21="","",E21)</f>
        <v/>
      </c>
      <c r="AJ21" s="123">
        <f>IF(AI21="","",$AJ$2)</f>
        <v/>
      </c>
      <c r="AK21" s="123" t="inlineStr">
        <is>
          <t>A</t>
        </is>
      </c>
      <c r="AL21" s="123" t="inlineStr">
        <is>
          <t>A+</t>
        </is>
      </c>
      <c r="AM21" s="123" t="inlineStr">
        <is>
          <t>B+</t>
        </is>
      </c>
      <c r="AN21" s="123">
        <f>IF(AI21="","",$AN$2)</f>
        <v/>
      </c>
      <c r="AO21" s="123">
        <f>IF(N21="","",IF(N21&gt;=$AO$1/100,"O","X"))</f>
        <v/>
      </c>
      <c r="AP21" s="123">
        <f>IF(I21="","",IF(I21&lt;=$AP$1,"O","X"))</f>
        <v/>
      </c>
      <c r="AQ21" s="123">
        <f>IF(O21="","",IF(O21&lt;=$AQ$1,"O","X"))</f>
        <v/>
      </c>
      <c r="AR21" s="123">
        <f>IF(M21="","",IF(M21&lt;=$AR$1,"O","X"))</f>
        <v/>
      </c>
      <c r="AS21" s="123" t="inlineStr">
        <is>
          <t>X</t>
        </is>
      </c>
      <c r="AT21" s="123">
        <f>IF(OR(F21="",AI21=""),"",IF(AND((F21&lt;=85),(AI21&gt;=15)),"O","X"))</f>
        <v/>
      </c>
      <c r="AU21" s="123">
        <f>IF(C21="","",IF(C21&gt;=$AU$1,"O","X"))</f>
        <v/>
      </c>
      <c r="AV21" s="123">
        <f>IF(AO21="","",IF(AND(AO21="O",AP21="O",AR21="O",AT21="O",AU21="O"),"후보","X"))</f>
        <v/>
      </c>
    </row>
    <row r="22">
      <c r="A22" s="9" t="n"/>
      <c r="B22" s="123" t="n"/>
      <c r="C22" s="6" t="n"/>
      <c r="D22" s="9" t="n"/>
      <c r="E22" s="14" t="n"/>
      <c r="F22" s="133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8" t="n"/>
      <c r="P22" s="138" t="n"/>
      <c r="Q22" s="134" t="n"/>
      <c r="R22" s="134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8">
        <f>IF(E22="","",E22)</f>
        <v/>
      </c>
      <c r="AJ22" s="123" t="n"/>
      <c r="AK22" s="123" t="n"/>
      <c r="AL22" s="123" t="n"/>
      <c r="AM22" s="123" t="n"/>
      <c r="AN22" s="123" t="n"/>
      <c r="AO22" s="123" t="n"/>
      <c r="AP22" s="123" t="n"/>
      <c r="AQ22" s="123" t="n"/>
      <c r="AR22" s="123" t="n"/>
      <c r="AS22" s="123" t="n"/>
      <c r="AT22" s="123" t="n"/>
      <c r="AU22" s="123" t="n"/>
      <c r="AV22" s="123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5" t="n">
        <v>566</v>
      </c>
      <c r="D23" s="133" t="n">
        <v>130.7</v>
      </c>
      <c r="E23" s="134" t="n">
        <v>40</v>
      </c>
      <c r="F23" s="133" t="n">
        <v>100.1</v>
      </c>
      <c r="G23" s="17" t="n">
        <v>30</v>
      </c>
      <c r="H23" s="135" t="n">
        <v>87</v>
      </c>
      <c r="I23" s="136" t="n">
        <v>39000</v>
      </c>
      <c r="J23" s="136" t="inlineStr">
        <is>
          <t>10</t>
        </is>
      </c>
      <c r="K23" s="136" t="n">
        <v>35000</v>
      </c>
      <c r="L23" s="136" t="inlineStr">
        <is>
          <t>13</t>
        </is>
      </c>
      <c r="M23" s="137">
        <f>I23-K23</f>
        <v/>
      </c>
      <c r="N23" s="4">
        <f>IF(ISERROR(K23/I23),"",K23/I23)</f>
        <v/>
      </c>
      <c r="O23" s="138">
        <f>I23/E23</f>
        <v/>
      </c>
      <c r="P23" s="138">
        <f>K23/E23</f>
        <v/>
      </c>
      <c r="Q23" s="123" t="n">
        <v>3</v>
      </c>
      <c r="R23" s="123" t="n">
        <v>2</v>
      </c>
      <c r="S23" s="123" t="inlineStr">
        <is>
          <t>계</t>
        </is>
      </c>
      <c r="T23" s="5" t="n">
        <v>130</v>
      </c>
      <c r="U23" s="9" t="n"/>
      <c r="W23" s="133">
        <f>D23</f>
        <v/>
      </c>
      <c r="X23" s="134">
        <f>E23</f>
        <v/>
      </c>
      <c r="Y23" s="139">
        <f>H23</f>
        <v/>
      </c>
      <c r="Z23" s="137">
        <f>I23</f>
        <v/>
      </c>
      <c r="AA23" s="137">
        <f>K23</f>
        <v/>
      </c>
      <c r="AB23" s="137">
        <f>M23</f>
        <v/>
      </c>
      <c r="AC23" s="4">
        <f>N23</f>
        <v/>
      </c>
      <c r="AD23" s="138">
        <f>O23</f>
        <v/>
      </c>
      <c r="AE23" s="123">
        <f>S23</f>
        <v/>
      </c>
      <c r="AF23" s="123">
        <f>Q23&amp;"/"&amp;R23</f>
        <v/>
      </c>
      <c r="AH23" s="20">
        <f>IF(A23="","",A23)</f>
        <v/>
      </c>
      <c r="AI23" s="134">
        <f>IF(E23="","",E23)</f>
        <v/>
      </c>
      <c r="AJ23" s="123">
        <f>IF(AI23="","",$AJ$2)</f>
        <v/>
      </c>
      <c r="AK23" s="123" t="inlineStr">
        <is>
          <t>A</t>
        </is>
      </c>
      <c r="AL23" s="123" t="inlineStr">
        <is>
          <t>A+</t>
        </is>
      </c>
      <c r="AM23" s="123" t="inlineStr">
        <is>
          <t>B+</t>
        </is>
      </c>
      <c r="AN23" s="123">
        <f>IF(AI23="","",$AN$2)</f>
        <v/>
      </c>
      <c r="AO23" s="123">
        <f>IF(N23="","",IF(N23&gt;=$AO$1/100,"O","X"))</f>
        <v/>
      </c>
      <c r="AP23" s="123">
        <f>IF(I23="","",IF(I23&lt;=$AP$1,"O","X"))</f>
        <v/>
      </c>
      <c r="AQ23" s="123">
        <f>IF(O23="","",IF(O23&lt;=$AQ$1,"O","X"))</f>
        <v/>
      </c>
      <c r="AR23" s="123">
        <f>IF(M23="","",IF(M23&lt;=$AR$1,"O","X"))</f>
        <v/>
      </c>
      <c r="AS23" s="123" t="inlineStr">
        <is>
          <t>X</t>
        </is>
      </c>
      <c r="AT23" s="123">
        <f>IF(OR(F23="",AI23=""),"",IF(AND((F23&lt;=85),(AI23&gt;=15)),"O","X"))</f>
        <v/>
      </c>
      <c r="AU23" s="123">
        <f>IF(C23="","",IF(C23&gt;=$AU$1,"O","X"))</f>
        <v/>
      </c>
      <c r="AV23" s="123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5" t="n">
        <v>566</v>
      </c>
      <c r="D24" s="133" t="n">
        <v>134.3</v>
      </c>
      <c r="E24" s="134" t="n">
        <v>41</v>
      </c>
      <c r="F24" s="133" t="n">
        <v>104.5</v>
      </c>
      <c r="G24" s="17" t="n">
        <v>32</v>
      </c>
      <c r="H24" s="135" t="n">
        <v>54</v>
      </c>
      <c r="I24" s="136" t="n"/>
      <c r="J24" s="136" t="n"/>
      <c r="K24" s="136" t="n"/>
      <c r="L24" s="136" t="n"/>
      <c r="M24" s="137">
        <f>I24-K24</f>
        <v/>
      </c>
      <c r="N24" s="4">
        <f>IF(ISERROR(K24/I24),"",K24/I24)</f>
        <v/>
      </c>
      <c r="O24" s="138">
        <f>I24/E24</f>
        <v/>
      </c>
      <c r="P24" s="138">
        <f>K24/E24</f>
        <v/>
      </c>
      <c r="Q24" s="123" t="n">
        <v>3</v>
      </c>
      <c r="R24" s="123" t="n">
        <v>2</v>
      </c>
      <c r="S24" s="123" t="inlineStr">
        <is>
          <t>계</t>
        </is>
      </c>
      <c r="T24" s="5" t="n">
        <v>134</v>
      </c>
      <c r="U24" s="9" t="n"/>
      <c r="W24" s="133">
        <f>D24</f>
        <v/>
      </c>
      <c r="X24" s="134">
        <f>E24</f>
        <v/>
      </c>
      <c r="Y24" s="139">
        <f>H24</f>
        <v/>
      </c>
      <c r="Z24" s="137">
        <f>I24</f>
        <v/>
      </c>
      <c r="AA24" s="137">
        <f>K24</f>
        <v/>
      </c>
      <c r="AB24" s="137">
        <f>M24</f>
        <v/>
      </c>
      <c r="AC24" s="4">
        <f>N24</f>
        <v/>
      </c>
      <c r="AD24" s="138">
        <f>O24</f>
        <v/>
      </c>
      <c r="AE24" s="123">
        <f>S24</f>
        <v/>
      </c>
      <c r="AF24" s="123">
        <f>Q24&amp;"/"&amp;R24</f>
        <v/>
      </c>
      <c r="AH24" s="20">
        <f>IF(A24="","",A24)</f>
        <v/>
      </c>
      <c r="AI24" s="134">
        <f>IF(E24="","",E24)</f>
        <v/>
      </c>
      <c r="AJ24" s="123">
        <f>IF(AI24="","",$AJ$2)</f>
        <v/>
      </c>
      <c r="AK24" s="123" t="inlineStr">
        <is>
          <t>A</t>
        </is>
      </c>
      <c r="AL24" s="123" t="inlineStr">
        <is>
          <t>A+</t>
        </is>
      </c>
      <c r="AM24" s="123" t="inlineStr">
        <is>
          <t>B+</t>
        </is>
      </c>
      <c r="AN24" s="123">
        <f>IF(AI24="","",$AN$2)</f>
        <v/>
      </c>
      <c r="AO24" s="123">
        <f>IF(N24="","",IF(N24&gt;=$AO$1/100,"O","X"))</f>
        <v/>
      </c>
      <c r="AP24" s="123">
        <f>IF(I24="","",IF(I24&lt;=$AP$1,"O","X"))</f>
        <v/>
      </c>
      <c r="AQ24" s="123">
        <f>IF(O24="","",IF(O24&lt;=$AQ$1,"O","X"))</f>
        <v/>
      </c>
      <c r="AR24" s="123">
        <f>IF(M24="","",IF(M24&lt;=$AR$1,"O","X"))</f>
        <v/>
      </c>
      <c r="AS24" s="123" t="inlineStr">
        <is>
          <t>X</t>
        </is>
      </c>
      <c r="AT24" s="123">
        <f>IF(OR(F24="",AI24=""),"",IF(AND((F24&lt;=85),(AI24&gt;=15)),"O","X"))</f>
        <v/>
      </c>
      <c r="AU24" s="123">
        <f>IF(C24="","",IF(C24&gt;=$AU$1,"O","X"))</f>
        <v/>
      </c>
      <c r="AV24" s="123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5" t="n">
        <v>566</v>
      </c>
      <c r="D25" s="133" t="n">
        <v>153.9</v>
      </c>
      <c r="E25" s="134" t="n">
        <v>47</v>
      </c>
      <c r="F25" s="133" t="n">
        <v>119.9</v>
      </c>
      <c r="G25" s="17" t="n">
        <v>36</v>
      </c>
      <c r="H25" s="135" t="n">
        <v>328</v>
      </c>
      <c r="I25" s="136" t="n">
        <v>46000</v>
      </c>
      <c r="J25" s="136" t="inlineStr">
        <is>
          <t>7</t>
        </is>
      </c>
      <c r="K25" s="136" t="n">
        <v>35000</v>
      </c>
      <c r="L25" s="136" t="inlineStr">
        <is>
          <t>9</t>
        </is>
      </c>
      <c r="M25" s="137">
        <f>I25-K25</f>
        <v/>
      </c>
      <c r="N25" s="4">
        <f>IF(ISERROR(K25/I25),"",K25/I25)</f>
        <v/>
      </c>
      <c r="O25" s="138">
        <f>I25/E25</f>
        <v/>
      </c>
      <c r="P25" s="138">
        <f>K25/E25</f>
        <v/>
      </c>
      <c r="Q25" s="123" t="n">
        <v>4</v>
      </c>
      <c r="R25" s="123" t="n">
        <v>2</v>
      </c>
      <c r="S25" s="123" t="inlineStr">
        <is>
          <t>계</t>
        </is>
      </c>
      <c r="T25" s="5" t="n">
        <v>153</v>
      </c>
      <c r="U25" s="9" t="n"/>
      <c r="W25" s="133">
        <f>D25</f>
        <v/>
      </c>
      <c r="X25" s="134">
        <f>E25</f>
        <v/>
      </c>
      <c r="Y25" s="139">
        <f>H25</f>
        <v/>
      </c>
      <c r="Z25" s="137">
        <f>I25</f>
        <v/>
      </c>
      <c r="AA25" s="137">
        <f>K25</f>
        <v/>
      </c>
      <c r="AB25" s="137">
        <f>M25</f>
        <v/>
      </c>
      <c r="AC25" s="4">
        <f>N25</f>
        <v/>
      </c>
      <c r="AD25" s="138">
        <f>O25</f>
        <v/>
      </c>
      <c r="AE25" s="123">
        <f>S25</f>
        <v/>
      </c>
      <c r="AF25" s="123">
        <f>Q25&amp;"/"&amp;R25</f>
        <v/>
      </c>
      <c r="AH25" s="20">
        <f>IF(A25="","",A25)</f>
        <v/>
      </c>
      <c r="AI25" s="134">
        <f>IF(E25="","",E25)</f>
        <v/>
      </c>
      <c r="AJ25" s="123">
        <f>IF(AI25="","",$AJ$2)</f>
        <v/>
      </c>
      <c r="AK25" s="123" t="inlineStr">
        <is>
          <t>A</t>
        </is>
      </c>
      <c r="AL25" s="123" t="inlineStr">
        <is>
          <t>A+</t>
        </is>
      </c>
      <c r="AM25" s="123" t="inlineStr">
        <is>
          <t>B+</t>
        </is>
      </c>
      <c r="AN25" s="123">
        <f>IF(AI25="","",$AN$2)</f>
        <v/>
      </c>
      <c r="AO25" s="123">
        <f>IF(N25="","",IF(N25&gt;=$AO$1/100,"O","X"))</f>
        <v/>
      </c>
      <c r="AP25" s="123">
        <f>IF(I25="","",IF(I25&lt;=$AP$1,"O","X"))</f>
        <v/>
      </c>
      <c r="AQ25" s="123">
        <f>IF(O25="","",IF(O25&lt;=$AQ$1,"O","X"))</f>
        <v/>
      </c>
      <c r="AR25" s="123">
        <f>IF(M25="","",IF(M25&lt;=$AR$1,"O","X"))</f>
        <v/>
      </c>
      <c r="AS25" s="123" t="inlineStr">
        <is>
          <t>X</t>
        </is>
      </c>
      <c r="AT25" s="123">
        <f>IF(OR(F25="",AI25=""),"",IF(AND((F25&lt;=85),(AI25&gt;=15)),"O","X"))</f>
        <v/>
      </c>
      <c r="AU25" s="123">
        <f>IF(C25="","",IF(C25&gt;=$AU$1,"O","X"))</f>
        <v/>
      </c>
      <c r="AV25" s="123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5" t="n">
        <v>566</v>
      </c>
      <c r="D26" s="133" t="n">
        <v>178.7</v>
      </c>
      <c r="E26" s="134" t="n">
        <v>54</v>
      </c>
      <c r="F26" s="133" t="n">
        <v>143.8</v>
      </c>
      <c r="G26" s="17" t="n">
        <v>44</v>
      </c>
      <c r="H26" s="135" t="n">
        <v>94</v>
      </c>
      <c r="I26" s="136" t="n">
        <v>55000</v>
      </c>
      <c r="J26" s="136" t="inlineStr">
        <is>
          <t>6</t>
        </is>
      </c>
      <c r="K26" s="136" t="n"/>
      <c r="L26" s="136" t="n"/>
      <c r="M26" s="137">
        <f>I26-K26</f>
        <v/>
      </c>
      <c r="N26" s="4">
        <f>IF(ISERROR(K26/I26),"",K26/I26)</f>
        <v/>
      </c>
      <c r="O26" s="138">
        <f>I26/E26</f>
        <v/>
      </c>
      <c r="P26" s="138">
        <f>K26/E26</f>
        <v/>
      </c>
      <c r="Q26" s="123" t="n">
        <v>4</v>
      </c>
      <c r="R26" s="123" t="n">
        <v>2</v>
      </c>
      <c r="S26" s="123" t="inlineStr">
        <is>
          <t>계</t>
        </is>
      </c>
      <c r="T26" s="5" t="n">
        <v>178</v>
      </c>
      <c r="U26" s="9" t="n"/>
      <c r="W26" s="133">
        <f>D26</f>
        <v/>
      </c>
      <c r="X26" s="134">
        <f>E26</f>
        <v/>
      </c>
      <c r="Y26" s="139">
        <f>H26</f>
        <v/>
      </c>
      <c r="Z26" s="137">
        <f>I26</f>
        <v/>
      </c>
      <c r="AA26" s="137">
        <f>K26</f>
        <v/>
      </c>
      <c r="AB26" s="137">
        <f>M26</f>
        <v/>
      </c>
      <c r="AC26" s="4">
        <f>N26</f>
        <v/>
      </c>
      <c r="AD26" s="138">
        <f>O26</f>
        <v/>
      </c>
      <c r="AE26" s="123">
        <f>S26</f>
        <v/>
      </c>
      <c r="AF26" s="123">
        <f>Q26&amp;"/"&amp;R26</f>
        <v/>
      </c>
      <c r="AH26" s="20">
        <f>IF(A26="","",A26)</f>
        <v/>
      </c>
      <c r="AI26" s="134">
        <f>IF(E26="","",E26)</f>
        <v/>
      </c>
      <c r="AJ26" s="123">
        <f>IF(AI26="","",$AJ$2)</f>
        <v/>
      </c>
      <c r="AK26" s="123" t="inlineStr">
        <is>
          <t>A</t>
        </is>
      </c>
      <c r="AL26" s="123" t="inlineStr">
        <is>
          <t>A+</t>
        </is>
      </c>
      <c r="AM26" s="123" t="inlineStr">
        <is>
          <t>B+</t>
        </is>
      </c>
      <c r="AN26" s="123">
        <f>IF(AI26="","",$AN$2)</f>
        <v/>
      </c>
      <c r="AO26" s="123">
        <f>IF(N26="","",IF(N26&gt;=$AO$1/100,"O","X"))</f>
        <v/>
      </c>
      <c r="AP26" s="123">
        <f>IF(I26="","",IF(I26&lt;=$AP$1,"O","X"))</f>
        <v/>
      </c>
      <c r="AQ26" s="123">
        <f>IF(O26="","",IF(O26&lt;=$AQ$1,"O","X"))</f>
        <v/>
      </c>
      <c r="AR26" s="123">
        <f>IF(M26="","",IF(M26&lt;=$AR$1,"O","X"))</f>
        <v/>
      </c>
      <c r="AS26" s="123" t="inlineStr">
        <is>
          <t>X</t>
        </is>
      </c>
      <c r="AT26" s="123">
        <f>IF(OR(F26="",AI26=""),"",IF(AND((F26&lt;=85),(AI26&gt;=15)),"O","X"))</f>
        <v/>
      </c>
      <c r="AU26" s="123">
        <f>IF(C26="","",IF(C26&gt;=$AU$1,"O","X"))</f>
        <v/>
      </c>
      <c r="AV26" s="123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5" t="n">
        <v>566</v>
      </c>
      <c r="D27" s="133" t="n">
        <v>287</v>
      </c>
      <c r="E27" s="134" t="n">
        <v>87</v>
      </c>
      <c r="F27" s="133" t="n">
        <v>232.1</v>
      </c>
      <c r="G27" s="17" t="n">
        <v>70</v>
      </c>
      <c r="H27" s="135" t="n">
        <v>3</v>
      </c>
      <c r="I27" s="136" t="n"/>
      <c r="J27" s="136" t="n"/>
      <c r="K27" s="136" t="n"/>
      <c r="L27" s="136" t="n"/>
      <c r="M27" s="137">
        <f>I27-K27</f>
        <v/>
      </c>
      <c r="N27" s="4">
        <f>IF(ISERROR(K27/I27),"",K27/I27)</f>
        <v/>
      </c>
      <c r="O27" s="138">
        <f>I27/E27</f>
        <v/>
      </c>
      <c r="P27" s="138">
        <f>K27/E27</f>
        <v/>
      </c>
      <c r="Q27" s="123" t="n">
        <v>5</v>
      </c>
      <c r="R27" s="123" t="n">
        <v>4</v>
      </c>
      <c r="S27" s="123" t="inlineStr">
        <is>
          <t>계</t>
        </is>
      </c>
      <c r="T27" s="5" t="n">
        <v>286</v>
      </c>
      <c r="U27" s="9" t="n"/>
      <c r="W27" s="133">
        <f>D27</f>
        <v/>
      </c>
      <c r="X27" s="134">
        <f>E27</f>
        <v/>
      </c>
      <c r="Y27" s="139">
        <f>H27</f>
        <v/>
      </c>
      <c r="Z27" s="137">
        <f>I27</f>
        <v/>
      </c>
      <c r="AA27" s="137">
        <f>K27</f>
        <v/>
      </c>
      <c r="AB27" s="137">
        <f>M27</f>
        <v/>
      </c>
      <c r="AC27" s="4">
        <f>N27</f>
        <v/>
      </c>
      <c r="AD27" s="138">
        <f>O27</f>
        <v/>
      </c>
      <c r="AE27" s="123">
        <f>S27</f>
        <v/>
      </c>
      <c r="AF27" s="123">
        <f>Q27&amp;"/"&amp;R27</f>
        <v/>
      </c>
      <c r="AH27" s="20">
        <f>IF(A27="","",A27)</f>
        <v/>
      </c>
      <c r="AI27" s="134">
        <f>IF(E27="","",E27)</f>
        <v/>
      </c>
      <c r="AJ27" s="123">
        <f>IF(AI27="","",$AJ$2)</f>
        <v/>
      </c>
      <c r="AK27" s="123" t="inlineStr">
        <is>
          <t>A</t>
        </is>
      </c>
      <c r="AL27" s="123" t="inlineStr">
        <is>
          <t>A+</t>
        </is>
      </c>
      <c r="AM27" s="123" t="inlineStr">
        <is>
          <t>B+</t>
        </is>
      </c>
      <c r="AN27" s="123">
        <f>IF(AI27="","",$AN$2)</f>
        <v/>
      </c>
      <c r="AO27" s="123">
        <f>IF(N27="","",IF(N27&gt;=$AO$1/100,"O","X"))</f>
        <v/>
      </c>
      <c r="AP27" s="123">
        <f>IF(I27="","",IF(I27&lt;=$AP$1,"O","X"))</f>
        <v/>
      </c>
      <c r="AQ27" s="123">
        <f>IF(O27="","",IF(O27&lt;=$AQ$1,"O","X"))</f>
        <v/>
      </c>
      <c r="AR27" s="123">
        <f>IF(M27="","",IF(M27&lt;=$AR$1,"O","X"))</f>
        <v/>
      </c>
      <c r="AS27" s="123" t="inlineStr">
        <is>
          <t>X</t>
        </is>
      </c>
      <c r="AT27" s="123">
        <f>IF(OR(F27="",AI27=""),"",IF(AND((F27&lt;=85),(AI27&gt;=15)),"O","X"))</f>
        <v/>
      </c>
      <c r="AU27" s="123">
        <f>IF(C27="","",IF(C27&gt;=$AU$1,"O","X"))</f>
        <v/>
      </c>
      <c r="AV27" s="123">
        <f>IF(AO27="","",IF(AND(AO27="O",AP27="O",AR27="O",AT27="O",AU27="O"),"후보","X"))</f>
        <v/>
      </c>
    </row>
    <row r="28">
      <c r="A28" s="9" t="n"/>
      <c r="B28" s="123" t="n"/>
      <c r="C28" s="6" t="n"/>
      <c r="D28" s="9" t="n"/>
      <c r="E28" s="14" t="n"/>
      <c r="F28" s="133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8" t="n"/>
      <c r="P28" s="138" t="n"/>
      <c r="Q28" s="134" t="n"/>
      <c r="R28" s="134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8">
        <f>IF(E28="","",E28)</f>
        <v/>
      </c>
      <c r="AJ28" s="123" t="n"/>
      <c r="AK28" s="123" t="n"/>
      <c r="AL28" s="123" t="n"/>
      <c r="AM28" s="123" t="n"/>
      <c r="AN28" s="123" t="n"/>
      <c r="AO28" s="123" t="n"/>
      <c r="AP28" s="123" t="n"/>
      <c r="AQ28" s="123" t="n"/>
      <c r="AR28" s="123" t="n"/>
      <c r="AS28" s="123" t="n"/>
      <c r="AT28" s="123" t="n"/>
      <c r="AU28" s="123" t="n"/>
      <c r="AV28" s="123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5" t="n">
        <v>1041</v>
      </c>
      <c r="D29" s="133" t="n">
        <v>108.9</v>
      </c>
      <c r="E29" s="134" t="n">
        <v>33</v>
      </c>
      <c r="F29" s="133" t="n">
        <v>84.7</v>
      </c>
      <c r="G29" s="17" t="n">
        <v>26</v>
      </c>
      <c r="H29" s="135" t="n">
        <v>160</v>
      </c>
      <c r="I29" s="136" t="n">
        <v>30000</v>
      </c>
      <c r="J29" s="136" t="inlineStr">
        <is>
          <t>11</t>
        </is>
      </c>
      <c r="K29" s="136" t="n">
        <v>25000</v>
      </c>
      <c r="L29" s="136" t="inlineStr">
        <is>
          <t>10</t>
        </is>
      </c>
      <c r="M29" s="137">
        <f>I29-K29</f>
        <v/>
      </c>
      <c r="N29" s="4">
        <f>IF(ISERROR(K29/I29),"",K29/I29)</f>
        <v/>
      </c>
      <c r="O29" s="138">
        <f>I29/E29</f>
        <v/>
      </c>
      <c r="P29" s="138">
        <f>K29/E29</f>
        <v/>
      </c>
      <c r="Q29" s="123" t="n">
        <v>3</v>
      </c>
      <c r="R29" s="123" t="n">
        <v>2</v>
      </c>
      <c r="S29" s="123" t="inlineStr">
        <is>
          <t>계</t>
        </is>
      </c>
      <c r="T29" s="5" t="n">
        <v>108</v>
      </c>
      <c r="U29" s="9" t="n"/>
      <c r="W29" s="133">
        <f>D29</f>
        <v/>
      </c>
      <c r="X29" s="134">
        <f>E29</f>
        <v/>
      </c>
      <c r="Y29" s="139">
        <f>H29</f>
        <v/>
      </c>
      <c r="Z29" s="137">
        <f>I29</f>
        <v/>
      </c>
      <c r="AA29" s="137">
        <f>K29</f>
        <v/>
      </c>
      <c r="AB29" s="137">
        <f>M29</f>
        <v/>
      </c>
      <c r="AC29" s="4">
        <f>N29</f>
        <v/>
      </c>
      <c r="AD29" s="138">
        <f>O29</f>
        <v/>
      </c>
      <c r="AE29" s="123">
        <f>S29</f>
        <v/>
      </c>
      <c r="AF29" s="123">
        <f>Q29&amp;"/"&amp;R29</f>
        <v/>
      </c>
      <c r="AH29" s="20">
        <f>IF(A29="","",A29)</f>
        <v/>
      </c>
      <c r="AI29" s="134">
        <f>IF(E29="","",E29)</f>
        <v/>
      </c>
      <c r="AJ29" s="123">
        <f>IF(AI29="","",$AJ$2)</f>
        <v/>
      </c>
      <c r="AK29" s="123" t="inlineStr">
        <is>
          <t>A</t>
        </is>
      </c>
      <c r="AL29" s="123" t="inlineStr">
        <is>
          <t>A+</t>
        </is>
      </c>
      <c r="AM29" s="123" t="inlineStr">
        <is>
          <t>B+</t>
        </is>
      </c>
      <c r="AN29" s="123">
        <f>IF(AI29="","",$AN$2)</f>
        <v/>
      </c>
      <c r="AO29" s="123">
        <f>IF(N29="","",IF(N29&gt;=$AO$1/100,"O","X"))</f>
        <v/>
      </c>
      <c r="AP29" s="123">
        <f>IF(I29="","",IF(I29&lt;=$AP$1,"O","X"))</f>
        <v/>
      </c>
      <c r="AQ29" s="123">
        <f>IF(O29="","",IF(O29&lt;=$AQ$1,"O","X"))</f>
        <v/>
      </c>
      <c r="AR29" s="123">
        <f>IF(M29="","",IF(M29&lt;=$AR$1,"O","X"))</f>
        <v/>
      </c>
      <c r="AS29" s="123" t="inlineStr">
        <is>
          <t>X</t>
        </is>
      </c>
      <c r="AT29" s="123">
        <f>IF(OR(F29="",AI29=""),"",IF(AND((F29&lt;=85),(AI29&gt;=15)),"O","X"))</f>
        <v/>
      </c>
      <c r="AU29" s="123">
        <f>IF(C29="","",IF(C29&gt;=$AU$1,"O","X"))</f>
        <v/>
      </c>
      <c r="AV29" s="123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5" t="n">
        <v>1041</v>
      </c>
      <c r="D30" s="133" t="n">
        <v>114.2</v>
      </c>
      <c r="E30" s="134" t="n">
        <v>35</v>
      </c>
      <c r="F30" s="133" t="n">
        <v>85</v>
      </c>
      <c r="G30" s="17" t="n">
        <v>26</v>
      </c>
      <c r="H30" s="135" t="n">
        <v>466</v>
      </c>
      <c r="I30" s="136" t="n">
        <v>31500</v>
      </c>
      <c r="J30" s="136" t="inlineStr">
        <is>
          <t>5</t>
        </is>
      </c>
      <c r="K30" s="136" t="n">
        <v>26000</v>
      </c>
      <c r="L30" s="136" t="inlineStr">
        <is>
          <t>16</t>
        </is>
      </c>
      <c r="M30" s="137">
        <f>I30-K30</f>
        <v/>
      </c>
      <c r="N30" s="4">
        <f>IF(ISERROR(K30/I30),"",K30/I30)</f>
        <v/>
      </c>
      <c r="O30" s="138">
        <f>I30/E30</f>
        <v/>
      </c>
      <c r="P30" s="138">
        <f>K30/E30</f>
        <v/>
      </c>
      <c r="Q30" s="123" t="n">
        <v>3</v>
      </c>
      <c r="R30" s="123" t="n">
        <v>2</v>
      </c>
      <c r="S30" s="123" t="inlineStr">
        <is>
          <t>계</t>
        </is>
      </c>
      <c r="T30" s="5" t="inlineStr">
        <is>
          <t>114A</t>
        </is>
      </c>
      <c r="U30" s="9" t="n"/>
      <c r="W30" s="133">
        <f>D30</f>
        <v/>
      </c>
      <c r="X30" s="134">
        <f>E30</f>
        <v/>
      </c>
      <c r="Y30" s="139">
        <f>H30</f>
        <v/>
      </c>
      <c r="Z30" s="137">
        <f>I30</f>
        <v/>
      </c>
      <c r="AA30" s="137">
        <f>K30</f>
        <v/>
      </c>
      <c r="AB30" s="137">
        <f>M30</f>
        <v/>
      </c>
      <c r="AC30" s="4">
        <f>N30</f>
        <v/>
      </c>
      <c r="AD30" s="138">
        <f>O30</f>
        <v/>
      </c>
      <c r="AE30" s="123">
        <f>S30</f>
        <v/>
      </c>
      <c r="AF30" s="123">
        <f>Q30&amp;"/"&amp;R30</f>
        <v/>
      </c>
      <c r="AH30" s="20">
        <f>IF(A30="","",A30)</f>
        <v/>
      </c>
      <c r="AI30" s="134">
        <f>IF(E30="","",E30)</f>
        <v/>
      </c>
      <c r="AJ30" s="123">
        <f>IF(AI30="","",$AJ$2)</f>
        <v/>
      </c>
      <c r="AK30" s="123" t="inlineStr">
        <is>
          <t>A</t>
        </is>
      </c>
      <c r="AL30" s="123" t="inlineStr">
        <is>
          <t>A+</t>
        </is>
      </c>
      <c r="AM30" s="123" t="inlineStr">
        <is>
          <t>B+</t>
        </is>
      </c>
      <c r="AN30" s="123">
        <f>IF(AI30="","",$AN$2)</f>
        <v/>
      </c>
      <c r="AO30" s="123">
        <f>IF(N30="","",IF(N30&gt;=$AO$1/100,"O","X"))</f>
        <v/>
      </c>
      <c r="AP30" s="123">
        <f>IF(I30="","",IF(I30&lt;=$AP$1,"O","X"))</f>
        <v/>
      </c>
      <c r="AQ30" s="123">
        <f>IF(O30="","",IF(O30&lt;=$AQ$1,"O","X"))</f>
        <v/>
      </c>
      <c r="AR30" s="123">
        <f>IF(M30="","",IF(M30&lt;=$AR$1,"O","X"))</f>
        <v/>
      </c>
      <c r="AS30" s="123" t="inlineStr">
        <is>
          <t>X</t>
        </is>
      </c>
      <c r="AT30" s="123">
        <f>IF(OR(F30="",AI30=""),"",IF(AND((F30&lt;=85),(AI30&gt;=15)),"O","X"))</f>
        <v/>
      </c>
      <c r="AU30" s="123">
        <f>IF(C30="","",IF(C30&gt;=$AU$1,"O","X"))</f>
        <v/>
      </c>
      <c r="AV30" s="123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5" t="n">
        <v>1041</v>
      </c>
      <c r="D31" s="133" t="n">
        <v>114.4</v>
      </c>
      <c r="E31" s="134" t="n">
        <v>35</v>
      </c>
      <c r="F31" s="133" t="n">
        <v>84.90000000000001</v>
      </c>
      <c r="G31" s="17" t="n">
        <v>26</v>
      </c>
      <c r="H31" s="135" t="n">
        <v>120</v>
      </c>
      <c r="I31" s="136" t="n">
        <v>33000</v>
      </c>
      <c r="J31" s="136" t="inlineStr">
        <is>
          <t>20</t>
        </is>
      </c>
      <c r="K31" s="136" t="n">
        <v>26000</v>
      </c>
      <c r="L31" s="136" t="inlineStr">
        <is>
          <t>9</t>
        </is>
      </c>
      <c r="M31" s="137">
        <f>I31-K31</f>
        <v/>
      </c>
      <c r="N31" s="4">
        <f>IF(ISERROR(K31/I31),"",K31/I31)</f>
        <v/>
      </c>
      <c r="O31" s="138">
        <f>I31/E31</f>
        <v/>
      </c>
      <c r="P31" s="138">
        <f>K31/E31</f>
        <v/>
      </c>
      <c r="Q31" s="123" t="n">
        <v>3</v>
      </c>
      <c r="R31" s="123" t="n">
        <v>2</v>
      </c>
      <c r="S31" s="123" t="inlineStr">
        <is>
          <t>계</t>
        </is>
      </c>
      <c r="T31" s="5" t="inlineStr">
        <is>
          <t>114B</t>
        </is>
      </c>
      <c r="U31" s="9" t="n"/>
      <c r="W31" s="133">
        <f>D31</f>
        <v/>
      </c>
      <c r="X31" s="134">
        <f>E31</f>
        <v/>
      </c>
      <c r="Y31" s="139">
        <f>H31</f>
        <v/>
      </c>
      <c r="Z31" s="137">
        <f>I31</f>
        <v/>
      </c>
      <c r="AA31" s="137">
        <f>K31</f>
        <v/>
      </c>
      <c r="AB31" s="137">
        <f>M31</f>
        <v/>
      </c>
      <c r="AC31" s="4">
        <f>N31</f>
        <v/>
      </c>
      <c r="AD31" s="138">
        <f>O31</f>
        <v/>
      </c>
      <c r="AE31" s="123">
        <f>S31</f>
        <v/>
      </c>
      <c r="AF31" s="123">
        <f>Q31&amp;"/"&amp;R31</f>
        <v/>
      </c>
      <c r="AH31" s="20">
        <f>IF(A31="","",A31)</f>
        <v/>
      </c>
      <c r="AI31" s="134">
        <f>IF(E31="","",E31)</f>
        <v/>
      </c>
      <c r="AJ31" s="123">
        <f>IF(AI31="","",$AJ$2)</f>
        <v/>
      </c>
      <c r="AK31" s="123" t="inlineStr">
        <is>
          <t>A</t>
        </is>
      </c>
      <c r="AL31" s="123" t="inlineStr">
        <is>
          <t>A+</t>
        </is>
      </c>
      <c r="AM31" s="123" t="inlineStr">
        <is>
          <t>B+</t>
        </is>
      </c>
      <c r="AN31" s="123">
        <f>IF(AI31="","",$AN$2)</f>
        <v/>
      </c>
      <c r="AO31" s="123">
        <f>IF(N31="","",IF(N31&gt;=$AO$1/100,"O","X"))</f>
        <v/>
      </c>
      <c r="AP31" s="123">
        <f>IF(I31="","",IF(I31&lt;=$AP$1,"O","X"))</f>
        <v/>
      </c>
      <c r="AQ31" s="123">
        <f>IF(O31="","",IF(O31&lt;=$AQ$1,"O","X"))</f>
        <v/>
      </c>
      <c r="AR31" s="123">
        <f>IF(M31="","",IF(M31&lt;=$AR$1,"O","X"))</f>
        <v/>
      </c>
      <c r="AS31" s="123" t="inlineStr">
        <is>
          <t>X</t>
        </is>
      </c>
      <c r="AT31" s="123">
        <f>IF(OR(F31="",AI31=""),"",IF(AND((F31&lt;=85),(AI31&gt;=15)),"O","X"))</f>
        <v/>
      </c>
      <c r="AU31" s="123">
        <f>IF(C31="","",IF(C31&gt;=$AU$1,"O","X"))</f>
        <v/>
      </c>
      <c r="AV31" s="123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5" t="n">
        <v>1041</v>
      </c>
      <c r="D32" s="133" t="n">
        <v>119.3</v>
      </c>
      <c r="E32" s="134" t="n">
        <v>36</v>
      </c>
      <c r="F32" s="133" t="n">
        <v>84.90000000000001</v>
      </c>
      <c r="G32" s="17" t="n">
        <v>26</v>
      </c>
      <c r="H32" s="135" t="n">
        <v>295</v>
      </c>
      <c r="I32" s="136" t="n">
        <v>33500</v>
      </c>
      <c r="J32" s="136" t="inlineStr">
        <is>
          <t>15</t>
        </is>
      </c>
      <c r="K32" s="136" t="n">
        <v>26000</v>
      </c>
      <c r="L32" s="136" t="inlineStr">
        <is>
          <t>9</t>
        </is>
      </c>
      <c r="M32" s="137">
        <f>I32-K32</f>
        <v/>
      </c>
      <c r="N32" s="4">
        <f>IF(ISERROR(K32/I32),"",K32/I32)</f>
        <v/>
      </c>
      <c r="O32" s="138">
        <f>I32/E32</f>
        <v/>
      </c>
      <c r="P32" s="138">
        <f>K32/E32</f>
        <v/>
      </c>
      <c r="Q32" s="123" t="n">
        <v>3</v>
      </c>
      <c r="R32" s="123" t="n">
        <v>2</v>
      </c>
      <c r="S32" s="123" t="inlineStr">
        <is>
          <t>계</t>
        </is>
      </c>
      <c r="T32" s="5" t="n">
        <v>119</v>
      </c>
      <c r="U32" s="9" t="n"/>
      <c r="W32" s="133">
        <f>D32</f>
        <v/>
      </c>
      <c r="X32" s="134">
        <f>E32</f>
        <v/>
      </c>
      <c r="Y32" s="139">
        <f>H32</f>
        <v/>
      </c>
      <c r="Z32" s="137">
        <f>I32</f>
        <v/>
      </c>
      <c r="AA32" s="137">
        <f>K32</f>
        <v/>
      </c>
      <c r="AB32" s="137">
        <f>M32</f>
        <v/>
      </c>
      <c r="AC32" s="4">
        <f>N32</f>
        <v/>
      </c>
      <c r="AD32" s="138">
        <f>O32</f>
        <v/>
      </c>
      <c r="AE32" s="123">
        <f>S32</f>
        <v/>
      </c>
      <c r="AF32" s="123">
        <f>Q32&amp;"/"&amp;R32</f>
        <v/>
      </c>
      <c r="AH32" s="20">
        <f>IF(A32="","",A32)</f>
        <v/>
      </c>
      <c r="AI32" s="134">
        <f>IF(E32="","",E32)</f>
        <v/>
      </c>
      <c r="AJ32" s="123">
        <f>IF(AI32="","",$AJ$2)</f>
        <v/>
      </c>
      <c r="AK32" s="123" t="inlineStr">
        <is>
          <t>A</t>
        </is>
      </c>
      <c r="AL32" s="123" t="inlineStr">
        <is>
          <t>A+</t>
        </is>
      </c>
      <c r="AM32" s="123" t="inlineStr">
        <is>
          <t>B+</t>
        </is>
      </c>
      <c r="AN32" s="123">
        <f>IF(AI32="","",$AN$2)</f>
        <v/>
      </c>
      <c r="AO32" s="123">
        <f>IF(N32="","",IF(N32&gt;=$AO$1/100,"O","X"))</f>
        <v/>
      </c>
      <c r="AP32" s="123">
        <f>IF(I32="","",IF(I32&lt;=$AP$1,"O","X"))</f>
        <v/>
      </c>
      <c r="AQ32" s="123">
        <f>IF(O32="","",IF(O32&lt;=$AQ$1,"O","X"))</f>
        <v/>
      </c>
      <c r="AR32" s="123">
        <f>IF(M32="","",IF(M32&lt;=$AR$1,"O","X"))</f>
        <v/>
      </c>
      <c r="AS32" s="123" t="inlineStr">
        <is>
          <t>X</t>
        </is>
      </c>
      <c r="AT32" s="123">
        <f>IF(OR(F32="",AI32=""),"",IF(AND((F32&lt;=85),(AI32&gt;=15)),"O","X"))</f>
        <v/>
      </c>
      <c r="AU32" s="123">
        <f>IF(C32="","",IF(C32&gt;=$AU$1,"O","X"))</f>
        <v/>
      </c>
      <c r="AV32" s="123">
        <f>IF(AO32="","",IF(AND(AO32="O",AP32="O",AR32="O",AT32="O",AU32="O"),"후보","X"))</f>
        <v/>
      </c>
    </row>
    <row r="33">
      <c r="A33" s="9" t="n"/>
      <c r="B33" s="123" t="n"/>
      <c r="C33" s="6" t="n"/>
      <c r="D33" s="9" t="n"/>
      <c r="E33" s="14" t="n"/>
      <c r="F33" s="133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8" t="n"/>
      <c r="P33" s="138" t="n"/>
      <c r="Q33" s="134" t="n"/>
      <c r="R33" s="134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8">
        <f>IF(E33="","",E33)</f>
        <v/>
      </c>
      <c r="AJ33" s="123" t="n"/>
      <c r="AK33" s="123" t="n"/>
      <c r="AL33" s="123" t="n"/>
      <c r="AM33" s="123" t="n"/>
      <c r="AN33" s="123" t="n"/>
      <c r="AO33" s="123" t="n"/>
      <c r="AP33" s="123" t="n"/>
      <c r="AQ33" s="123" t="n"/>
      <c r="AR33" s="123" t="n"/>
      <c r="AS33" s="123" t="n"/>
      <c r="AT33" s="123" t="n"/>
      <c r="AU33" s="123" t="n"/>
      <c r="AV33" s="123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5" t="n">
        <v>570</v>
      </c>
      <c r="D34" s="133" t="n">
        <v>71.8</v>
      </c>
      <c r="E34" s="134" t="n">
        <v>22</v>
      </c>
      <c r="F34" s="133" t="n">
        <v>49.9</v>
      </c>
      <c r="G34" s="17" t="n">
        <v>15</v>
      </c>
      <c r="H34" s="135" t="n">
        <v>104</v>
      </c>
      <c r="I34" s="136" t="n">
        <v>17900</v>
      </c>
      <c r="J34" s="136" t="inlineStr">
        <is>
          <t>6</t>
        </is>
      </c>
      <c r="K34" s="136" t="n">
        <v>16000</v>
      </c>
      <c r="L34" s="136" t="inlineStr">
        <is>
          <t>7</t>
        </is>
      </c>
      <c r="M34" s="137">
        <f>I34-K34</f>
        <v/>
      </c>
      <c r="N34" s="4">
        <f>IF(ISERROR(K34/I34),"",K34/I34)</f>
        <v/>
      </c>
      <c r="O34" s="138">
        <f>I34/E34</f>
        <v/>
      </c>
      <c r="P34" s="138">
        <f>K34/E34</f>
        <v/>
      </c>
      <c r="Q34" s="123" t="n">
        <v>2</v>
      </c>
      <c r="R34" s="123" t="n">
        <v>1</v>
      </c>
      <c r="S34" s="123" t="inlineStr">
        <is>
          <t>계</t>
        </is>
      </c>
      <c r="T34" s="5" t="n">
        <v>71</v>
      </c>
      <c r="U34" s="9" t="n"/>
      <c r="W34" s="133">
        <f>D34</f>
        <v/>
      </c>
      <c r="X34" s="134">
        <f>E34</f>
        <v/>
      </c>
      <c r="Y34" s="139">
        <f>H34</f>
        <v/>
      </c>
      <c r="Z34" s="137">
        <f>I34</f>
        <v/>
      </c>
      <c r="AA34" s="137">
        <f>K34</f>
        <v/>
      </c>
      <c r="AB34" s="137">
        <f>M34</f>
        <v/>
      </c>
      <c r="AC34" s="4">
        <f>N34</f>
        <v/>
      </c>
      <c r="AD34" s="138">
        <f>O34</f>
        <v/>
      </c>
      <c r="AE34" s="123">
        <f>S34</f>
        <v/>
      </c>
      <c r="AF34" s="123">
        <f>Q34&amp;"/"&amp;R34</f>
        <v/>
      </c>
      <c r="AH34" s="20">
        <f>IF(A34="","",A34)</f>
        <v/>
      </c>
      <c r="AI34" s="134">
        <f>IF(E34="","",E34)</f>
        <v/>
      </c>
      <c r="AJ34" s="123">
        <f>IF(AI34="","",$AJ$2)</f>
        <v/>
      </c>
      <c r="AK34" s="123" t="inlineStr">
        <is>
          <t>A</t>
        </is>
      </c>
      <c r="AL34" s="123" t="inlineStr">
        <is>
          <t>A+</t>
        </is>
      </c>
      <c r="AM34" s="123" t="inlineStr">
        <is>
          <t>B+</t>
        </is>
      </c>
      <c r="AN34" s="123">
        <f>IF(AI34="","",$AN$2)</f>
        <v/>
      </c>
      <c r="AO34" s="123">
        <f>IF(N34="","",IF(N34&gt;=$AO$1/100,"O","X"))</f>
        <v/>
      </c>
      <c r="AP34" s="123">
        <f>IF(I34="","",IF(I34&lt;=$AP$1,"O","X"))</f>
        <v/>
      </c>
      <c r="AQ34" s="123">
        <f>IF(O34="","",IF(O34&lt;=$AQ$1,"O","X"))</f>
        <v/>
      </c>
      <c r="AR34" s="123">
        <f>IF(M34="","",IF(M34&lt;=$AR$1,"O","X"))</f>
        <v/>
      </c>
      <c r="AS34" s="123" t="inlineStr">
        <is>
          <t>X</t>
        </is>
      </c>
      <c r="AT34" s="123">
        <f>IF(OR(F34="",AI34=""),"",IF(AND((F34&lt;=85),(AI34&gt;=15)),"O","X"))</f>
        <v/>
      </c>
      <c r="AU34" s="123">
        <f>IF(C34="","",IF(C34&gt;=$AU$1,"O","X"))</f>
        <v/>
      </c>
      <c r="AV34" s="123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5" t="n">
        <v>570</v>
      </c>
      <c r="D35" s="133" t="n">
        <v>83</v>
      </c>
      <c r="E35" s="134" t="n">
        <v>25</v>
      </c>
      <c r="F35" s="133" t="n">
        <v>60</v>
      </c>
      <c r="G35" s="17" t="n">
        <v>18</v>
      </c>
      <c r="H35" s="135" t="n">
        <v>235</v>
      </c>
      <c r="I35" s="136" t="n">
        <v>21500</v>
      </c>
      <c r="J35" s="136" t="inlineStr">
        <is>
          <t>5</t>
        </is>
      </c>
      <c r="K35" s="136" t="n">
        <v>18500</v>
      </c>
      <c r="L35" s="136" t="inlineStr">
        <is>
          <t>15</t>
        </is>
      </c>
      <c r="M35" s="137">
        <f>I35-K35</f>
        <v/>
      </c>
      <c r="N35" s="4">
        <f>IF(ISERROR(K35/I35),"",K35/I35)</f>
        <v/>
      </c>
      <c r="O35" s="138">
        <f>I35/E35</f>
        <v/>
      </c>
      <c r="P35" s="138">
        <f>K35/E35</f>
        <v/>
      </c>
      <c r="Q35" s="123" t="n">
        <v>3</v>
      </c>
      <c r="R35" s="123" t="n">
        <v>2</v>
      </c>
      <c r="S35" s="123" t="inlineStr">
        <is>
          <t>계</t>
        </is>
      </c>
      <c r="T35" s="5" t="inlineStr">
        <is>
          <t>82B</t>
        </is>
      </c>
      <c r="U35" s="9" t="n"/>
      <c r="W35" s="133">
        <f>D35</f>
        <v/>
      </c>
      <c r="X35" s="134">
        <f>E35</f>
        <v/>
      </c>
      <c r="Y35" s="139">
        <f>H35</f>
        <v/>
      </c>
      <c r="Z35" s="137">
        <f>I35</f>
        <v/>
      </c>
      <c r="AA35" s="137">
        <f>K35</f>
        <v/>
      </c>
      <c r="AB35" s="137">
        <f>M35</f>
        <v/>
      </c>
      <c r="AC35" s="4">
        <f>N35</f>
        <v/>
      </c>
      <c r="AD35" s="138">
        <f>O35</f>
        <v/>
      </c>
      <c r="AE35" s="123">
        <f>S35</f>
        <v/>
      </c>
      <c r="AF35" s="123">
        <f>Q35&amp;"/"&amp;R35</f>
        <v/>
      </c>
      <c r="AH35" s="20">
        <f>IF(A35="","",A35)</f>
        <v/>
      </c>
      <c r="AI35" s="134">
        <f>IF(E35="","",E35)</f>
        <v/>
      </c>
      <c r="AJ35" s="123">
        <f>IF(AI35="","",$AJ$2)</f>
        <v/>
      </c>
      <c r="AK35" s="123" t="inlineStr">
        <is>
          <t>A</t>
        </is>
      </c>
      <c r="AL35" s="123" t="inlineStr">
        <is>
          <t>A+</t>
        </is>
      </c>
      <c r="AM35" s="123" t="inlineStr">
        <is>
          <t>B+</t>
        </is>
      </c>
      <c r="AN35" s="123">
        <f>IF(AI35="","",$AN$2)</f>
        <v/>
      </c>
      <c r="AO35" s="123">
        <f>IF(N35="","",IF(N35&gt;=$AO$1/100,"O","X"))</f>
        <v/>
      </c>
      <c r="AP35" s="123">
        <f>IF(I35="","",IF(I35&lt;=$AP$1,"O","X"))</f>
        <v/>
      </c>
      <c r="AQ35" s="123">
        <f>IF(O35="","",IF(O35&lt;=$AQ$1,"O","X"))</f>
        <v/>
      </c>
      <c r="AR35" s="123">
        <f>IF(M35="","",IF(M35&lt;=$AR$1,"O","X"))</f>
        <v/>
      </c>
      <c r="AS35" s="123" t="inlineStr">
        <is>
          <t>X</t>
        </is>
      </c>
      <c r="AT35" s="123">
        <f>IF(OR(F35="",AI35=""),"",IF(AND((F35&lt;=85),(AI35&gt;=15)),"O","X"))</f>
        <v/>
      </c>
      <c r="AU35" s="123">
        <f>IF(C35="","",IF(C35&gt;=$AU$1,"O","X"))</f>
        <v/>
      </c>
      <c r="AV35" s="123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5" t="n">
        <v>570</v>
      </c>
      <c r="D36" s="133" t="n">
        <v>82.59999999999999</v>
      </c>
      <c r="E36" s="134" t="n">
        <v>25</v>
      </c>
      <c r="F36" s="133" t="n">
        <v>59.7</v>
      </c>
      <c r="G36" s="17" t="n">
        <v>18</v>
      </c>
      <c r="H36" s="135" t="n">
        <v>231</v>
      </c>
      <c r="I36" s="136" t="n"/>
      <c r="J36" s="136" t="n"/>
      <c r="K36" s="136" t="n"/>
      <c r="L36" s="136" t="n"/>
      <c r="M36" s="137">
        <f>I36-K36</f>
        <v/>
      </c>
      <c r="N36" s="4">
        <f>IF(ISERROR(K36/I36),"",K36/I36)</f>
        <v/>
      </c>
      <c r="O36" s="138">
        <f>I36/E36</f>
        <v/>
      </c>
      <c r="P36" s="138">
        <f>K36/E36</f>
        <v/>
      </c>
      <c r="Q36" s="123" t="n">
        <v>3</v>
      </c>
      <c r="R36" s="123" t="n">
        <v>2</v>
      </c>
      <c r="S36" s="123" t="inlineStr">
        <is>
          <t>계</t>
        </is>
      </c>
      <c r="T36" s="5" t="inlineStr">
        <is>
          <t>82A</t>
        </is>
      </c>
      <c r="U36" s="9" t="n"/>
      <c r="W36" s="133">
        <f>D36</f>
        <v/>
      </c>
      <c r="X36" s="134">
        <f>E36</f>
        <v/>
      </c>
      <c r="Y36" s="139">
        <f>H36</f>
        <v/>
      </c>
      <c r="Z36" s="137">
        <f>I36</f>
        <v/>
      </c>
      <c r="AA36" s="137">
        <f>K36</f>
        <v/>
      </c>
      <c r="AB36" s="137">
        <f>M36</f>
        <v/>
      </c>
      <c r="AC36" s="4">
        <f>N36</f>
        <v/>
      </c>
      <c r="AD36" s="138">
        <f>O36</f>
        <v/>
      </c>
      <c r="AE36" s="123">
        <f>S36</f>
        <v/>
      </c>
      <c r="AF36" s="123">
        <f>Q36&amp;"/"&amp;R36</f>
        <v/>
      </c>
      <c r="AH36" s="20">
        <f>IF(A36="","",A36)</f>
        <v/>
      </c>
      <c r="AI36" s="134">
        <f>IF(E36="","",E36)</f>
        <v/>
      </c>
      <c r="AJ36" s="123">
        <f>IF(AI36="","",$AJ$2)</f>
        <v/>
      </c>
      <c r="AK36" s="123" t="inlineStr">
        <is>
          <t>A</t>
        </is>
      </c>
      <c r="AL36" s="123" t="inlineStr">
        <is>
          <t>A+</t>
        </is>
      </c>
      <c r="AM36" s="123" t="inlineStr">
        <is>
          <t>B+</t>
        </is>
      </c>
      <c r="AN36" s="123">
        <f>IF(AI36="","",$AN$2)</f>
        <v/>
      </c>
      <c r="AO36" s="123">
        <f>IF(N36="","",IF(N36&gt;=$AO$1/100,"O","X"))</f>
        <v/>
      </c>
      <c r="AP36" s="123">
        <f>IF(I36="","",IF(I36&lt;=$AP$1,"O","X"))</f>
        <v/>
      </c>
      <c r="AQ36" s="123">
        <f>IF(O36="","",IF(O36&lt;=$AQ$1,"O","X"))</f>
        <v/>
      </c>
      <c r="AR36" s="123">
        <f>IF(M36="","",IF(M36&lt;=$AR$1,"O","X"))</f>
        <v/>
      </c>
      <c r="AS36" s="123" t="inlineStr">
        <is>
          <t>X</t>
        </is>
      </c>
      <c r="AT36" s="123">
        <f>IF(OR(F36="",AI36=""),"",IF(AND((F36&lt;=85),(AI36&gt;=15)),"O","X"))</f>
        <v/>
      </c>
      <c r="AU36" s="123">
        <f>IF(C36="","",IF(C36&gt;=$AU$1,"O","X"))</f>
        <v/>
      </c>
      <c r="AV36" s="123">
        <f>IF(AO36="","",IF(AND(AO36="O",AP36="O",AR36="O",AT36="O",AU36="O"),"후보","X"))</f>
        <v/>
      </c>
    </row>
    <row r="37">
      <c r="A37" s="9" t="n"/>
      <c r="B37" s="123" t="n"/>
      <c r="C37" s="6" t="n"/>
      <c r="D37" s="9" t="n"/>
      <c r="E37" s="14" t="n"/>
      <c r="F37" s="133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8" t="n"/>
      <c r="P37" s="138" t="n"/>
      <c r="Q37" s="134" t="n"/>
      <c r="R37" s="134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8">
        <f>IF(E37="","",E37)</f>
        <v/>
      </c>
      <c r="AJ37" s="123" t="n"/>
      <c r="AK37" s="123" t="n"/>
      <c r="AL37" s="123" t="n"/>
      <c r="AM37" s="123" t="n"/>
      <c r="AN37" s="123" t="n"/>
      <c r="AO37" s="123" t="n"/>
      <c r="AP37" s="123" t="n"/>
      <c r="AQ37" s="123" t="n"/>
      <c r="AR37" s="123" t="n"/>
      <c r="AS37" s="123" t="n"/>
      <c r="AT37" s="123" t="n"/>
      <c r="AU37" s="123" t="n"/>
      <c r="AV37" s="123" t="n"/>
    </row>
    <row r="38">
      <c r="A38" s="9" t="inlineStr">
        <is>
          <t>현대</t>
        </is>
      </c>
      <c r="B38" s="10" t="inlineStr">
        <is>
          <t>'97.06.</t>
        </is>
      </c>
      <c r="C38" s="135" t="n">
        <v>657</v>
      </c>
      <c r="D38" s="133" t="n">
        <v>78.3</v>
      </c>
      <c r="E38" s="134" t="n">
        <v>24</v>
      </c>
      <c r="F38" s="133" t="n">
        <v>60</v>
      </c>
      <c r="G38" s="17" t="n">
        <v>18</v>
      </c>
      <c r="H38" s="135" t="n">
        <v>272</v>
      </c>
      <c r="I38" s="136" t="n"/>
      <c r="J38" s="136" t="n"/>
      <c r="K38" s="136" t="n"/>
      <c r="L38" s="136" t="n"/>
      <c r="M38" s="137">
        <f>I38-K38</f>
        <v/>
      </c>
      <c r="N38" s="4">
        <f>IF(ISERROR(K38/I38),"",K38/I38)</f>
        <v/>
      </c>
      <c r="O38" s="138">
        <f>I38/E38</f>
        <v/>
      </c>
      <c r="P38" s="138">
        <f>K38/E38</f>
        <v/>
      </c>
      <c r="Q38" s="123" t="n">
        <v>3</v>
      </c>
      <c r="R38" s="123" t="n">
        <v>1</v>
      </c>
      <c r="S38" s="123" t="inlineStr">
        <is>
          <t>계</t>
        </is>
      </c>
      <c r="T38" s="5" t="n">
        <v>78</v>
      </c>
      <c r="U38" s="9" t="n"/>
      <c r="W38" s="133">
        <f>D38</f>
        <v/>
      </c>
      <c r="X38" s="134">
        <f>E38</f>
        <v/>
      </c>
      <c r="Y38" s="139">
        <f>H38</f>
        <v/>
      </c>
      <c r="Z38" s="137">
        <f>I38</f>
        <v/>
      </c>
      <c r="AA38" s="137">
        <f>K38</f>
        <v/>
      </c>
      <c r="AB38" s="137">
        <f>M38</f>
        <v/>
      </c>
      <c r="AC38" s="4">
        <f>N38</f>
        <v/>
      </c>
      <c r="AD38" s="138">
        <f>O38</f>
        <v/>
      </c>
      <c r="AE38" s="123">
        <f>S38</f>
        <v/>
      </c>
      <c r="AF38" s="123">
        <f>Q38&amp;"/"&amp;R38</f>
        <v/>
      </c>
      <c r="AH38" s="20">
        <f>IF(A38="","",A38)</f>
        <v/>
      </c>
      <c r="AI38" s="134">
        <f>IF(E38="","",E38)</f>
        <v/>
      </c>
      <c r="AJ38" s="123">
        <f>IF(AI38="","",$AJ$2)</f>
        <v/>
      </c>
      <c r="AK38" s="123" t="inlineStr">
        <is>
          <t>A</t>
        </is>
      </c>
      <c r="AL38" s="123" t="inlineStr">
        <is>
          <t>A+</t>
        </is>
      </c>
      <c r="AM38" s="123" t="inlineStr">
        <is>
          <t>B+</t>
        </is>
      </c>
      <c r="AN38" s="123">
        <f>IF(AI38="","",$AN$2)</f>
        <v/>
      </c>
      <c r="AO38" s="123">
        <f>IF(N38="","",IF(N38&gt;=$AO$1/100,"O","X"))</f>
        <v/>
      </c>
      <c r="AP38" s="123">
        <f>IF(I38="","",IF(I38&lt;=$AP$1,"O","X"))</f>
        <v/>
      </c>
      <c r="AQ38" s="123">
        <f>IF(O38="","",IF(O38&lt;=$AQ$1,"O","X"))</f>
        <v/>
      </c>
      <c r="AR38" s="123">
        <f>IF(M38="","",IF(M38&lt;=$AR$1,"O","X"))</f>
        <v/>
      </c>
      <c r="AS38" s="123" t="inlineStr">
        <is>
          <t>X</t>
        </is>
      </c>
      <c r="AT38" s="123">
        <f>IF(OR(F38="",AI38=""),"",IF(AND((F38&lt;=85),(AI38&gt;=15)),"O","X"))</f>
        <v/>
      </c>
      <c r="AU38" s="123">
        <f>IF(C38="","",IF(C38&gt;=$AU$1,"O","X"))</f>
        <v/>
      </c>
      <c r="AV38" s="123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5" t="n">
        <v>657</v>
      </c>
      <c r="D39" s="133" t="n">
        <v>96.40000000000001</v>
      </c>
      <c r="E39" s="134" t="n">
        <v>29</v>
      </c>
      <c r="F39" s="133" t="n">
        <v>75.2</v>
      </c>
      <c r="G39" s="17" t="n">
        <v>23</v>
      </c>
      <c r="H39" s="135" t="n">
        <v>136</v>
      </c>
      <c r="I39" s="136" t="n">
        <v>17500</v>
      </c>
      <c r="J39" s="136" t="inlineStr">
        <is>
          <t>14</t>
        </is>
      </c>
      <c r="K39" s="136" t="n"/>
      <c r="L39" s="136" t="n"/>
      <c r="M39" s="137">
        <f>I39-K39</f>
        <v/>
      </c>
      <c r="N39" s="4">
        <f>IF(ISERROR(K39/I39),"",K39/I39)</f>
        <v/>
      </c>
      <c r="O39" s="138">
        <f>I39/E39</f>
        <v/>
      </c>
      <c r="P39" s="138">
        <f>K39/E39</f>
        <v/>
      </c>
      <c r="Q39" s="123" t="n">
        <v>3</v>
      </c>
      <c r="R39" s="123" t="n">
        <v>1</v>
      </c>
      <c r="S39" s="123" t="inlineStr">
        <is>
          <t>계</t>
        </is>
      </c>
      <c r="T39" s="5" t="n">
        <v>96</v>
      </c>
      <c r="U39" s="9" t="n"/>
      <c r="W39" s="133">
        <f>D39</f>
        <v/>
      </c>
      <c r="X39" s="134">
        <f>E39</f>
        <v/>
      </c>
      <c r="Y39" s="139">
        <f>H39</f>
        <v/>
      </c>
      <c r="Z39" s="137">
        <f>I39</f>
        <v/>
      </c>
      <c r="AA39" s="137">
        <f>K39</f>
        <v/>
      </c>
      <c r="AB39" s="137">
        <f>M39</f>
        <v/>
      </c>
      <c r="AC39" s="4">
        <f>N39</f>
        <v/>
      </c>
      <c r="AD39" s="138">
        <f>O39</f>
        <v/>
      </c>
      <c r="AE39" s="123">
        <f>S39</f>
        <v/>
      </c>
      <c r="AF39" s="123">
        <f>Q39&amp;"/"&amp;R39</f>
        <v/>
      </c>
      <c r="AH39" s="20">
        <f>IF(A39="","",A39)</f>
        <v/>
      </c>
      <c r="AI39" s="134">
        <f>IF(E39="","",E39)</f>
        <v/>
      </c>
      <c r="AJ39" s="123">
        <f>IF(AI39="","",$AJ$2)</f>
        <v/>
      </c>
      <c r="AK39" s="123" t="inlineStr">
        <is>
          <t>A</t>
        </is>
      </c>
      <c r="AL39" s="123" t="inlineStr">
        <is>
          <t>A+</t>
        </is>
      </c>
      <c r="AM39" s="123" t="inlineStr">
        <is>
          <t>B+</t>
        </is>
      </c>
      <c r="AN39" s="123">
        <f>IF(AI39="","",$AN$2)</f>
        <v/>
      </c>
      <c r="AO39" s="123">
        <f>IF(N39="","",IF(N39&gt;=$AO$1/100,"O","X"))</f>
        <v/>
      </c>
      <c r="AP39" s="123">
        <f>IF(I39="","",IF(I39&lt;=$AP$1,"O","X"))</f>
        <v/>
      </c>
      <c r="AQ39" s="123">
        <f>IF(O39="","",IF(O39&lt;=$AQ$1,"O","X"))</f>
        <v/>
      </c>
      <c r="AR39" s="123">
        <f>IF(M39="","",IF(M39&lt;=$AR$1,"O","X"))</f>
        <v/>
      </c>
      <c r="AS39" s="123" t="inlineStr">
        <is>
          <t>X</t>
        </is>
      </c>
      <c r="AT39" s="123">
        <f>IF(OR(F39="",AI39=""),"",IF(AND((F39&lt;=85),(AI39&gt;=15)),"O","X"))</f>
        <v/>
      </c>
      <c r="AU39" s="123">
        <f>IF(C39="","",IF(C39&gt;=$AU$1,"O","X"))</f>
        <v/>
      </c>
      <c r="AV39" s="123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5" t="n">
        <v>657</v>
      </c>
      <c r="D40" s="133" t="n">
        <v>105.2</v>
      </c>
      <c r="E40" s="134" t="n">
        <v>32</v>
      </c>
      <c r="F40" s="133" t="n">
        <v>85</v>
      </c>
      <c r="G40" s="17" t="n">
        <v>26</v>
      </c>
      <c r="H40" s="135" t="n">
        <v>249</v>
      </c>
      <c r="I40" s="136" t="n">
        <v>20000</v>
      </c>
      <c r="J40" s="136" t="inlineStr">
        <is>
          <t>19</t>
        </is>
      </c>
      <c r="K40" s="136" t="n">
        <v>18000</v>
      </c>
      <c r="L40" s="136" t="inlineStr">
        <is>
          <t>12</t>
        </is>
      </c>
      <c r="M40" s="137">
        <f>I40-K40</f>
        <v/>
      </c>
      <c r="N40" s="4">
        <f>IF(ISERROR(K40/I40),"",K40/I40)</f>
        <v/>
      </c>
      <c r="O40" s="138">
        <f>I40/E40</f>
        <v/>
      </c>
      <c r="P40" s="138">
        <f>K40/E40</f>
        <v/>
      </c>
      <c r="Q40" s="123" t="n">
        <v>3</v>
      </c>
      <c r="R40" s="123" t="n">
        <v>2</v>
      </c>
      <c r="S40" s="123" t="inlineStr">
        <is>
          <t>계</t>
        </is>
      </c>
      <c r="T40" s="5" t="n">
        <v>105</v>
      </c>
      <c r="U40" s="9" t="n"/>
      <c r="W40" s="133">
        <f>D40</f>
        <v/>
      </c>
      <c r="X40" s="134">
        <f>E40</f>
        <v/>
      </c>
      <c r="Y40" s="139">
        <f>H40</f>
        <v/>
      </c>
      <c r="Z40" s="137">
        <f>I40</f>
        <v/>
      </c>
      <c r="AA40" s="137">
        <f>K40</f>
        <v/>
      </c>
      <c r="AB40" s="137">
        <f>M40</f>
        <v/>
      </c>
      <c r="AC40" s="4">
        <f>N40</f>
        <v/>
      </c>
      <c r="AD40" s="138">
        <f>O40</f>
        <v/>
      </c>
      <c r="AE40" s="123">
        <f>S40</f>
        <v/>
      </c>
      <c r="AF40" s="123">
        <f>Q40&amp;"/"&amp;R40</f>
        <v/>
      </c>
      <c r="AH40" s="20">
        <f>IF(A40="","",A40)</f>
        <v/>
      </c>
      <c r="AI40" s="134">
        <f>IF(E40="","",E40)</f>
        <v/>
      </c>
      <c r="AJ40" s="123">
        <f>IF(AI40="","",$AJ$2)</f>
        <v/>
      </c>
      <c r="AK40" s="123" t="inlineStr">
        <is>
          <t>A</t>
        </is>
      </c>
      <c r="AL40" s="123" t="inlineStr">
        <is>
          <t>A+</t>
        </is>
      </c>
      <c r="AM40" s="123" t="inlineStr">
        <is>
          <t>B+</t>
        </is>
      </c>
      <c r="AN40" s="123">
        <f>IF(AI40="","",$AN$2)</f>
        <v/>
      </c>
      <c r="AO40" s="123">
        <f>IF(N40="","",IF(N40&gt;=$AO$1/100,"O","X"))</f>
        <v/>
      </c>
      <c r="AP40" s="123">
        <f>IF(I40="","",IF(I40&lt;=$AP$1,"O","X"))</f>
        <v/>
      </c>
      <c r="AQ40" s="123">
        <f>IF(O40="","",IF(O40&lt;=$AQ$1,"O","X"))</f>
        <v/>
      </c>
      <c r="AR40" s="123">
        <f>IF(M40="","",IF(M40&lt;=$AR$1,"O","X"))</f>
        <v/>
      </c>
      <c r="AS40" s="123" t="inlineStr">
        <is>
          <t>X</t>
        </is>
      </c>
      <c r="AT40" s="123">
        <f>IF(OR(F40="",AI40=""),"",IF(AND((F40&lt;=85),(AI40&gt;=15)),"O","X"))</f>
        <v/>
      </c>
      <c r="AU40" s="123">
        <f>IF(C40="","",IF(C40&gt;=$AU$1,"O","X"))</f>
        <v/>
      </c>
      <c r="AV40" s="123">
        <f>IF(AO40="","",IF(AND(AO40="O",AP40="O",AR40="O",AT40="O",AU40="O"),"후보","X"))</f>
        <v/>
      </c>
    </row>
    <row r="41">
      <c r="A41" s="9" t="n"/>
      <c r="B41" s="123" t="n"/>
      <c r="C41" s="6" t="n"/>
      <c r="D41" s="9" t="n"/>
      <c r="E41" s="14" t="n"/>
      <c r="F41" s="133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8" t="n"/>
      <c r="P41" s="138" t="n"/>
      <c r="Q41" s="134" t="n"/>
      <c r="R41" s="134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8">
        <f>IF(E41="","",E41)</f>
        <v/>
      </c>
      <c r="AJ41" s="123" t="n"/>
      <c r="AK41" s="123" t="n"/>
      <c r="AL41" s="123" t="n"/>
      <c r="AM41" s="123" t="n"/>
      <c r="AN41" s="123" t="n"/>
      <c r="AO41" s="123" t="n"/>
      <c r="AP41" s="123" t="n"/>
      <c r="AQ41" s="123" t="n"/>
      <c r="AR41" s="123" t="n"/>
      <c r="AS41" s="123" t="n"/>
      <c r="AT41" s="123" t="n"/>
      <c r="AU41" s="123" t="n"/>
      <c r="AV41" s="123" t="n"/>
    </row>
    <row r="42">
      <c r="A42" s="9" t="inlineStr">
        <is>
          <t>수송제일</t>
        </is>
      </c>
      <c r="B42" s="10" t="inlineStr">
        <is>
          <t>'02.03.</t>
        </is>
      </c>
      <c r="C42" s="135" t="n">
        <v>941</v>
      </c>
      <c r="D42" s="133" t="n">
        <v>111.5</v>
      </c>
      <c r="E42" s="134" t="n">
        <v>34</v>
      </c>
      <c r="F42" s="133" t="n">
        <v>84.7</v>
      </c>
      <c r="G42" s="17" t="n">
        <v>26</v>
      </c>
      <c r="H42" s="135" t="n">
        <v>729</v>
      </c>
      <c r="I42" s="136" t="n">
        <v>19000</v>
      </c>
      <c r="J42" s="136" t="inlineStr">
        <is>
          <t>17</t>
        </is>
      </c>
      <c r="K42" s="136" t="n">
        <v>16000</v>
      </c>
      <c r="L42" s="136" t="inlineStr">
        <is>
          <t>20</t>
        </is>
      </c>
      <c r="M42" s="137">
        <f>I42-K42</f>
        <v/>
      </c>
      <c r="N42" s="4">
        <f>IF(ISERROR(K42/I42),"",K42/I42)</f>
        <v/>
      </c>
      <c r="O42" s="138">
        <f>I42/E42</f>
        <v/>
      </c>
      <c r="P42" s="138">
        <f>K42/E42</f>
        <v/>
      </c>
      <c r="Q42" s="123" t="n">
        <v>3</v>
      </c>
      <c r="R42" s="123" t="n">
        <v>2</v>
      </c>
      <c r="S42" s="123" t="inlineStr">
        <is>
          <t>계</t>
        </is>
      </c>
      <c r="T42" s="5" t="inlineStr">
        <is>
          <t>111A</t>
        </is>
      </c>
      <c r="U42" s="9" t="n"/>
      <c r="W42" s="133">
        <f>D42</f>
        <v/>
      </c>
      <c r="X42" s="134">
        <f>E42</f>
        <v/>
      </c>
      <c r="Y42" s="139">
        <f>H42</f>
        <v/>
      </c>
      <c r="Z42" s="137">
        <f>I42</f>
        <v/>
      </c>
      <c r="AA42" s="137">
        <f>K42</f>
        <v/>
      </c>
      <c r="AB42" s="137">
        <f>M42</f>
        <v/>
      </c>
      <c r="AC42" s="4">
        <f>N42</f>
        <v/>
      </c>
      <c r="AD42" s="138">
        <f>O42</f>
        <v/>
      </c>
      <c r="AE42" s="123">
        <f>S42</f>
        <v/>
      </c>
      <c r="AF42" s="123">
        <f>Q42&amp;"/"&amp;R42</f>
        <v/>
      </c>
      <c r="AH42" s="20">
        <f>IF(A42="","",A42)</f>
        <v/>
      </c>
      <c r="AI42" s="134">
        <f>IF(E42="","",E42)</f>
        <v/>
      </c>
      <c r="AJ42" s="123">
        <f>IF(AI42="","",$AJ$2)</f>
        <v/>
      </c>
      <c r="AK42" s="123" t="inlineStr">
        <is>
          <t>A</t>
        </is>
      </c>
      <c r="AL42" s="123" t="inlineStr">
        <is>
          <t>A+</t>
        </is>
      </c>
      <c r="AM42" s="123" t="inlineStr">
        <is>
          <t>B+</t>
        </is>
      </c>
      <c r="AN42" s="123">
        <f>IF(AI42="","",$AN$2)</f>
        <v/>
      </c>
      <c r="AO42" s="123">
        <f>IF(N42="","",IF(N42&gt;=$AO$1/100,"O","X"))</f>
        <v/>
      </c>
      <c r="AP42" s="123">
        <f>IF(I42="","",IF(I42&lt;=$AP$1,"O","X"))</f>
        <v/>
      </c>
      <c r="AQ42" s="123">
        <f>IF(O42="","",IF(O42&lt;=$AQ$1,"O","X"))</f>
        <v/>
      </c>
      <c r="AR42" s="123">
        <f>IF(M42="","",IF(M42&lt;=$AR$1,"O","X"))</f>
        <v/>
      </c>
      <c r="AS42" s="123" t="inlineStr">
        <is>
          <t>X</t>
        </is>
      </c>
      <c r="AT42" s="123">
        <f>IF(OR(F42="",AI42=""),"",IF(AND((F42&lt;=85),(AI42&gt;=15)),"O","X"))</f>
        <v/>
      </c>
      <c r="AU42" s="123">
        <f>IF(C42="","",IF(C42&gt;=$AU$1,"O","X"))</f>
        <v/>
      </c>
      <c r="AV42" s="123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5" t="n">
        <v>941</v>
      </c>
      <c r="D43" s="133" t="n">
        <v>111</v>
      </c>
      <c r="E43" s="134" t="n">
        <v>34</v>
      </c>
      <c r="F43" s="133" t="n">
        <v>84.8</v>
      </c>
      <c r="G43" s="17" t="n">
        <v>26</v>
      </c>
      <c r="H43" s="135" t="n">
        <v>178</v>
      </c>
      <c r="I43" s="136" t="n">
        <v>18000</v>
      </c>
      <c r="J43" s="136" t="inlineStr">
        <is>
          <t>9</t>
        </is>
      </c>
      <c r="K43" s="136" t="n">
        <v>16000</v>
      </c>
      <c r="L43" s="136" t="inlineStr">
        <is>
          <t>7</t>
        </is>
      </c>
      <c r="M43" s="137">
        <f>I43-K43</f>
        <v/>
      </c>
      <c r="N43" s="4">
        <f>IF(ISERROR(K43/I43),"",K43/I43)</f>
        <v/>
      </c>
      <c r="O43" s="138">
        <f>I43/E43</f>
        <v/>
      </c>
      <c r="P43" s="138">
        <f>K43/E43</f>
        <v/>
      </c>
      <c r="Q43" s="123" t="n">
        <v>3</v>
      </c>
      <c r="R43" s="123" t="n">
        <v>2</v>
      </c>
      <c r="S43" s="123" t="inlineStr">
        <is>
          <t>계</t>
        </is>
      </c>
      <c r="T43" s="5" t="inlineStr">
        <is>
          <t>111C</t>
        </is>
      </c>
      <c r="U43" s="9" t="n"/>
      <c r="W43" s="133">
        <f>D43</f>
        <v/>
      </c>
      <c r="X43" s="134">
        <f>E43</f>
        <v/>
      </c>
      <c r="Y43" s="139">
        <f>H43</f>
        <v/>
      </c>
      <c r="Z43" s="137">
        <f>I43</f>
        <v/>
      </c>
      <c r="AA43" s="137">
        <f>K43</f>
        <v/>
      </c>
      <c r="AB43" s="137">
        <f>M43</f>
        <v/>
      </c>
      <c r="AC43" s="4">
        <f>N43</f>
        <v/>
      </c>
      <c r="AD43" s="138">
        <f>O43</f>
        <v/>
      </c>
      <c r="AE43" s="123">
        <f>S43</f>
        <v/>
      </c>
      <c r="AF43" s="123">
        <f>Q43&amp;"/"&amp;R43</f>
        <v/>
      </c>
      <c r="AH43" s="20">
        <f>IF(A43="","",A43)</f>
        <v/>
      </c>
      <c r="AI43" s="134">
        <f>IF(E43="","",E43)</f>
        <v/>
      </c>
      <c r="AJ43" s="123">
        <f>IF(AI43="","",$AJ$2)</f>
        <v/>
      </c>
      <c r="AK43" s="123" t="inlineStr">
        <is>
          <t>A</t>
        </is>
      </c>
      <c r="AL43" s="123" t="inlineStr">
        <is>
          <t>A+</t>
        </is>
      </c>
      <c r="AM43" s="123" t="inlineStr">
        <is>
          <t>B+</t>
        </is>
      </c>
      <c r="AN43" s="123">
        <f>IF(AI43="","",$AN$2)</f>
        <v/>
      </c>
      <c r="AO43" s="123">
        <f>IF(N43="","",IF(N43&gt;=$AO$1/100,"O","X"))</f>
        <v/>
      </c>
      <c r="AP43" s="123">
        <f>IF(I43="","",IF(I43&lt;=$AP$1,"O","X"))</f>
        <v/>
      </c>
      <c r="AQ43" s="123">
        <f>IF(O43="","",IF(O43&lt;=$AQ$1,"O","X"))</f>
        <v/>
      </c>
      <c r="AR43" s="123">
        <f>IF(M43="","",IF(M43&lt;=$AR$1,"O","X"))</f>
        <v/>
      </c>
      <c r="AS43" s="123" t="inlineStr">
        <is>
          <t>X</t>
        </is>
      </c>
      <c r="AT43" s="123">
        <f>IF(OR(F43="",AI43=""),"",IF(AND((F43&lt;=85),(AI43&gt;=15)),"O","X"))</f>
        <v/>
      </c>
      <c r="AU43" s="123">
        <f>IF(C43="","",IF(C43&gt;=$AU$1,"O","X"))</f>
        <v/>
      </c>
      <c r="AV43" s="123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5" t="n">
        <v>941</v>
      </c>
      <c r="D44" s="133" t="n">
        <v>111.1</v>
      </c>
      <c r="E44" s="134" t="n">
        <v>34</v>
      </c>
      <c r="F44" s="133" t="n">
        <v>84.8</v>
      </c>
      <c r="G44" s="17" t="n">
        <v>26</v>
      </c>
      <c r="H44" s="135" t="n">
        <v>34</v>
      </c>
      <c r="I44" s="136" t="n"/>
      <c r="J44" s="136" t="n"/>
      <c r="K44" s="136" t="n"/>
      <c r="L44" s="136" t="n"/>
      <c r="M44" s="137">
        <f>I44-K44</f>
        <v/>
      </c>
      <c r="N44" s="4">
        <f>IF(ISERROR(K44/I44),"",K44/I44)</f>
        <v/>
      </c>
      <c r="O44" s="138">
        <f>I44/E44</f>
        <v/>
      </c>
      <c r="P44" s="138">
        <f>K44/E44</f>
        <v/>
      </c>
      <c r="Q44" s="123" t="n">
        <v>3</v>
      </c>
      <c r="R44" s="123" t="n">
        <v>2</v>
      </c>
      <c r="S44" s="123" t="inlineStr">
        <is>
          <t>계</t>
        </is>
      </c>
      <c r="T44" s="5" t="inlineStr">
        <is>
          <t>111B</t>
        </is>
      </c>
      <c r="U44" s="9" t="n"/>
      <c r="W44" s="133">
        <f>D44</f>
        <v/>
      </c>
      <c r="X44" s="134">
        <f>E44</f>
        <v/>
      </c>
      <c r="Y44" s="139">
        <f>H44</f>
        <v/>
      </c>
      <c r="Z44" s="137">
        <f>I44</f>
        <v/>
      </c>
      <c r="AA44" s="137">
        <f>K44</f>
        <v/>
      </c>
      <c r="AB44" s="137">
        <f>M44</f>
        <v/>
      </c>
      <c r="AC44" s="4">
        <f>N44</f>
        <v/>
      </c>
      <c r="AD44" s="138">
        <f>O44</f>
        <v/>
      </c>
      <c r="AE44" s="123">
        <f>S44</f>
        <v/>
      </c>
      <c r="AF44" s="123">
        <f>Q44&amp;"/"&amp;R44</f>
        <v/>
      </c>
      <c r="AH44" s="20">
        <f>IF(A44="","",A44)</f>
        <v/>
      </c>
      <c r="AI44" s="134">
        <f>IF(E44="","",E44)</f>
        <v/>
      </c>
      <c r="AJ44" s="123">
        <f>IF(AI44="","",$AJ$2)</f>
        <v/>
      </c>
      <c r="AK44" s="123" t="inlineStr">
        <is>
          <t>A</t>
        </is>
      </c>
      <c r="AL44" s="123" t="inlineStr">
        <is>
          <t>A+</t>
        </is>
      </c>
      <c r="AM44" s="123" t="inlineStr">
        <is>
          <t>B+</t>
        </is>
      </c>
      <c r="AN44" s="123">
        <f>IF(AI44="","",$AN$2)</f>
        <v/>
      </c>
      <c r="AO44" s="123">
        <f>IF(N44="","",IF(N44&gt;=$AO$1/100,"O","X"))</f>
        <v/>
      </c>
      <c r="AP44" s="123">
        <f>IF(I44="","",IF(I44&lt;=$AP$1,"O","X"))</f>
        <v/>
      </c>
      <c r="AQ44" s="123">
        <f>IF(O44="","",IF(O44&lt;=$AQ$1,"O","X"))</f>
        <v/>
      </c>
      <c r="AR44" s="123">
        <f>IF(M44="","",IF(M44&lt;=$AR$1,"O","X"))</f>
        <v/>
      </c>
      <c r="AS44" s="123" t="inlineStr">
        <is>
          <t>X</t>
        </is>
      </c>
      <c r="AT44" s="123">
        <f>IF(OR(F44="",AI44=""),"",IF(AND((F44&lt;=85),(AI44&gt;=15)),"O","X"))</f>
        <v/>
      </c>
      <c r="AU44" s="123">
        <f>IF(C44="","",IF(C44&gt;=$AU$1,"O","X"))</f>
        <v/>
      </c>
      <c r="AV44" s="123">
        <f>IF(AO44="","",IF(AND(AO44="O",AP44="O",AR44="O",AT44="O",AU44="O"),"후보","X"))</f>
        <v/>
      </c>
    </row>
    <row r="45">
      <c r="A45" s="9" t="n"/>
      <c r="B45" s="123" t="n"/>
      <c r="C45" s="6" t="n"/>
      <c r="D45" s="9" t="n"/>
      <c r="E45" s="14" t="n"/>
      <c r="F45" s="133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8" t="n"/>
      <c r="P45" s="138" t="n"/>
      <c r="Q45" s="134" t="n"/>
      <c r="R45" s="134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8">
        <f>IF(E45="","",E45)</f>
        <v/>
      </c>
      <c r="AJ45" s="123" t="n"/>
      <c r="AK45" s="123" t="n"/>
      <c r="AL45" s="123" t="n"/>
      <c r="AM45" s="123" t="n"/>
      <c r="AN45" s="123" t="n"/>
      <c r="AO45" s="123" t="n"/>
      <c r="AP45" s="123" t="n"/>
      <c r="AQ45" s="123" t="n"/>
      <c r="AR45" s="123" t="n"/>
      <c r="AS45" s="123" t="n"/>
      <c r="AT45" s="123" t="n"/>
      <c r="AU45" s="123" t="n"/>
      <c r="AV45" s="123" t="n"/>
    </row>
    <row r="46">
      <c r="A46" s="9" t="inlineStr">
        <is>
          <t>동영</t>
        </is>
      </c>
      <c r="B46" s="10" t="inlineStr">
        <is>
          <t>'98.09.</t>
        </is>
      </c>
      <c r="C46" s="135" t="n">
        <v>360</v>
      </c>
      <c r="D46" s="133" t="n">
        <v>46.9</v>
      </c>
      <c r="E46" s="134" t="n">
        <v>14</v>
      </c>
      <c r="F46" s="133" t="n">
        <v>39.5</v>
      </c>
      <c r="G46" s="17" t="n">
        <v>12</v>
      </c>
      <c r="H46" s="135" t="n">
        <v>205</v>
      </c>
      <c r="I46" s="136" t="n"/>
      <c r="J46" s="136" t="n"/>
      <c r="K46" s="136" t="n"/>
      <c r="L46" s="136" t="n"/>
      <c r="M46" s="137">
        <f>I46-K46</f>
        <v/>
      </c>
      <c r="N46" s="4">
        <f>IF(ISERROR(K46/I46),"",K46/I46)</f>
        <v/>
      </c>
      <c r="O46" s="138">
        <f>I46/E46</f>
        <v/>
      </c>
      <c r="P46" s="138">
        <f>K46/E46</f>
        <v/>
      </c>
      <c r="Q46" s="123" t="n">
        <v>2</v>
      </c>
      <c r="R46" s="123" t="n">
        <v>1</v>
      </c>
      <c r="S46" s="123" t="inlineStr">
        <is>
          <t>계</t>
        </is>
      </c>
      <c r="T46" s="5" t="n">
        <v>46</v>
      </c>
      <c r="U46" s="9" t="n"/>
      <c r="W46" s="133">
        <f>D46</f>
        <v/>
      </c>
      <c r="X46" s="134">
        <f>E46</f>
        <v/>
      </c>
      <c r="Y46" s="139">
        <f>H46</f>
        <v/>
      </c>
      <c r="Z46" s="137">
        <f>I46</f>
        <v/>
      </c>
      <c r="AA46" s="137">
        <f>K46</f>
        <v/>
      </c>
      <c r="AB46" s="137">
        <f>M46</f>
        <v/>
      </c>
      <c r="AC46" s="4">
        <f>N46</f>
        <v/>
      </c>
      <c r="AD46" s="138">
        <f>O46</f>
        <v/>
      </c>
      <c r="AE46" s="123">
        <f>S46</f>
        <v/>
      </c>
      <c r="AF46" s="123">
        <f>Q46&amp;"/"&amp;R46</f>
        <v/>
      </c>
      <c r="AH46" s="20">
        <f>IF(A46="","",A46)</f>
        <v/>
      </c>
      <c r="AI46" s="134">
        <f>IF(E46="","",E46)</f>
        <v/>
      </c>
      <c r="AJ46" s="123">
        <f>IF(AI46="","",$AJ$2)</f>
        <v/>
      </c>
      <c r="AK46" s="123" t="inlineStr">
        <is>
          <t>A</t>
        </is>
      </c>
      <c r="AL46" s="123" t="inlineStr">
        <is>
          <t>A+</t>
        </is>
      </c>
      <c r="AM46" s="123" t="inlineStr">
        <is>
          <t>B+</t>
        </is>
      </c>
      <c r="AN46" s="123">
        <f>IF(AI46="","",$AN$2)</f>
        <v/>
      </c>
      <c r="AO46" s="123">
        <f>IF(N46="","",IF(N46&gt;=$AO$1/100,"O","X"))</f>
        <v/>
      </c>
      <c r="AP46" s="123">
        <f>IF(I46="","",IF(I46&lt;=$AP$1,"O","X"))</f>
        <v/>
      </c>
      <c r="AQ46" s="123">
        <f>IF(O46="","",IF(O46&lt;=$AQ$1,"O","X"))</f>
        <v/>
      </c>
      <c r="AR46" s="123">
        <f>IF(M46="","",IF(M46&lt;=$AR$1,"O","X"))</f>
        <v/>
      </c>
      <c r="AS46" s="123" t="inlineStr">
        <is>
          <t>X</t>
        </is>
      </c>
      <c r="AT46" s="123">
        <f>IF(OR(F46="",AI46=""),"",IF(AND((F46&lt;=85),(AI46&gt;=15)),"O","X"))</f>
        <v/>
      </c>
      <c r="AU46" s="123">
        <f>IF(C46="","",IF(C46&gt;=$AU$1,"O","X"))</f>
        <v/>
      </c>
      <c r="AV46" s="123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5" t="n">
        <v>360</v>
      </c>
      <c r="D47" s="133" t="n">
        <v>54.4</v>
      </c>
      <c r="E47" s="134" t="n">
        <v>16</v>
      </c>
      <c r="F47" s="133" t="n">
        <v>39.5</v>
      </c>
      <c r="G47" s="17" t="n">
        <v>12</v>
      </c>
      <c r="H47" s="135" t="n">
        <v>5</v>
      </c>
      <c r="I47" s="136" t="n"/>
      <c r="J47" s="136" t="n"/>
      <c r="K47" s="136" t="n"/>
      <c r="L47" s="136" t="n"/>
      <c r="M47" s="137">
        <f>I47-K47</f>
        <v/>
      </c>
      <c r="N47" s="4">
        <f>IF(ISERROR(K47/I47),"",K47/I47)</f>
        <v/>
      </c>
      <c r="O47" s="138">
        <f>I47/E47</f>
        <v/>
      </c>
      <c r="P47" s="138">
        <f>K47/E47</f>
        <v/>
      </c>
      <c r="Q47" s="123" t="n">
        <v>2</v>
      </c>
      <c r="R47" s="123" t="n">
        <v>1</v>
      </c>
      <c r="S47" s="123" t="inlineStr">
        <is>
          <t>계</t>
        </is>
      </c>
      <c r="T47" s="5" t="n">
        <v>54</v>
      </c>
      <c r="U47" s="9" t="n"/>
      <c r="W47" s="133">
        <f>D47</f>
        <v/>
      </c>
      <c r="X47" s="134">
        <f>E47</f>
        <v/>
      </c>
      <c r="Y47" s="139">
        <f>H47</f>
        <v/>
      </c>
      <c r="Z47" s="137">
        <f>I47</f>
        <v/>
      </c>
      <c r="AA47" s="137">
        <f>K47</f>
        <v/>
      </c>
      <c r="AB47" s="137">
        <f>M47</f>
        <v/>
      </c>
      <c r="AC47" s="4">
        <f>N47</f>
        <v/>
      </c>
      <c r="AD47" s="138">
        <f>O47</f>
        <v/>
      </c>
      <c r="AE47" s="123">
        <f>S47</f>
        <v/>
      </c>
      <c r="AF47" s="123">
        <f>Q47&amp;"/"&amp;R47</f>
        <v/>
      </c>
      <c r="AH47" s="20">
        <f>IF(A47="","",A47)</f>
        <v/>
      </c>
      <c r="AI47" s="134">
        <f>IF(E47="","",E47)</f>
        <v/>
      </c>
      <c r="AJ47" s="123">
        <f>IF(AI47="","",$AJ$2)</f>
        <v/>
      </c>
      <c r="AK47" s="123" t="inlineStr">
        <is>
          <t>A</t>
        </is>
      </c>
      <c r="AL47" s="123" t="inlineStr">
        <is>
          <t>A+</t>
        </is>
      </c>
      <c r="AM47" s="123" t="inlineStr">
        <is>
          <t>B+</t>
        </is>
      </c>
      <c r="AN47" s="123">
        <f>IF(AI47="","",$AN$2)</f>
        <v/>
      </c>
      <c r="AO47" s="123">
        <f>IF(N47="","",IF(N47&gt;=$AO$1/100,"O","X"))</f>
        <v/>
      </c>
      <c r="AP47" s="123">
        <f>IF(I47="","",IF(I47&lt;=$AP$1,"O","X"))</f>
        <v/>
      </c>
      <c r="AQ47" s="123">
        <f>IF(O47="","",IF(O47&lt;=$AQ$1,"O","X"))</f>
        <v/>
      </c>
      <c r="AR47" s="123">
        <f>IF(M47="","",IF(M47&lt;=$AR$1,"O","X"))</f>
        <v/>
      </c>
      <c r="AS47" s="123" t="inlineStr">
        <is>
          <t>X</t>
        </is>
      </c>
      <c r="AT47" s="123">
        <f>IF(OR(F47="",AI47=""),"",IF(AND((F47&lt;=85),(AI47&gt;=15)),"O","X"))</f>
        <v/>
      </c>
      <c r="AU47" s="123">
        <f>IF(C47="","",IF(C47&gt;=$AU$1,"O","X"))</f>
        <v/>
      </c>
      <c r="AV47" s="123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5" t="n">
        <v>360</v>
      </c>
      <c r="D48" s="133" t="n">
        <v>76</v>
      </c>
      <c r="E48" s="134" t="n">
        <v>23</v>
      </c>
      <c r="F48" s="133" t="n">
        <v>59.9</v>
      </c>
      <c r="G48" s="17" t="n">
        <v>18</v>
      </c>
      <c r="H48" s="135" t="n">
        <v>15</v>
      </c>
      <c r="I48" s="136" t="n"/>
      <c r="J48" s="136" t="n"/>
      <c r="K48" s="136" t="n"/>
      <c r="L48" s="136" t="n"/>
      <c r="M48" s="137">
        <f>I48-K48</f>
        <v/>
      </c>
      <c r="N48" s="4">
        <f>IF(ISERROR(K48/I48),"",K48/I48)</f>
        <v/>
      </c>
      <c r="O48" s="138">
        <f>I48/E48</f>
        <v/>
      </c>
      <c r="P48" s="138">
        <f>K48/E48</f>
        <v/>
      </c>
      <c r="Q48" s="123" t="n">
        <v>3</v>
      </c>
      <c r="R48" s="123" t="n">
        <v>1</v>
      </c>
      <c r="S48" s="123" t="inlineStr">
        <is>
          <t>계</t>
        </is>
      </c>
      <c r="T48" s="5" t="inlineStr">
        <is>
          <t>75A</t>
        </is>
      </c>
      <c r="U48" s="9" t="n"/>
      <c r="W48" s="133">
        <f>D48</f>
        <v/>
      </c>
      <c r="X48" s="134">
        <f>E48</f>
        <v/>
      </c>
      <c r="Y48" s="139">
        <f>H48</f>
        <v/>
      </c>
      <c r="Z48" s="137">
        <f>I48</f>
        <v/>
      </c>
      <c r="AA48" s="137">
        <f>K48</f>
        <v/>
      </c>
      <c r="AB48" s="137">
        <f>M48</f>
        <v/>
      </c>
      <c r="AC48" s="4">
        <f>N48</f>
        <v/>
      </c>
      <c r="AD48" s="138">
        <f>O48</f>
        <v/>
      </c>
      <c r="AE48" s="123">
        <f>S48</f>
        <v/>
      </c>
      <c r="AF48" s="123">
        <f>Q48&amp;"/"&amp;R48</f>
        <v/>
      </c>
      <c r="AH48" s="20">
        <f>IF(A48="","",A48)</f>
        <v/>
      </c>
      <c r="AI48" s="134">
        <f>IF(E48="","",E48)</f>
        <v/>
      </c>
      <c r="AJ48" s="123">
        <f>IF(AI48="","",$AJ$2)</f>
        <v/>
      </c>
      <c r="AK48" s="123" t="inlineStr">
        <is>
          <t>A</t>
        </is>
      </c>
      <c r="AL48" s="123" t="inlineStr">
        <is>
          <t>A+</t>
        </is>
      </c>
      <c r="AM48" s="123" t="inlineStr">
        <is>
          <t>B+</t>
        </is>
      </c>
      <c r="AN48" s="123">
        <f>IF(AI48="","",$AN$2)</f>
        <v/>
      </c>
      <c r="AO48" s="123">
        <f>IF(N48="","",IF(N48&gt;=$AO$1/100,"O","X"))</f>
        <v/>
      </c>
      <c r="AP48" s="123">
        <f>IF(I48="","",IF(I48&lt;=$AP$1,"O","X"))</f>
        <v/>
      </c>
      <c r="AQ48" s="123">
        <f>IF(O48="","",IF(O48&lt;=$AQ$1,"O","X"))</f>
        <v/>
      </c>
      <c r="AR48" s="123">
        <f>IF(M48="","",IF(M48&lt;=$AR$1,"O","X"))</f>
        <v/>
      </c>
      <c r="AS48" s="123" t="inlineStr">
        <is>
          <t>X</t>
        </is>
      </c>
      <c r="AT48" s="123">
        <f>IF(OR(F48="",AI48=""),"",IF(AND((F48&lt;=85),(AI48&gt;=15)),"O","X"))</f>
        <v/>
      </c>
      <c r="AU48" s="123">
        <f>IF(C48="","",IF(C48&gt;=$AU$1,"O","X"))</f>
        <v/>
      </c>
      <c r="AV48" s="123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5" t="n">
        <v>360</v>
      </c>
      <c r="D49" s="133" t="n">
        <v>76</v>
      </c>
      <c r="E49" s="134" t="n">
        <v>23</v>
      </c>
      <c r="F49" s="133" t="n">
        <v>59.9</v>
      </c>
      <c r="G49" s="17" t="n">
        <v>18</v>
      </c>
      <c r="H49" s="135" t="n">
        <v>135</v>
      </c>
      <c r="I49" s="136" t="n"/>
      <c r="J49" s="136" t="n"/>
      <c r="K49" s="136" t="n"/>
      <c r="L49" s="136" t="n"/>
      <c r="M49" s="137">
        <f>I49-K49</f>
        <v/>
      </c>
      <c r="N49" s="4">
        <f>IF(ISERROR(K49/I49),"",K49/I49)</f>
        <v/>
      </c>
      <c r="O49" s="138">
        <f>I49/E49</f>
        <v/>
      </c>
      <c r="P49" s="138">
        <f>K49/E49</f>
        <v/>
      </c>
      <c r="Q49" s="123" t="n">
        <v>3</v>
      </c>
      <c r="R49" s="123" t="n">
        <v>1</v>
      </c>
      <c r="S49" s="123" t="inlineStr">
        <is>
          <t>계</t>
        </is>
      </c>
      <c r="T49" s="5" t="inlineStr">
        <is>
          <t>76B</t>
        </is>
      </c>
      <c r="U49" s="9" t="n"/>
      <c r="W49" s="133">
        <f>D49</f>
        <v/>
      </c>
      <c r="X49" s="134">
        <f>E49</f>
        <v/>
      </c>
      <c r="Y49" s="139">
        <f>H49</f>
        <v/>
      </c>
      <c r="Z49" s="137">
        <f>I49</f>
        <v/>
      </c>
      <c r="AA49" s="137">
        <f>K49</f>
        <v/>
      </c>
      <c r="AB49" s="137">
        <f>M49</f>
        <v/>
      </c>
      <c r="AC49" s="4">
        <f>N49</f>
        <v/>
      </c>
      <c r="AD49" s="138">
        <f>O49</f>
        <v/>
      </c>
      <c r="AE49" s="123">
        <f>S49</f>
        <v/>
      </c>
      <c r="AF49" s="123">
        <f>Q49&amp;"/"&amp;R49</f>
        <v/>
      </c>
      <c r="AH49" s="20">
        <f>IF(A49="","",A49)</f>
        <v/>
      </c>
      <c r="AI49" s="134">
        <f>IF(E49="","",E49)</f>
        <v/>
      </c>
      <c r="AJ49" s="123">
        <f>IF(AI49="","",$AJ$2)</f>
        <v/>
      </c>
      <c r="AK49" s="123" t="inlineStr">
        <is>
          <t>A</t>
        </is>
      </c>
      <c r="AL49" s="123" t="inlineStr">
        <is>
          <t>A+</t>
        </is>
      </c>
      <c r="AM49" s="123" t="inlineStr">
        <is>
          <t>B+</t>
        </is>
      </c>
      <c r="AN49" s="123">
        <f>IF(AI49="","",$AN$2)</f>
        <v/>
      </c>
      <c r="AO49" s="123">
        <f>IF(N49="","",IF(N49&gt;=$AO$1/100,"O","X"))</f>
        <v/>
      </c>
      <c r="AP49" s="123">
        <f>IF(I49="","",IF(I49&lt;=$AP$1,"O","X"))</f>
        <v/>
      </c>
      <c r="AQ49" s="123">
        <f>IF(O49="","",IF(O49&lt;=$AQ$1,"O","X"))</f>
        <v/>
      </c>
      <c r="AR49" s="123">
        <f>IF(M49="","",IF(M49&lt;=$AR$1,"O","X"))</f>
        <v/>
      </c>
      <c r="AS49" s="123" t="inlineStr">
        <is>
          <t>X</t>
        </is>
      </c>
      <c r="AT49" s="123">
        <f>IF(OR(F49="",AI49=""),"",IF(AND((F49&lt;=85),(AI49&gt;=15)),"O","X"))</f>
        <v/>
      </c>
      <c r="AU49" s="123">
        <f>IF(C49="","",IF(C49&gt;=$AU$1,"O","X"))</f>
        <v/>
      </c>
      <c r="AV49" s="123">
        <f>IF(AO49="","",IF(AND(AO49="O",AP49="O",AR49="O",AT49="O",AU49="O"),"후보","X"))</f>
        <v/>
      </c>
    </row>
    <row r="50">
      <c r="A50" s="9" t="n"/>
      <c r="B50" s="123" t="n"/>
      <c r="C50" s="6" t="n"/>
      <c r="D50" s="9" t="n"/>
      <c r="E50" s="14" t="n"/>
      <c r="F50" s="133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8" t="n"/>
      <c r="P50" s="138" t="n"/>
      <c r="Q50" s="134" t="n"/>
      <c r="R50" s="134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8">
        <f>IF(E50="","",E50)</f>
        <v/>
      </c>
      <c r="AJ50" s="123" t="n"/>
      <c r="AK50" s="123" t="n"/>
      <c r="AL50" s="123" t="n"/>
      <c r="AM50" s="123" t="n"/>
      <c r="AN50" s="123" t="n"/>
      <c r="AO50" s="123" t="n"/>
      <c r="AP50" s="123" t="n"/>
      <c r="AQ50" s="123" t="n"/>
      <c r="AR50" s="123" t="n"/>
      <c r="AS50" s="123" t="n"/>
      <c r="AT50" s="123" t="n"/>
      <c r="AU50" s="123" t="n"/>
      <c r="AV50" s="123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5" t="n">
        <v>656</v>
      </c>
      <c r="D51" s="133" t="n">
        <v>117.7</v>
      </c>
      <c r="E51" s="134" t="n">
        <v>36</v>
      </c>
      <c r="F51" s="133" t="n">
        <v>91.3</v>
      </c>
      <c r="G51" s="17" t="n">
        <v>28</v>
      </c>
      <c r="H51" s="135" t="n">
        <v>114</v>
      </c>
      <c r="I51" s="136" t="n">
        <v>32000</v>
      </c>
      <c r="J51" s="136" t="inlineStr">
        <is>
          <t>13</t>
        </is>
      </c>
      <c r="K51" s="136" t="n">
        <v>28000</v>
      </c>
      <c r="L51" s="136" t="inlineStr">
        <is>
          <t>6</t>
        </is>
      </c>
      <c r="M51" s="137">
        <f>I51-K51</f>
        <v/>
      </c>
      <c r="N51" s="4">
        <f>IF(ISERROR(K51/I51),"",K51/I51)</f>
        <v/>
      </c>
      <c r="O51" s="138">
        <f>I51/E51</f>
        <v/>
      </c>
      <c r="P51" s="138">
        <f>K51/E51</f>
        <v/>
      </c>
      <c r="Q51" s="123" t="n">
        <v>3</v>
      </c>
      <c r="R51" s="123" t="n">
        <v>2</v>
      </c>
      <c r="S51" s="123" t="inlineStr">
        <is>
          <t>계</t>
        </is>
      </c>
      <c r="T51" s="5" t="inlineStr">
        <is>
          <t>117A</t>
        </is>
      </c>
      <c r="U51" s="9" t="n"/>
      <c r="W51" s="133">
        <f>D51</f>
        <v/>
      </c>
      <c r="X51" s="134">
        <f>E51</f>
        <v/>
      </c>
      <c r="Y51" s="139">
        <f>H51</f>
        <v/>
      </c>
      <c r="Z51" s="137">
        <f>I51</f>
        <v/>
      </c>
      <c r="AA51" s="137">
        <f>K51</f>
        <v/>
      </c>
      <c r="AB51" s="137">
        <f>M51</f>
        <v/>
      </c>
      <c r="AC51" s="4">
        <f>N51</f>
        <v/>
      </c>
      <c r="AD51" s="138">
        <f>O51</f>
        <v/>
      </c>
      <c r="AE51" s="123">
        <f>S51</f>
        <v/>
      </c>
      <c r="AF51" s="123">
        <f>Q51&amp;"/"&amp;R51</f>
        <v/>
      </c>
      <c r="AH51" s="20">
        <f>IF(A51="","",A51)</f>
        <v/>
      </c>
      <c r="AI51" s="134">
        <f>IF(E51="","",E51)</f>
        <v/>
      </c>
      <c r="AJ51" s="123">
        <f>IF(AI51="","",$AJ$2)</f>
        <v/>
      </c>
      <c r="AK51" s="123" t="inlineStr">
        <is>
          <t>A</t>
        </is>
      </c>
      <c r="AL51" s="123" t="inlineStr">
        <is>
          <t>A+</t>
        </is>
      </c>
      <c r="AM51" s="123" t="inlineStr">
        <is>
          <t>B+</t>
        </is>
      </c>
      <c r="AN51" s="123">
        <f>IF(AI51="","",$AN$2)</f>
        <v/>
      </c>
      <c r="AO51" s="123">
        <f>IF(N51="","",IF(N51&gt;=$AO$1/100,"O","X"))</f>
        <v/>
      </c>
      <c r="AP51" s="123">
        <f>IF(I51="","",IF(I51&lt;=$AP$1,"O","X"))</f>
        <v/>
      </c>
      <c r="AQ51" s="123">
        <f>IF(O51="","",IF(O51&lt;=$AQ$1,"O","X"))</f>
        <v/>
      </c>
      <c r="AR51" s="123">
        <f>IF(M51="","",IF(M51&lt;=$AR$1,"O","X"))</f>
        <v/>
      </c>
      <c r="AS51" s="123" t="inlineStr">
        <is>
          <t>X</t>
        </is>
      </c>
      <c r="AT51" s="123">
        <f>IF(OR(F51="",AI51=""),"",IF(AND((F51&lt;=85),(AI51&gt;=15)),"O","X"))</f>
        <v/>
      </c>
      <c r="AU51" s="123">
        <f>IF(C51="","",IF(C51&gt;=$AU$1,"O","X"))</f>
        <v/>
      </c>
      <c r="AV51" s="123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5" t="n">
        <v>656</v>
      </c>
      <c r="D52" s="133" t="n">
        <v>118.8</v>
      </c>
      <c r="E52" s="134" t="n">
        <v>36</v>
      </c>
      <c r="F52" s="133" t="n">
        <v>91.2</v>
      </c>
      <c r="G52" s="17" t="n">
        <v>28</v>
      </c>
      <c r="H52" s="135" t="n">
        <v>136</v>
      </c>
      <c r="I52" s="136" t="n">
        <v>35000</v>
      </c>
      <c r="J52" s="136" t="inlineStr">
        <is>
          <t>8</t>
        </is>
      </c>
      <c r="K52" s="136" t="n">
        <v>28000</v>
      </c>
      <c r="L52" s="136" t="inlineStr">
        <is>
          <t>11</t>
        </is>
      </c>
      <c r="M52" s="137">
        <f>I52-K52</f>
        <v/>
      </c>
      <c r="N52" s="4">
        <f>IF(ISERROR(K52/I52),"",K52/I52)</f>
        <v/>
      </c>
      <c r="O52" s="138">
        <f>I52/E52</f>
        <v/>
      </c>
      <c r="P52" s="138">
        <f>K52/E52</f>
        <v/>
      </c>
      <c r="Q52" s="123" t="n">
        <v>3</v>
      </c>
      <c r="R52" s="123" t="n">
        <v>2</v>
      </c>
      <c r="S52" s="123" t="inlineStr">
        <is>
          <t>계</t>
        </is>
      </c>
      <c r="T52" s="5" t="inlineStr">
        <is>
          <t>118B</t>
        </is>
      </c>
      <c r="U52" s="9" t="n"/>
      <c r="W52" s="133">
        <f>D52</f>
        <v/>
      </c>
      <c r="X52" s="134">
        <f>E52</f>
        <v/>
      </c>
      <c r="Y52" s="139">
        <f>H52</f>
        <v/>
      </c>
      <c r="Z52" s="137">
        <f>I52</f>
        <v/>
      </c>
      <c r="AA52" s="137">
        <f>K52</f>
        <v/>
      </c>
      <c r="AB52" s="137">
        <f>M52</f>
        <v/>
      </c>
      <c r="AC52" s="4">
        <f>N52</f>
        <v/>
      </c>
      <c r="AD52" s="138">
        <f>O52</f>
        <v/>
      </c>
      <c r="AE52" s="123">
        <f>S52</f>
        <v/>
      </c>
      <c r="AF52" s="123">
        <f>Q52&amp;"/"&amp;R52</f>
        <v/>
      </c>
      <c r="AH52" s="20">
        <f>IF(A52="","",A52)</f>
        <v/>
      </c>
      <c r="AI52" s="134">
        <f>IF(E52="","",E52)</f>
        <v/>
      </c>
      <c r="AJ52" s="123">
        <f>IF(AI52="","",$AJ$2)</f>
        <v/>
      </c>
      <c r="AK52" s="123" t="inlineStr">
        <is>
          <t>A</t>
        </is>
      </c>
      <c r="AL52" s="123" t="inlineStr">
        <is>
          <t>A+</t>
        </is>
      </c>
      <c r="AM52" s="123" t="inlineStr">
        <is>
          <t>B+</t>
        </is>
      </c>
      <c r="AN52" s="123">
        <f>IF(AI52="","",$AN$2)</f>
        <v/>
      </c>
      <c r="AO52" s="123">
        <f>IF(N52="","",IF(N52&gt;=$AO$1/100,"O","X"))</f>
        <v/>
      </c>
      <c r="AP52" s="123">
        <f>IF(I52="","",IF(I52&lt;=$AP$1,"O","X"))</f>
        <v/>
      </c>
      <c r="AQ52" s="123">
        <f>IF(O52="","",IF(O52&lt;=$AQ$1,"O","X"))</f>
        <v/>
      </c>
      <c r="AR52" s="123">
        <f>IF(M52="","",IF(M52&lt;=$AR$1,"O","X"))</f>
        <v/>
      </c>
      <c r="AS52" s="123" t="inlineStr">
        <is>
          <t>X</t>
        </is>
      </c>
      <c r="AT52" s="123">
        <f>IF(OR(F52="",AI52=""),"",IF(AND((F52&lt;=85),(AI52&gt;=15)),"O","X"))</f>
        <v/>
      </c>
      <c r="AU52" s="123">
        <f>IF(C52="","",IF(C52&gt;=$AU$1,"O","X"))</f>
        <v/>
      </c>
      <c r="AV52" s="123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5" t="n">
        <v>656</v>
      </c>
      <c r="D53" s="133" t="n">
        <v>125.6</v>
      </c>
      <c r="E53" s="134" t="n">
        <v>38</v>
      </c>
      <c r="F53" s="133" t="n">
        <v>92.7</v>
      </c>
      <c r="G53" s="17" t="n">
        <v>28</v>
      </c>
      <c r="H53" s="135" t="n">
        <v>274</v>
      </c>
      <c r="I53" s="136" t="n">
        <v>33500</v>
      </c>
      <c r="J53" s="136" t="inlineStr">
        <is>
          <t>14</t>
        </is>
      </c>
      <c r="K53" s="136" t="n"/>
      <c r="L53" s="136" t="n"/>
      <c r="M53" s="137">
        <f>I53-K53</f>
        <v/>
      </c>
      <c r="N53" s="4">
        <f>IF(ISERROR(K53/I53),"",K53/I53)</f>
        <v/>
      </c>
      <c r="O53" s="138">
        <f>I53/E53</f>
        <v/>
      </c>
      <c r="P53" s="138">
        <f>K53/E53</f>
        <v/>
      </c>
      <c r="Q53" s="123" t="n">
        <v>3</v>
      </c>
      <c r="R53" s="123" t="n">
        <v>2</v>
      </c>
      <c r="S53" s="123" t="inlineStr">
        <is>
          <t>계</t>
        </is>
      </c>
      <c r="T53" s="5" t="n">
        <v>125</v>
      </c>
      <c r="U53" s="9" t="n"/>
      <c r="W53" s="133">
        <f>D53</f>
        <v/>
      </c>
      <c r="X53" s="134">
        <f>E53</f>
        <v/>
      </c>
      <c r="Y53" s="139">
        <f>H53</f>
        <v/>
      </c>
      <c r="Z53" s="137">
        <f>I53</f>
        <v/>
      </c>
      <c r="AA53" s="137">
        <f>K53</f>
        <v/>
      </c>
      <c r="AB53" s="137">
        <f>M53</f>
        <v/>
      </c>
      <c r="AC53" s="4">
        <f>N53</f>
        <v/>
      </c>
      <c r="AD53" s="138">
        <f>O53</f>
        <v/>
      </c>
      <c r="AE53" s="123">
        <f>S53</f>
        <v/>
      </c>
      <c r="AF53" s="123">
        <f>Q53&amp;"/"&amp;R53</f>
        <v/>
      </c>
      <c r="AH53" s="20">
        <f>IF(A53="","",A53)</f>
        <v/>
      </c>
      <c r="AI53" s="134">
        <f>IF(E53="","",E53)</f>
        <v/>
      </c>
      <c r="AJ53" s="123">
        <f>IF(AI53="","",$AJ$2)</f>
        <v/>
      </c>
      <c r="AK53" s="123" t="inlineStr">
        <is>
          <t>A</t>
        </is>
      </c>
      <c r="AL53" s="123" t="inlineStr">
        <is>
          <t>A+</t>
        </is>
      </c>
      <c r="AM53" s="123" t="inlineStr">
        <is>
          <t>B+</t>
        </is>
      </c>
      <c r="AN53" s="123">
        <f>IF(AI53="","",$AN$2)</f>
        <v/>
      </c>
      <c r="AO53" s="123">
        <f>IF(N53="","",IF(N53&gt;=$AO$1/100,"O","X"))</f>
        <v/>
      </c>
      <c r="AP53" s="123">
        <f>IF(I53="","",IF(I53&lt;=$AP$1,"O","X"))</f>
        <v/>
      </c>
      <c r="AQ53" s="123">
        <f>IF(O53="","",IF(O53&lt;=$AQ$1,"O","X"))</f>
        <v/>
      </c>
      <c r="AR53" s="123">
        <f>IF(M53="","",IF(M53&lt;=$AR$1,"O","X"))</f>
        <v/>
      </c>
      <c r="AS53" s="123" t="inlineStr">
        <is>
          <t>X</t>
        </is>
      </c>
      <c r="AT53" s="123">
        <f>IF(OR(F53="",AI53=""),"",IF(AND((F53&lt;=85),(AI53&gt;=15)),"O","X"))</f>
        <v/>
      </c>
      <c r="AU53" s="123">
        <f>IF(C53="","",IF(C53&gt;=$AU$1,"O","X"))</f>
        <v/>
      </c>
      <c r="AV53" s="123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5" t="n">
        <v>656</v>
      </c>
      <c r="D54" s="133" t="n">
        <v>140.7</v>
      </c>
      <c r="E54" s="134" t="n">
        <v>43</v>
      </c>
      <c r="F54" s="133" t="n">
        <v>110.2</v>
      </c>
      <c r="G54" s="17" t="n">
        <v>33</v>
      </c>
      <c r="H54" s="135" t="n">
        <v>132</v>
      </c>
      <c r="I54" s="136" t="n">
        <v>42000</v>
      </c>
      <c r="J54" s="136" t="inlineStr">
        <is>
          <t>11</t>
        </is>
      </c>
      <c r="K54" s="136" t="n"/>
      <c r="L54" s="136" t="n"/>
      <c r="M54" s="137">
        <f>I54-K54</f>
        <v/>
      </c>
      <c r="N54" s="4">
        <f>IF(ISERROR(K54/I54),"",K54/I54)</f>
        <v/>
      </c>
      <c r="O54" s="138">
        <f>I54/E54</f>
        <v/>
      </c>
      <c r="P54" s="138">
        <f>K54/E54</f>
        <v/>
      </c>
      <c r="Q54" s="123" t="n">
        <v>4</v>
      </c>
      <c r="R54" s="123" t="n">
        <v>2</v>
      </c>
      <c r="S54" s="123" t="inlineStr">
        <is>
          <t>계</t>
        </is>
      </c>
      <c r="T54" s="5" t="n">
        <v>140</v>
      </c>
      <c r="U54" s="9" t="n"/>
      <c r="W54" s="133">
        <f>D54</f>
        <v/>
      </c>
      <c r="X54" s="134">
        <f>E54</f>
        <v/>
      </c>
      <c r="Y54" s="139">
        <f>H54</f>
        <v/>
      </c>
      <c r="Z54" s="137">
        <f>I54</f>
        <v/>
      </c>
      <c r="AA54" s="137">
        <f>K54</f>
        <v/>
      </c>
      <c r="AB54" s="137">
        <f>M54</f>
        <v/>
      </c>
      <c r="AC54" s="4">
        <f>N54</f>
        <v/>
      </c>
      <c r="AD54" s="138">
        <f>O54</f>
        <v/>
      </c>
      <c r="AE54" s="123">
        <f>S54</f>
        <v/>
      </c>
      <c r="AF54" s="123">
        <f>Q54&amp;"/"&amp;R54</f>
        <v/>
      </c>
      <c r="AH54" s="20">
        <f>IF(A54="","",A54)</f>
        <v/>
      </c>
      <c r="AI54" s="134">
        <f>IF(E54="","",E54)</f>
        <v/>
      </c>
      <c r="AJ54" s="123">
        <f>IF(AI54="","",$AJ$2)</f>
        <v/>
      </c>
      <c r="AK54" s="123" t="inlineStr">
        <is>
          <t>A</t>
        </is>
      </c>
      <c r="AL54" s="123" t="inlineStr">
        <is>
          <t>A+</t>
        </is>
      </c>
      <c r="AM54" s="123" t="inlineStr">
        <is>
          <t>B+</t>
        </is>
      </c>
      <c r="AN54" s="123">
        <f>IF(AI54="","",$AN$2)</f>
        <v/>
      </c>
      <c r="AO54" s="123">
        <f>IF(N54="","",IF(N54&gt;=$AO$1/100,"O","X"))</f>
        <v/>
      </c>
      <c r="AP54" s="123">
        <f>IF(I54="","",IF(I54&lt;=$AP$1,"O","X"))</f>
        <v/>
      </c>
      <c r="AQ54" s="123">
        <f>IF(O54="","",IF(O54&lt;=$AQ$1,"O","X"))</f>
        <v/>
      </c>
      <c r="AR54" s="123">
        <f>IF(M54="","",IF(M54&lt;=$AR$1,"O","X"))</f>
        <v/>
      </c>
      <c r="AS54" s="123" t="inlineStr">
        <is>
          <t>X</t>
        </is>
      </c>
      <c r="AT54" s="123">
        <f>IF(OR(F54="",AI54=""),"",IF(AND((F54&lt;=85),(AI54&gt;=15)),"O","X"))</f>
        <v/>
      </c>
      <c r="AU54" s="123">
        <f>IF(C54="","",IF(C54&gt;=$AU$1,"O","X"))</f>
        <v/>
      </c>
      <c r="AV54" s="123">
        <f>IF(AO54="","",IF(AND(AO54="O",AP54="O",AR54="O",AT54="O",AU54="O"),"후보","X"))</f>
        <v/>
      </c>
    </row>
    <row r="55">
      <c r="A55" s="9" t="n"/>
      <c r="B55" s="123" t="n"/>
      <c r="C55" s="6" t="n"/>
      <c r="D55" s="9" t="n"/>
      <c r="E55" s="14" t="n"/>
      <c r="F55" s="133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8" t="n"/>
      <c r="P55" s="138" t="n"/>
      <c r="Q55" s="134" t="n"/>
      <c r="R55" s="134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8">
        <f>IF(E55="","",E55)</f>
        <v/>
      </c>
      <c r="AJ55" s="123" t="n"/>
      <c r="AK55" s="123" t="n"/>
      <c r="AL55" s="123" t="n"/>
      <c r="AM55" s="123" t="n"/>
      <c r="AN55" s="123" t="n"/>
      <c r="AO55" s="123" t="n"/>
      <c r="AP55" s="123" t="n"/>
      <c r="AQ55" s="123" t="n"/>
      <c r="AR55" s="123" t="n"/>
      <c r="AS55" s="123" t="n"/>
      <c r="AT55" s="123" t="n"/>
      <c r="AU55" s="123" t="n"/>
      <c r="AV55" s="123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5" t="n">
        <v>724</v>
      </c>
      <c r="D56" s="133" t="n">
        <v>99</v>
      </c>
      <c r="E56" s="134" t="n">
        <v>30</v>
      </c>
      <c r="F56" s="133" t="n">
        <v>69</v>
      </c>
      <c r="G56" s="17" t="n">
        <v>21</v>
      </c>
      <c r="H56" s="135" t="n">
        <v>212</v>
      </c>
      <c r="I56" s="136" t="n">
        <v>26500</v>
      </c>
      <c r="J56" s="136" t="inlineStr">
        <is>
          <t>6</t>
        </is>
      </c>
      <c r="K56" s="136" t="n">
        <v>22500</v>
      </c>
      <c r="L56" s="136" t="inlineStr">
        <is>
          <t>5</t>
        </is>
      </c>
      <c r="M56" s="137">
        <f>I56-K56</f>
        <v/>
      </c>
      <c r="N56" s="4">
        <f>IF(ISERROR(K56/I56),"",K56/I56)</f>
        <v/>
      </c>
      <c r="O56" s="138">
        <f>I56/E56</f>
        <v/>
      </c>
      <c r="P56" s="138">
        <f>K56/E56</f>
        <v/>
      </c>
      <c r="Q56" s="123" t="n">
        <v>3</v>
      </c>
      <c r="R56" s="123" t="n">
        <v>2</v>
      </c>
      <c r="S56" s="123" t="inlineStr">
        <is>
          <t>계</t>
        </is>
      </c>
      <c r="T56" s="5" t="n">
        <v>99</v>
      </c>
      <c r="U56" s="9" t="n"/>
      <c r="W56" s="133">
        <f>D56</f>
        <v/>
      </c>
      <c r="X56" s="134">
        <f>E56</f>
        <v/>
      </c>
      <c r="Y56" s="139">
        <f>H56</f>
        <v/>
      </c>
      <c r="Z56" s="137">
        <f>I56</f>
        <v/>
      </c>
      <c r="AA56" s="137">
        <f>K56</f>
        <v/>
      </c>
      <c r="AB56" s="137">
        <f>M56</f>
        <v/>
      </c>
      <c r="AC56" s="4">
        <f>N56</f>
        <v/>
      </c>
      <c r="AD56" s="138">
        <f>O56</f>
        <v/>
      </c>
      <c r="AE56" s="123">
        <f>S56</f>
        <v/>
      </c>
      <c r="AF56" s="123">
        <f>Q56&amp;"/"&amp;R56</f>
        <v/>
      </c>
      <c r="AH56" s="20">
        <f>IF(A56="","",A56)</f>
        <v/>
      </c>
      <c r="AI56" s="134">
        <f>IF(E56="","",E56)</f>
        <v/>
      </c>
      <c r="AJ56" s="123">
        <f>IF(AI56="","",$AJ$2)</f>
        <v/>
      </c>
      <c r="AK56" s="123" t="inlineStr">
        <is>
          <t>A</t>
        </is>
      </c>
      <c r="AL56" s="123" t="inlineStr">
        <is>
          <t>A+</t>
        </is>
      </c>
      <c r="AM56" s="123" t="inlineStr">
        <is>
          <t>B+</t>
        </is>
      </c>
      <c r="AN56" s="123">
        <f>IF(AI56="","",$AN$2)</f>
        <v/>
      </c>
      <c r="AO56" s="123">
        <f>IF(N56="","",IF(N56&gt;=$AO$1/100,"O","X"))</f>
        <v/>
      </c>
      <c r="AP56" s="123">
        <f>IF(I56="","",IF(I56&lt;=$AP$1,"O","X"))</f>
        <v/>
      </c>
      <c r="AQ56" s="123">
        <f>IF(O56="","",IF(O56&lt;=$AQ$1,"O","X"))</f>
        <v/>
      </c>
      <c r="AR56" s="123">
        <f>IF(M56="","",IF(M56&lt;=$AR$1,"O","X"))</f>
        <v/>
      </c>
      <c r="AS56" s="123" t="inlineStr">
        <is>
          <t>X</t>
        </is>
      </c>
      <c r="AT56" s="123">
        <f>IF(OR(F56="",AI56=""),"",IF(AND((F56&lt;=85),(AI56&gt;=15)),"O","X"))</f>
        <v/>
      </c>
      <c r="AU56" s="123">
        <f>IF(C56="","",IF(C56&gt;=$AU$1,"O","X"))</f>
        <v/>
      </c>
      <c r="AV56" s="123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5" t="n">
        <v>724</v>
      </c>
      <c r="D57" s="133" t="n">
        <v>115.6</v>
      </c>
      <c r="E57" s="134" t="n">
        <v>35</v>
      </c>
      <c r="F57" s="133" t="n">
        <v>84.90000000000001</v>
      </c>
      <c r="G57" s="17" t="n">
        <v>26</v>
      </c>
      <c r="H57" s="135" t="n">
        <v>206</v>
      </c>
      <c r="I57" s="136" t="n">
        <v>32000</v>
      </c>
      <c r="J57" s="136" t="inlineStr">
        <is>
          <t>13</t>
        </is>
      </c>
      <c r="K57" s="136" t="n">
        <v>28000</v>
      </c>
      <c r="L57" s="136" t="inlineStr">
        <is>
          <t>6</t>
        </is>
      </c>
      <c r="M57" s="137">
        <f>I57-K57</f>
        <v/>
      </c>
      <c r="N57" s="4">
        <f>IF(ISERROR(K57/I57),"",K57/I57)</f>
        <v/>
      </c>
      <c r="O57" s="138">
        <f>I57/E57</f>
        <v/>
      </c>
      <c r="P57" s="138">
        <f>K57/E57</f>
        <v/>
      </c>
      <c r="Q57" s="123" t="n">
        <v>3</v>
      </c>
      <c r="R57" s="123" t="n">
        <v>2</v>
      </c>
      <c r="S57" s="123" t="inlineStr">
        <is>
          <t>계</t>
        </is>
      </c>
      <c r="T57" s="5" t="inlineStr">
        <is>
          <t>115A</t>
        </is>
      </c>
      <c r="U57" s="9" t="n"/>
      <c r="W57" s="133">
        <f>D57</f>
        <v/>
      </c>
      <c r="X57" s="134">
        <f>E57</f>
        <v/>
      </c>
      <c r="Y57" s="139">
        <f>H57</f>
        <v/>
      </c>
      <c r="Z57" s="137">
        <f>I57</f>
        <v/>
      </c>
      <c r="AA57" s="137">
        <f>K57</f>
        <v/>
      </c>
      <c r="AB57" s="137">
        <f>M57</f>
        <v/>
      </c>
      <c r="AC57" s="4">
        <f>N57</f>
        <v/>
      </c>
      <c r="AD57" s="138">
        <f>O57</f>
        <v/>
      </c>
      <c r="AE57" s="123">
        <f>S57</f>
        <v/>
      </c>
      <c r="AF57" s="123">
        <f>Q57&amp;"/"&amp;R57</f>
        <v/>
      </c>
      <c r="AH57" s="20">
        <f>IF(A57="","",A57)</f>
        <v/>
      </c>
      <c r="AI57" s="134">
        <f>IF(E57="","",E57)</f>
        <v/>
      </c>
      <c r="AJ57" s="123">
        <f>IF(AI57="","",$AJ$2)</f>
        <v/>
      </c>
      <c r="AK57" s="123" t="inlineStr">
        <is>
          <t>A</t>
        </is>
      </c>
      <c r="AL57" s="123" t="inlineStr">
        <is>
          <t>A+</t>
        </is>
      </c>
      <c r="AM57" s="123" t="inlineStr">
        <is>
          <t>B+</t>
        </is>
      </c>
      <c r="AN57" s="123">
        <f>IF(AI57="","",$AN$2)</f>
        <v/>
      </c>
      <c r="AO57" s="123">
        <f>IF(N57="","",IF(N57&gt;=$AO$1/100,"O","X"))</f>
        <v/>
      </c>
      <c r="AP57" s="123">
        <f>IF(I57="","",IF(I57&lt;=$AP$1,"O","X"))</f>
        <v/>
      </c>
      <c r="AQ57" s="123">
        <f>IF(O57="","",IF(O57&lt;=$AQ$1,"O","X"))</f>
        <v/>
      </c>
      <c r="AR57" s="123">
        <f>IF(M57="","",IF(M57&lt;=$AR$1,"O","X"))</f>
        <v/>
      </c>
      <c r="AS57" s="123" t="inlineStr">
        <is>
          <t>X</t>
        </is>
      </c>
      <c r="AT57" s="123">
        <f>IF(OR(F57="",AI57=""),"",IF(AND((F57&lt;=85),(AI57&gt;=15)),"O","X"))</f>
        <v/>
      </c>
      <c r="AU57" s="123">
        <f>IF(C57="","",IF(C57&gt;=$AU$1,"O","X"))</f>
        <v/>
      </c>
      <c r="AV57" s="123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5" t="n">
        <v>724</v>
      </c>
      <c r="D58" s="133" t="n">
        <v>115.7</v>
      </c>
      <c r="E58" s="134" t="n">
        <v>35</v>
      </c>
      <c r="F58" s="133" t="n">
        <v>84.90000000000001</v>
      </c>
      <c r="G58" s="17" t="n">
        <v>26</v>
      </c>
      <c r="H58" s="135" t="n">
        <v>160</v>
      </c>
      <c r="I58" s="136" t="n"/>
      <c r="J58" s="136" t="n"/>
      <c r="K58" s="136" t="n"/>
      <c r="L58" s="136" t="n"/>
      <c r="M58" s="137">
        <f>I58-K58</f>
        <v/>
      </c>
      <c r="N58" s="4">
        <f>IF(ISERROR(K58/I58),"",K58/I58)</f>
        <v/>
      </c>
      <c r="O58" s="138">
        <f>I58/E58</f>
        <v/>
      </c>
      <c r="P58" s="138">
        <f>K58/E58</f>
        <v/>
      </c>
      <c r="Q58" s="123" t="n">
        <v>3</v>
      </c>
      <c r="R58" s="123" t="n">
        <v>2</v>
      </c>
      <c r="S58" s="123" t="inlineStr">
        <is>
          <t>계</t>
        </is>
      </c>
      <c r="T58" s="5" t="inlineStr">
        <is>
          <t>115C</t>
        </is>
      </c>
      <c r="U58" s="9" t="n"/>
      <c r="W58" s="133">
        <f>D58</f>
        <v/>
      </c>
      <c r="X58" s="134">
        <f>E58</f>
        <v/>
      </c>
      <c r="Y58" s="139">
        <f>H58</f>
        <v/>
      </c>
      <c r="Z58" s="137">
        <f>I58</f>
        <v/>
      </c>
      <c r="AA58" s="137">
        <f>K58</f>
        <v/>
      </c>
      <c r="AB58" s="137">
        <f>M58</f>
        <v/>
      </c>
      <c r="AC58" s="4">
        <f>N58</f>
        <v/>
      </c>
      <c r="AD58" s="138">
        <f>O58</f>
        <v/>
      </c>
      <c r="AE58" s="123">
        <f>S58</f>
        <v/>
      </c>
      <c r="AF58" s="123">
        <f>Q58&amp;"/"&amp;R58</f>
        <v/>
      </c>
      <c r="AH58" s="20">
        <f>IF(A58="","",A58)</f>
        <v/>
      </c>
      <c r="AI58" s="134">
        <f>IF(E58="","",E58)</f>
        <v/>
      </c>
      <c r="AJ58" s="123">
        <f>IF(AI58="","",$AJ$2)</f>
        <v/>
      </c>
      <c r="AK58" s="123" t="inlineStr">
        <is>
          <t>A</t>
        </is>
      </c>
      <c r="AL58" s="123" t="inlineStr">
        <is>
          <t>A+</t>
        </is>
      </c>
      <c r="AM58" s="123" t="inlineStr">
        <is>
          <t>B+</t>
        </is>
      </c>
      <c r="AN58" s="123">
        <f>IF(AI58="","",$AN$2)</f>
        <v/>
      </c>
      <c r="AO58" s="123">
        <f>IF(N58="","",IF(N58&gt;=$AO$1/100,"O","X"))</f>
        <v/>
      </c>
      <c r="AP58" s="123">
        <f>IF(I58="","",IF(I58&lt;=$AP$1,"O","X"))</f>
        <v/>
      </c>
      <c r="AQ58" s="123">
        <f>IF(O58="","",IF(O58&lt;=$AQ$1,"O","X"))</f>
        <v/>
      </c>
      <c r="AR58" s="123">
        <f>IF(M58="","",IF(M58&lt;=$AR$1,"O","X"))</f>
        <v/>
      </c>
      <c r="AS58" s="123" t="inlineStr">
        <is>
          <t>X</t>
        </is>
      </c>
      <c r="AT58" s="123">
        <f>IF(OR(F58="",AI58=""),"",IF(AND((F58&lt;=85),(AI58&gt;=15)),"O","X"))</f>
        <v/>
      </c>
      <c r="AU58" s="123">
        <f>IF(C58="","",IF(C58&gt;=$AU$1,"O","X"))</f>
        <v/>
      </c>
      <c r="AV58" s="123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5" t="n">
        <v>724</v>
      </c>
      <c r="D59" s="133" t="n">
        <v>115.6</v>
      </c>
      <c r="E59" s="134" t="n">
        <v>35</v>
      </c>
      <c r="F59" s="133" t="n">
        <v>84.90000000000001</v>
      </c>
      <c r="G59" s="17" t="n">
        <v>26</v>
      </c>
      <c r="H59" s="135" t="n">
        <v>146</v>
      </c>
      <c r="I59" s="136" t="n">
        <v>32000</v>
      </c>
      <c r="J59" s="136" t="inlineStr">
        <is>
          <t>13</t>
        </is>
      </c>
      <c r="K59" s="136" t="n">
        <v>28000</v>
      </c>
      <c r="L59" s="136" t="inlineStr">
        <is>
          <t>6</t>
        </is>
      </c>
      <c r="M59" s="137">
        <f>I59-K59</f>
        <v/>
      </c>
      <c r="N59" s="4">
        <f>IF(ISERROR(K59/I59),"",K59/I59)</f>
        <v/>
      </c>
      <c r="O59" s="138">
        <f>I59/E59</f>
        <v/>
      </c>
      <c r="P59" s="138">
        <f>K59/E59</f>
        <v/>
      </c>
      <c r="Q59" s="123" t="n">
        <v>3</v>
      </c>
      <c r="R59" s="123" t="n">
        <v>2</v>
      </c>
      <c r="S59" s="123" t="inlineStr">
        <is>
          <t>계</t>
        </is>
      </c>
      <c r="T59" s="5" t="inlineStr">
        <is>
          <t>115B</t>
        </is>
      </c>
      <c r="U59" s="9" t="n"/>
      <c r="W59" s="133">
        <f>D59</f>
        <v/>
      </c>
      <c r="X59" s="134">
        <f>E59</f>
        <v/>
      </c>
      <c r="Y59" s="139">
        <f>H59</f>
        <v/>
      </c>
      <c r="Z59" s="137">
        <f>I59</f>
        <v/>
      </c>
      <c r="AA59" s="137">
        <f>K59</f>
        <v/>
      </c>
      <c r="AB59" s="137">
        <f>M59</f>
        <v/>
      </c>
      <c r="AC59" s="4">
        <f>N59</f>
        <v/>
      </c>
      <c r="AD59" s="138">
        <f>O59</f>
        <v/>
      </c>
      <c r="AE59" s="123">
        <f>S59</f>
        <v/>
      </c>
      <c r="AF59" s="123">
        <f>Q59&amp;"/"&amp;R59</f>
        <v/>
      </c>
      <c r="AH59" s="20">
        <f>IF(A59="","",A59)</f>
        <v/>
      </c>
      <c r="AI59" s="134">
        <f>IF(E59="","",E59)</f>
        <v/>
      </c>
      <c r="AJ59" s="123">
        <f>IF(AI59="","",$AJ$2)</f>
        <v/>
      </c>
      <c r="AK59" s="123" t="inlineStr">
        <is>
          <t>A</t>
        </is>
      </c>
      <c r="AL59" s="123" t="inlineStr">
        <is>
          <t>A+</t>
        </is>
      </c>
      <c r="AM59" s="123" t="inlineStr">
        <is>
          <t>B+</t>
        </is>
      </c>
      <c r="AN59" s="123">
        <f>IF(AI59="","",$AN$2)</f>
        <v/>
      </c>
      <c r="AO59" s="123">
        <f>IF(N59="","",IF(N59&gt;=$AO$1/100,"O","X"))</f>
        <v/>
      </c>
      <c r="AP59" s="123">
        <f>IF(I59="","",IF(I59&lt;=$AP$1,"O","X"))</f>
        <v/>
      </c>
      <c r="AQ59" s="123">
        <f>IF(O59="","",IF(O59&lt;=$AQ$1,"O","X"))</f>
        <v/>
      </c>
      <c r="AR59" s="123">
        <f>IF(M59="","",IF(M59&lt;=$AR$1,"O","X"))</f>
        <v/>
      </c>
      <c r="AS59" s="123" t="inlineStr">
        <is>
          <t>X</t>
        </is>
      </c>
      <c r="AT59" s="123">
        <f>IF(OR(F59="",AI59=""),"",IF(AND((F59&lt;=85),(AI59&gt;=15)),"O","X"))</f>
        <v/>
      </c>
      <c r="AU59" s="123">
        <f>IF(C59="","",IF(C59&gt;=$AU$1,"O","X"))</f>
        <v/>
      </c>
      <c r="AV59" s="12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7">
      <formula>AV4="X"</formula>
    </cfRule>
    <cfRule type="expression" priority="834" dxfId="16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7">
      <formula>AV7="X"</formula>
    </cfRule>
    <cfRule type="expression" priority="814" dxfId="16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7">
      <formula>AV8="X"</formula>
    </cfRule>
    <cfRule type="expression" priority="796" dxfId="16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7">
      <formula>AV9="X"</formula>
    </cfRule>
    <cfRule type="expression" priority="778" dxfId="16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7">
      <formula>AV10="X"</formula>
    </cfRule>
    <cfRule type="expression" priority="774" dxfId="16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7">
      <formula>AV11="X"</formula>
    </cfRule>
    <cfRule type="expression" priority="756" dxfId="16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7">
      <formula>AV12="X"</formula>
    </cfRule>
    <cfRule type="expression" priority="738" dxfId="16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7">
      <formula>AV13="X"</formula>
    </cfRule>
    <cfRule type="expression" priority="720" dxfId="16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7">
      <formula>AV14="X"</formula>
    </cfRule>
    <cfRule type="expression" priority="702" dxfId="16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7">
      <formula>AV15="X"</formula>
    </cfRule>
    <cfRule type="expression" priority="684" dxfId="16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7">
      <formula>AV16="X"</formula>
    </cfRule>
    <cfRule type="expression" priority="666" dxfId="16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7">
      <formula>AV17="X"</formula>
    </cfRule>
    <cfRule type="expression" priority="662" dxfId="16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7">
      <formula>AV18="X"</formula>
    </cfRule>
    <cfRule type="expression" priority="644" dxfId="16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7">
      <formula>AV19="X"</formula>
    </cfRule>
    <cfRule type="expression" priority="626" dxfId="16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7">
      <formula>AV20="X"</formula>
    </cfRule>
    <cfRule type="expression" priority="608" dxfId="16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7">
      <formula>AV21="X"</formula>
    </cfRule>
    <cfRule type="expression" priority="590" dxfId="16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7">
      <formula>AV22="X"</formula>
    </cfRule>
    <cfRule type="expression" priority="572" dxfId="16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7">
      <formula>AV23="X"</formula>
    </cfRule>
    <cfRule type="expression" priority="568" dxfId="16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7">
      <formula>AV24="X"</formula>
    </cfRule>
    <cfRule type="expression" priority="550" dxfId="16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7">
      <formula>AV25="X"</formula>
    </cfRule>
    <cfRule type="expression" priority="532" dxfId="16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7">
      <formula>AV26="X"</formula>
    </cfRule>
    <cfRule type="expression" priority="514" dxfId="16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7">
      <formula>AV27="X"</formula>
    </cfRule>
    <cfRule type="expression" priority="496" dxfId="16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7">
      <formula>AV28="X"</formula>
    </cfRule>
    <cfRule type="expression" priority="478" dxfId="16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7">
      <formula>AV29="X"</formula>
    </cfRule>
    <cfRule type="expression" priority="474" dxfId="16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7">
      <formula>AV30="X"</formula>
    </cfRule>
    <cfRule type="expression" priority="456" dxfId="16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7">
      <formula>AV31="X"</formula>
    </cfRule>
    <cfRule type="expression" priority="438" dxfId="16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7">
      <formula>AV32="X"</formula>
    </cfRule>
    <cfRule type="expression" priority="420" dxfId="16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7">
      <formula>AV33="X"</formula>
    </cfRule>
    <cfRule type="expression" priority="402" dxfId="16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7">
      <formula>AV34="X"</formula>
    </cfRule>
    <cfRule type="expression" priority="398" dxfId="16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7">
      <formula>AV35="X"</formula>
    </cfRule>
    <cfRule type="expression" priority="380" dxfId="16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7">
      <formula>AV36="X"</formula>
    </cfRule>
    <cfRule type="expression" priority="362" dxfId="16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7">
      <formula>AV37="X"</formula>
    </cfRule>
    <cfRule type="expression" priority="344" dxfId="16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7">
      <formula>AV38="X"</formula>
    </cfRule>
    <cfRule type="expression" priority="340" dxfId="16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7">
      <formula>AV39="X"</formula>
    </cfRule>
    <cfRule type="expression" priority="322" dxfId="16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7">
      <formula>AV40="X"</formula>
    </cfRule>
    <cfRule type="expression" priority="304" dxfId="16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7">
      <formula>AV41="X"</formula>
    </cfRule>
    <cfRule type="expression" priority="286" dxfId="16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7">
      <formula>AV42="X"</formula>
    </cfRule>
    <cfRule type="expression" priority="282" dxfId="16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7">
      <formula>AV43="X"</formula>
    </cfRule>
    <cfRule type="expression" priority="264" dxfId="16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7">
      <formula>AV44="X"</formula>
    </cfRule>
    <cfRule type="expression" priority="246" dxfId="16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7">
      <formula>AV45="X"</formula>
    </cfRule>
    <cfRule type="expression" priority="228" dxfId="16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7">
      <formula>AV46="X"</formula>
    </cfRule>
    <cfRule type="expression" priority="224" dxfId="16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7">
      <formula>AV47="X"</formula>
    </cfRule>
    <cfRule type="expression" priority="206" dxfId="16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7">
      <formula>AV48="X"</formula>
    </cfRule>
    <cfRule type="expression" priority="188" dxfId="16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7">
      <formula>AV49="X"</formula>
    </cfRule>
    <cfRule type="expression" priority="170" dxfId="16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7">
      <formula>AV50="X"</formula>
    </cfRule>
    <cfRule type="expression" priority="152" dxfId="16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7">
      <formula>AV51="X"</formula>
    </cfRule>
    <cfRule type="expression" priority="148" dxfId="16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7">
      <formula>AV52="X"</formula>
    </cfRule>
    <cfRule type="expression" priority="130" dxfId="16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7">
      <formula>AV53="X"</formula>
    </cfRule>
    <cfRule type="expression" priority="112" dxfId="16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7">
      <formula>AV54="X"</formula>
    </cfRule>
    <cfRule type="expression" priority="94" dxfId="16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7">
      <formula>AV55="X"</formula>
    </cfRule>
    <cfRule type="expression" priority="76" dxfId="16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7">
      <formula>AV56="X"</formula>
    </cfRule>
    <cfRule type="expression" priority="72" dxfId="16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7">
      <formula>AV57="X"</formula>
    </cfRule>
    <cfRule type="expression" priority="54" dxfId="16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7">
      <formula>AV58="X"</formula>
    </cfRule>
    <cfRule type="expression" priority="36" dxfId="16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7">
      <formula>AV59="X"</formula>
    </cfRule>
    <cfRule type="expression" priority="18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월명</t>
        </is>
      </c>
      <c r="B6" s="10" t="inlineStr">
        <is>
          <t>'79.05.</t>
        </is>
      </c>
      <c r="C6" s="135" t="n">
        <v>240</v>
      </c>
      <c r="D6" s="133" t="n">
        <v>62</v>
      </c>
      <c r="E6" s="134" t="n">
        <v>19</v>
      </c>
      <c r="F6" s="133" t="n">
        <v>62</v>
      </c>
      <c r="G6" s="17" t="n">
        <v>19</v>
      </c>
      <c r="H6" s="135" t="n">
        <v>30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2</v>
      </c>
      <c r="R6" s="123" t="n">
        <v>1</v>
      </c>
      <c r="S6" s="123" t="inlineStr">
        <is>
          <t>계</t>
        </is>
      </c>
      <c r="T6" s="5" t="n">
        <v>61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5" t="n">
        <v>240</v>
      </c>
      <c r="D7" s="133" t="n">
        <v>70.7</v>
      </c>
      <c r="E7" s="134" t="n">
        <v>21</v>
      </c>
      <c r="F7" s="133" t="n">
        <v>70.7</v>
      </c>
      <c r="G7" s="17" t="n">
        <v>21</v>
      </c>
      <c r="H7" s="135" t="n">
        <v>30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2</v>
      </c>
      <c r="R7" s="123" t="n">
        <v>1</v>
      </c>
      <c r="S7" s="123" t="inlineStr">
        <is>
          <t>계</t>
        </is>
      </c>
      <c r="T7" s="5" t="n">
        <v>70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5" t="n">
        <v>240</v>
      </c>
      <c r="D8" s="133" t="n">
        <v>76.09999999999999</v>
      </c>
      <c r="E8" s="134" t="n">
        <v>23</v>
      </c>
      <c r="F8" s="133" t="n">
        <v>76.09999999999999</v>
      </c>
      <c r="G8" s="17" t="n">
        <v>23</v>
      </c>
      <c r="H8" s="135" t="n">
        <v>60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1</v>
      </c>
      <c r="S8" s="123" t="inlineStr">
        <is>
          <t>복</t>
        </is>
      </c>
      <c r="T8" s="5" t="n">
        <v>76</v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5" t="n">
        <v>240</v>
      </c>
      <c r="D9" s="133" t="n">
        <v>78.5</v>
      </c>
      <c r="E9" s="134" t="n">
        <v>24</v>
      </c>
      <c r="F9" s="133" t="n">
        <v>78.5</v>
      </c>
      <c r="G9" s="17" t="n">
        <v>24</v>
      </c>
      <c r="H9" s="135" t="n">
        <v>60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2</v>
      </c>
      <c r="R9" s="123" t="n">
        <v>1</v>
      </c>
      <c r="S9" s="123" t="inlineStr">
        <is>
          <t>계</t>
        </is>
      </c>
      <c r="T9" s="5" t="n">
        <v>78</v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5" t="n">
        <v>240</v>
      </c>
      <c r="D10" s="133" t="n">
        <v>81.2</v>
      </c>
      <c r="E10" s="134" t="n">
        <v>25</v>
      </c>
      <c r="F10" s="133" t="n">
        <v>81.2</v>
      </c>
      <c r="G10" s="17" t="n">
        <v>25</v>
      </c>
      <c r="H10" s="135" t="n">
        <v>40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1</v>
      </c>
      <c r="S10" s="123" t="inlineStr">
        <is>
          <t>계</t>
        </is>
      </c>
      <c r="T10" s="5" t="n">
        <v>81</v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5" t="n">
        <v>240</v>
      </c>
      <c r="D11" s="133" t="n">
        <v>83.59999999999999</v>
      </c>
      <c r="E11" s="134" t="n">
        <v>25</v>
      </c>
      <c r="F11" s="133" t="n">
        <v>83.59999999999999</v>
      </c>
      <c r="G11" s="17" t="n">
        <v>25</v>
      </c>
      <c r="H11" s="135" t="n">
        <v>20</v>
      </c>
      <c r="I11" s="136" t="n"/>
      <c r="J11" s="136" t="n"/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1</v>
      </c>
      <c r="S11" s="123" t="inlineStr">
        <is>
          <t>계</t>
        </is>
      </c>
      <c r="T11" s="5" t="n">
        <v>83</v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7">
      <formula>AV4="X"</formula>
    </cfRule>
    <cfRule type="expression" priority="110" dxfId="16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7">
      <formula>AV7="X"</formula>
    </cfRule>
    <cfRule type="expression" priority="90" dxfId="16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7">
      <formula>AV8="X"</formula>
    </cfRule>
    <cfRule type="expression" priority="72" dxfId="16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7">
      <formula>AV9="X"</formula>
    </cfRule>
    <cfRule type="expression" priority="54" dxfId="16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7">
      <formula>AV10="X"</formula>
    </cfRule>
    <cfRule type="expression" priority="36" dxfId="16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7">
      <formula>AV11="X"</formula>
    </cfRule>
    <cfRule type="expression" priority="18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한성필하우스</t>
        </is>
      </c>
      <c r="B6" s="10" t="inlineStr">
        <is>
          <t>'12.08.</t>
        </is>
      </c>
      <c r="C6" s="135" t="n">
        <v>892</v>
      </c>
      <c r="D6" s="133" t="n">
        <v>50.2</v>
      </c>
      <c r="E6" s="134" t="n">
        <v>15</v>
      </c>
      <c r="F6" s="133" t="n">
        <v>35.4</v>
      </c>
      <c r="G6" s="17" t="n">
        <v>11</v>
      </c>
      <c r="H6" s="135" t="n">
        <v>4</v>
      </c>
      <c r="I6" s="136" t="n">
        <v>8500</v>
      </c>
      <c r="J6" s="136" t="inlineStr">
        <is>
          <t>23</t>
        </is>
      </c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2</v>
      </c>
      <c r="R6" s="123" t="n">
        <v>1</v>
      </c>
      <c r="S6" s="123" t="inlineStr">
        <is>
          <t>계</t>
        </is>
      </c>
      <c r="T6" s="5" t="n">
        <v>50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5" t="n">
        <v>892</v>
      </c>
      <c r="D7" s="133" t="n">
        <v>82.59999999999999</v>
      </c>
      <c r="E7" s="134" t="n">
        <v>25</v>
      </c>
      <c r="F7" s="133" t="n">
        <v>60</v>
      </c>
      <c r="G7" s="17" t="n">
        <v>18</v>
      </c>
      <c r="H7" s="135" t="n">
        <v>17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inlineStr">
        <is>
          <t>82B</t>
        </is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5" t="n">
        <v>892</v>
      </c>
      <c r="D8" s="133" t="n">
        <v>83.8</v>
      </c>
      <c r="E8" s="134" t="n">
        <v>25</v>
      </c>
      <c r="F8" s="133" t="n">
        <v>60</v>
      </c>
      <c r="G8" s="17" t="n">
        <v>18</v>
      </c>
      <c r="H8" s="135" t="n">
        <v>51</v>
      </c>
      <c r="I8" s="136" t="n">
        <v>12800</v>
      </c>
      <c r="J8" s="136" t="inlineStr">
        <is>
          <t>13</t>
        </is>
      </c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inlineStr">
        <is>
          <t>83C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5" t="n">
        <v>892</v>
      </c>
      <c r="D9" s="133" t="n">
        <v>84.40000000000001</v>
      </c>
      <c r="E9" s="134" t="n">
        <v>26</v>
      </c>
      <c r="F9" s="133" t="n">
        <v>59.9</v>
      </c>
      <c r="G9" s="17" t="n">
        <v>18</v>
      </c>
      <c r="H9" s="135" t="n">
        <v>465</v>
      </c>
      <c r="I9" s="136" t="n">
        <v>11950</v>
      </c>
      <c r="J9" s="136" t="inlineStr">
        <is>
          <t>10</t>
        </is>
      </c>
      <c r="K9" s="136" t="n">
        <v>8000</v>
      </c>
      <c r="L9" s="136" t="inlineStr">
        <is>
          <t>16</t>
        </is>
      </c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inlineStr">
        <is>
          <t>84A</t>
        </is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7">
      <formula>AV4="X"</formula>
    </cfRule>
    <cfRule type="expression" priority="74" dxfId="16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7">
      <formula>AV7="X"</formula>
    </cfRule>
    <cfRule type="expression" priority="54" dxfId="16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7">
      <formula>AV8="X"</formula>
    </cfRule>
    <cfRule type="expression" priority="36" dxfId="16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7">
      <formula>AV9="X"</formula>
    </cfRule>
    <cfRule type="expression" priority="18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힐스테이트은파</t>
        </is>
      </c>
      <c r="B6" s="10" t="inlineStr">
        <is>
          <t>'15.09.</t>
        </is>
      </c>
      <c r="C6" s="135" t="n">
        <v>449</v>
      </c>
      <c r="D6" s="133" t="n">
        <v>110.9</v>
      </c>
      <c r="E6" s="134" t="n">
        <v>34</v>
      </c>
      <c r="F6" s="133" t="n">
        <v>85</v>
      </c>
      <c r="G6" s="17" t="n">
        <v>26</v>
      </c>
      <c r="H6" s="135" t="n">
        <v>449</v>
      </c>
      <c r="I6" s="136" t="n">
        <v>27500</v>
      </c>
      <c r="J6" s="136" t="inlineStr">
        <is>
          <t>18</t>
        </is>
      </c>
      <c r="K6" s="136" t="n">
        <v>23000</v>
      </c>
      <c r="L6" s="136" t="inlineStr">
        <is>
          <t>14</t>
        </is>
      </c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n">
        <v>110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n"/>
      <c r="B7" s="123" t="n"/>
      <c r="C7" s="6" t="n"/>
      <c r="D7" s="9" t="n"/>
      <c r="E7" s="14" t="n"/>
      <c r="F7" s="133" t="n"/>
      <c r="G7" s="9" t="n"/>
      <c r="H7" s="9" t="n"/>
      <c r="I7" s="9" t="n"/>
      <c r="J7" s="9" t="n"/>
      <c r="K7" s="9" t="n"/>
      <c r="L7" s="9" t="n"/>
      <c r="M7" s="9" t="n"/>
      <c r="N7" s="9" t="n"/>
      <c r="O7" s="138" t="n"/>
      <c r="P7" s="138" t="n"/>
      <c r="Q7" s="134" t="n"/>
      <c r="R7" s="134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8">
        <f>IF(E7="","",E7)</f>
        <v/>
      </c>
      <c r="AJ7" s="123" t="n"/>
      <c r="AK7" s="123" t="n"/>
      <c r="AL7" s="123" t="n"/>
      <c r="AM7" s="123" t="n"/>
      <c r="AN7" s="123" t="n"/>
      <c r="AO7" s="123" t="n"/>
      <c r="AP7" s="123" t="n"/>
      <c r="AQ7" s="123" t="n"/>
      <c r="AR7" s="123" t="n"/>
      <c r="AS7" s="123" t="n"/>
      <c r="AT7" s="123" t="n"/>
      <c r="AU7" s="123" t="n"/>
      <c r="AV7" s="123" t="n"/>
    </row>
    <row r="8">
      <c r="A8" s="9" t="inlineStr">
        <is>
          <t>군산대광로제비앙</t>
        </is>
      </c>
      <c r="B8" s="10" t="inlineStr">
        <is>
          <t>'17.12.</t>
        </is>
      </c>
      <c r="C8" s="135" t="n">
        <v>469</v>
      </c>
      <c r="D8" s="133" t="n">
        <v>109.8</v>
      </c>
      <c r="E8" s="134" t="n">
        <v>33</v>
      </c>
      <c r="F8" s="133" t="n">
        <v>85</v>
      </c>
      <c r="G8" s="17" t="n">
        <v>26</v>
      </c>
      <c r="H8" s="135" t="n">
        <v>380</v>
      </c>
      <c r="I8" s="136" t="n">
        <v>31000</v>
      </c>
      <c r="J8" s="136" t="inlineStr">
        <is>
          <t>19</t>
        </is>
      </c>
      <c r="K8" s="136" t="n">
        <v>30000</v>
      </c>
      <c r="L8" s="136" t="inlineStr">
        <is>
          <t>11</t>
        </is>
      </c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inlineStr">
        <is>
          <t>109A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5" t="n">
        <v>469</v>
      </c>
      <c r="D9" s="133" t="n">
        <v>111.4</v>
      </c>
      <c r="E9" s="134" t="n">
        <v>34</v>
      </c>
      <c r="F9" s="133" t="n">
        <v>85</v>
      </c>
      <c r="G9" s="17" t="n">
        <v>26</v>
      </c>
      <c r="H9" s="135" t="n">
        <v>46</v>
      </c>
      <c r="I9" s="136" t="n">
        <v>31500</v>
      </c>
      <c r="J9" s="136" t="inlineStr">
        <is>
          <t>8</t>
        </is>
      </c>
      <c r="K9" s="136" t="n">
        <v>26000</v>
      </c>
      <c r="L9" s="136" t="inlineStr">
        <is>
          <t>21</t>
        </is>
      </c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inlineStr">
        <is>
          <t>111B</t>
        </is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5" t="n">
        <v>469</v>
      </c>
      <c r="D10" s="133" t="n">
        <v>111.6</v>
      </c>
      <c r="E10" s="134" t="n">
        <v>34</v>
      </c>
      <c r="F10" s="133" t="n">
        <v>85</v>
      </c>
      <c r="G10" s="17" t="n">
        <v>26</v>
      </c>
      <c r="H10" s="135" t="n">
        <v>43</v>
      </c>
      <c r="I10" s="136" t="n"/>
      <c r="J10" s="136" t="n"/>
      <c r="K10" s="136" t="n"/>
      <c r="L10" s="136" t="n"/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inlineStr">
        <is>
          <t>111C</t>
        </is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7">
      <formula>AV7="X"</formula>
    </cfRule>
    <cfRule type="expression" priority="58" dxfId="16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7">
      <formula>AV8="X"</formula>
    </cfRule>
    <cfRule type="expression" priority="54" dxfId="16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7">
      <formula>AV9="X"</formula>
    </cfRule>
    <cfRule type="expression" priority="36" dxfId="16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7">
      <formula>AV10="X"</formula>
    </cfRule>
    <cfRule type="expression" priority="18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클래시움</t>
        </is>
      </c>
      <c r="B6" s="10" t="inlineStr">
        <is>
          <t>'04.05.</t>
        </is>
      </c>
      <c r="C6" s="135" t="n">
        <v>210</v>
      </c>
      <c r="D6" s="133" t="n">
        <v>126.8</v>
      </c>
      <c r="E6" s="134" t="n">
        <v>38</v>
      </c>
      <c r="F6" s="133" t="n">
        <v>101.7</v>
      </c>
      <c r="G6" s="17" t="n">
        <v>31</v>
      </c>
      <c r="H6" s="135" t="n">
        <v>120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n">
        <v>126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5" t="n">
        <v>210</v>
      </c>
      <c r="D7" s="133" t="n">
        <v>165</v>
      </c>
      <c r="E7" s="134" t="n">
        <v>50</v>
      </c>
      <c r="F7" s="133" t="n">
        <v>142.1</v>
      </c>
      <c r="G7" s="17" t="n">
        <v>43</v>
      </c>
      <c r="H7" s="135" t="n">
        <v>30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4</v>
      </c>
      <c r="R7" s="123" t="n">
        <v>2</v>
      </c>
      <c r="S7" s="123" t="inlineStr">
        <is>
          <t>계</t>
        </is>
      </c>
      <c r="T7" s="5" t="n">
        <v>164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5" t="n">
        <v>210</v>
      </c>
      <c r="D8" s="133" t="n">
        <v>189.9</v>
      </c>
      <c r="E8" s="134" t="n">
        <v>57</v>
      </c>
      <c r="F8" s="133" t="n">
        <v>166.5</v>
      </c>
      <c r="G8" s="17" t="n">
        <v>50</v>
      </c>
      <c r="H8" s="135" t="n">
        <v>45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4</v>
      </c>
      <c r="R8" s="123" t="n">
        <v>2</v>
      </c>
      <c r="S8" s="123" t="inlineStr">
        <is>
          <t>계</t>
        </is>
      </c>
      <c r="T8" s="5" t="n">
        <v>189</v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5" t="n">
        <v>210</v>
      </c>
      <c r="D9" s="133" t="n">
        <v>193.8</v>
      </c>
      <c r="E9" s="134" t="n">
        <v>59</v>
      </c>
      <c r="F9" s="133" t="n">
        <v>170.4</v>
      </c>
      <c r="G9" s="17" t="n">
        <v>52</v>
      </c>
      <c r="H9" s="135" t="n">
        <v>15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4</v>
      </c>
      <c r="R9" s="123" t="n">
        <v>2</v>
      </c>
      <c r="S9" s="123" t="inlineStr">
        <is>
          <t>계</t>
        </is>
      </c>
      <c r="T9" s="5" t="n">
        <v>193</v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7">
      <formula>AV4="X"</formula>
    </cfRule>
    <cfRule type="expression" priority="74" dxfId="16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7">
      <formula>AV7="X"</formula>
    </cfRule>
    <cfRule type="expression" priority="54" dxfId="16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7">
      <formula>AV8="X"</formula>
    </cfRule>
    <cfRule type="expression" priority="36" dxfId="16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7">
      <formula>AV9="X"</formula>
    </cfRule>
    <cfRule type="expression" priority="18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현대세솔</t>
        </is>
      </c>
      <c r="B6" s="10" t="inlineStr">
        <is>
          <t>'02.03.</t>
        </is>
      </c>
      <c r="C6" s="135" t="n">
        <v>547</v>
      </c>
      <c r="D6" s="133" t="n">
        <v>76.5</v>
      </c>
      <c r="E6" s="134" t="n">
        <v>23</v>
      </c>
      <c r="F6" s="133" t="n">
        <v>59.7</v>
      </c>
      <c r="G6" s="17" t="n">
        <v>18</v>
      </c>
      <c r="H6" s="135" t="n">
        <v>48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2</v>
      </c>
      <c r="R6" s="123" t="n">
        <v>1</v>
      </c>
      <c r="S6" s="123" t="inlineStr">
        <is>
          <t>계</t>
        </is>
      </c>
      <c r="T6" s="5" t="n">
        <v>76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5" t="n">
        <v>547</v>
      </c>
      <c r="D7" s="133" t="n">
        <v>82.5</v>
      </c>
      <c r="E7" s="134" t="n">
        <v>25</v>
      </c>
      <c r="F7" s="133" t="n">
        <v>60</v>
      </c>
      <c r="G7" s="17" t="n">
        <v>18</v>
      </c>
      <c r="H7" s="135" t="n">
        <v>259</v>
      </c>
      <c r="I7" s="136" t="n"/>
      <c r="J7" s="136" t="n"/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2</v>
      </c>
      <c r="R7" s="123" t="n">
        <v>1</v>
      </c>
      <c r="S7" s="123" t="inlineStr">
        <is>
          <t>계</t>
        </is>
      </c>
      <c r="T7" s="5" t="n">
        <v>82</v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5" t="n">
        <v>547</v>
      </c>
      <c r="D8" s="133" t="n">
        <v>103.1</v>
      </c>
      <c r="E8" s="134" t="n">
        <v>31</v>
      </c>
      <c r="F8" s="133" t="n">
        <v>85</v>
      </c>
      <c r="G8" s="17" t="n">
        <v>26</v>
      </c>
      <c r="H8" s="135" t="n">
        <v>210</v>
      </c>
      <c r="I8" s="136" t="n"/>
      <c r="J8" s="136" t="n"/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복</t>
        </is>
      </c>
      <c r="T8" s="5" t="inlineStr">
        <is>
          <t>103A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5" t="n">
        <v>547</v>
      </c>
      <c r="D9" s="133" t="n">
        <v>103.1</v>
      </c>
      <c r="E9" s="134" t="n">
        <v>31</v>
      </c>
      <c r="F9" s="133" t="n">
        <v>85</v>
      </c>
      <c r="G9" s="17" t="n">
        <v>26</v>
      </c>
      <c r="H9" s="135" t="n">
        <v>30</v>
      </c>
      <c r="I9" s="136" t="n"/>
      <c r="J9" s="136" t="n"/>
      <c r="K9" s="136" t="n"/>
      <c r="L9" s="136" t="n"/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inlineStr">
        <is>
          <t>103B</t>
        </is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7">
      <formula>AV4="X"</formula>
    </cfRule>
    <cfRule type="expression" priority="74" dxfId="16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7">
      <formula>AV7="X"</formula>
    </cfRule>
    <cfRule type="expression" priority="54" dxfId="16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7">
      <formula>AV8="X"</formula>
    </cfRule>
    <cfRule type="expression" priority="36" dxfId="16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7">
      <formula>AV9="X"</formula>
    </cfRule>
    <cfRule type="expression" priority="18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5" t="n">
        <v>1400</v>
      </c>
      <c r="D6" s="133" t="n">
        <v>82</v>
      </c>
      <c r="E6" s="134" t="n">
        <v>25</v>
      </c>
      <c r="F6" s="133" t="n">
        <v>60</v>
      </c>
      <c r="G6" s="17" t="n">
        <v>18</v>
      </c>
      <c r="H6" s="135" t="n">
        <v>189</v>
      </c>
      <c r="I6" s="136" t="n">
        <v>33000</v>
      </c>
      <c r="J6" s="136" t="inlineStr">
        <is>
          <t>23</t>
        </is>
      </c>
      <c r="K6" s="136" t="n">
        <v>25000</v>
      </c>
      <c r="L6" s="136" t="inlineStr">
        <is>
          <t>13</t>
        </is>
      </c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inlineStr">
        <is>
          <t>81A</t>
        </is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5" t="n">
        <v>1400</v>
      </c>
      <c r="D7" s="133" t="n">
        <v>82.40000000000001</v>
      </c>
      <c r="E7" s="134" t="n">
        <v>25</v>
      </c>
      <c r="F7" s="133" t="n">
        <v>59.2</v>
      </c>
      <c r="G7" s="17" t="n">
        <v>18</v>
      </c>
      <c r="H7" s="135" t="n">
        <v>55</v>
      </c>
      <c r="I7" s="136" t="n">
        <v>35000</v>
      </c>
      <c r="J7" s="136" t="inlineStr">
        <is>
          <t>17</t>
        </is>
      </c>
      <c r="K7" s="136" t="n"/>
      <c r="L7" s="136" t="n"/>
      <c r="M7" s="137">
        <f>I7-K7</f>
        <v/>
      </c>
      <c r="N7" s="4">
        <f>IF(ISERROR(K7/I7),"",K7/I7)</f>
        <v/>
      </c>
      <c r="O7" s="138">
        <f>I7/E7</f>
        <v/>
      </c>
      <c r="P7" s="138">
        <f>K7/E7</f>
        <v/>
      </c>
      <c r="Q7" s="123" t="n">
        <v>3</v>
      </c>
      <c r="R7" s="123" t="n">
        <v>2</v>
      </c>
      <c r="S7" s="123" t="inlineStr">
        <is>
          <t>계</t>
        </is>
      </c>
      <c r="T7" s="5" t="inlineStr">
        <is>
          <t>82B</t>
        </is>
      </c>
      <c r="U7" s="9" t="n"/>
      <c r="W7" s="133">
        <f>D7</f>
        <v/>
      </c>
      <c r="X7" s="134">
        <f>E7</f>
        <v/>
      </c>
      <c r="Y7" s="139">
        <f>H7</f>
        <v/>
      </c>
      <c r="Z7" s="137">
        <f>I7</f>
        <v/>
      </c>
      <c r="AA7" s="137">
        <f>K7</f>
        <v/>
      </c>
      <c r="AB7" s="137">
        <f>M7</f>
        <v/>
      </c>
      <c r="AC7" s="4">
        <f>N7</f>
        <v/>
      </c>
      <c r="AD7" s="138">
        <f>O7</f>
        <v/>
      </c>
      <c r="AE7" s="123">
        <f>S7</f>
        <v/>
      </c>
      <c r="AF7" s="123">
        <f>Q7&amp;"/"&amp;R7</f>
        <v/>
      </c>
      <c r="AH7" s="20">
        <f>IF(A7="","",A7)</f>
        <v/>
      </c>
      <c r="AI7" s="134">
        <f>IF(E7="","",E7)</f>
        <v/>
      </c>
      <c r="AJ7" s="123">
        <f>IF(AI7="","",$AJ$2)</f>
        <v/>
      </c>
      <c r="AK7" s="123" t="inlineStr">
        <is>
          <t>A</t>
        </is>
      </c>
      <c r="AL7" s="123" t="inlineStr">
        <is>
          <t>A+</t>
        </is>
      </c>
      <c r="AM7" s="123" t="inlineStr">
        <is>
          <t>B+</t>
        </is>
      </c>
      <c r="AN7" s="123">
        <f>IF(AI7="","",$AN$2)</f>
        <v/>
      </c>
      <c r="AO7" s="123">
        <f>IF(N7="","",IF(N7&gt;=$AO$1/100,"O","X"))</f>
        <v/>
      </c>
      <c r="AP7" s="123">
        <f>IF(I7="","",IF(I7&lt;=$AP$1,"O","X"))</f>
        <v/>
      </c>
      <c r="AQ7" s="123">
        <f>IF(O7="","",IF(O7&lt;=$AQ$1,"O","X"))</f>
        <v/>
      </c>
      <c r="AR7" s="123">
        <f>IF(M7="","",IF(M7&lt;=$AR$1,"O","X"))</f>
        <v/>
      </c>
      <c r="AS7" s="123" t="inlineStr">
        <is>
          <t>X</t>
        </is>
      </c>
      <c r="AT7" s="123">
        <f>IF(OR(F7="",AI7=""),"",IF(AND((F7&lt;=85),(AI7&gt;=15)),"O","X"))</f>
        <v/>
      </c>
      <c r="AU7" s="123">
        <f>IF(C7="","",IF(C7&gt;=$AU$1,"O","X"))</f>
        <v/>
      </c>
      <c r="AV7" s="123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5" t="n">
        <v>1400</v>
      </c>
      <c r="D8" s="133" t="n">
        <v>101.7</v>
      </c>
      <c r="E8" s="134" t="n">
        <v>31</v>
      </c>
      <c r="F8" s="133" t="n">
        <v>74.90000000000001</v>
      </c>
      <c r="G8" s="17" t="n">
        <v>23</v>
      </c>
      <c r="H8" s="135" t="n">
        <v>279</v>
      </c>
      <c r="I8" s="136" t="n">
        <v>44000</v>
      </c>
      <c r="J8" s="136" t="inlineStr">
        <is>
          <t>26</t>
        </is>
      </c>
      <c r="K8" s="136" t="n"/>
      <c r="L8" s="136" t="n"/>
      <c r="M8" s="137">
        <f>I8-K8</f>
        <v/>
      </c>
      <c r="N8" s="4">
        <f>IF(ISERROR(K8/I8),"",K8/I8)</f>
        <v/>
      </c>
      <c r="O8" s="138">
        <f>I8/E8</f>
        <v/>
      </c>
      <c r="P8" s="138">
        <f>K8/E8</f>
        <v/>
      </c>
      <c r="Q8" s="123" t="n">
        <v>3</v>
      </c>
      <c r="R8" s="123" t="n">
        <v>2</v>
      </c>
      <c r="S8" s="123" t="inlineStr">
        <is>
          <t>계</t>
        </is>
      </c>
      <c r="T8" s="5" t="inlineStr">
        <is>
          <t>101A</t>
        </is>
      </c>
      <c r="U8" s="9" t="n"/>
      <c r="W8" s="133">
        <f>D8</f>
        <v/>
      </c>
      <c r="X8" s="134">
        <f>E8</f>
        <v/>
      </c>
      <c r="Y8" s="139">
        <f>H8</f>
        <v/>
      </c>
      <c r="Z8" s="137">
        <f>I8</f>
        <v/>
      </c>
      <c r="AA8" s="137">
        <f>K8</f>
        <v/>
      </c>
      <c r="AB8" s="137">
        <f>M8</f>
        <v/>
      </c>
      <c r="AC8" s="4">
        <f>N8</f>
        <v/>
      </c>
      <c r="AD8" s="138">
        <f>O8</f>
        <v/>
      </c>
      <c r="AE8" s="123">
        <f>S8</f>
        <v/>
      </c>
      <c r="AF8" s="123">
        <f>Q8&amp;"/"&amp;R8</f>
        <v/>
      </c>
      <c r="AH8" s="20">
        <f>IF(A8="","",A8)</f>
        <v/>
      </c>
      <c r="AI8" s="134">
        <f>IF(E8="","",E8)</f>
        <v/>
      </c>
      <c r="AJ8" s="123">
        <f>IF(AI8="","",$AJ$2)</f>
        <v/>
      </c>
      <c r="AK8" s="123" t="inlineStr">
        <is>
          <t>A</t>
        </is>
      </c>
      <c r="AL8" s="123" t="inlineStr">
        <is>
          <t>A+</t>
        </is>
      </c>
      <c r="AM8" s="123" t="inlineStr">
        <is>
          <t>B+</t>
        </is>
      </c>
      <c r="AN8" s="123">
        <f>IF(AI8="","",$AN$2)</f>
        <v/>
      </c>
      <c r="AO8" s="123">
        <f>IF(N8="","",IF(N8&gt;=$AO$1/100,"O","X"))</f>
        <v/>
      </c>
      <c r="AP8" s="123">
        <f>IF(I8="","",IF(I8&lt;=$AP$1,"O","X"))</f>
        <v/>
      </c>
      <c r="AQ8" s="123">
        <f>IF(O8="","",IF(O8&lt;=$AQ$1,"O","X"))</f>
        <v/>
      </c>
      <c r="AR8" s="123">
        <f>IF(M8="","",IF(M8&lt;=$AR$1,"O","X"))</f>
        <v/>
      </c>
      <c r="AS8" s="123" t="inlineStr">
        <is>
          <t>X</t>
        </is>
      </c>
      <c r="AT8" s="123">
        <f>IF(OR(F8="",AI8=""),"",IF(AND((F8&lt;=85),(AI8&gt;=15)),"O","X"))</f>
        <v/>
      </c>
      <c r="AU8" s="123">
        <f>IF(C8="","",IF(C8&gt;=$AU$1,"O","X"))</f>
        <v/>
      </c>
      <c r="AV8" s="123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5" t="n">
        <v>1400</v>
      </c>
      <c r="D9" s="133" t="n">
        <v>102.3</v>
      </c>
      <c r="E9" s="134" t="n">
        <v>31</v>
      </c>
      <c r="F9" s="133" t="n">
        <v>74.8</v>
      </c>
      <c r="G9" s="17" t="n">
        <v>23</v>
      </c>
      <c r="H9" s="135" t="n">
        <v>113</v>
      </c>
      <c r="I9" s="136" t="n">
        <v>43000</v>
      </c>
      <c r="J9" s="136" t="inlineStr">
        <is>
          <t>25</t>
        </is>
      </c>
      <c r="K9" s="136" t="n">
        <v>30000</v>
      </c>
      <c r="L9" s="136" t="inlineStr">
        <is>
          <t>12</t>
        </is>
      </c>
      <c r="M9" s="137">
        <f>I9-K9</f>
        <v/>
      </c>
      <c r="N9" s="4">
        <f>IF(ISERROR(K9/I9),"",K9/I9)</f>
        <v/>
      </c>
      <c r="O9" s="138">
        <f>I9/E9</f>
        <v/>
      </c>
      <c r="P9" s="138">
        <f>K9/E9</f>
        <v/>
      </c>
      <c r="Q9" s="123" t="n">
        <v>3</v>
      </c>
      <c r="R9" s="123" t="n">
        <v>2</v>
      </c>
      <c r="S9" s="123" t="inlineStr">
        <is>
          <t>계</t>
        </is>
      </c>
      <c r="T9" s="5" t="inlineStr">
        <is>
          <t>102C</t>
        </is>
      </c>
      <c r="U9" s="9" t="n"/>
      <c r="W9" s="133">
        <f>D9</f>
        <v/>
      </c>
      <c r="X9" s="134">
        <f>E9</f>
        <v/>
      </c>
      <c r="Y9" s="139">
        <f>H9</f>
        <v/>
      </c>
      <c r="Z9" s="137">
        <f>I9</f>
        <v/>
      </c>
      <c r="AA9" s="137">
        <f>K9</f>
        <v/>
      </c>
      <c r="AB9" s="137">
        <f>M9</f>
        <v/>
      </c>
      <c r="AC9" s="4">
        <f>N9</f>
        <v/>
      </c>
      <c r="AD9" s="138">
        <f>O9</f>
        <v/>
      </c>
      <c r="AE9" s="123">
        <f>S9</f>
        <v/>
      </c>
      <c r="AF9" s="123">
        <f>Q9&amp;"/"&amp;R9</f>
        <v/>
      </c>
      <c r="AH9" s="20">
        <f>IF(A9="","",A9)</f>
        <v/>
      </c>
      <c r="AI9" s="134">
        <f>IF(E9="","",E9)</f>
        <v/>
      </c>
      <c r="AJ9" s="123">
        <f>IF(AI9="","",$AJ$2)</f>
        <v/>
      </c>
      <c r="AK9" s="123" t="inlineStr">
        <is>
          <t>A</t>
        </is>
      </c>
      <c r="AL9" s="123" t="inlineStr">
        <is>
          <t>A+</t>
        </is>
      </c>
      <c r="AM9" s="123" t="inlineStr">
        <is>
          <t>B+</t>
        </is>
      </c>
      <c r="AN9" s="123">
        <f>IF(AI9="","",$AN$2)</f>
        <v/>
      </c>
      <c r="AO9" s="123">
        <f>IF(N9="","",IF(N9&gt;=$AO$1/100,"O","X"))</f>
        <v/>
      </c>
      <c r="AP9" s="123">
        <f>IF(I9="","",IF(I9&lt;=$AP$1,"O","X"))</f>
        <v/>
      </c>
      <c r="AQ9" s="123">
        <f>IF(O9="","",IF(O9&lt;=$AQ$1,"O","X"))</f>
        <v/>
      </c>
      <c r="AR9" s="123">
        <f>IF(M9="","",IF(M9&lt;=$AR$1,"O","X"))</f>
        <v/>
      </c>
      <c r="AS9" s="123" t="inlineStr">
        <is>
          <t>X</t>
        </is>
      </c>
      <c r="AT9" s="123">
        <f>IF(OR(F9="",AI9=""),"",IF(AND((F9&lt;=85),(AI9&gt;=15)),"O","X"))</f>
        <v/>
      </c>
      <c r="AU9" s="123">
        <f>IF(C9="","",IF(C9&gt;=$AU$1,"O","X"))</f>
        <v/>
      </c>
      <c r="AV9" s="123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5" t="n">
        <v>1400</v>
      </c>
      <c r="D10" s="133" t="n">
        <v>102.3</v>
      </c>
      <c r="E10" s="134" t="n">
        <v>31</v>
      </c>
      <c r="F10" s="133" t="n">
        <v>74.8</v>
      </c>
      <c r="G10" s="17" t="n">
        <v>23</v>
      </c>
      <c r="H10" s="135" t="n">
        <v>110</v>
      </c>
      <c r="I10" s="136" t="n">
        <v>43000</v>
      </c>
      <c r="J10" s="136" t="inlineStr">
        <is>
          <t>25</t>
        </is>
      </c>
      <c r="K10" s="136" t="n">
        <v>30000</v>
      </c>
      <c r="L10" s="136" t="inlineStr">
        <is>
          <t>12</t>
        </is>
      </c>
      <c r="M10" s="137">
        <f>I10-K10</f>
        <v/>
      </c>
      <c r="N10" s="4">
        <f>IF(ISERROR(K10/I10),"",K10/I10)</f>
        <v/>
      </c>
      <c r="O10" s="138">
        <f>I10/E10</f>
        <v/>
      </c>
      <c r="P10" s="138">
        <f>K10/E10</f>
        <v/>
      </c>
      <c r="Q10" s="123" t="n">
        <v>3</v>
      </c>
      <c r="R10" s="123" t="n">
        <v>2</v>
      </c>
      <c r="S10" s="123" t="inlineStr">
        <is>
          <t>계</t>
        </is>
      </c>
      <c r="T10" s="5" t="inlineStr">
        <is>
          <t>102B</t>
        </is>
      </c>
      <c r="U10" s="9" t="n"/>
      <c r="W10" s="133">
        <f>D10</f>
        <v/>
      </c>
      <c r="X10" s="134">
        <f>E10</f>
        <v/>
      </c>
      <c r="Y10" s="139">
        <f>H10</f>
        <v/>
      </c>
      <c r="Z10" s="137">
        <f>I10</f>
        <v/>
      </c>
      <c r="AA10" s="137">
        <f>K10</f>
        <v/>
      </c>
      <c r="AB10" s="137">
        <f>M10</f>
        <v/>
      </c>
      <c r="AC10" s="4">
        <f>N10</f>
        <v/>
      </c>
      <c r="AD10" s="138">
        <f>O10</f>
        <v/>
      </c>
      <c r="AE10" s="123">
        <f>S10</f>
        <v/>
      </c>
      <c r="AF10" s="123">
        <f>Q10&amp;"/"&amp;R10</f>
        <v/>
      </c>
      <c r="AH10" s="20">
        <f>IF(A10="","",A10)</f>
        <v/>
      </c>
      <c r="AI10" s="134">
        <f>IF(E10="","",E10)</f>
        <v/>
      </c>
      <c r="AJ10" s="123">
        <f>IF(AI10="","",$AJ$2)</f>
        <v/>
      </c>
      <c r="AK10" s="123" t="inlineStr">
        <is>
          <t>A</t>
        </is>
      </c>
      <c r="AL10" s="123" t="inlineStr">
        <is>
          <t>A+</t>
        </is>
      </c>
      <c r="AM10" s="123" t="inlineStr">
        <is>
          <t>B+</t>
        </is>
      </c>
      <c r="AN10" s="123">
        <f>IF(AI10="","",$AN$2)</f>
        <v/>
      </c>
      <c r="AO10" s="123">
        <f>IF(N10="","",IF(N10&gt;=$AO$1/100,"O","X"))</f>
        <v/>
      </c>
      <c r="AP10" s="123">
        <f>IF(I10="","",IF(I10&lt;=$AP$1,"O","X"))</f>
        <v/>
      </c>
      <c r="AQ10" s="123">
        <f>IF(O10="","",IF(O10&lt;=$AQ$1,"O","X"))</f>
        <v/>
      </c>
      <c r="AR10" s="123">
        <f>IF(M10="","",IF(M10&lt;=$AR$1,"O","X"))</f>
        <v/>
      </c>
      <c r="AS10" s="123" t="inlineStr">
        <is>
          <t>X</t>
        </is>
      </c>
      <c r="AT10" s="123">
        <f>IF(OR(F10="",AI10=""),"",IF(AND((F10&lt;=85),(AI10&gt;=15)),"O","X"))</f>
        <v/>
      </c>
      <c r="AU10" s="123">
        <f>IF(C10="","",IF(C10&gt;=$AU$1,"O","X"))</f>
        <v/>
      </c>
      <c r="AV10" s="123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5" t="n">
        <v>1400</v>
      </c>
      <c r="D11" s="133" t="n">
        <v>114.5</v>
      </c>
      <c r="E11" s="134" t="n">
        <v>35</v>
      </c>
      <c r="F11" s="133" t="n">
        <v>84.7</v>
      </c>
      <c r="G11" s="17" t="n">
        <v>26</v>
      </c>
      <c r="H11" s="135" t="n">
        <v>215</v>
      </c>
      <c r="I11" s="136" t="n">
        <v>49500</v>
      </c>
      <c r="J11" s="136" t="inlineStr">
        <is>
          <t>28</t>
        </is>
      </c>
      <c r="K11" s="136" t="n"/>
      <c r="L11" s="136" t="n"/>
      <c r="M11" s="137">
        <f>I11-K11</f>
        <v/>
      </c>
      <c r="N11" s="4">
        <f>IF(ISERROR(K11/I11),"",K11/I11)</f>
        <v/>
      </c>
      <c r="O11" s="138">
        <f>I11/E11</f>
        <v/>
      </c>
      <c r="P11" s="138">
        <f>K11/E11</f>
        <v/>
      </c>
      <c r="Q11" s="123" t="n">
        <v>3</v>
      </c>
      <c r="R11" s="123" t="n">
        <v>2</v>
      </c>
      <c r="S11" s="123" t="inlineStr">
        <is>
          <t>계</t>
        </is>
      </c>
      <c r="T11" s="5" t="inlineStr">
        <is>
          <t>114A</t>
        </is>
      </c>
      <c r="U11" s="9" t="n"/>
      <c r="W11" s="133">
        <f>D11</f>
        <v/>
      </c>
      <c r="X11" s="134">
        <f>E11</f>
        <v/>
      </c>
      <c r="Y11" s="139">
        <f>H11</f>
        <v/>
      </c>
      <c r="Z11" s="137">
        <f>I11</f>
        <v/>
      </c>
      <c r="AA11" s="137">
        <f>K11</f>
        <v/>
      </c>
      <c r="AB11" s="137">
        <f>M11</f>
        <v/>
      </c>
      <c r="AC11" s="4">
        <f>N11</f>
        <v/>
      </c>
      <c r="AD11" s="138">
        <f>O11</f>
        <v/>
      </c>
      <c r="AE11" s="123">
        <f>S11</f>
        <v/>
      </c>
      <c r="AF11" s="123">
        <f>Q11&amp;"/"&amp;R11</f>
        <v/>
      </c>
      <c r="AH11" s="20">
        <f>IF(A11="","",A11)</f>
        <v/>
      </c>
      <c r="AI11" s="134">
        <f>IF(E11="","",E11)</f>
        <v/>
      </c>
      <c r="AJ11" s="123">
        <f>IF(AI11="","",$AJ$2)</f>
        <v/>
      </c>
      <c r="AK11" s="123" t="inlineStr">
        <is>
          <t>A</t>
        </is>
      </c>
      <c r="AL11" s="123" t="inlineStr">
        <is>
          <t>A+</t>
        </is>
      </c>
      <c r="AM11" s="123" t="inlineStr">
        <is>
          <t>B+</t>
        </is>
      </c>
      <c r="AN11" s="123">
        <f>IF(AI11="","",$AN$2)</f>
        <v/>
      </c>
      <c r="AO11" s="123">
        <f>IF(N11="","",IF(N11&gt;=$AO$1/100,"O","X"))</f>
        <v/>
      </c>
      <c r="AP11" s="123">
        <f>IF(I11="","",IF(I11&lt;=$AP$1,"O","X"))</f>
        <v/>
      </c>
      <c r="AQ11" s="123">
        <f>IF(O11="","",IF(O11&lt;=$AQ$1,"O","X"))</f>
        <v/>
      </c>
      <c r="AR11" s="123">
        <f>IF(M11="","",IF(M11&lt;=$AR$1,"O","X"))</f>
        <v/>
      </c>
      <c r="AS11" s="123" t="inlineStr">
        <is>
          <t>X</t>
        </is>
      </c>
      <c r="AT11" s="123">
        <f>IF(OR(F11="",AI11=""),"",IF(AND((F11&lt;=85),(AI11&gt;=15)),"O","X"))</f>
        <v/>
      </c>
      <c r="AU11" s="123">
        <f>IF(C11="","",IF(C11&gt;=$AU$1,"O","X"))</f>
        <v/>
      </c>
      <c r="AV11" s="123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5" t="n">
        <v>1400</v>
      </c>
      <c r="D12" s="133" t="n">
        <v>114.3</v>
      </c>
      <c r="E12" s="134" t="n">
        <v>35</v>
      </c>
      <c r="F12" s="133" t="n">
        <v>84.59999999999999</v>
      </c>
      <c r="G12" s="17" t="n">
        <v>26</v>
      </c>
      <c r="H12" s="135" t="n">
        <v>128</v>
      </c>
      <c r="I12" s="136" t="n">
        <v>51000</v>
      </c>
      <c r="J12" s="136" t="inlineStr">
        <is>
          <t>11</t>
        </is>
      </c>
      <c r="K12" s="136" t="n">
        <v>34000</v>
      </c>
      <c r="L12" s="136" t="inlineStr">
        <is>
          <t>6</t>
        </is>
      </c>
      <c r="M12" s="137">
        <f>I12-K12</f>
        <v/>
      </c>
      <c r="N12" s="4">
        <f>IF(ISERROR(K12/I12),"",K12/I12)</f>
        <v/>
      </c>
      <c r="O12" s="138">
        <f>I12/E12</f>
        <v/>
      </c>
      <c r="P12" s="138">
        <f>K12/E12</f>
        <v/>
      </c>
      <c r="Q12" s="123" t="n">
        <v>3</v>
      </c>
      <c r="R12" s="123" t="n">
        <v>2</v>
      </c>
      <c r="S12" s="123" t="inlineStr">
        <is>
          <t>계</t>
        </is>
      </c>
      <c r="T12" s="5" t="n">
        <v>114</v>
      </c>
      <c r="U12" s="9" t="n"/>
      <c r="W12" s="133">
        <f>D12</f>
        <v/>
      </c>
      <c r="X12" s="134">
        <f>E12</f>
        <v/>
      </c>
      <c r="Y12" s="139">
        <f>H12</f>
        <v/>
      </c>
      <c r="Z12" s="137">
        <f>I12</f>
        <v/>
      </c>
      <c r="AA12" s="137">
        <f>K12</f>
        <v/>
      </c>
      <c r="AB12" s="137">
        <f>M12</f>
        <v/>
      </c>
      <c r="AC12" s="4">
        <f>N12</f>
        <v/>
      </c>
      <c r="AD12" s="138">
        <f>O12</f>
        <v/>
      </c>
      <c r="AE12" s="123">
        <f>S12</f>
        <v/>
      </c>
      <c r="AF12" s="123">
        <f>Q12&amp;"/"&amp;R12</f>
        <v/>
      </c>
      <c r="AH12" s="20">
        <f>IF(A12="","",A12)</f>
        <v/>
      </c>
      <c r="AI12" s="134">
        <f>IF(E12="","",E12)</f>
        <v/>
      </c>
      <c r="AJ12" s="123">
        <f>IF(AI12="","",$AJ$2)</f>
        <v/>
      </c>
      <c r="AK12" s="123" t="inlineStr">
        <is>
          <t>A</t>
        </is>
      </c>
      <c r="AL12" s="123" t="inlineStr">
        <is>
          <t>A+</t>
        </is>
      </c>
      <c r="AM12" s="123" t="inlineStr">
        <is>
          <t>B+</t>
        </is>
      </c>
      <c r="AN12" s="123">
        <f>IF(AI12="","",$AN$2)</f>
        <v/>
      </c>
      <c r="AO12" s="123">
        <f>IF(N12="","",IF(N12&gt;=$AO$1/100,"O","X"))</f>
        <v/>
      </c>
      <c r="AP12" s="123">
        <f>IF(I12="","",IF(I12&lt;=$AP$1,"O","X"))</f>
        <v/>
      </c>
      <c r="AQ12" s="123">
        <f>IF(O12="","",IF(O12&lt;=$AQ$1,"O","X"))</f>
        <v/>
      </c>
      <c r="AR12" s="123">
        <f>IF(M12="","",IF(M12&lt;=$AR$1,"O","X"))</f>
        <v/>
      </c>
      <c r="AS12" s="123" t="inlineStr">
        <is>
          <t>X</t>
        </is>
      </c>
      <c r="AT12" s="123">
        <f>IF(OR(F12="",AI12=""),"",IF(AND((F12&lt;=85),(AI12&gt;=15)),"O","X"))</f>
        <v/>
      </c>
      <c r="AU12" s="123">
        <f>IF(C12="","",IF(C12&gt;=$AU$1,"O","X"))</f>
        <v/>
      </c>
      <c r="AV12" s="123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5" t="n">
        <v>1400</v>
      </c>
      <c r="D13" s="133" t="n">
        <v>115.4</v>
      </c>
      <c r="E13" s="134" t="n">
        <v>35</v>
      </c>
      <c r="F13" s="133" t="n">
        <v>84.59999999999999</v>
      </c>
      <c r="G13" s="17" t="n">
        <v>26</v>
      </c>
      <c r="H13" s="135" t="n">
        <v>135</v>
      </c>
      <c r="I13" s="136" t="n"/>
      <c r="J13" s="136" t="n"/>
      <c r="K13" s="136" t="n"/>
      <c r="L13" s="136" t="n"/>
      <c r="M13" s="137">
        <f>I13-K13</f>
        <v/>
      </c>
      <c r="N13" s="4">
        <f>IF(ISERROR(K13/I13),"",K13/I13)</f>
        <v/>
      </c>
      <c r="O13" s="138">
        <f>I13/E13</f>
        <v/>
      </c>
      <c r="P13" s="138">
        <f>K13/E13</f>
        <v/>
      </c>
      <c r="Q13" s="123" t="n">
        <v>3</v>
      </c>
      <c r="R13" s="123" t="n">
        <v>2</v>
      </c>
      <c r="S13" s="123" t="inlineStr">
        <is>
          <t>계</t>
        </is>
      </c>
      <c r="T13" s="5" t="inlineStr">
        <is>
          <t>115B</t>
        </is>
      </c>
      <c r="U13" s="9" t="n"/>
      <c r="W13" s="133">
        <f>D13</f>
        <v/>
      </c>
      <c r="X13" s="134">
        <f>E13</f>
        <v/>
      </c>
      <c r="Y13" s="139">
        <f>H13</f>
        <v/>
      </c>
      <c r="Z13" s="137">
        <f>I13</f>
        <v/>
      </c>
      <c r="AA13" s="137">
        <f>K13</f>
        <v/>
      </c>
      <c r="AB13" s="137">
        <f>M13</f>
        <v/>
      </c>
      <c r="AC13" s="4">
        <f>N13</f>
        <v/>
      </c>
      <c r="AD13" s="138">
        <f>O13</f>
        <v/>
      </c>
      <c r="AE13" s="123">
        <f>S13</f>
        <v/>
      </c>
      <c r="AF13" s="123">
        <f>Q13&amp;"/"&amp;R13</f>
        <v/>
      </c>
      <c r="AH13" s="20">
        <f>IF(A13="","",A13)</f>
        <v/>
      </c>
      <c r="AI13" s="134">
        <f>IF(E13="","",E13)</f>
        <v/>
      </c>
      <c r="AJ13" s="123">
        <f>IF(AI13="","",$AJ$2)</f>
        <v/>
      </c>
      <c r="AK13" s="123" t="inlineStr">
        <is>
          <t>A</t>
        </is>
      </c>
      <c r="AL13" s="123" t="inlineStr">
        <is>
          <t>A+</t>
        </is>
      </c>
      <c r="AM13" s="123" t="inlineStr">
        <is>
          <t>B+</t>
        </is>
      </c>
      <c r="AN13" s="123">
        <f>IF(AI13="","",$AN$2)</f>
        <v/>
      </c>
      <c r="AO13" s="123">
        <f>IF(N13="","",IF(N13&gt;=$AO$1/100,"O","X"))</f>
        <v/>
      </c>
      <c r="AP13" s="123">
        <f>IF(I13="","",IF(I13&lt;=$AP$1,"O","X"))</f>
        <v/>
      </c>
      <c r="AQ13" s="123">
        <f>IF(O13="","",IF(O13&lt;=$AQ$1,"O","X"))</f>
        <v/>
      </c>
      <c r="AR13" s="123">
        <f>IF(M13="","",IF(M13&lt;=$AR$1,"O","X"))</f>
        <v/>
      </c>
      <c r="AS13" s="123" t="inlineStr">
        <is>
          <t>X</t>
        </is>
      </c>
      <c r="AT13" s="123">
        <f>IF(OR(F13="",AI13=""),"",IF(AND((F13&lt;=85),(AI13&gt;=15)),"O","X"))</f>
        <v/>
      </c>
      <c r="AU13" s="123">
        <f>IF(C13="","",IF(C13&gt;=$AU$1,"O","X"))</f>
        <v/>
      </c>
      <c r="AV13" s="123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5" t="n">
        <v>1400</v>
      </c>
      <c r="D14" s="133" t="n">
        <v>115.6</v>
      </c>
      <c r="E14" s="134" t="n">
        <v>35</v>
      </c>
      <c r="F14" s="133" t="n">
        <v>84</v>
      </c>
      <c r="G14" s="17" t="n">
        <v>25</v>
      </c>
      <c r="H14" s="135" t="n">
        <v>127</v>
      </c>
      <c r="I14" s="136" t="n">
        <v>49800</v>
      </c>
      <c r="J14" s="136" t="inlineStr">
        <is>
          <t>7</t>
        </is>
      </c>
      <c r="K14" s="136" t="n">
        <v>31000</v>
      </c>
      <c r="L14" s="136" t="inlineStr">
        <is>
          <t>7</t>
        </is>
      </c>
      <c r="M14" s="137">
        <f>I14-K14</f>
        <v/>
      </c>
      <c r="N14" s="4">
        <f>IF(ISERROR(K14/I14),"",K14/I14)</f>
        <v/>
      </c>
      <c r="O14" s="138">
        <f>I14/E14</f>
        <v/>
      </c>
      <c r="P14" s="138">
        <f>K14/E14</f>
        <v/>
      </c>
      <c r="Q14" s="123" t="n">
        <v>3</v>
      </c>
      <c r="R14" s="123" t="n">
        <v>2</v>
      </c>
      <c r="S14" s="123" t="inlineStr">
        <is>
          <t>계</t>
        </is>
      </c>
      <c r="T14" s="5" t="inlineStr">
        <is>
          <t>115C</t>
        </is>
      </c>
      <c r="U14" s="9" t="n"/>
      <c r="W14" s="133">
        <f>D14</f>
        <v/>
      </c>
      <c r="X14" s="134">
        <f>E14</f>
        <v/>
      </c>
      <c r="Y14" s="139">
        <f>H14</f>
        <v/>
      </c>
      <c r="Z14" s="137">
        <f>I14</f>
        <v/>
      </c>
      <c r="AA14" s="137">
        <f>K14</f>
        <v/>
      </c>
      <c r="AB14" s="137">
        <f>M14</f>
        <v/>
      </c>
      <c r="AC14" s="4">
        <f>N14</f>
        <v/>
      </c>
      <c r="AD14" s="138">
        <f>O14</f>
        <v/>
      </c>
      <c r="AE14" s="123">
        <f>S14</f>
        <v/>
      </c>
      <c r="AF14" s="123">
        <f>Q14&amp;"/"&amp;R14</f>
        <v/>
      </c>
      <c r="AH14" s="20">
        <f>IF(A14="","",A14)</f>
        <v/>
      </c>
      <c r="AI14" s="134">
        <f>IF(E14="","",E14)</f>
        <v/>
      </c>
      <c r="AJ14" s="123">
        <f>IF(AI14="","",$AJ$2)</f>
        <v/>
      </c>
      <c r="AK14" s="123" t="inlineStr">
        <is>
          <t>A</t>
        </is>
      </c>
      <c r="AL14" s="123" t="inlineStr">
        <is>
          <t>A+</t>
        </is>
      </c>
      <c r="AM14" s="123" t="inlineStr">
        <is>
          <t>B+</t>
        </is>
      </c>
      <c r="AN14" s="123">
        <f>IF(AI14="","",$AN$2)</f>
        <v/>
      </c>
      <c r="AO14" s="123">
        <f>IF(N14="","",IF(N14&gt;=$AO$1/100,"O","X"))</f>
        <v/>
      </c>
      <c r="AP14" s="123">
        <f>IF(I14="","",IF(I14&lt;=$AP$1,"O","X"))</f>
        <v/>
      </c>
      <c r="AQ14" s="123">
        <f>IF(O14="","",IF(O14&lt;=$AQ$1,"O","X"))</f>
        <v/>
      </c>
      <c r="AR14" s="123">
        <f>IF(M14="","",IF(M14&lt;=$AR$1,"O","X"))</f>
        <v/>
      </c>
      <c r="AS14" s="123" t="inlineStr">
        <is>
          <t>X</t>
        </is>
      </c>
      <c r="AT14" s="123">
        <f>IF(OR(F14="",AI14=""),"",IF(AND((F14&lt;=85),(AI14&gt;=15)),"O","X"))</f>
        <v/>
      </c>
      <c r="AU14" s="123">
        <f>IF(C14="","",IF(C14&gt;=$AU$1,"O","X"))</f>
        <v/>
      </c>
      <c r="AV14" s="123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5" t="n">
        <v>1400</v>
      </c>
      <c r="D15" s="133" t="n">
        <v>134.7</v>
      </c>
      <c r="E15" s="134" t="n">
        <v>41</v>
      </c>
      <c r="F15" s="133" t="n">
        <v>99.5</v>
      </c>
      <c r="G15" s="17" t="n">
        <v>30</v>
      </c>
      <c r="H15" s="135" t="n">
        <v>49</v>
      </c>
      <c r="I15" s="136" t="n">
        <v>69000</v>
      </c>
      <c r="J15" s="136" t="inlineStr">
        <is>
          <t>9</t>
        </is>
      </c>
      <c r="K15" s="136" t="n">
        <v>34000</v>
      </c>
      <c r="L15" s="136" t="inlineStr">
        <is>
          <t>6</t>
        </is>
      </c>
      <c r="M15" s="137">
        <f>I15-K15</f>
        <v/>
      </c>
      <c r="N15" s="4">
        <f>IF(ISERROR(K15/I15),"",K15/I15)</f>
        <v/>
      </c>
      <c r="O15" s="138">
        <f>I15/E15</f>
        <v/>
      </c>
      <c r="P15" s="138">
        <f>K15/E15</f>
        <v/>
      </c>
      <c r="Q15" s="123" t="n">
        <v>4</v>
      </c>
      <c r="R15" s="123" t="n">
        <v>2</v>
      </c>
      <c r="S15" s="123" t="inlineStr">
        <is>
          <t>계</t>
        </is>
      </c>
      <c r="T15" s="5" t="n">
        <v>134</v>
      </c>
      <c r="U15" s="9" t="n"/>
      <c r="W15" s="133">
        <f>D15</f>
        <v/>
      </c>
      <c r="X15" s="134">
        <f>E15</f>
        <v/>
      </c>
      <c r="Y15" s="139">
        <f>H15</f>
        <v/>
      </c>
      <c r="Z15" s="137">
        <f>I15</f>
        <v/>
      </c>
      <c r="AA15" s="137">
        <f>K15</f>
        <v/>
      </c>
      <c r="AB15" s="137">
        <f>M15</f>
        <v/>
      </c>
      <c r="AC15" s="4">
        <f>N15</f>
        <v/>
      </c>
      <c r="AD15" s="138">
        <f>O15</f>
        <v/>
      </c>
      <c r="AE15" s="123">
        <f>S15</f>
        <v/>
      </c>
      <c r="AF15" s="123">
        <f>Q15&amp;"/"&amp;R15</f>
        <v/>
      </c>
      <c r="AH15" s="20">
        <f>IF(A15="","",A15)</f>
        <v/>
      </c>
      <c r="AI15" s="134">
        <f>IF(E15="","",E15)</f>
        <v/>
      </c>
      <c r="AJ15" s="123">
        <f>IF(AI15="","",$AJ$2)</f>
        <v/>
      </c>
      <c r="AK15" s="123" t="inlineStr">
        <is>
          <t>A</t>
        </is>
      </c>
      <c r="AL15" s="123" t="inlineStr">
        <is>
          <t>A+</t>
        </is>
      </c>
      <c r="AM15" s="123" t="inlineStr">
        <is>
          <t>B+</t>
        </is>
      </c>
      <c r="AN15" s="123">
        <f>IF(AI15="","",$AN$2)</f>
        <v/>
      </c>
      <c r="AO15" s="123">
        <f>IF(N15="","",IF(N15&gt;=$AO$1/100,"O","X"))</f>
        <v/>
      </c>
      <c r="AP15" s="123">
        <f>IF(I15="","",IF(I15&lt;=$AP$1,"O","X"))</f>
        <v/>
      </c>
      <c r="AQ15" s="123">
        <f>IF(O15="","",IF(O15&lt;=$AQ$1,"O","X"))</f>
        <v/>
      </c>
      <c r="AR15" s="123">
        <f>IF(M15="","",IF(M15&lt;=$AR$1,"O","X"))</f>
        <v/>
      </c>
      <c r="AS15" s="123" t="inlineStr">
        <is>
          <t>X</t>
        </is>
      </c>
      <c r="AT15" s="123">
        <f>IF(OR(F15="",AI15=""),"",IF(AND((F15&lt;=85),(AI15&gt;=15)),"O","X"))</f>
        <v/>
      </c>
      <c r="AU15" s="123">
        <f>IF(C15="","",IF(C15&gt;=$AU$1,"O","X"))</f>
        <v/>
      </c>
      <c r="AV15" s="123">
        <f>IF(AO15="","",IF(AND(AO15="O",AP15="O",AR15="O",AT15="O",AU15="O"),"후보","X"))</f>
        <v/>
      </c>
    </row>
    <row r="16">
      <c r="A16" s="9" t="n"/>
      <c r="B16" s="123" t="n"/>
      <c r="C16" s="6" t="n"/>
      <c r="D16" s="9" t="n"/>
      <c r="E16" s="14" t="n"/>
      <c r="F16" s="133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8" t="n"/>
      <c r="P16" s="138" t="n"/>
      <c r="Q16" s="134" t="n"/>
      <c r="R16" s="134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8">
        <f>IF(E16="","",E16)</f>
        <v/>
      </c>
      <c r="AJ16" s="123" t="n"/>
      <c r="AK16" s="123" t="n"/>
      <c r="AL16" s="123" t="n"/>
      <c r="AM16" s="123" t="n"/>
      <c r="AN16" s="123" t="n"/>
      <c r="AO16" s="123" t="n"/>
      <c r="AP16" s="123" t="n"/>
      <c r="AQ16" s="123" t="n"/>
      <c r="AR16" s="123" t="n"/>
      <c r="AS16" s="123" t="n"/>
      <c r="AT16" s="123" t="n"/>
      <c r="AU16" s="123" t="n"/>
      <c r="AV16" s="123" t="n"/>
    </row>
    <row r="17">
      <c r="A17" s="9" t="inlineStr">
        <is>
          <t>타워써미트</t>
        </is>
      </c>
      <c r="B17" s="10" t="inlineStr">
        <is>
          <t>'12.06.</t>
        </is>
      </c>
      <c r="C17" s="135" t="n">
        <v>770</v>
      </c>
      <c r="D17" s="133" t="n">
        <v>79.09999999999999</v>
      </c>
      <c r="E17" s="134" t="n">
        <v>24</v>
      </c>
      <c r="F17" s="133" t="n">
        <v>59.9</v>
      </c>
      <c r="G17" s="17" t="n">
        <v>18</v>
      </c>
      <c r="H17" s="135" t="n">
        <v>129</v>
      </c>
      <c r="I17" s="136" t="n">
        <v>21000</v>
      </c>
      <c r="J17" s="136" t="inlineStr">
        <is>
          <t>5</t>
        </is>
      </c>
      <c r="K17" s="136" t="n">
        <v>17000</v>
      </c>
      <c r="L17" s="136" t="inlineStr">
        <is>
          <t>24</t>
        </is>
      </c>
      <c r="M17" s="137">
        <f>I17-K17</f>
        <v/>
      </c>
      <c r="N17" s="4">
        <f>IF(ISERROR(K17/I17),"",K17/I17)</f>
        <v/>
      </c>
      <c r="O17" s="138">
        <f>I17/E17</f>
        <v/>
      </c>
      <c r="P17" s="138">
        <f>K17/E17</f>
        <v/>
      </c>
      <c r="Q17" s="123" t="n">
        <v>3</v>
      </c>
      <c r="R17" s="123" t="n">
        <v>1</v>
      </c>
      <c r="S17" s="123" t="inlineStr">
        <is>
          <t>계</t>
        </is>
      </c>
      <c r="T17" s="5" t="n">
        <v>79</v>
      </c>
      <c r="U17" s="9" t="n"/>
      <c r="W17" s="133">
        <f>D17</f>
        <v/>
      </c>
      <c r="X17" s="134">
        <f>E17</f>
        <v/>
      </c>
      <c r="Y17" s="139">
        <f>H17</f>
        <v/>
      </c>
      <c r="Z17" s="137">
        <f>I17</f>
        <v/>
      </c>
      <c r="AA17" s="137">
        <f>K17</f>
        <v/>
      </c>
      <c r="AB17" s="137">
        <f>M17</f>
        <v/>
      </c>
      <c r="AC17" s="4">
        <f>N17</f>
        <v/>
      </c>
      <c r="AD17" s="138">
        <f>O17</f>
        <v/>
      </c>
      <c r="AE17" s="123">
        <f>S17</f>
        <v/>
      </c>
      <c r="AF17" s="123">
        <f>Q17&amp;"/"&amp;R17</f>
        <v/>
      </c>
      <c r="AH17" s="20">
        <f>IF(A17="","",A17)</f>
        <v/>
      </c>
      <c r="AI17" s="134">
        <f>IF(E17="","",E17)</f>
        <v/>
      </c>
      <c r="AJ17" s="123">
        <f>IF(AI17="","",$AJ$2)</f>
        <v/>
      </c>
      <c r="AK17" s="123" t="inlineStr">
        <is>
          <t>A</t>
        </is>
      </c>
      <c r="AL17" s="123" t="inlineStr">
        <is>
          <t>A+</t>
        </is>
      </c>
      <c r="AM17" s="123" t="inlineStr">
        <is>
          <t>B+</t>
        </is>
      </c>
      <c r="AN17" s="123">
        <f>IF(AI17="","",$AN$2)</f>
        <v/>
      </c>
      <c r="AO17" s="123">
        <f>IF(N17="","",IF(N17&gt;=$AO$1/100,"O","X"))</f>
        <v/>
      </c>
      <c r="AP17" s="123">
        <f>IF(I17="","",IF(I17&lt;=$AP$1,"O","X"))</f>
        <v/>
      </c>
      <c r="AQ17" s="123">
        <f>IF(O17="","",IF(O17&lt;=$AQ$1,"O","X"))</f>
        <v/>
      </c>
      <c r="AR17" s="123">
        <f>IF(M17="","",IF(M17&lt;=$AR$1,"O","X"))</f>
        <v/>
      </c>
      <c r="AS17" s="123" t="inlineStr">
        <is>
          <t>X</t>
        </is>
      </c>
      <c r="AT17" s="123">
        <f>IF(OR(F17="",AI17=""),"",IF(AND((F17&lt;=85),(AI17&gt;=15)),"O","X"))</f>
        <v/>
      </c>
      <c r="AU17" s="123">
        <f>IF(C17="","",IF(C17&gt;=$AU$1,"O","X"))</f>
        <v/>
      </c>
      <c r="AV17" s="123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5" t="n">
        <v>770</v>
      </c>
      <c r="D18" s="133" t="n">
        <v>112.1</v>
      </c>
      <c r="E18" s="134" t="n">
        <v>34</v>
      </c>
      <c r="F18" s="133" t="n">
        <v>85</v>
      </c>
      <c r="G18" s="17" t="n">
        <v>26</v>
      </c>
      <c r="H18" s="135" t="n">
        <v>277</v>
      </c>
      <c r="I18" s="136" t="n">
        <v>28000</v>
      </c>
      <c r="J18" s="136" t="inlineStr">
        <is>
          <t>7</t>
        </is>
      </c>
      <c r="K18" s="136" t="n">
        <v>22000</v>
      </c>
      <c r="L18" s="136" t="inlineStr">
        <is>
          <t>25</t>
        </is>
      </c>
      <c r="M18" s="137">
        <f>I18-K18</f>
        <v/>
      </c>
      <c r="N18" s="4">
        <f>IF(ISERROR(K18/I18),"",K18/I18)</f>
        <v/>
      </c>
      <c r="O18" s="138">
        <f>I18/E18</f>
        <v/>
      </c>
      <c r="P18" s="138">
        <f>K18/E18</f>
        <v/>
      </c>
      <c r="Q18" s="123" t="n">
        <v>3</v>
      </c>
      <c r="R18" s="123" t="n">
        <v>2</v>
      </c>
      <c r="S18" s="123" t="inlineStr">
        <is>
          <t>계</t>
        </is>
      </c>
      <c r="T18" s="5" t="inlineStr">
        <is>
          <t>112B</t>
        </is>
      </c>
      <c r="U18" s="9" t="n"/>
      <c r="W18" s="133">
        <f>D18</f>
        <v/>
      </c>
      <c r="X18" s="134">
        <f>E18</f>
        <v/>
      </c>
      <c r="Y18" s="139">
        <f>H18</f>
        <v/>
      </c>
      <c r="Z18" s="137">
        <f>I18</f>
        <v/>
      </c>
      <c r="AA18" s="137">
        <f>K18</f>
        <v/>
      </c>
      <c r="AB18" s="137">
        <f>M18</f>
        <v/>
      </c>
      <c r="AC18" s="4">
        <f>N18</f>
        <v/>
      </c>
      <c r="AD18" s="138">
        <f>O18</f>
        <v/>
      </c>
      <c r="AE18" s="123">
        <f>S18</f>
        <v/>
      </c>
      <c r="AF18" s="123">
        <f>Q18&amp;"/"&amp;R18</f>
        <v/>
      </c>
      <c r="AH18" s="20">
        <f>IF(A18="","",A18)</f>
        <v/>
      </c>
      <c r="AI18" s="134">
        <f>IF(E18="","",E18)</f>
        <v/>
      </c>
      <c r="AJ18" s="123">
        <f>IF(AI18="","",$AJ$2)</f>
        <v/>
      </c>
      <c r="AK18" s="123" t="inlineStr">
        <is>
          <t>A</t>
        </is>
      </c>
      <c r="AL18" s="123" t="inlineStr">
        <is>
          <t>A+</t>
        </is>
      </c>
      <c r="AM18" s="123" t="inlineStr">
        <is>
          <t>B+</t>
        </is>
      </c>
      <c r="AN18" s="123">
        <f>IF(AI18="","",$AN$2)</f>
        <v/>
      </c>
      <c r="AO18" s="123">
        <f>IF(N18="","",IF(N18&gt;=$AO$1/100,"O","X"))</f>
        <v/>
      </c>
      <c r="AP18" s="123">
        <f>IF(I18="","",IF(I18&lt;=$AP$1,"O","X"))</f>
        <v/>
      </c>
      <c r="AQ18" s="123">
        <f>IF(O18="","",IF(O18&lt;=$AQ$1,"O","X"))</f>
        <v/>
      </c>
      <c r="AR18" s="123">
        <f>IF(M18="","",IF(M18&lt;=$AR$1,"O","X"))</f>
        <v/>
      </c>
      <c r="AS18" s="123" t="inlineStr">
        <is>
          <t>X</t>
        </is>
      </c>
      <c r="AT18" s="123">
        <f>IF(OR(F18="",AI18=""),"",IF(AND((F18&lt;=85),(AI18&gt;=15)),"O","X"))</f>
        <v/>
      </c>
      <c r="AU18" s="123">
        <f>IF(C18="","",IF(C18&gt;=$AU$1,"O","X"))</f>
        <v/>
      </c>
      <c r="AV18" s="123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5" t="n">
        <v>770</v>
      </c>
      <c r="D19" s="133" t="n">
        <v>112</v>
      </c>
      <c r="E19" s="134" t="n">
        <v>34</v>
      </c>
      <c r="F19" s="133" t="n">
        <v>84.90000000000001</v>
      </c>
      <c r="G19" s="17" t="n">
        <v>26</v>
      </c>
      <c r="H19" s="135" t="n">
        <v>191</v>
      </c>
      <c r="I19" s="136" t="n">
        <v>27000</v>
      </c>
      <c r="J19" s="136" t="inlineStr">
        <is>
          <t>18</t>
        </is>
      </c>
      <c r="K19" s="136" t="n">
        <v>20000</v>
      </c>
      <c r="L19" s="136" t="inlineStr">
        <is>
          <t>6</t>
        </is>
      </c>
      <c r="M19" s="137">
        <f>I19-K19</f>
        <v/>
      </c>
      <c r="N19" s="4">
        <f>IF(ISERROR(K19/I19),"",K19/I19)</f>
        <v/>
      </c>
      <c r="O19" s="138">
        <f>I19/E19</f>
        <v/>
      </c>
      <c r="P19" s="138">
        <f>K19/E19</f>
        <v/>
      </c>
      <c r="Q19" s="123" t="n">
        <v>3</v>
      </c>
      <c r="R19" s="123" t="n">
        <v>2</v>
      </c>
      <c r="S19" s="123" t="inlineStr">
        <is>
          <t>계</t>
        </is>
      </c>
      <c r="T19" s="5" t="inlineStr">
        <is>
          <t>112A</t>
        </is>
      </c>
      <c r="U19" s="9" t="n"/>
      <c r="W19" s="133">
        <f>D19</f>
        <v/>
      </c>
      <c r="X19" s="134">
        <f>E19</f>
        <v/>
      </c>
      <c r="Y19" s="139">
        <f>H19</f>
        <v/>
      </c>
      <c r="Z19" s="137">
        <f>I19</f>
        <v/>
      </c>
      <c r="AA19" s="137">
        <f>K19</f>
        <v/>
      </c>
      <c r="AB19" s="137">
        <f>M19</f>
        <v/>
      </c>
      <c r="AC19" s="4">
        <f>N19</f>
        <v/>
      </c>
      <c r="AD19" s="138">
        <f>O19</f>
        <v/>
      </c>
      <c r="AE19" s="123">
        <f>S19</f>
        <v/>
      </c>
      <c r="AF19" s="123">
        <f>Q19&amp;"/"&amp;R19</f>
        <v/>
      </c>
      <c r="AH19" s="20">
        <f>IF(A19="","",A19)</f>
        <v/>
      </c>
      <c r="AI19" s="134">
        <f>IF(E19="","",E19)</f>
        <v/>
      </c>
      <c r="AJ19" s="123">
        <f>IF(AI19="","",$AJ$2)</f>
        <v/>
      </c>
      <c r="AK19" s="123" t="inlineStr">
        <is>
          <t>A</t>
        </is>
      </c>
      <c r="AL19" s="123" t="inlineStr">
        <is>
          <t>A+</t>
        </is>
      </c>
      <c r="AM19" s="123" t="inlineStr">
        <is>
          <t>B+</t>
        </is>
      </c>
      <c r="AN19" s="123">
        <f>IF(AI19="","",$AN$2)</f>
        <v/>
      </c>
      <c r="AO19" s="123">
        <f>IF(N19="","",IF(N19&gt;=$AO$1/100,"O","X"))</f>
        <v/>
      </c>
      <c r="AP19" s="123">
        <f>IF(I19="","",IF(I19&lt;=$AP$1,"O","X"))</f>
        <v/>
      </c>
      <c r="AQ19" s="123">
        <f>IF(O19="","",IF(O19&lt;=$AQ$1,"O","X"))</f>
        <v/>
      </c>
      <c r="AR19" s="123">
        <f>IF(M19="","",IF(M19&lt;=$AR$1,"O","X"))</f>
        <v/>
      </c>
      <c r="AS19" s="123" t="inlineStr">
        <is>
          <t>X</t>
        </is>
      </c>
      <c r="AT19" s="123">
        <f>IF(OR(F19="",AI19=""),"",IF(AND((F19&lt;=85),(AI19&gt;=15)),"O","X"))</f>
        <v/>
      </c>
      <c r="AU19" s="123">
        <f>IF(C19="","",IF(C19&gt;=$AU$1,"O","X"))</f>
        <v/>
      </c>
      <c r="AV19" s="123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5" t="n">
        <v>770</v>
      </c>
      <c r="D20" s="133" t="n">
        <v>112.1</v>
      </c>
      <c r="E20" s="134" t="n">
        <v>34</v>
      </c>
      <c r="F20" s="133" t="n">
        <v>85</v>
      </c>
      <c r="G20" s="17" t="n">
        <v>26</v>
      </c>
      <c r="H20" s="135" t="n">
        <v>173</v>
      </c>
      <c r="I20" s="136" t="n">
        <v>28000</v>
      </c>
      <c r="J20" s="136" t="inlineStr">
        <is>
          <t>7</t>
        </is>
      </c>
      <c r="K20" s="136" t="n">
        <v>22000</v>
      </c>
      <c r="L20" s="136" t="inlineStr">
        <is>
          <t>25</t>
        </is>
      </c>
      <c r="M20" s="137">
        <f>I20-K20</f>
        <v/>
      </c>
      <c r="N20" s="4">
        <f>IF(ISERROR(K20/I20),"",K20/I20)</f>
        <v/>
      </c>
      <c r="O20" s="138">
        <f>I20/E20</f>
        <v/>
      </c>
      <c r="P20" s="138">
        <f>K20/E20</f>
        <v/>
      </c>
      <c r="Q20" s="123" t="n">
        <v>3</v>
      </c>
      <c r="R20" s="123" t="n">
        <v>2</v>
      </c>
      <c r="S20" s="123" t="inlineStr">
        <is>
          <t>계</t>
        </is>
      </c>
      <c r="T20" s="5" t="inlineStr">
        <is>
          <t>112C</t>
        </is>
      </c>
      <c r="U20" s="9" t="n"/>
      <c r="W20" s="133">
        <f>D20</f>
        <v/>
      </c>
      <c r="X20" s="134">
        <f>E20</f>
        <v/>
      </c>
      <c r="Y20" s="139">
        <f>H20</f>
        <v/>
      </c>
      <c r="Z20" s="137">
        <f>I20</f>
        <v/>
      </c>
      <c r="AA20" s="137">
        <f>K20</f>
        <v/>
      </c>
      <c r="AB20" s="137">
        <f>M20</f>
        <v/>
      </c>
      <c r="AC20" s="4">
        <f>N20</f>
        <v/>
      </c>
      <c r="AD20" s="138">
        <f>O20</f>
        <v/>
      </c>
      <c r="AE20" s="123">
        <f>S20</f>
        <v/>
      </c>
      <c r="AF20" s="123">
        <f>Q20&amp;"/"&amp;R20</f>
        <v/>
      </c>
      <c r="AH20" s="20">
        <f>IF(A20="","",A20)</f>
        <v/>
      </c>
      <c r="AI20" s="134">
        <f>IF(E20="","",E20)</f>
        <v/>
      </c>
      <c r="AJ20" s="123">
        <f>IF(AI20="","",$AJ$2)</f>
        <v/>
      </c>
      <c r="AK20" s="123" t="inlineStr">
        <is>
          <t>A</t>
        </is>
      </c>
      <c r="AL20" s="123" t="inlineStr">
        <is>
          <t>A+</t>
        </is>
      </c>
      <c r="AM20" s="123" t="inlineStr">
        <is>
          <t>B+</t>
        </is>
      </c>
      <c r="AN20" s="123">
        <f>IF(AI20="","",$AN$2)</f>
        <v/>
      </c>
      <c r="AO20" s="123">
        <f>IF(N20="","",IF(N20&gt;=$AO$1/100,"O","X"))</f>
        <v/>
      </c>
      <c r="AP20" s="123">
        <f>IF(I20="","",IF(I20&lt;=$AP$1,"O","X"))</f>
        <v/>
      </c>
      <c r="AQ20" s="123">
        <f>IF(O20="","",IF(O20&lt;=$AQ$1,"O","X"))</f>
        <v/>
      </c>
      <c r="AR20" s="123">
        <f>IF(M20="","",IF(M20&lt;=$AR$1,"O","X"))</f>
        <v/>
      </c>
      <c r="AS20" s="123" t="inlineStr">
        <is>
          <t>X</t>
        </is>
      </c>
      <c r="AT20" s="123">
        <f>IF(OR(F20="",AI20=""),"",IF(AND((F20&lt;=85),(AI20&gt;=15)),"O","X"))</f>
        <v/>
      </c>
      <c r="AU20" s="123">
        <f>IF(C20="","",IF(C20&gt;=$AU$1,"O","X"))</f>
        <v/>
      </c>
      <c r="AV20" s="123">
        <f>IF(AO20="","",IF(AND(AO20="O",AP20="O",AR20="O",AT20="O",AU20="O"),"후보","X"))</f>
        <v/>
      </c>
    </row>
    <row r="21">
      <c r="A21" s="9" t="n"/>
      <c r="B21" s="123" t="n"/>
      <c r="C21" s="6" t="n"/>
      <c r="D21" s="9" t="n"/>
      <c r="E21" s="14" t="n"/>
      <c r="F21" s="133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8" t="n"/>
      <c r="P21" s="138" t="n"/>
      <c r="Q21" s="134" t="n"/>
      <c r="R21" s="134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8">
        <f>IF(E21="","",E21)</f>
        <v/>
      </c>
      <c r="AJ21" s="123" t="n"/>
      <c r="AK21" s="123" t="n"/>
      <c r="AL21" s="123" t="n"/>
      <c r="AM21" s="123" t="n"/>
      <c r="AN21" s="123" t="n"/>
      <c r="AO21" s="123" t="n"/>
      <c r="AP21" s="123" t="n"/>
      <c r="AQ21" s="123" t="n"/>
      <c r="AR21" s="123" t="n"/>
      <c r="AS21" s="123" t="n"/>
      <c r="AT21" s="123" t="n"/>
      <c r="AU21" s="123" t="n"/>
      <c r="AV21" s="123" t="n"/>
    </row>
    <row r="22">
      <c r="A22" s="9" t="inlineStr">
        <is>
          <t>삼성</t>
        </is>
      </c>
      <c r="B22" s="10" t="inlineStr">
        <is>
          <t>'92.10.</t>
        </is>
      </c>
      <c r="C22" s="135" t="n">
        <v>306</v>
      </c>
      <c r="D22" s="133" t="n">
        <v>92.3</v>
      </c>
      <c r="E22" s="134" t="n">
        <v>28</v>
      </c>
      <c r="F22" s="133" t="n">
        <v>73.8</v>
      </c>
      <c r="G22" s="17" t="n">
        <v>22</v>
      </c>
      <c r="H22" s="135" t="n">
        <v>72</v>
      </c>
      <c r="I22" s="136" t="n">
        <v>14500</v>
      </c>
      <c r="J22" s="136" t="inlineStr">
        <is>
          <t>8</t>
        </is>
      </c>
      <c r="K22" s="136" t="n"/>
      <c r="L22" s="136" t="n"/>
      <c r="M22" s="137">
        <f>I22-K22</f>
        <v/>
      </c>
      <c r="N22" s="4">
        <f>IF(ISERROR(K22/I22),"",K22/I22)</f>
        <v/>
      </c>
      <c r="O22" s="138">
        <f>I22/E22</f>
        <v/>
      </c>
      <c r="P22" s="138">
        <f>K22/E22</f>
        <v/>
      </c>
      <c r="Q22" s="123" t="n">
        <v>3</v>
      </c>
      <c r="R22" s="123" t="n">
        <v>1</v>
      </c>
      <c r="S22" s="123" t="inlineStr">
        <is>
          <t>계</t>
        </is>
      </c>
      <c r="T22" s="5" t="n">
        <v>92</v>
      </c>
      <c r="U22" s="9" t="n"/>
      <c r="W22" s="133">
        <f>D22</f>
        <v/>
      </c>
      <c r="X22" s="134">
        <f>E22</f>
        <v/>
      </c>
      <c r="Y22" s="139">
        <f>H22</f>
        <v/>
      </c>
      <c r="Z22" s="137">
        <f>I22</f>
        <v/>
      </c>
      <c r="AA22" s="137">
        <f>K22</f>
        <v/>
      </c>
      <c r="AB22" s="137">
        <f>M22</f>
        <v/>
      </c>
      <c r="AC22" s="4">
        <f>N22</f>
        <v/>
      </c>
      <c r="AD22" s="138">
        <f>O22</f>
        <v/>
      </c>
      <c r="AE22" s="123">
        <f>S22</f>
        <v/>
      </c>
      <c r="AF22" s="123">
        <f>Q22&amp;"/"&amp;R22</f>
        <v/>
      </c>
      <c r="AH22" s="20">
        <f>IF(A22="","",A22)</f>
        <v/>
      </c>
      <c r="AI22" s="134">
        <f>IF(E22="","",E22)</f>
        <v/>
      </c>
      <c r="AJ22" s="123">
        <f>IF(AI22="","",$AJ$2)</f>
        <v/>
      </c>
      <c r="AK22" s="123" t="inlineStr">
        <is>
          <t>A</t>
        </is>
      </c>
      <c r="AL22" s="123" t="inlineStr">
        <is>
          <t>A+</t>
        </is>
      </c>
      <c r="AM22" s="123" t="inlineStr">
        <is>
          <t>B+</t>
        </is>
      </c>
      <c r="AN22" s="123">
        <f>IF(AI22="","",$AN$2)</f>
        <v/>
      </c>
      <c r="AO22" s="123">
        <f>IF(N22="","",IF(N22&gt;=$AO$1/100,"O","X"))</f>
        <v/>
      </c>
      <c r="AP22" s="123">
        <f>IF(I22="","",IF(I22&lt;=$AP$1,"O","X"))</f>
        <v/>
      </c>
      <c r="AQ22" s="123">
        <f>IF(O22="","",IF(O22&lt;=$AQ$1,"O","X"))</f>
        <v/>
      </c>
      <c r="AR22" s="123">
        <f>IF(M22="","",IF(M22&lt;=$AR$1,"O","X"))</f>
        <v/>
      </c>
      <c r="AS22" s="123" t="inlineStr">
        <is>
          <t>X</t>
        </is>
      </c>
      <c r="AT22" s="123">
        <f>IF(OR(F22="",AI22=""),"",IF(AND((F22&lt;=85),(AI22&gt;=15)),"O","X"))</f>
        <v/>
      </c>
      <c r="AU22" s="123">
        <f>IF(C22="","",IF(C22&gt;=$AU$1,"O","X"))</f>
        <v/>
      </c>
      <c r="AV22" s="123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5" t="n">
        <v>306</v>
      </c>
      <c r="D23" s="133" t="n">
        <v>92.2</v>
      </c>
      <c r="E23" s="134" t="n">
        <v>28</v>
      </c>
      <c r="F23" s="133" t="n">
        <v>73.5</v>
      </c>
      <c r="G23" s="17" t="n">
        <v>22</v>
      </c>
      <c r="H23" s="135" t="n">
        <v>72</v>
      </c>
      <c r="I23" s="136" t="n"/>
      <c r="J23" s="136" t="n"/>
      <c r="K23" s="136" t="n"/>
      <c r="L23" s="136" t="n"/>
      <c r="M23" s="137">
        <f>I23-K23</f>
        <v/>
      </c>
      <c r="N23" s="4">
        <f>IF(ISERROR(K23/I23),"",K23/I23)</f>
        <v/>
      </c>
      <c r="O23" s="138">
        <f>I23/E23</f>
        <v/>
      </c>
      <c r="P23" s="138">
        <f>K23/E23</f>
        <v/>
      </c>
      <c r="Q23" s="123" t="n">
        <v>3</v>
      </c>
      <c r="R23" s="123" t="n">
        <v>1</v>
      </c>
      <c r="S23" s="123" t="inlineStr">
        <is>
          <t>계</t>
        </is>
      </c>
      <c r="T23" s="5" t="inlineStr">
        <is>
          <t>92S</t>
        </is>
      </c>
      <c r="U23" s="9" t="n"/>
      <c r="W23" s="133">
        <f>D23</f>
        <v/>
      </c>
      <c r="X23" s="134">
        <f>E23</f>
        <v/>
      </c>
      <c r="Y23" s="139">
        <f>H23</f>
        <v/>
      </c>
      <c r="Z23" s="137">
        <f>I23</f>
        <v/>
      </c>
      <c r="AA23" s="137">
        <f>K23</f>
        <v/>
      </c>
      <c r="AB23" s="137">
        <f>M23</f>
        <v/>
      </c>
      <c r="AC23" s="4">
        <f>N23</f>
        <v/>
      </c>
      <c r="AD23" s="138">
        <f>O23</f>
        <v/>
      </c>
      <c r="AE23" s="123">
        <f>S23</f>
        <v/>
      </c>
      <c r="AF23" s="123">
        <f>Q23&amp;"/"&amp;R23</f>
        <v/>
      </c>
      <c r="AH23" s="20">
        <f>IF(A23="","",A23)</f>
        <v/>
      </c>
      <c r="AI23" s="134">
        <f>IF(E23="","",E23)</f>
        <v/>
      </c>
      <c r="AJ23" s="123">
        <f>IF(AI23="","",$AJ$2)</f>
        <v/>
      </c>
      <c r="AK23" s="123" t="inlineStr">
        <is>
          <t>A</t>
        </is>
      </c>
      <c r="AL23" s="123" t="inlineStr">
        <is>
          <t>A+</t>
        </is>
      </c>
      <c r="AM23" s="123" t="inlineStr">
        <is>
          <t>B+</t>
        </is>
      </c>
      <c r="AN23" s="123">
        <f>IF(AI23="","",$AN$2)</f>
        <v/>
      </c>
      <c r="AO23" s="123">
        <f>IF(N23="","",IF(N23&gt;=$AO$1/100,"O","X"))</f>
        <v/>
      </c>
      <c r="AP23" s="123">
        <f>IF(I23="","",IF(I23&lt;=$AP$1,"O","X"))</f>
        <v/>
      </c>
      <c r="AQ23" s="123">
        <f>IF(O23="","",IF(O23&lt;=$AQ$1,"O","X"))</f>
        <v/>
      </c>
      <c r="AR23" s="123">
        <f>IF(M23="","",IF(M23&lt;=$AR$1,"O","X"))</f>
        <v/>
      </c>
      <c r="AS23" s="123" t="inlineStr">
        <is>
          <t>X</t>
        </is>
      </c>
      <c r="AT23" s="123">
        <f>IF(OR(F23="",AI23=""),"",IF(AND((F23&lt;=85),(AI23&gt;=15)),"O","X"))</f>
        <v/>
      </c>
      <c r="AU23" s="123">
        <f>IF(C23="","",IF(C23&gt;=$AU$1,"O","X"))</f>
        <v/>
      </c>
      <c r="AV23" s="123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5" t="n">
        <v>306</v>
      </c>
      <c r="D24" s="133" t="n">
        <v>104.6</v>
      </c>
      <c r="E24" s="134" t="n">
        <v>32</v>
      </c>
      <c r="F24" s="133" t="n">
        <v>85</v>
      </c>
      <c r="G24" s="17" t="n">
        <v>26</v>
      </c>
      <c r="H24" s="135" t="n">
        <v>132</v>
      </c>
      <c r="I24" s="136" t="n">
        <v>16800</v>
      </c>
      <c r="J24" s="136" t="inlineStr">
        <is>
          <t>10</t>
        </is>
      </c>
      <c r="K24" s="136" t="n"/>
      <c r="L24" s="136" t="n"/>
      <c r="M24" s="137">
        <f>I24-K24</f>
        <v/>
      </c>
      <c r="N24" s="4">
        <f>IF(ISERROR(K24/I24),"",K24/I24)</f>
        <v/>
      </c>
      <c r="O24" s="138">
        <f>I24/E24</f>
        <v/>
      </c>
      <c r="P24" s="138">
        <f>K24/E24</f>
        <v/>
      </c>
      <c r="Q24" s="123" t="n">
        <v>3</v>
      </c>
      <c r="R24" s="123" t="n">
        <v>2</v>
      </c>
      <c r="S24" s="123" t="inlineStr">
        <is>
          <t>계</t>
        </is>
      </c>
      <c r="T24" s="5" t="n">
        <v>104</v>
      </c>
      <c r="U24" s="9" t="n"/>
      <c r="W24" s="133">
        <f>D24</f>
        <v/>
      </c>
      <c r="X24" s="134">
        <f>E24</f>
        <v/>
      </c>
      <c r="Y24" s="139">
        <f>H24</f>
        <v/>
      </c>
      <c r="Z24" s="137">
        <f>I24</f>
        <v/>
      </c>
      <c r="AA24" s="137">
        <f>K24</f>
        <v/>
      </c>
      <c r="AB24" s="137">
        <f>M24</f>
        <v/>
      </c>
      <c r="AC24" s="4">
        <f>N24</f>
        <v/>
      </c>
      <c r="AD24" s="138">
        <f>O24</f>
        <v/>
      </c>
      <c r="AE24" s="123">
        <f>S24</f>
        <v/>
      </c>
      <c r="AF24" s="123">
        <f>Q24&amp;"/"&amp;R24</f>
        <v/>
      </c>
      <c r="AH24" s="20">
        <f>IF(A24="","",A24)</f>
        <v/>
      </c>
      <c r="AI24" s="134">
        <f>IF(E24="","",E24)</f>
        <v/>
      </c>
      <c r="AJ24" s="123">
        <f>IF(AI24="","",$AJ$2)</f>
        <v/>
      </c>
      <c r="AK24" s="123" t="inlineStr">
        <is>
          <t>A</t>
        </is>
      </c>
      <c r="AL24" s="123" t="inlineStr">
        <is>
          <t>A+</t>
        </is>
      </c>
      <c r="AM24" s="123" t="inlineStr">
        <is>
          <t>B+</t>
        </is>
      </c>
      <c r="AN24" s="123">
        <f>IF(AI24="","",$AN$2)</f>
        <v/>
      </c>
      <c r="AO24" s="123">
        <f>IF(N24="","",IF(N24&gt;=$AO$1/100,"O","X"))</f>
        <v/>
      </c>
      <c r="AP24" s="123">
        <f>IF(I24="","",IF(I24&lt;=$AP$1,"O","X"))</f>
        <v/>
      </c>
      <c r="AQ24" s="123">
        <f>IF(O24="","",IF(O24&lt;=$AQ$1,"O","X"))</f>
        <v/>
      </c>
      <c r="AR24" s="123">
        <f>IF(M24="","",IF(M24&lt;=$AR$1,"O","X"))</f>
        <v/>
      </c>
      <c r="AS24" s="123" t="inlineStr">
        <is>
          <t>X</t>
        </is>
      </c>
      <c r="AT24" s="123">
        <f>IF(OR(F24="",AI24=""),"",IF(AND((F24&lt;=85),(AI24&gt;=15)),"O","X"))</f>
        <v/>
      </c>
      <c r="AU24" s="123">
        <f>IF(C24="","",IF(C24&gt;=$AU$1,"O","X"))</f>
        <v/>
      </c>
      <c r="AV24" s="123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5" t="n">
        <v>306</v>
      </c>
      <c r="D25" s="133" t="n">
        <v>104.5</v>
      </c>
      <c r="E25" s="134" t="n">
        <v>32</v>
      </c>
      <c r="F25" s="133" t="n">
        <v>84.90000000000001</v>
      </c>
      <c r="G25" s="17" t="n">
        <v>26</v>
      </c>
      <c r="H25" s="135" t="n">
        <v>30</v>
      </c>
      <c r="I25" s="136" t="n">
        <v>18500</v>
      </c>
      <c r="J25" s="136" t="inlineStr">
        <is>
          <t>9</t>
        </is>
      </c>
      <c r="K25" s="136" t="n"/>
      <c r="L25" s="136" t="n"/>
      <c r="M25" s="137">
        <f>I25-K25</f>
        <v/>
      </c>
      <c r="N25" s="4">
        <f>IF(ISERROR(K25/I25),"",K25/I25)</f>
        <v/>
      </c>
      <c r="O25" s="138">
        <f>I25/E25</f>
        <v/>
      </c>
      <c r="P25" s="138">
        <f>K25/E25</f>
        <v/>
      </c>
      <c r="Q25" s="123" t="n">
        <v>3</v>
      </c>
      <c r="R25" s="123" t="n">
        <v>2</v>
      </c>
      <c r="S25" s="123" t="inlineStr">
        <is>
          <t>계</t>
        </is>
      </c>
      <c r="T25" s="5" t="inlineStr">
        <is>
          <t>104S</t>
        </is>
      </c>
      <c r="U25" s="9" t="n"/>
      <c r="W25" s="133">
        <f>D25</f>
        <v/>
      </c>
      <c r="X25" s="134">
        <f>E25</f>
        <v/>
      </c>
      <c r="Y25" s="139">
        <f>H25</f>
        <v/>
      </c>
      <c r="Z25" s="137">
        <f>I25</f>
        <v/>
      </c>
      <c r="AA25" s="137">
        <f>K25</f>
        <v/>
      </c>
      <c r="AB25" s="137">
        <f>M25</f>
        <v/>
      </c>
      <c r="AC25" s="4">
        <f>N25</f>
        <v/>
      </c>
      <c r="AD25" s="138">
        <f>O25</f>
        <v/>
      </c>
      <c r="AE25" s="123">
        <f>S25</f>
        <v/>
      </c>
      <c r="AF25" s="123">
        <f>Q25&amp;"/"&amp;R25</f>
        <v/>
      </c>
      <c r="AH25" s="20">
        <f>IF(A25="","",A25)</f>
        <v/>
      </c>
      <c r="AI25" s="134">
        <f>IF(E25="","",E25)</f>
        <v/>
      </c>
      <c r="AJ25" s="123">
        <f>IF(AI25="","",$AJ$2)</f>
        <v/>
      </c>
      <c r="AK25" s="123" t="inlineStr">
        <is>
          <t>A</t>
        </is>
      </c>
      <c r="AL25" s="123" t="inlineStr">
        <is>
          <t>A+</t>
        </is>
      </c>
      <c r="AM25" s="123" t="inlineStr">
        <is>
          <t>B+</t>
        </is>
      </c>
      <c r="AN25" s="123">
        <f>IF(AI25="","",$AN$2)</f>
        <v/>
      </c>
      <c r="AO25" s="123">
        <f>IF(N25="","",IF(N25&gt;=$AO$1/100,"O","X"))</f>
        <v/>
      </c>
      <c r="AP25" s="123">
        <f>IF(I25="","",IF(I25&lt;=$AP$1,"O","X"))</f>
        <v/>
      </c>
      <c r="AQ25" s="123">
        <f>IF(O25="","",IF(O25&lt;=$AQ$1,"O","X"))</f>
        <v/>
      </c>
      <c r="AR25" s="123">
        <f>IF(M25="","",IF(M25&lt;=$AR$1,"O","X"))</f>
        <v/>
      </c>
      <c r="AS25" s="123" t="inlineStr">
        <is>
          <t>X</t>
        </is>
      </c>
      <c r="AT25" s="123">
        <f>IF(OR(F25="",AI25=""),"",IF(AND((F25&lt;=85),(AI25&gt;=15)),"O","X"))</f>
        <v/>
      </c>
      <c r="AU25" s="123">
        <f>IF(C25="","",IF(C25&gt;=$AU$1,"O","X"))</f>
        <v/>
      </c>
      <c r="AV25" s="123">
        <f>IF(AO25="","",IF(AND(AO25="O",AP25="O",AR25="O",AT25="O",AU25="O"),"후보","X"))</f>
        <v/>
      </c>
    </row>
    <row r="26">
      <c r="A26" s="9" t="n"/>
      <c r="B26" s="123" t="n"/>
      <c r="C26" s="6" t="n"/>
      <c r="D26" s="9" t="n"/>
      <c r="E26" s="14" t="n"/>
      <c r="F26" s="133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8" t="n"/>
      <c r="P26" s="138" t="n"/>
      <c r="Q26" s="134" t="n"/>
      <c r="R26" s="134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8">
        <f>IF(E26="","",E26)</f>
        <v/>
      </c>
      <c r="AJ26" s="123" t="n"/>
      <c r="AK26" s="123" t="n"/>
      <c r="AL26" s="123" t="n"/>
      <c r="AM26" s="123" t="n"/>
      <c r="AN26" s="123" t="n"/>
      <c r="AO26" s="123" t="n"/>
      <c r="AP26" s="123" t="n"/>
      <c r="AQ26" s="123" t="n"/>
      <c r="AR26" s="123" t="n"/>
      <c r="AS26" s="123" t="n"/>
      <c r="AT26" s="123" t="n"/>
      <c r="AU26" s="123" t="n"/>
      <c r="AV26" s="123" t="n"/>
    </row>
    <row r="27">
      <c r="A27" s="9" t="inlineStr">
        <is>
          <t>부향하나로</t>
        </is>
      </c>
      <c r="B27" s="10" t="inlineStr">
        <is>
          <t>'96.09.</t>
        </is>
      </c>
      <c r="C27" s="135" t="n">
        <v>402</v>
      </c>
      <c r="D27" s="133" t="n">
        <v>53.7</v>
      </c>
      <c r="E27" s="134" t="n">
        <v>16</v>
      </c>
      <c r="F27" s="133" t="n">
        <v>40</v>
      </c>
      <c r="G27" s="17" t="n">
        <v>12</v>
      </c>
      <c r="H27" s="135" t="n">
        <v>402</v>
      </c>
      <c r="I27" s="136" t="n"/>
      <c r="J27" s="136" t="n"/>
      <c r="K27" s="136" t="n"/>
      <c r="L27" s="136" t="n"/>
      <c r="M27" s="137">
        <f>I27-K27</f>
        <v/>
      </c>
      <c r="N27" s="4">
        <f>IF(ISERROR(K27/I27),"",K27/I27)</f>
        <v/>
      </c>
      <c r="O27" s="138">
        <f>I27/E27</f>
        <v/>
      </c>
      <c r="P27" s="138">
        <f>K27/E27</f>
        <v/>
      </c>
      <c r="Q27" s="123" t="n">
        <v>2</v>
      </c>
      <c r="R27" s="123" t="n">
        <v>1</v>
      </c>
      <c r="S27" s="123" t="inlineStr">
        <is>
          <t>계</t>
        </is>
      </c>
      <c r="T27" s="5" t="n">
        <v>53</v>
      </c>
      <c r="U27" s="9" t="n"/>
      <c r="W27" s="133">
        <f>D27</f>
        <v/>
      </c>
      <c r="X27" s="134">
        <f>E27</f>
        <v/>
      </c>
      <c r="Y27" s="139">
        <f>H27</f>
        <v/>
      </c>
      <c r="Z27" s="137">
        <f>I27</f>
        <v/>
      </c>
      <c r="AA27" s="137">
        <f>K27</f>
        <v/>
      </c>
      <c r="AB27" s="137">
        <f>M27</f>
        <v/>
      </c>
      <c r="AC27" s="4">
        <f>N27</f>
        <v/>
      </c>
      <c r="AD27" s="138">
        <f>O27</f>
        <v/>
      </c>
      <c r="AE27" s="123">
        <f>S27</f>
        <v/>
      </c>
      <c r="AF27" s="123">
        <f>Q27&amp;"/"&amp;R27</f>
        <v/>
      </c>
      <c r="AH27" s="20">
        <f>IF(A27="","",A27)</f>
        <v/>
      </c>
      <c r="AI27" s="134">
        <f>IF(E27="","",E27)</f>
        <v/>
      </c>
      <c r="AJ27" s="123">
        <f>IF(AI27="","",$AJ$2)</f>
        <v/>
      </c>
      <c r="AK27" s="123" t="inlineStr">
        <is>
          <t>A</t>
        </is>
      </c>
      <c r="AL27" s="123" t="inlineStr">
        <is>
          <t>A+</t>
        </is>
      </c>
      <c r="AM27" s="123" t="inlineStr">
        <is>
          <t>B+</t>
        </is>
      </c>
      <c r="AN27" s="123">
        <f>IF(AI27="","",$AN$2)</f>
        <v/>
      </c>
      <c r="AO27" s="123">
        <f>IF(N27="","",IF(N27&gt;=$AO$1/100,"O","X"))</f>
        <v/>
      </c>
      <c r="AP27" s="123">
        <f>IF(I27="","",IF(I27&lt;=$AP$1,"O","X"))</f>
        <v/>
      </c>
      <c r="AQ27" s="123">
        <f>IF(O27="","",IF(O27&lt;=$AQ$1,"O","X"))</f>
        <v/>
      </c>
      <c r="AR27" s="123">
        <f>IF(M27="","",IF(M27&lt;=$AR$1,"O","X"))</f>
        <v/>
      </c>
      <c r="AS27" s="123" t="inlineStr">
        <is>
          <t>X</t>
        </is>
      </c>
      <c r="AT27" s="123">
        <f>IF(OR(F27="",AI27=""),"",IF(AND((F27&lt;=85),(AI27&gt;=15)),"O","X"))</f>
        <v/>
      </c>
      <c r="AU27" s="123">
        <f>IF(C27="","",IF(C27&gt;=$AU$1,"O","X"))</f>
        <v/>
      </c>
      <c r="AV27" s="123">
        <f>IF(AO27="","",IF(AND(AO27="O",AP27="O",AR27="O",AT27="O",AU27="O"),"후보","X"))</f>
        <v/>
      </c>
    </row>
    <row r="28">
      <c r="A28" s="9" t="n"/>
      <c r="B28" s="123" t="n"/>
      <c r="C28" s="6" t="n"/>
      <c r="D28" s="9" t="n"/>
      <c r="E28" s="14" t="n"/>
      <c r="F28" s="133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8" t="n"/>
      <c r="P28" s="138" t="n"/>
      <c r="Q28" s="134" t="n"/>
      <c r="R28" s="134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8">
        <f>IF(E28="","",E28)</f>
        <v/>
      </c>
      <c r="AJ28" s="123" t="n"/>
      <c r="AK28" s="123" t="n"/>
      <c r="AL28" s="123" t="n"/>
      <c r="AM28" s="123" t="n"/>
      <c r="AN28" s="123" t="n"/>
      <c r="AO28" s="123" t="n"/>
      <c r="AP28" s="123" t="n"/>
      <c r="AQ28" s="123" t="n"/>
      <c r="AR28" s="123" t="n"/>
      <c r="AS28" s="123" t="n"/>
      <c r="AT28" s="123" t="n"/>
      <c r="AU28" s="123" t="n"/>
      <c r="AV28" s="123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5" t="n">
        <v>854</v>
      </c>
      <c r="D29" s="133" t="n">
        <v>80.5</v>
      </c>
      <c r="E29" s="134" t="n">
        <v>24</v>
      </c>
      <c r="F29" s="133" t="n">
        <v>59.9</v>
      </c>
      <c r="G29" s="17" t="n">
        <v>18</v>
      </c>
      <c r="H29" s="135" t="n">
        <v>174</v>
      </c>
      <c r="I29" s="136" t="n">
        <v>32000</v>
      </c>
      <c r="J29" s="136" t="inlineStr">
        <is>
          <t>8</t>
        </is>
      </c>
      <c r="K29" s="136" t="n">
        <v>25000</v>
      </c>
      <c r="L29" s="136" t="inlineStr">
        <is>
          <t>13</t>
        </is>
      </c>
      <c r="M29" s="137">
        <f>I29-K29</f>
        <v/>
      </c>
      <c r="N29" s="4">
        <f>IF(ISERROR(K29/I29),"",K29/I29)</f>
        <v/>
      </c>
      <c r="O29" s="138">
        <f>I29/E29</f>
        <v/>
      </c>
      <c r="P29" s="138">
        <f>K29/E29</f>
        <v/>
      </c>
      <c r="Q29" s="123" t="n">
        <v>3</v>
      </c>
      <c r="R29" s="123" t="n">
        <v>2</v>
      </c>
      <c r="S29" s="123" t="inlineStr">
        <is>
          <t>계</t>
        </is>
      </c>
      <c r="T29" s="5" t="n">
        <v>80</v>
      </c>
      <c r="U29" s="9" t="n"/>
      <c r="W29" s="133">
        <f>D29</f>
        <v/>
      </c>
      <c r="X29" s="134">
        <f>E29</f>
        <v/>
      </c>
      <c r="Y29" s="139">
        <f>H29</f>
        <v/>
      </c>
      <c r="Z29" s="137">
        <f>I29</f>
        <v/>
      </c>
      <c r="AA29" s="137">
        <f>K29</f>
        <v/>
      </c>
      <c r="AB29" s="137">
        <f>M29</f>
        <v/>
      </c>
      <c r="AC29" s="4">
        <f>N29</f>
        <v/>
      </c>
      <c r="AD29" s="138">
        <f>O29</f>
        <v/>
      </c>
      <c r="AE29" s="123">
        <f>S29</f>
        <v/>
      </c>
      <c r="AF29" s="123">
        <f>Q29&amp;"/"&amp;R29</f>
        <v/>
      </c>
      <c r="AH29" s="20">
        <f>IF(A29="","",A29)</f>
        <v/>
      </c>
      <c r="AI29" s="134">
        <f>IF(E29="","",E29)</f>
        <v/>
      </c>
      <c r="AJ29" s="123">
        <f>IF(AI29="","",$AJ$2)</f>
        <v/>
      </c>
      <c r="AK29" s="123" t="inlineStr">
        <is>
          <t>A</t>
        </is>
      </c>
      <c r="AL29" s="123" t="inlineStr">
        <is>
          <t>A+</t>
        </is>
      </c>
      <c r="AM29" s="123" t="inlineStr">
        <is>
          <t>B+</t>
        </is>
      </c>
      <c r="AN29" s="123">
        <f>IF(AI29="","",$AN$2)</f>
        <v/>
      </c>
      <c r="AO29" s="123">
        <f>IF(N29="","",IF(N29&gt;=$AO$1/100,"O","X"))</f>
        <v/>
      </c>
      <c r="AP29" s="123">
        <f>IF(I29="","",IF(I29&lt;=$AP$1,"O","X"))</f>
        <v/>
      </c>
      <c r="AQ29" s="123">
        <f>IF(O29="","",IF(O29&lt;=$AQ$1,"O","X"))</f>
        <v/>
      </c>
      <c r="AR29" s="123">
        <f>IF(M29="","",IF(M29&lt;=$AR$1,"O","X"))</f>
        <v/>
      </c>
      <c r="AS29" s="123" t="inlineStr">
        <is>
          <t>X</t>
        </is>
      </c>
      <c r="AT29" s="123">
        <f>IF(OR(F29="",AI29=""),"",IF(AND((F29&lt;=85),(AI29&gt;=15)),"O","X"))</f>
        <v/>
      </c>
      <c r="AU29" s="123">
        <f>IF(C29="","",IF(C29&gt;=$AU$1,"O","X"))</f>
        <v/>
      </c>
      <c r="AV29" s="123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5" t="n">
        <v>854</v>
      </c>
      <c r="D30" s="133" t="n">
        <v>100.4</v>
      </c>
      <c r="E30" s="134" t="n">
        <v>30</v>
      </c>
      <c r="F30" s="133" t="n">
        <v>75</v>
      </c>
      <c r="G30" s="17" t="n">
        <v>23</v>
      </c>
      <c r="H30" s="135" t="n">
        <v>174</v>
      </c>
      <c r="I30" s="136" t="n">
        <v>40000</v>
      </c>
      <c r="J30" s="136" t="inlineStr">
        <is>
          <t>6</t>
        </is>
      </c>
      <c r="K30" s="136" t="n"/>
      <c r="L30" s="136" t="n"/>
      <c r="M30" s="137">
        <f>I30-K30</f>
        <v/>
      </c>
      <c r="N30" s="4">
        <f>IF(ISERROR(K30/I30),"",K30/I30)</f>
        <v/>
      </c>
      <c r="O30" s="138">
        <f>I30/E30</f>
        <v/>
      </c>
      <c r="P30" s="138">
        <f>K30/E30</f>
        <v/>
      </c>
      <c r="Q30" s="123" t="n">
        <v>3</v>
      </c>
      <c r="R30" s="123" t="n">
        <v>2</v>
      </c>
      <c r="S30" s="123" t="inlineStr">
        <is>
          <t>계</t>
        </is>
      </c>
      <c r="T30" s="5" t="inlineStr">
        <is>
          <t>100B</t>
        </is>
      </c>
      <c r="U30" s="9" t="n"/>
      <c r="W30" s="133">
        <f>D30</f>
        <v/>
      </c>
      <c r="X30" s="134">
        <f>E30</f>
        <v/>
      </c>
      <c r="Y30" s="139">
        <f>H30</f>
        <v/>
      </c>
      <c r="Z30" s="137">
        <f>I30</f>
        <v/>
      </c>
      <c r="AA30" s="137">
        <f>K30</f>
        <v/>
      </c>
      <c r="AB30" s="137">
        <f>M30</f>
        <v/>
      </c>
      <c r="AC30" s="4">
        <f>N30</f>
        <v/>
      </c>
      <c r="AD30" s="138">
        <f>O30</f>
        <v/>
      </c>
      <c r="AE30" s="123">
        <f>S30</f>
        <v/>
      </c>
      <c r="AF30" s="123">
        <f>Q30&amp;"/"&amp;R30</f>
        <v/>
      </c>
      <c r="AH30" s="20">
        <f>IF(A30="","",A30)</f>
        <v/>
      </c>
      <c r="AI30" s="134">
        <f>IF(E30="","",E30)</f>
        <v/>
      </c>
      <c r="AJ30" s="123">
        <f>IF(AI30="","",$AJ$2)</f>
        <v/>
      </c>
      <c r="AK30" s="123" t="inlineStr">
        <is>
          <t>A</t>
        </is>
      </c>
      <c r="AL30" s="123" t="inlineStr">
        <is>
          <t>A+</t>
        </is>
      </c>
      <c r="AM30" s="123" t="inlineStr">
        <is>
          <t>B+</t>
        </is>
      </c>
      <c r="AN30" s="123">
        <f>IF(AI30="","",$AN$2)</f>
        <v/>
      </c>
      <c r="AO30" s="123">
        <f>IF(N30="","",IF(N30&gt;=$AO$1/100,"O","X"))</f>
        <v/>
      </c>
      <c r="AP30" s="123">
        <f>IF(I30="","",IF(I30&lt;=$AP$1,"O","X"))</f>
        <v/>
      </c>
      <c r="AQ30" s="123">
        <f>IF(O30="","",IF(O30&lt;=$AQ$1,"O","X"))</f>
        <v/>
      </c>
      <c r="AR30" s="123">
        <f>IF(M30="","",IF(M30&lt;=$AR$1,"O","X"))</f>
        <v/>
      </c>
      <c r="AS30" s="123" t="inlineStr">
        <is>
          <t>X</t>
        </is>
      </c>
      <c r="AT30" s="123">
        <f>IF(OR(F30="",AI30=""),"",IF(AND((F30&lt;=85),(AI30&gt;=15)),"O","X"))</f>
        <v/>
      </c>
      <c r="AU30" s="123">
        <f>IF(C30="","",IF(C30&gt;=$AU$1,"O","X"))</f>
        <v/>
      </c>
      <c r="AV30" s="123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5" t="n">
        <v>854</v>
      </c>
      <c r="D31" s="133" t="n">
        <v>100.1</v>
      </c>
      <c r="E31" s="134" t="n">
        <v>30</v>
      </c>
      <c r="F31" s="133" t="n">
        <v>75</v>
      </c>
      <c r="G31" s="17" t="n">
        <v>23</v>
      </c>
      <c r="H31" s="135" t="n">
        <v>84</v>
      </c>
      <c r="I31" s="136" t="n">
        <v>43500</v>
      </c>
      <c r="J31" s="136" t="inlineStr">
        <is>
          <t>8</t>
        </is>
      </c>
      <c r="K31" s="136" t="n"/>
      <c r="L31" s="136" t="n"/>
      <c r="M31" s="137">
        <f>I31-K31</f>
        <v/>
      </c>
      <c r="N31" s="4">
        <f>IF(ISERROR(K31/I31),"",K31/I31)</f>
        <v/>
      </c>
      <c r="O31" s="138">
        <f>I31/E31</f>
        <v/>
      </c>
      <c r="P31" s="138">
        <f>K31/E31</f>
        <v/>
      </c>
      <c r="Q31" s="123" t="n">
        <v>3</v>
      </c>
      <c r="R31" s="123" t="n">
        <v>2</v>
      </c>
      <c r="S31" s="123" t="inlineStr">
        <is>
          <t>계</t>
        </is>
      </c>
      <c r="T31" s="5" t="inlineStr">
        <is>
          <t>100A</t>
        </is>
      </c>
      <c r="U31" s="9" t="n"/>
      <c r="W31" s="133">
        <f>D31</f>
        <v/>
      </c>
      <c r="X31" s="134">
        <f>E31</f>
        <v/>
      </c>
      <c r="Y31" s="139">
        <f>H31</f>
        <v/>
      </c>
      <c r="Z31" s="137">
        <f>I31</f>
        <v/>
      </c>
      <c r="AA31" s="137">
        <f>K31</f>
        <v/>
      </c>
      <c r="AB31" s="137">
        <f>M31</f>
        <v/>
      </c>
      <c r="AC31" s="4">
        <f>N31</f>
        <v/>
      </c>
      <c r="AD31" s="138">
        <f>O31</f>
        <v/>
      </c>
      <c r="AE31" s="123">
        <f>S31</f>
        <v/>
      </c>
      <c r="AF31" s="123">
        <f>Q31&amp;"/"&amp;R31</f>
        <v/>
      </c>
      <c r="AH31" s="20">
        <f>IF(A31="","",A31)</f>
        <v/>
      </c>
      <c r="AI31" s="134">
        <f>IF(E31="","",E31)</f>
        <v/>
      </c>
      <c r="AJ31" s="123">
        <f>IF(AI31="","",$AJ$2)</f>
        <v/>
      </c>
      <c r="AK31" s="123" t="inlineStr">
        <is>
          <t>A</t>
        </is>
      </c>
      <c r="AL31" s="123" t="inlineStr">
        <is>
          <t>A+</t>
        </is>
      </c>
      <c r="AM31" s="123" t="inlineStr">
        <is>
          <t>B+</t>
        </is>
      </c>
      <c r="AN31" s="123">
        <f>IF(AI31="","",$AN$2)</f>
        <v/>
      </c>
      <c r="AO31" s="123">
        <f>IF(N31="","",IF(N31&gt;=$AO$1/100,"O","X"))</f>
        <v/>
      </c>
      <c r="AP31" s="123">
        <f>IF(I31="","",IF(I31&lt;=$AP$1,"O","X"))</f>
        <v/>
      </c>
      <c r="AQ31" s="123">
        <f>IF(O31="","",IF(O31&lt;=$AQ$1,"O","X"))</f>
        <v/>
      </c>
      <c r="AR31" s="123">
        <f>IF(M31="","",IF(M31&lt;=$AR$1,"O","X"))</f>
        <v/>
      </c>
      <c r="AS31" s="123" t="inlineStr">
        <is>
          <t>X</t>
        </is>
      </c>
      <c r="AT31" s="123">
        <f>IF(OR(F31="",AI31=""),"",IF(AND((F31&lt;=85),(AI31&gt;=15)),"O","X"))</f>
        <v/>
      </c>
      <c r="AU31" s="123">
        <f>IF(C31="","",IF(C31&gt;=$AU$1,"O","X"))</f>
        <v/>
      </c>
      <c r="AV31" s="123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5" t="n">
        <v>854</v>
      </c>
      <c r="D32" s="133" t="n">
        <v>113.2</v>
      </c>
      <c r="E32" s="134" t="n">
        <v>34</v>
      </c>
      <c r="F32" s="133" t="n">
        <v>85</v>
      </c>
      <c r="G32" s="17" t="n">
        <v>26</v>
      </c>
      <c r="H32" s="135" t="n">
        <v>253</v>
      </c>
      <c r="I32" s="136" t="n">
        <v>50000</v>
      </c>
      <c r="J32" s="136" t="inlineStr">
        <is>
          <t>16</t>
        </is>
      </c>
      <c r="K32" s="136" t="n">
        <v>35000</v>
      </c>
      <c r="L32" s="136" t="inlineStr">
        <is>
          <t>18</t>
        </is>
      </c>
      <c r="M32" s="137">
        <f>I32-K32</f>
        <v/>
      </c>
      <c r="N32" s="4">
        <f>IF(ISERROR(K32/I32),"",K32/I32)</f>
        <v/>
      </c>
      <c r="O32" s="138">
        <f>I32/E32</f>
        <v/>
      </c>
      <c r="P32" s="138">
        <f>K32/E32</f>
        <v/>
      </c>
      <c r="Q32" s="123" t="n">
        <v>3</v>
      </c>
      <c r="R32" s="123" t="n">
        <v>2</v>
      </c>
      <c r="S32" s="123" t="inlineStr">
        <is>
          <t>계</t>
        </is>
      </c>
      <c r="T32" s="5" t="inlineStr">
        <is>
          <t>113A</t>
        </is>
      </c>
      <c r="U32" s="9" t="n"/>
      <c r="W32" s="133">
        <f>D32</f>
        <v/>
      </c>
      <c r="X32" s="134">
        <f>E32</f>
        <v/>
      </c>
      <c r="Y32" s="139">
        <f>H32</f>
        <v/>
      </c>
      <c r="Z32" s="137">
        <f>I32</f>
        <v/>
      </c>
      <c r="AA32" s="137">
        <f>K32</f>
        <v/>
      </c>
      <c r="AB32" s="137">
        <f>M32</f>
        <v/>
      </c>
      <c r="AC32" s="4">
        <f>N32</f>
        <v/>
      </c>
      <c r="AD32" s="138">
        <f>O32</f>
        <v/>
      </c>
      <c r="AE32" s="123">
        <f>S32</f>
        <v/>
      </c>
      <c r="AF32" s="123">
        <f>Q32&amp;"/"&amp;R32</f>
        <v/>
      </c>
      <c r="AH32" s="20">
        <f>IF(A32="","",A32)</f>
        <v/>
      </c>
      <c r="AI32" s="134">
        <f>IF(E32="","",E32)</f>
        <v/>
      </c>
      <c r="AJ32" s="123">
        <f>IF(AI32="","",$AJ$2)</f>
        <v/>
      </c>
      <c r="AK32" s="123" t="inlineStr">
        <is>
          <t>A</t>
        </is>
      </c>
      <c r="AL32" s="123" t="inlineStr">
        <is>
          <t>A+</t>
        </is>
      </c>
      <c r="AM32" s="123" t="inlineStr">
        <is>
          <t>B+</t>
        </is>
      </c>
      <c r="AN32" s="123">
        <f>IF(AI32="","",$AN$2)</f>
        <v/>
      </c>
      <c r="AO32" s="123">
        <f>IF(N32="","",IF(N32&gt;=$AO$1/100,"O","X"))</f>
        <v/>
      </c>
      <c r="AP32" s="123">
        <f>IF(I32="","",IF(I32&lt;=$AP$1,"O","X"))</f>
        <v/>
      </c>
      <c r="AQ32" s="123">
        <f>IF(O32="","",IF(O32&lt;=$AQ$1,"O","X"))</f>
        <v/>
      </c>
      <c r="AR32" s="123">
        <f>IF(M32="","",IF(M32&lt;=$AR$1,"O","X"))</f>
        <v/>
      </c>
      <c r="AS32" s="123" t="inlineStr">
        <is>
          <t>X</t>
        </is>
      </c>
      <c r="AT32" s="123">
        <f>IF(OR(F32="",AI32=""),"",IF(AND((F32&lt;=85),(AI32&gt;=15)),"O","X"))</f>
        <v/>
      </c>
      <c r="AU32" s="123">
        <f>IF(C32="","",IF(C32&gt;=$AU$1,"O","X"))</f>
        <v/>
      </c>
      <c r="AV32" s="123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5" t="n">
        <v>854</v>
      </c>
      <c r="D33" s="133" t="n">
        <v>113.9</v>
      </c>
      <c r="E33" s="134" t="n">
        <v>34</v>
      </c>
      <c r="F33" s="133" t="n">
        <v>84.8</v>
      </c>
      <c r="G33" s="17" t="n">
        <v>26</v>
      </c>
      <c r="H33" s="135" t="n">
        <v>82</v>
      </c>
      <c r="I33" s="136" t="n">
        <v>46000</v>
      </c>
      <c r="J33" s="136" t="inlineStr">
        <is>
          <t>6</t>
        </is>
      </c>
      <c r="K33" s="136" t="n">
        <v>32000</v>
      </c>
      <c r="L33" s="136" t="inlineStr">
        <is>
          <t>28</t>
        </is>
      </c>
      <c r="M33" s="137">
        <f>I33-K33</f>
        <v/>
      </c>
      <c r="N33" s="4">
        <f>IF(ISERROR(K33/I33),"",K33/I33)</f>
        <v/>
      </c>
      <c r="O33" s="138">
        <f>I33/E33</f>
        <v/>
      </c>
      <c r="P33" s="138">
        <f>K33/E33</f>
        <v/>
      </c>
      <c r="Q33" s="123" t="n">
        <v>3</v>
      </c>
      <c r="R33" s="123" t="n">
        <v>2</v>
      </c>
      <c r="S33" s="123" t="inlineStr">
        <is>
          <t>계</t>
        </is>
      </c>
      <c r="T33" s="5" t="inlineStr">
        <is>
          <t>113B</t>
        </is>
      </c>
      <c r="U33" s="9" t="n"/>
      <c r="W33" s="133">
        <f>D33</f>
        <v/>
      </c>
      <c r="X33" s="134">
        <f>E33</f>
        <v/>
      </c>
      <c r="Y33" s="139">
        <f>H33</f>
        <v/>
      </c>
      <c r="Z33" s="137">
        <f>I33</f>
        <v/>
      </c>
      <c r="AA33" s="137">
        <f>K33</f>
        <v/>
      </c>
      <c r="AB33" s="137">
        <f>M33</f>
        <v/>
      </c>
      <c r="AC33" s="4">
        <f>N33</f>
        <v/>
      </c>
      <c r="AD33" s="138">
        <f>O33</f>
        <v/>
      </c>
      <c r="AE33" s="123">
        <f>S33</f>
        <v/>
      </c>
      <c r="AF33" s="123">
        <f>Q33&amp;"/"&amp;R33</f>
        <v/>
      </c>
      <c r="AH33" s="20">
        <f>IF(A33="","",A33)</f>
        <v/>
      </c>
      <c r="AI33" s="134">
        <f>IF(E33="","",E33)</f>
        <v/>
      </c>
      <c r="AJ33" s="123">
        <f>IF(AI33="","",$AJ$2)</f>
        <v/>
      </c>
      <c r="AK33" s="123" t="inlineStr">
        <is>
          <t>A</t>
        </is>
      </c>
      <c r="AL33" s="123" t="inlineStr">
        <is>
          <t>A+</t>
        </is>
      </c>
      <c r="AM33" s="123" t="inlineStr">
        <is>
          <t>B+</t>
        </is>
      </c>
      <c r="AN33" s="123">
        <f>IF(AI33="","",$AN$2)</f>
        <v/>
      </c>
      <c r="AO33" s="123">
        <f>IF(N33="","",IF(N33&gt;=$AO$1/100,"O","X"))</f>
        <v/>
      </c>
      <c r="AP33" s="123">
        <f>IF(I33="","",IF(I33&lt;=$AP$1,"O","X"))</f>
        <v/>
      </c>
      <c r="AQ33" s="123">
        <f>IF(O33="","",IF(O33&lt;=$AQ$1,"O","X"))</f>
        <v/>
      </c>
      <c r="AR33" s="123">
        <f>IF(M33="","",IF(M33&lt;=$AR$1,"O","X"))</f>
        <v/>
      </c>
      <c r="AS33" s="123" t="inlineStr">
        <is>
          <t>X</t>
        </is>
      </c>
      <c r="AT33" s="123">
        <f>IF(OR(F33="",AI33=""),"",IF(AND((F33&lt;=85),(AI33&gt;=15)),"O","X"))</f>
        <v/>
      </c>
      <c r="AU33" s="123">
        <f>IF(C33="","",IF(C33&gt;=$AU$1,"O","X"))</f>
        <v/>
      </c>
      <c r="AV33" s="123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5" t="n">
        <v>854</v>
      </c>
      <c r="D34" s="133" t="n">
        <v>140.3</v>
      </c>
      <c r="E34" s="134" t="n">
        <v>42</v>
      </c>
      <c r="F34" s="133" t="n">
        <v>106.4</v>
      </c>
      <c r="G34" s="17" t="n">
        <v>32</v>
      </c>
      <c r="H34" s="135" t="n">
        <v>87</v>
      </c>
      <c r="I34" s="136" t="n"/>
      <c r="J34" s="136" t="n"/>
      <c r="K34" s="136" t="n"/>
      <c r="L34" s="136" t="n"/>
      <c r="M34" s="137">
        <f>I34-K34</f>
        <v/>
      </c>
      <c r="N34" s="4">
        <f>IF(ISERROR(K34/I34),"",K34/I34)</f>
        <v/>
      </c>
      <c r="O34" s="138">
        <f>I34/E34</f>
        <v/>
      </c>
      <c r="P34" s="138">
        <f>K34/E34</f>
        <v/>
      </c>
      <c r="Q34" s="123" t="n">
        <v>4</v>
      </c>
      <c r="R34" s="123" t="n">
        <v>2</v>
      </c>
      <c r="S34" s="123" t="inlineStr">
        <is>
          <t>계</t>
        </is>
      </c>
      <c r="T34" s="5" t="n">
        <v>140</v>
      </c>
      <c r="U34" s="9" t="n"/>
      <c r="W34" s="133">
        <f>D34</f>
        <v/>
      </c>
      <c r="X34" s="134">
        <f>E34</f>
        <v/>
      </c>
      <c r="Y34" s="139">
        <f>H34</f>
        <v/>
      </c>
      <c r="Z34" s="137">
        <f>I34</f>
        <v/>
      </c>
      <c r="AA34" s="137">
        <f>K34</f>
        <v/>
      </c>
      <c r="AB34" s="137">
        <f>M34</f>
        <v/>
      </c>
      <c r="AC34" s="4">
        <f>N34</f>
        <v/>
      </c>
      <c r="AD34" s="138">
        <f>O34</f>
        <v/>
      </c>
      <c r="AE34" s="123">
        <f>S34</f>
        <v/>
      </c>
      <c r="AF34" s="123">
        <f>Q34&amp;"/"&amp;R34</f>
        <v/>
      </c>
      <c r="AH34" s="20">
        <f>IF(A34="","",A34)</f>
        <v/>
      </c>
      <c r="AI34" s="134">
        <f>IF(E34="","",E34)</f>
        <v/>
      </c>
      <c r="AJ34" s="123">
        <f>IF(AI34="","",$AJ$2)</f>
        <v/>
      </c>
      <c r="AK34" s="123" t="inlineStr">
        <is>
          <t>A</t>
        </is>
      </c>
      <c r="AL34" s="123" t="inlineStr">
        <is>
          <t>A+</t>
        </is>
      </c>
      <c r="AM34" s="123" t="inlineStr">
        <is>
          <t>B+</t>
        </is>
      </c>
      <c r="AN34" s="123">
        <f>IF(AI34="","",$AN$2)</f>
        <v/>
      </c>
      <c r="AO34" s="123">
        <f>IF(N34="","",IF(N34&gt;=$AO$1/100,"O","X"))</f>
        <v/>
      </c>
      <c r="AP34" s="123">
        <f>IF(I34="","",IF(I34&lt;=$AP$1,"O","X"))</f>
        <v/>
      </c>
      <c r="AQ34" s="123">
        <f>IF(O34="","",IF(O34&lt;=$AQ$1,"O","X"))</f>
        <v/>
      </c>
      <c r="AR34" s="123">
        <f>IF(M34="","",IF(M34&lt;=$AR$1,"O","X"))</f>
        <v/>
      </c>
      <c r="AS34" s="123" t="inlineStr">
        <is>
          <t>X</t>
        </is>
      </c>
      <c r="AT34" s="123">
        <f>IF(OR(F34="",AI34=""),"",IF(AND((F34&lt;=85),(AI34&gt;=15)),"O","X"))</f>
        <v/>
      </c>
      <c r="AU34" s="123">
        <f>IF(C34="","",IF(C34&gt;=$AU$1,"O","X"))</f>
        <v/>
      </c>
      <c r="AV34" s="123">
        <f>IF(AO34="","",IF(AND(AO34="O",AP34="O",AR34="O",AT34="O",AU34="O"),"후보","X"))</f>
        <v/>
      </c>
    </row>
    <row r="35">
      <c r="A35" s="9" t="n"/>
      <c r="B35" s="123" t="n"/>
      <c r="C35" s="6" t="n"/>
      <c r="D35" s="9" t="n"/>
      <c r="E35" s="14" t="n"/>
      <c r="F35" s="133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8" t="n"/>
      <c r="P35" s="138" t="n"/>
      <c r="Q35" s="134" t="n"/>
      <c r="R35" s="134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8">
        <f>IF(E35="","",E35)</f>
        <v/>
      </c>
      <c r="AJ35" s="123" t="n"/>
      <c r="AK35" s="123" t="n"/>
      <c r="AL35" s="123" t="n"/>
      <c r="AM35" s="123" t="n"/>
      <c r="AN35" s="123" t="n"/>
      <c r="AO35" s="123" t="n"/>
      <c r="AP35" s="123" t="n"/>
      <c r="AQ35" s="123" t="n"/>
      <c r="AR35" s="123" t="n"/>
      <c r="AS35" s="123" t="n"/>
      <c r="AT35" s="123" t="n"/>
      <c r="AU35" s="123" t="n"/>
      <c r="AV35" s="123" t="n"/>
    </row>
    <row r="36">
      <c r="A36" s="9" t="inlineStr">
        <is>
          <t>시영</t>
        </is>
      </c>
      <c r="B36" s="10" t="inlineStr">
        <is>
          <t>'93.12.</t>
        </is>
      </c>
      <c r="C36" s="135" t="n">
        <v>270</v>
      </c>
      <c r="D36" s="133" t="n">
        <v>66.59999999999999</v>
      </c>
      <c r="E36" s="134" t="n">
        <v>20</v>
      </c>
      <c r="F36" s="133" t="n">
        <v>49.1</v>
      </c>
      <c r="G36" s="17" t="n">
        <v>15</v>
      </c>
      <c r="H36" s="135" t="n">
        <v>150</v>
      </c>
      <c r="I36" s="136" t="n"/>
      <c r="J36" s="136" t="n"/>
      <c r="K36" s="136" t="n"/>
      <c r="L36" s="136" t="n"/>
      <c r="M36" s="137">
        <f>I36-K36</f>
        <v/>
      </c>
      <c r="N36" s="4">
        <f>IF(ISERROR(K36/I36),"",K36/I36)</f>
        <v/>
      </c>
      <c r="O36" s="138">
        <f>I36/E36</f>
        <v/>
      </c>
      <c r="P36" s="138">
        <f>K36/E36</f>
        <v/>
      </c>
      <c r="Q36" s="123" t="n">
        <v>2</v>
      </c>
      <c r="R36" s="123" t="n">
        <v>1</v>
      </c>
      <c r="S36" s="123" t="inlineStr">
        <is>
          <t>복</t>
        </is>
      </c>
      <c r="T36" s="5" t="n">
        <v>66</v>
      </c>
      <c r="U36" s="9" t="n"/>
      <c r="W36" s="133">
        <f>D36</f>
        <v/>
      </c>
      <c r="X36" s="134">
        <f>E36</f>
        <v/>
      </c>
      <c r="Y36" s="139">
        <f>H36</f>
        <v/>
      </c>
      <c r="Z36" s="137">
        <f>I36</f>
        <v/>
      </c>
      <c r="AA36" s="137">
        <f>K36</f>
        <v/>
      </c>
      <c r="AB36" s="137">
        <f>M36</f>
        <v/>
      </c>
      <c r="AC36" s="4">
        <f>N36</f>
        <v/>
      </c>
      <c r="AD36" s="138">
        <f>O36</f>
        <v/>
      </c>
      <c r="AE36" s="123">
        <f>S36</f>
        <v/>
      </c>
      <c r="AF36" s="123">
        <f>Q36&amp;"/"&amp;R36</f>
        <v/>
      </c>
      <c r="AH36" s="20">
        <f>IF(A36="","",A36)</f>
        <v/>
      </c>
      <c r="AI36" s="134">
        <f>IF(E36="","",E36)</f>
        <v/>
      </c>
      <c r="AJ36" s="123">
        <f>IF(AI36="","",$AJ$2)</f>
        <v/>
      </c>
      <c r="AK36" s="123" t="inlineStr">
        <is>
          <t>A</t>
        </is>
      </c>
      <c r="AL36" s="123" t="inlineStr">
        <is>
          <t>A+</t>
        </is>
      </c>
      <c r="AM36" s="123" t="inlineStr">
        <is>
          <t>B+</t>
        </is>
      </c>
      <c r="AN36" s="123">
        <f>IF(AI36="","",$AN$2)</f>
        <v/>
      </c>
      <c r="AO36" s="123">
        <f>IF(N36="","",IF(N36&gt;=$AO$1/100,"O","X"))</f>
        <v/>
      </c>
      <c r="AP36" s="123">
        <f>IF(I36="","",IF(I36&lt;=$AP$1,"O","X"))</f>
        <v/>
      </c>
      <c r="AQ36" s="123">
        <f>IF(O36="","",IF(O36&lt;=$AQ$1,"O","X"))</f>
        <v/>
      </c>
      <c r="AR36" s="123">
        <f>IF(M36="","",IF(M36&lt;=$AR$1,"O","X"))</f>
        <v/>
      </c>
      <c r="AS36" s="123" t="inlineStr">
        <is>
          <t>X</t>
        </is>
      </c>
      <c r="AT36" s="123">
        <f>IF(OR(F36="",AI36=""),"",IF(AND((F36&lt;=85),(AI36&gt;=15)),"O","X"))</f>
        <v/>
      </c>
      <c r="AU36" s="123">
        <f>IF(C36="","",IF(C36&gt;=$AU$1,"O","X"))</f>
        <v/>
      </c>
      <c r="AV36" s="123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5" t="n">
        <v>270</v>
      </c>
      <c r="D37" s="133" t="n">
        <v>79.40000000000001</v>
      </c>
      <c r="E37" s="134" t="n">
        <v>24</v>
      </c>
      <c r="F37" s="133" t="n">
        <v>59.4</v>
      </c>
      <c r="G37" s="17" t="n">
        <v>18</v>
      </c>
      <c r="H37" s="135" t="n">
        <v>120</v>
      </c>
      <c r="I37" s="136" t="n"/>
      <c r="J37" s="136" t="n"/>
      <c r="K37" s="136" t="n"/>
      <c r="L37" s="136" t="n"/>
      <c r="M37" s="137">
        <f>I37-K37</f>
        <v/>
      </c>
      <c r="N37" s="4">
        <f>IF(ISERROR(K37/I37),"",K37/I37)</f>
        <v/>
      </c>
      <c r="O37" s="138">
        <f>I37/E37</f>
        <v/>
      </c>
      <c r="P37" s="138">
        <f>K37/E37</f>
        <v/>
      </c>
      <c r="Q37" s="123" t="n">
        <v>3</v>
      </c>
      <c r="R37" s="123" t="n">
        <v>1</v>
      </c>
      <c r="S37" s="123" t="inlineStr">
        <is>
          <t>복</t>
        </is>
      </c>
      <c r="T37" s="5" t="n">
        <v>79</v>
      </c>
      <c r="U37" s="9" t="n"/>
      <c r="W37" s="133">
        <f>D37</f>
        <v/>
      </c>
      <c r="X37" s="134">
        <f>E37</f>
        <v/>
      </c>
      <c r="Y37" s="139">
        <f>H37</f>
        <v/>
      </c>
      <c r="Z37" s="137">
        <f>I37</f>
        <v/>
      </c>
      <c r="AA37" s="137">
        <f>K37</f>
        <v/>
      </c>
      <c r="AB37" s="137">
        <f>M37</f>
        <v/>
      </c>
      <c r="AC37" s="4">
        <f>N37</f>
        <v/>
      </c>
      <c r="AD37" s="138">
        <f>O37</f>
        <v/>
      </c>
      <c r="AE37" s="123">
        <f>S37</f>
        <v/>
      </c>
      <c r="AF37" s="123">
        <f>Q37&amp;"/"&amp;R37</f>
        <v/>
      </c>
      <c r="AH37" s="20">
        <f>IF(A37="","",A37)</f>
        <v/>
      </c>
      <c r="AI37" s="134">
        <f>IF(E37="","",E37)</f>
        <v/>
      </c>
      <c r="AJ37" s="123">
        <f>IF(AI37="","",$AJ$2)</f>
        <v/>
      </c>
      <c r="AK37" s="123" t="inlineStr">
        <is>
          <t>A</t>
        </is>
      </c>
      <c r="AL37" s="123" t="inlineStr">
        <is>
          <t>A+</t>
        </is>
      </c>
      <c r="AM37" s="123" t="inlineStr">
        <is>
          <t>B+</t>
        </is>
      </c>
      <c r="AN37" s="123">
        <f>IF(AI37="","",$AN$2)</f>
        <v/>
      </c>
      <c r="AO37" s="123">
        <f>IF(N37="","",IF(N37&gt;=$AO$1/100,"O","X"))</f>
        <v/>
      </c>
      <c r="AP37" s="123">
        <f>IF(I37="","",IF(I37&lt;=$AP$1,"O","X"))</f>
        <v/>
      </c>
      <c r="AQ37" s="123">
        <f>IF(O37="","",IF(O37&lt;=$AQ$1,"O","X"))</f>
        <v/>
      </c>
      <c r="AR37" s="123">
        <f>IF(M37="","",IF(M37&lt;=$AR$1,"O","X"))</f>
        <v/>
      </c>
      <c r="AS37" s="123" t="inlineStr">
        <is>
          <t>X</t>
        </is>
      </c>
      <c r="AT37" s="123">
        <f>IF(OR(F37="",AI37=""),"",IF(AND((F37&lt;=85),(AI37&gt;=15)),"O","X"))</f>
        <v/>
      </c>
      <c r="AU37" s="123">
        <f>IF(C37="","",IF(C37&gt;=$AU$1,"O","X"))</f>
        <v/>
      </c>
      <c r="AV37" s="123">
        <f>IF(AO37="","",IF(AND(AO37="O",AP37="O",AR37="O",AT37="O",AU37="O"),"후보","X"))</f>
        <v/>
      </c>
    </row>
    <row r="38">
      <c r="A38" s="9" t="n"/>
      <c r="B38" s="123" t="n"/>
      <c r="C38" s="6" t="n"/>
      <c r="D38" s="9" t="n"/>
      <c r="E38" s="14" t="n"/>
      <c r="F38" s="133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8" t="n"/>
      <c r="P38" s="138" t="n"/>
      <c r="Q38" s="134" t="n"/>
      <c r="R38" s="134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8">
        <f>IF(E38="","",E38)</f>
        <v/>
      </c>
      <c r="AJ38" s="123" t="n"/>
      <c r="AK38" s="123" t="n"/>
      <c r="AL38" s="123" t="n"/>
      <c r="AM38" s="123" t="n"/>
      <c r="AN38" s="123" t="n"/>
      <c r="AO38" s="123" t="n"/>
      <c r="AP38" s="123" t="n"/>
      <c r="AQ38" s="123" t="n"/>
      <c r="AR38" s="123" t="n"/>
      <c r="AS38" s="123" t="n"/>
      <c r="AT38" s="123" t="n"/>
      <c r="AU38" s="123" t="n"/>
      <c r="AV38" s="123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5" t="n">
        <v>771</v>
      </c>
      <c r="D39" s="133" t="n">
        <v>109.6</v>
      </c>
      <c r="E39" s="134" t="n">
        <v>33</v>
      </c>
      <c r="F39" s="133" t="n">
        <v>85</v>
      </c>
      <c r="G39" s="17" t="n">
        <v>26</v>
      </c>
      <c r="H39" s="135" t="n">
        <v>442</v>
      </c>
      <c r="I39" s="136" t="n"/>
      <c r="J39" s="136" t="n"/>
      <c r="K39" s="136" t="n"/>
      <c r="L39" s="136" t="n"/>
      <c r="M39" s="137">
        <f>I39-K39</f>
        <v/>
      </c>
      <c r="N39" s="4">
        <f>IF(ISERROR(K39/I39),"",K39/I39)</f>
        <v/>
      </c>
      <c r="O39" s="138">
        <f>I39/E39</f>
        <v/>
      </c>
      <c r="P39" s="138">
        <f>K39/E39</f>
        <v/>
      </c>
      <c r="Q39" s="123" t="n">
        <v>3</v>
      </c>
      <c r="R39" s="123" t="n">
        <v>2</v>
      </c>
      <c r="S39" s="123" t="inlineStr">
        <is>
          <t>계</t>
        </is>
      </c>
      <c r="T39" s="5" t="inlineStr">
        <is>
          <t>109A</t>
        </is>
      </c>
      <c r="U39" s="9" t="n"/>
      <c r="W39" s="133">
        <f>D39</f>
        <v/>
      </c>
      <c r="X39" s="134">
        <f>E39</f>
        <v/>
      </c>
      <c r="Y39" s="139">
        <f>H39</f>
        <v/>
      </c>
      <c r="Z39" s="137">
        <f>I39</f>
        <v/>
      </c>
      <c r="AA39" s="137">
        <f>K39</f>
        <v/>
      </c>
      <c r="AB39" s="137">
        <f>M39</f>
        <v/>
      </c>
      <c r="AC39" s="4">
        <f>N39</f>
        <v/>
      </c>
      <c r="AD39" s="138">
        <f>O39</f>
        <v/>
      </c>
      <c r="AE39" s="123">
        <f>S39</f>
        <v/>
      </c>
      <c r="AF39" s="123">
        <f>Q39&amp;"/"&amp;R39</f>
        <v/>
      </c>
      <c r="AH39" s="20">
        <f>IF(A39="","",A39)</f>
        <v/>
      </c>
      <c r="AI39" s="134">
        <f>IF(E39="","",E39)</f>
        <v/>
      </c>
      <c r="AJ39" s="123">
        <f>IF(AI39="","",$AJ$2)</f>
        <v/>
      </c>
      <c r="AK39" s="123" t="inlineStr">
        <is>
          <t>A</t>
        </is>
      </c>
      <c r="AL39" s="123" t="inlineStr">
        <is>
          <t>A+</t>
        </is>
      </c>
      <c r="AM39" s="123" t="inlineStr">
        <is>
          <t>B+</t>
        </is>
      </c>
      <c r="AN39" s="123">
        <f>IF(AI39="","",$AN$2)</f>
        <v/>
      </c>
      <c r="AO39" s="123">
        <f>IF(N39="","",IF(N39&gt;=$AO$1/100,"O","X"))</f>
        <v/>
      </c>
      <c r="AP39" s="123">
        <f>IF(I39="","",IF(I39&lt;=$AP$1,"O","X"))</f>
        <v/>
      </c>
      <c r="AQ39" s="123">
        <f>IF(O39="","",IF(O39&lt;=$AQ$1,"O","X"))</f>
        <v/>
      </c>
      <c r="AR39" s="123">
        <f>IF(M39="","",IF(M39&lt;=$AR$1,"O","X"))</f>
        <v/>
      </c>
      <c r="AS39" s="123" t="inlineStr">
        <is>
          <t>X</t>
        </is>
      </c>
      <c r="AT39" s="123">
        <f>IF(OR(F39="",AI39=""),"",IF(AND((F39&lt;=85),(AI39&gt;=15)),"O","X"))</f>
        <v/>
      </c>
      <c r="AU39" s="123">
        <f>IF(C39="","",IF(C39&gt;=$AU$1,"O","X"))</f>
        <v/>
      </c>
      <c r="AV39" s="123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5" t="n">
        <v>771</v>
      </c>
      <c r="D40" s="133" t="n">
        <v>109.7</v>
      </c>
      <c r="E40" s="134" t="n">
        <v>33</v>
      </c>
      <c r="F40" s="133" t="n">
        <v>85</v>
      </c>
      <c r="G40" s="17" t="n">
        <v>26</v>
      </c>
      <c r="H40" s="135" t="n">
        <v>111</v>
      </c>
      <c r="I40" s="136" t="n"/>
      <c r="J40" s="136" t="n"/>
      <c r="K40" s="136" t="n"/>
      <c r="L40" s="136" t="n"/>
      <c r="M40" s="137">
        <f>I40-K40</f>
        <v/>
      </c>
      <c r="N40" s="4">
        <f>IF(ISERROR(K40/I40),"",K40/I40)</f>
        <v/>
      </c>
      <c r="O40" s="138">
        <f>I40/E40</f>
        <v/>
      </c>
      <c r="P40" s="138">
        <f>K40/E40</f>
        <v/>
      </c>
      <c r="Q40" s="123" t="n">
        <v>3</v>
      </c>
      <c r="R40" s="123" t="n">
        <v>2</v>
      </c>
      <c r="S40" s="123" t="inlineStr">
        <is>
          <t>계</t>
        </is>
      </c>
      <c r="T40" s="5" t="inlineStr">
        <is>
          <t>109B</t>
        </is>
      </c>
      <c r="U40" s="9" t="n"/>
      <c r="W40" s="133">
        <f>D40</f>
        <v/>
      </c>
      <c r="X40" s="134">
        <f>E40</f>
        <v/>
      </c>
      <c r="Y40" s="139">
        <f>H40</f>
        <v/>
      </c>
      <c r="Z40" s="137">
        <f>I40</f>
        <v/>
      </c>
      <c r="AA40" s="137">
        <f>K40</f>
        <v/>
      </c>
      <c r="AB40" s="137">
        <f>M40</f>
        <v/>
      </c>
      <c r="AC40" s="4">
        <f>N40</f>
        <v/>
      </c>
      <c r="AD40" s="138">
        <f>O40</f>
        <v/>
      </c>
      <c r="AE40" s="123">
        <f>S40</f>
        <v/>
      </c>
      <c r="AF40" s="123">
        <f>Q40&amp;"/"&amp;R40</f>
        <v/>
      </c>
      <c r="AH40" s="20">
        <f>IF(A40="","",A40)</f>
        <v/>
      </c>
      <c r="AI40" s="134">
        <f>IF(E40="","",E40)</f>
        <v/>
      </c>
      <c r="AJ40" s="123">
        <f>IF(AI40="","",$AJ$2)</f>
        <v/>
      </c>
      <c r="AK40" s="123" t="inlineStr">
        <is>
          <t>A</t>
        </is>
      </c>
      <c r="AL40" s="123" t="inlineStr">
        <is>
          <t>A+</t>
        </is>
      </c>
      <c r="AM40" s="123" t="inlineStr">
        <is>
          <t>B+</t>
        </is>
      </c>
      <c r="AN40" s="123">
        <f>IF(AI40="","",$AN$2)</f>
        <v/>
      </c>
      <c r="AO40" s="123">
        <f>IF(N40="","",IF(N40&gt;=$AO$1/100,"O","X"))</f>
        <v/>
      </c>
      <c r="AP40" s="123">
        <f>IF(I40="","",IF(I40&lt;=$AP$1,"O","X"))</f>
        <v/>
      </c>
      <c r="AQ40" s="123">
        <f>IF(O40="","",IF(O40&lt;=$AQ$1,"O","X"))</f>
        <v/>
      </c>
      <c r="AR40" s="123">
        <f>IF(M40="","",IF(M40&lt;=$AR$1,"O","X"))</f>
        <v/>
      </c>
      <c r="AS40" s="123" t="inlineStr">
        <is>
          <t>X</t>
        </is>
      </c>
      <c r="AT40" s="123">
        <f>IF(OR(F40="",AI40=""),"",IF(AND((F40&lt;=85),(AI40&gt;=15)),"O","X"))</f>
        <v/>
      </c>
      <c r="AU40" s="123">
        <f>IF(C40="","",IF(C40&gt;=$AU$1,"O","X"))</f>
        <v/>
      </c>
      <c r="AV40" s="123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5" t="n">
        <v>771</v>
      </c>
      <c r="D41" s="133" t="n">
        <v>109.7</v>
      </c>
      <c r="E41" s="134" t="n">
        <v>33</v>
      </c>
      <c r="F41" s="133" t="n">
        <v>85</v>
      </c>
      <c r="G41" s="17" t="n">
        <v>26</v>
      </c>
      <c r="H41" s="135" t="n">
        <v>36</v>
      </c>
      <c r="I41" s="136" t="n"/>
      <c r="J41" s="136" t="n"/>
      <c r="K41" s="136" t="n"/>
      <c r="L41" s="136" t="n"/>
      <c r="M41" s="137">
        <f>I41-K41</f>
        <v/>
      </c>
      <c r="N41" s="4">
        <f>IF(ISERROR(K41/I41),"",K41/I41)</f>
        <v/>
      </c>
      <c r="O41" s="138">
        <f>I41/E41</f>
        <v/>
      </c>
      <c r="P41" s="138">
        <f>K41/E41</f>
        <v/>
      </c>
      <c r="Q41" s="123" t="n">
        <v>3</v>
      </c>
      <c r="R41" s="123" t="n">
        <v>2</v>
      </c>
      <c r="S41" s="123" t="inlineStr">
        <is>
          <t>계</t>
        </is>
      </c>
      <c r="T41" s="5" t="inlineStr">
        <is>
          <t>109C</t>
        </is>
      </c>
      <c r="U41" s="9" t="n"/>
      <c r="W41" s="133">
        <f>D41</f>
        <v/>
      </c>
      <c r="X41" s="134">
        <f>E41</f>
        <v/>
      </c>
      <c r="Y41" s="139">
        <f>H41</f>
        <v/>
      </c>
      <c r="Z41" s="137">
        <f>I41</f>
        <v/>
      </c>
      <c r="AA41" s="137">
        <f>K41</f>
        <v/>
      </c>
      <c r="AB41" s="137">
        <f>M41</f>
        <v/>
      </c>
      <c r="AC41" s="4">
        <f>N41</f>
        <v/>
      </c>
      <c r="AD41" s="138">
        <f>O41</f>
        <v/>
      </c>
      <c r="AE41" s="123">
        <f>S41</f>
        <v/>
      </c>
      <c r="AF41" s="123">
        <f>Q41&amp;"/"&amp;R41</f>
        <v/>
      </c>
      <c r="AH41" s="20">
        <f>IF(A41="","",A41)</f>
        <v/>
      </c>
      <c r="AI41" s="134">
        <f>IF(E41="","",E41)</f>
        <v/>
      </c>
      <c r="AJ41" s="123">
        <f>IF(AI41="","",$AJ$2)</f>
        <v/>
      </c>
      <c r="AK41" s="123" t="inlineStr">
        <is>
          <t>A</t>
        </is>
      </c>
      <c r="AL41" s="123" t="inlineStr">
        <is>
          <t>A+</t>
        </is>
      </c>
      <c r="AM41" s="123" t="inlineStr">
        <is>
          <t>B+</t>
        </is>
      </c>
      <c r="AN41" s="123">
        <f>IF(AI41="","",$AN$2)</f>
        <v/>
      </c>
      <c r="AO41" s="123">
        <f>IF(N41="","",IF(N41&gt;=$AO$1/100,"O","X"))</f>
        <v/>
      </c>
      <c r="AP41" s="123">
        <f>IF(I41="","",IF(I41&lt;=$AP$1,"O","X"))</f>
        <v/>
      </c>
      <c r="AQ41" s="123">
        <f>IF(O41="","",IF(O41&lt;=$AQ$1,"O","X"))</f>
        <v/>
      </c>
      <c r="AR41" s="123">
        <f>IF(M41="","",IF(M41&lt;=$AR$1,"O","X"))</f>
        <v/>
      </c>
      <c r="AS41" s="123" t="inlineStr">
        <is>
          <t>X</t>
        </is>
      </c>
      <c r="AT41" s="123">
        <f>IF(OR(F41="",AI41=""),"",IF(AND((F41&lt;=85),(AI41&gt;=15)),"O","X"))</f>
        <v/>
      </c>
      <c r="AU41" s="123">
        <f>IF(C41="","",IF(C41&gt;=$AU$1,"O","X"))</f>
        <v/>
      </c>
      <c r="AV41" s="123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5" t="n">
        <v>771</v>
      </c>
      <c r="D42" s="133" t="n">
        <v>135.4</v>
      </c>
      <c r="E42" s="134" t="n">
        <v>41</v>
      </c>
      <c r="F42" s="133" t="n">
        <v>107</v>
      </c>
      <c r="G42" s="17" t="n">
        <v>32</v>
      </c>
      <c r="H42" s="135" t="n">
        <v>125</v>
      </c>
      <c r="I42" s="136" t="n"/>
      <c r="J42" s="136" t="n"/>
      <c r="K42" s="136" t="n"/>
      <c r="L42" s="136" t="n"/>
      <c r="M42" s="137">
        <f>I42-K42</f>
        <v/>
      </c>
      <c r="N42" s="4">
        <f>IF(ISERROR(K42/I42),"",K42/I42)</f>
        <v/>
      </c>
      <c r="O42" s="138">
        <f>I42/E42</f>
        <v/>
      </c>
      <c r="P42" s="138">
        <f>K42/E42</f>
        <v/>
      </c>
      <c r="Q42" s="123" t="n">
        <v>4</v>
      </c>
      <c r="R42" s="123" t="n">
        <v>2</v>
      </c>
      <c r="S42" s="123" t="inlineStr">
        <is>
          <t>계</t>
        </is>
      </c>
      <c r="T42" s="5" t="n">
        <v>135</v>
      </c>
      <c r="U42" s="9" t="n"/>
      <c r="W42" s="133">
        <f>D42</f>
        <v/>
      </c>
      <c r="X42" s="134">
        <f>E42</f>
        <v/>
      </c>
      <c r="Y42" s="139">
        <f>H42</f>
        <v/>
      </c>
      <c r="Z42" s="137">
        <f>I42</f>
        <v/>
      </c>
      <c r="AA42" s="137">
        <f>K42</f>
        <v/>
      </c>
      <c r="AB42" s="137">
        <f>M42</f>
        <v/>
      </c>
      <c r="AC42" s="4">
        <f>N42</f>
        <v/>
      </c>
      <c r="AD42" s="138">
        <f>O42</f>
        <v/>
      </c>
      <c r="AE42" s="123">
        <f>S42</f>
        <v/>
      </c>
      <c r="AF42" s="123">
        <f>Q42&amp;"/"&amp;R42</f>
        <v/>
      </c>
      <c r="AH42" s="20">
        <f>IF(A42="","",A42)</f>
        <v/>
      </c>
      <c r="AI42" s="134">
        <f>IF(E42="","",E42)</f>
        <v/>
      </c>
      <c r="AJ42" s="123">
        <f>IF(AI42="","",$AJ$2)</f>
        <v/>
      </c>
      <c r="AK42" s="123" t="inlineStr">
        <is>
          <t>A</t>
        </is>
      </c>
      <c r="AL42" s="123" t="inlineStr">
        <is>
          <t>A+</t>
        </is>
      </c>
      <c r="AM42" s="123" t="inlineStr">
        <is>
          <t>B+</t>
        </is>
      </c>
      <c r="AN42" s="123">
        <f>IF(AI42="","",$AN$2)</f>
        <v/>
      </c>
      <c r="AO42" s="123">
        <f>IF(N42="","",IF(N42&gt;=$AO$1/100,"O","X"))</f>
        <v/>
      </c>
      <c r="AP42" s="123">
        <f>IF(I42="","",IF(I42&lt;=$AP$1,"O","X"))</f>
        <v/>
      </c>
      <c r="AQ42" s="123">
        <f>IF(O42="","",IF(O42&lt;=$AQ$1,"O","X"))</f>
        <v/>
      </c>
      <c r="AR42" s="123">
        <f>IF(M42="","",IF(M42&lt;=$AR$1,"O","X"))</f>
        <v/>
      </c>
      <c r="AS42" s="123" t="inlineStr">
        <is>
          <t>X</t>
        </is>
      </c>
      <c r="AT42" s="123">
        <f>IF(OR(F42="",AI42=""),"",IF(AND((F42&lt;=85),(AI42&gt;=15)),"O","X"))</f>
        <v/>
      </c>
      <c r="AU42" s="123">
        <f>IF(C42="","",IF(C42&gt;=$AU$1,"O","X"))</f>
        <v/>
      </c>
      <c r="AV42" s="123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5" t="n">
        <v>771</v>
      </c>
      <c r="D43" s="133" t="n">
        <v>158</v>
      </c>
      <c r="E43" s="134" t="n">
        <v>48</v>
      </c>
      <c r="F43" s="133" t="n">
        <v>124.9</v>
      </c>
      <c r="G43" s="17" t="n">
        <v>38</v>
      </c>
      <c r="H43" s="135" t="n">
        <v>54</v>
      </c>
      <c r="I43" s="136" t="n"/>
      <c r="J43" s="136" t="n"/>
      <c r="K43" s="136" t="n"/>
      <c r="L43" s="136" t="n"/>
      <c r="M43" s="137">
        <f>I43-K43</f>
        <v/>
      </c>
      <c r="N43" s="4">
        <f>IF(ISERROR(K43/I43),"",K43/I43)</f>
        <v/>
      </c>
      <c r="O43" s="138">
        <f>I43/E43</f>
        <v/>
      </c>
      <c r="P43" s="138">
        <f>K43/E43</f>
        <v/>
      </c>
      <c r="Q43" s="123" t="n">
        <v>4</v>
      </c>
      <c r="R43" s="123" t="n">
        <v>2</v>
      </c>
      <c r="S43" s="123" t="inlineStr">
        <is>
          <t>계</t>
        </is>
      </c>
      <c r="T43" s="5" t="n">
        <v>158</v>
      </c>
      <c r="U43" s="9" t="n"/>
      <c r="W43" s="133">
        <f>D43</f>
        <v/>
      </c>
      <c r="X43" s="134">
        <f>E43</f>
        <v/>
      </c>
      <c r="Y43" s="139">
        <f>H43</f>
        <v/>
      </c>
      <c r="Z43" s="137">
        <f>I43</f>
        <v/>
      </c>
      <c r="AA43" s="137">
        <f>K43</f>
        <v/>
      </c>
      <c r="AB43" s="137">
        <f>M43</f>
        <v/>
      </c>
      <c r="AC43" s="4">
        <f>N43</f>
        <v/>
      </c>
      <c r="AD43" s="138">
        <f>O43</f>
        <v/>
      </c>
      <c r="AE43" s="123">
        <f>S43</f>
        <v/>
      </c>
      <c r="AF43" s="123">
        <f>Q43&amp;"/"&amp;R43</f>
        <v/>
      </c>
      <c r="AH43" s="20">
        <f>IF(A43="","",A43)</f>
        <v/>
      </c>
      <c r="AI43" s="134">
        <f>IF(E43="","",E43)</f>
        <v/>
      </c>
      <c r="AJ43" s="123">
        <f>IF(AI43="","",$AJ$2)</f>
        <v/>
      </c>
      <c r="AK43" s="123" t="inlineStr">
        <is>
          <t>A</t>
        </is>
      </c>
      <c r="AL43" s="123" t="inlineStr">
        <is>
          <t>A+</t>
        </is>
      </c>
      <c r="AM43" s="123" t="inlineStr">
        <is>
          <t>B+</t>
        </is>
      </c>
      <c r="AN43" s="123">
        <f>IF(AI43="","",$AN$2)</f>
        <v/>
      </c>
      <c r="AO43" s="123">
        <f>IF(N43="","",IF(N43&gt;=$AO$1/100,"O","X"))</f>
        <v/>
      </c>
      <c r="AP43" s="123">
        <f>IF(I43="","",IF(I43&lt;=$AP$1,"O","X"))</f>
        <v/>
      </c>
      <c r="AQ43" s="123">
        <f>IF(O43="","",IF(O43&lt;=$AQ$1,"O","X"))</f>
        <v/>
      </c>
      <c r="AR43" s="123">
        <f>IF(M43="","",IF(M43&lt;=$AR$1,"O","X"))</f>
        <v/>
      </c>
      <c r="AS43" s="123" t="inlineStr">
        <is>
          <t>X</t>
        </is>
      </c>
      <c r="AT43" s="123">
        <f>IF(OR(F43="",AI43=""),"",IF(AND((F43&lt;=85),(AI43&gt;=15)),"O","X"))</f>
        <v/>
      </c>
      <c r="AU43" s="123">
        <f>IF(C43="","",IF(C43&gt;=$AU$1,"O","X"))</f>
        <v/>
      </c>
      <c r="AV43" s="123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5" t="n">
        <v>771</v>
      </c>
      <c r="D44" s="133" t="n">
        <v>184.4</v>
      </c>
      <c r="E44" s="134" t="n">
        <v>56</v>
      </c>
      <c r="F44" s="133" t="n">
        <v>143.1</v>
      </c>
      <c r="G44" s="17" t="n">
        <v>43</v>
      </c>
      <c r="H44" s="135" t="n">
        <v>1</v>
      </c>
      <c r="I44" s="136" t="n"/>
      <c r="J44" s="136" t="n"/>
      <c r="K44" s="136" t="n"/>
      <c r="L44" s="136" t="n"/>
      <c r="M44" s="137">
        <f>I44-K44</f>
        <v/>
      </c>
      <c r="N44" s="4">
        <f>IF(ISERROR(K44/I44),"",K44/I44)</f>
        <v/>
      </c>
      <c r="O44" s="138">
        <f>I44/E44</f>
        <v/>
      </c>
      <c r="P44" s="138">
        <f>K44/E44</f>
        <v/>
      </c>
      <c r="Q44" s="123" t="n">
        <v>4</v>
      </c>
      <c r="R44" s="123" t="n">
        <v>3</v>
      </c>
      <c r="S44" s="123" t="inlineStr">
        <is>
          <t>계</t>
        </is>
      </c>
      <c r="T44" s="5" t="n">
        <v>184</v>
      </c>
      <c r="U44" s="9" t="n"/>
      <c r="W44" s="133">
        <f>D44</f>
        <v/>
      </c>
      <c r="X44" s="134">
        <f>E44</f>
        <v/>
      </c>
      <c r="Y44" s="139">
        <f>H44</f>
        <v/>
      </c>
      <c r="Z44" s="137">
        <f>I44</f>
        <v/>
      </c>
      <c r="AA44" s="137">
        <f>K44</f>
        <v/>
      </c>
      <c r="AB44" s="137">
        <f>M44</f>
        <v/>
      </c>
      <c r="AC44" s="4">
        <f>N44</f>
        <v/>
      </c>
      <c r="AD44" s="138">
        <f>O44</f>
        <v/>
      </c>
      <c r="AE44" s="123">
        <f>S44</f>
        <v/>
      </c>
      <c r="AF44" s="123">
        <f>Q44&amp;"/"&amp;R44</f>
        <v/>
      </c>
      <c r="AH44" s="20">
        <f>IF(A44="","",A44)</f>
        <v/>
      </c>
      <c r="AI44" s="134">
        <f>IF(E44="","",E44)</f>
        <v/>
      </c>
      <c r="AJ44" s="123">
        <f>IF(AI44="","",$AJ$2)</f>
        <v/>
      </c>
      <c r="AK44" s="123" t="inlineStr">
        <is>
          <t>A</t>
        </is>
      </c>
      <c r="AL44" s="123" t="inlineStr">
        <is>
          <t>A+</t>
        </is>
      </c>
      <c r="AM44" s="123" t="inlineStr">
        <is>
          <t>B+</t>
        </is>
      </c>
      <c r="AN44" s="123">
        <f>IF(AI44="","",$AN$2)</f>
        <v/>
      </c>
      <c r="AO44" s="123">
        <f>IF(N44="","",IF(N44&gt;=$AO$1/100,"O","X"))</f>
        <v/>
      </c>
      <c r="AP44" s="123">
        <f>IF(I44="","",IF(I44&lt;=$AP$1,"O","X"))</f>
        <v/>
      </c>
      <c r="AQ44" s="123">
        <f>IF(O44="","",IF(O44&lt;=$AQ$1,"O","X"))</f>
        <v/>
      </c>
      <c r="AR44" s="123">
        <f>IF(M44="","",IF(M44&lt;=$AR$1,"O","X"))</f>
        <v/>
      </c>
      <c r="AS44" s="123" t="inlineStr">
        <is>
          <t>X</t>
        </is>
      </c>
      <c r="AT44" s="123">
        <f>IF(OR(F44="",AI44=""),"",IF(AND((F44&lt;=85),(AI44&gt;=15)),"O","X"))</f>
        <v/>
      </c>
      <c r="AU44" s="123">
        <f>IF(C44="","",IF(C44&gt;=$AU$1,"O","X"))</f>
        <v/>
      </c>
      <c r="AV44" s="123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5" t="n">
        <v>771</v>
      </c>
      <c r="D45" s="133" t="n">
        <v>197.5</v>
      </c>
      <c r="E45" s="134" t="n">
        <v>60</v>
      </c>
      <c r="F45" s="133" t="n">
        <v>155</v>
      </c>
      <c r="G45" s="17" t="n">
        <v>47</v>
      </c>
      <c r="H45" s="135" t="n">
        <v>2</v>
      </c>
      <c r="I45" s="136" t="n"/>
      <c r="J45" s="136" t="n"/>
      <c r="K45" s="136" t="n"/>
      <c r="L45" s="136" t="n"/>
      <c r="M45" s="137">
        <f>I45-K45</f>
        <v/>
      </c>
      <c r="N45" s="4">
        <f>IF(ISERROR(K45/I45),"",K45/I45)</f>
        <v/>
      </c>
      <c r="O45" s="138">
        <f>I45/E45</f>
        <v/>
      </c>
      <c r="P45" s="138">
        <f>K45/E45</f>
        <v/>
      </c>
      <c r="Q45" s="123" t="n">
        <v>5</v>
      </c>
      <c r="R45" s="123" t="n">
        <v>3</v>
      </c>
      <c r="S45" s="123" t="inlineStr">
        <is>
          <t>계</t>
        </is>
      </c>
      <c r="T45" s="5" t="n">
        <v>197</v>
      </c>
      <c r="U45" s="9" t="n"/>
      <c r="W45" s="133">
        <f>D45</f>
        <v/>
      </c>
      <c r="X45" s="134">
        <f>E45</f>
        <v/>
      </c>
      <c r="Y45" s="139">
        <f>H45</f>
        <v/>
      </c>
      <c r="Z45" s="137">
        <f>I45</f>
        <v/>
      </c>
      <c r="AA45" s="137">
        <f>K45</f>
        <v/>
      </c>
      <c r="AB45" s="137">
        <f>M45</f>
        <v/>
      </c>
      <c r="AC45" s="4">
        <f>N45</f>
        <v/>
      </c>
      <c r="AD45" s="138">
        <f>O45</f>
        <v/>
      </c>
      <c r="AE45" s="123">
        <f>S45</f>
        <v/>
      </c>
      <c r="AF45" s="123">
        <f>Q45&amp;"/"&amp;R45</f>
        <v/>
      </c>
      <c r="AH45" s="20">
        <f>IF(A45="","",A45)</f>
        <v/>
      </c>
      <c r="AI45" s="134">
        <f>IF(E45="","",E45)</f>
        <v/>
      </c>
      <c r="AJ45" s="123">
        <f>IF(AI45="","",$AJ$2)</f>
        <v/>
      </c>
      <c r="AK45" s="123" t="inlineStr">
        <is>
          <t>A</t>
        </is>
      </c>
      <c r="AL45" s="123" t="inlineStr">
        <is>
          <t>A+</t>
        </is>
      </c>
      <c r="AM45" s="123" t="inlineStr">
        <is>
          <t>B+</t>
        </is>
      </c>
      <c r="AN45" s="123">
        <f>IF(AI45="","",$AN$2)</f>
        <v/>
      </c>
      <c r="AO45" s="123">
        <f>IF(N45="","",IF(N45&gt;=$AO$1/100,"O","X"))</f>
        <v/>
      </c>
      <c r="AP45" s="123">
        <f>IF(I45="","",IF(I45&lt;=$AP$1,"O","X"))</f>
        <v/>
      </c>
      <c r="AQ45" s="123">
        <f>IF(O45="","",IF(O45&lt;=$AQ$1,"O","X"))</f>
        <v/>
      </c>
      <c r="AR45" s="123">
        <f>IF(M45="","",IF(M45&lt;=$AR$1,"O","X"))</f>
        <v/>
      </c>
      <c r="AS45" s="123" t="inlineStr">
        <is>
          <t>X</t>
        </is>
      </c>
      <c r="AT45" s="123">
        <f>IF(OR(F45="",AI45=""),"",IF(AND((F45&lt;=85),(AI45&gt;=15)),"O","X"))</f>
        <v/>
      </c>
      <c r="AU45" s="123">
        <f>IF(C45="","",IF(C45&gt;=$AU$1,"O","X"))</f>
        <v/>
      </c>
      <c r="AV45" s="123">
        <f>IF(AO45="","",IF(AND(AO45="O",AP45="O",AR45="O",AT45="O",AU45="O"),"후보","X"))</f>
        <v/>
      </c>
    </row>
    <row r="46">
      <c r="A46" s="9" t="n"/>
      <c r="B46" s="123" t="n"/>
      <c r="C46" s="6" t="n"/>
      <c r="D46" s="9" t="n"/>
      <c r="E46" s="14" t="n"/>
      <c r="F46" s="133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8" t="n"/>
      <c r="P46" s="138" t="n"/>
      <c r="Q46" s="134" t="n"/>
      <c r="R46" s="134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8">
        <f>IF(E46="","",E46)</f>
        <v/>
      </c>
      <c r="AJ46" s="123" t="n"/>
      <c r="AK46" s="123" t="n"/>
      <c r="AL46" s="123" t="n"/>
      <c r="AM46" s="123" t="n"/>
      <c r="AN46" s="123" t="n"/>
      <c r="AO46" s="123" t="n"/>
      <c r="AP46" s="123" t="n"/>
      <c r="AQ46" s="123" t="n"/>
      <c r="AR46" s="123" t="n"/>
      <c r="AS46" s="123" t="n"/>
      <c r="AT46" s="123" t="n"/>
      <c r="AU46" s="123" t="n"/>
      <c r="AV46" s="123" t="n"/>
    </row>
    <row r="47">
      <c r="A47" s="9" t="inlineStr">
        <is>
          <t>동신개나리</t>
        </is>
      </c>
      <c r="B47" s="10" t="inlineStr">
        <is>
          <t>'95.12.</t>
        </is>
      </c>
      <c r="C47" s="135" t="n">
        <v>383</v>
      </c>
      <c r="D47" s="133" t="n">
        <v>60.5</v>
      </c>
      <c r="E47" s="134" t="n">
        <v>18</v>
      </c>
      <c r="F47" s="133" t="n">
        <v>47.6</v>
      </c>
      <c r="G47" s="17" t="n">
        <v>14</v>
      </c>
      <c r="H47" s="135" t="n">
        <v>120</v>
      </c>
      <c r="I47" s="136" t="n">
        <v>6400</v>
      </c>
      <c r="J47" s="136" t="inlineStr">
        <is>
          <t>13</t>
        </is>
      </c>
      <c r="K47" s="136" t="n"/>
      <c r="L47" s="136" t="n"/>
      <c r="M47" s="137">
        <f>I47-K47</f>
        <v/>
      </c>
      <c r="N47" s="4">
        <f>IF(ISERROR(K47/I47),"",K47/I47)</f>
        <v/>
      </c>
      <c r="O47" s="138">
        <f>I47/E47</f>
        <v/>
      </c>
      <c r="P47" s="138">
        <f>K47/E47</f>
        <v/>
      </c>
      <c r="Q47" s="123" t="n">
        <v>3</v>
      </c>
      <c r="R47" s="123" t="n">
        <v>1</v>
      </c>
      <c r="S47" s="123" t="inlineStr">
        <is>
          <t>계</t>
        </is>
      </c>
      <c r="T47" s="5" t="n">
        <v>60</v>
      </c>
      <c r="U47" s="9" t="n"/>
      <c r="W47" s="133">
        <f>D47</f>
        <v/>
      </c>
      <c r="X47" s="134">
        <f>E47</f>
        <v/>
      </c>
      <c r="Y47" s="139">
        <f>H47</f>
        <v/>
      </c>
      <c r="Z47" s="137">
        <f>I47</f>
        <v/>
      </c>
      <c r="AA47" s="137">
        <f>K47</f>
        <v/>
      </c>
      <c r="AB47" s="137">
        <f>M47</f>
        <v/>
      </c>
      <c r="AC47" s="4">
        <f>N47</f>
        <v/>
      </c>
      <c r="AD47" s="138">
        <f>O47</f>
        <v/>
      </c>
      <c r="AE47" s="123">
        <f>S47</f>
        <v/>
      </c>
      <c r="AF47" s="123">
        <f>Q47&amp;"/"&amp;R47</f>
        <v/>
      </c>
      <c r="AH47" s="20">
        <f>IF(A47="","",A47)</f>
        <v/>
      </c>
      <c r="AI47" s="134">
        <f>IF(E47="","",E47)</f>
        <v/>
      </c>
      <c r="AJ47" s="123">
        <f>IF(AI47="","",$AJ$2)</f>
        <v/>
      </c>
      <c r="AK47" s="123" t="inlineStr">
        <is>
          <t>A</t>
        </is>
      </c>
      <c r="AL47" s="123" t="inlineStr">
        <is>
          <t>A+</t>
        </is>
      </c>
      <c r="AM47" s="123" t="inlineStr">
        <is>
          <t>B+</t>
        </is>
      </c>
      <c r="AN47" s="123">
        <f>IF(AI47="","",$AN$2)</f>
        <v/>
      </c>
      <c r="AO47" s="123">
        <f>IF(N47="","",IF(N47&gt;=$AO$1/100,"O","X"))</f>
        <v/>
      </c>
      <c r="AP47" s="123">
        <f>IF(I47="","",IF(I47&lt;=$AP$1,"O","X"))</f>
        <v/>
      </c>
      <c r="AQ47" s="123">
        <f>IF(O47="","",IF(O47&lt;=$AQ$1,"O","X"))</f>
        <v/>
      </c>
      <c r="AR47" s="123">
        <f>IF(M47="","",IF(M47&lt;=$AR$1,"O","X"))</f>
        <v/>
      </c>
      <c r="AS47" s="123" t="inlineStr">
        <is>
          <t>X</t>
        </is>
      </c>
      <c r="AT47" s="123">
        <f>IF(OR(F47="",AI47=""),"",IF(AND((F47&lt;=85),(AI47&gt;=15)),"O","X"))</f>
        <v/>
      </c>
      <c r="AU47" s="123">
        <f>IF(C47="","",IF(C47&gt;=$AU$1,"O","X"))</f>
        <v/>
      </c>
      <c r="AV47" s="123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5" t="n">
        <v>383</v>
      </c>
      <c r="D48" s="133" t="n">
        <v>76</v>
      </c>
      <c r="E48" s="134" t="n">
        <v>23</v>
      </c>
      <c r="F48" s="133" t="n">
        <v>59.8</v>
      </c>
      <c r="G48" s="17" t="n">
        <v>18</v>
      </c>
      <c r="H48" s="135" t="n">
        <v>263</v>
      </c>
      <c r="I48" s="136" t="n">
        <v>8500</v>
      </c>
      <c r="J48" s="136" t="inlineStr">
        <is>
          <t>12</t>
        </is>
      </c>
      <c r="K48" s="136" t="n"/>
      <c r="L48" s="136" t="n"/>
      <c r="M48" s="137">
        <f>I48-K48</f>
        <v/>
      </c>
      <c r="N48" s="4">
        <f>IF(ISERROR(K48/I48),"",K48/I48)</f>
        <v/>
      </c>
      <c r="O48" s="138">
        <f>I48/E48</f>
        <v/>
      </c>
      <c r="P48" s="138">
        <f>K48/E48</f>
        <v/>
      </c>
      <c r="Q48" s="123" t="n">
        <v>3</v>
      </c>
      <c r="R48" s="123" t="n">
        <v>1</v>
      </c>
      <c r="S48" s="123" t="inlineStr">
        <is>
          <t>계</t>
        </is>
      </c>
      <c r="T48" s="5" t="n">
        <v>76</v>
      </c>
      <c r="U48" s="9" t="n"/>
      <c r="W48" s="133">
        <f>D48</f>
        <v/>
      </c>
      <c r="X48" s="134">
        <f>E48</f>
        <v/>
      </c>
      <c r="Y48" s="139">
        <f>H48</f>
        <v/>
      </c>
      <c r="Z48" s="137">
        <f>I48</f>
        <v/>
      </c>
      <c r="AA48" s="137">
        <f>K48</f>
        <v/>
      </c>
      <c r="AB48" s="137">
        <f>M48</f>
        <v/>
      </c>
      <c r="AC48" s="4">
        <f>N48</f>
        <v/>
      </c>
      <c r="AD48" s="138">
        <f>O48</f>
        <v/>
      </c>
      <c r="AE48" s="123">
        <f>S48</f>
        <v/>
      </c>
      <c r="AF48" s="123">
        <f>Q48&amp;"/"&amp;R48</f>
        <v/>
      </c>
      <c r="AH48" s="20">
        <f>IF(A48="","",A48)</f>
        <v/>
      </c>
      <c r="AI48" s="134">
        <f>IF(E48="","",E48)</f>
        <v/>
      </c>
      <c r="AJ48" s="123">
        <f>IF(AI48="","",$AJ$2)</f>
        <v/>
      </c>
      <c r="AK48" s="123" t="inlineStr">
        <is>
          <t>A</t>
        </is>
      </c>
      <c r="AL48" s="123" t="inlineStr">
        <is>
          <t>A+</t>
        </is>
      </c>
      <c r="AM48" s="123" t="inlineStr">
        <is>
          <t>B+</t>
        </is>
      </c>
      <c r="AN48" s="123">
        <f>IF(AI48="","",$AN$2)</f>
        <v/>
      </c>
      <c r="AO48" s="123">
        <f>IF(N48="","",IF(N48&gt;=$AO$1/100,"O","X"))</f>
        <v/>
      </c>
      <c r="AP48" s="123">
        <f>IF(I48="","",IF(I48&lt;=$AP$1,"O","X"))</f>
        <v/>
      </c>
      <c r="AQ48" s="123">
        <f>IF(O48="","",IF(O48&lt;=$AQ$1,"O","X"))</f>
        <v/>
      </c>
      <c r="AR48" s="123">
        <f>IF(M48="","",IF(M48&lt;=$AR$1,"O","X"))</f>
        <v/>
      </c>
      <c r="AS48" s="123" t="inlineStr">
        <is>
          <t>X</t>
        </is>
      </c>
      <c r="AT48" s="123">
        <f>IF(OR(F48="",AI48=""),"",IF(AND((F48&lt;=85),(AI48&gt;=15)),"O","X"))</f>
        <v/>
      </c>
      <c r="AU48" s="123">
        <f>IF(C48="","",IF(C48&gt;=$AU$1,"O","X"))</f>
        <v/>
      </c>
      <c r="AV48" s="123">
        <f>IF(AO48="","",IF(AND(AO48="O",AP48="O",AR48="O",AT48="O",AU48="O"),"후보","X"))</f>
        <v/>
      </c>
    </row>
    <row r="49">
      <c r="A49" s="9" t="n"/>
      <c r="B49" s="123" t="n"/>
      <c r="C49" s="6" t="n"/>
      <c r="D49" s="9" t="n"/>
      <c r="E49" s="14" t="n"/>
      <c r="F49" s="133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8" t="n"/>
      <c r="P49" s="138" t="n"/>
      <c r="Q49" s="134" t="n"/>
      <c r="R49" s="134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8">
        <f>IF(E49="","",E49)</f>
        <v/>
      </c>
      <c r="AJ49" s="123" t="n"/>
      <c r="AK49" s="123" t="n"/>
      <c r="AL49" s="123" t="n"/>
      <c r="AM49" s="123" t="n"/>
      <c r="AN49" s="123" t="n"/>
      <c r="AO49" s="123" t="n"/>
      <c r="AP49" s="123" t="n"/>
      <c r="AQ49" s="123" t="n"/>
      <c r="AR49" s="123" t="n"/>
      <c r="AS49" s="123" t="n"/>
      <c r="AT49" s="123" t="n"/>
      <c r="AU49" s="123" t="n"/>
      <c r="AV49" s="123" t="n"/>
    </row>
    <row r="50">
      <c r="A50" s="9" t="inlineStr">
        <is>
          <t>센트럴파크</t>
        </is>
      </c>
      <c r="B50" s="10" t="inlineStr">
        <is>
          <t>'17.10.</t>
        </is>
      </c>
      <c r="C50" s="135" t="n">
        <v>480</v>
      </c>
      <c r="D50" s="133" t="n">
        <v>110.7</v>
      </c>
      <c r="E50" s="134" t="n">
        <v>33</v>
      </c>
      <c r="F50" s="133" t="n">
        <v>84.90000000000001</v>
      </c>
      <c r="G50" s="17" t="n">
        <v>26</v>
      </c>
      <c r="H50" s="135" t="n">
        <v>251</v>
      </c>
      <c r="I50" s="136" t="n">
        <v>27000</v>
      </c>
      <c r="J50" s="136" t="inlineStr">
        <is>
          <t>14</t>
        </is>
      </c>
      <c r="K50" s="136" t="n">
        <v>24000</v>
      </c>
      <c r="L50" s="136" t="inlineStr">
        <is>
          <t>30</t>
        </is>
      </c>
      <c r="M50" s="137">
        <f>I50-K50</f>
        <v/>
      </c>
      <c r="N50" s="4">
        <f>IF(ISERROR(K50/I50),"",K50/I50)</f>
        <v/>
      </c>
      <c r="O50" s="138">
        <f>I50/E50</f>
        <v/>
      </c>
      <c r="P50" s="138">
        <f>K50/E50</f>
        <v/>
      </c>
      <c r="Q50" s="123" t="n">
        <v>3</v>
      </c>
      <c r="R50" s="123" t="n">
        <v>2</v>
      </c>
      <c r="S50" s="123" t="inlineStr">
        <is>
          <t>계</t>
        </is>
      </c>
      <c r="T50" s="5" t="inlineStr">
        <is>
          <t>110A</t>
        </is>
      </c>
      <c r="U50" s="9" t="n"/>
      <c r="W50" s="133">
        <f>D50</f>
        <v/>
      </c>
      <c r="X50" s="134">
        <f>E50</f>
        <v/>
      </c>
      <c r="Y50" s="139">
        <f>H50</f>
        <v/>
      </c>
      <c r="Z50" s="137">
        <f>I50</f>
        <v/>
      </c>
      <c r="AA50" s="137">
        <f>K50</f>
        <v/>
      </c>
      <c r="AB50" s="137">
        <f>M50</f>
        <v/>
      </c>
      <c r="AC50" s="4">
        <f>N50</f>
        <v/>
      </c>
      <c r="AD50" s="138">
        <f>O50</f>
        <v/>
      </c>
      <c r="AE50" s="123">
        <f>S50</f>
        <v/>
      </c>
      <c r="AF50" s="123">
        <f>Q50&amp;"/"&amp;R50</f>
        <v/>
      </c>
      <c r="AH50" s="20">
        <f>IF(A50="","",A50)</f>
        <v/>
      </c>
      <c r="AI50" s="134">
        <f>IF(E50="","",E50)</f>
        <v/>
      </c>
      <c r="AJ50" s="123">
        <f>IF(AI50="","",$AJ$2)</f>
        <v/>
      </c>
      <c r="AK50" s="123" t="inlineStr">
        <is>
          <t>A</t>
        </is>
      </c>
      <c r="AL50" s="123" t="inlineStr">
        <is>
          <t>A+</t>
        </is>
      </c>
      <c r="AM50" s="123" t="inlineStr">
        <is>
          <t>B+</t>
        </is>
      </c>
      <c r="AN50" s="123">
        <f>IF(AI50="","",$AN$2)</f>
        <v/>
      </c>
      <c r="AO50" s="123">
        <f>IF(N50="","",IF(N50&gt;=$AO$1/100,"O","X"))</f>
        <v/>
      </c>
      <c r="AP50" s="123">
        <f>IF(I50="","",IF(I50&lt;=$AP$1,"O","X"))</f>
        <v/>
      </c>
      <c r="AQ50" s="123">
        <f>IF(O50="","",IF(O50&lt;=$AQ$1,"O","X"))</f>
        <v/>
      </c>
      <c r="AR50" s="123">
        <f>IF(M50="","",IF(M50&lt;=$AR$1,"O","X"))</f>
        <v/>
      </c>
      <c r="AS50" s="123" t="inlineStr">
        <is>
          <t>X</t>
        </is>
      </c>
      <c r="AT50" s="123">
        <f>IF(OR(F50="",AI50=""),"",IF(AND((F50&lt;=85),(AI50&gt;=15)),"O","X"))</f>
        <v/>
      </c>
      <c r="AU50" s="123">
        <f>IF(C50="","",IF(C50&gt;=$AU$1,"O","X"))</f>
        <v/>
      </c>
      <c r="AV50" s="123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5" t="n">
        <v>480</v>
      </c>
      <c r="D51" s="133" t="n">
        <v>110.2</v>
      </c>
      <c r="E51" s="134" t="n">
        <v>33</v>
      </c>
      <c r="F51" s="133" t="n">
        <v>85</v>
      </c>
      <c r="G51" s="17" t="n">
        <v>26</v>
      </c>
      <c r="H51" s="135" t="n">
        <v>229</v>
      </c>
      <c r="I51" s="136" t="n">
        <v>27500</v>
      </c>
      <c r="J51" s="136" t="inlineStr">
        <is>
          <t>9</t>
        </is>
      </c>
      <c r="K51" s="136" t="n">
        <v>25000</v>
      </c>
      <c r="L51" s="136" t="inlineStr">
        <is>
          <t>11</t>
        </is>
      </c>
      <c r="M51" s="137">
        <f>I51-K51</f>
        <v/>
      </c>
      <c r="N51" s="4">
        <f>IF(ISERROR(K51/I51),"",K51/I51)</f>
        <v/>
      </c>
      <c r="O51" s="138">
        <f>I51/E51</f>
        <v/>
      </c>
      <c r="P51" s="138">
        <f>K51/E51</f>
        <v/>
      </c>
      <c r="Q51" s="123" t="n">
        <v>3</v>
      </c>
      <c r="R51" s="123" t="n">
        <v>2</v>
      </c>
      <c r="S51" s="123" t="inlineStr">
        <is>
          <t>계</t>
        </is>
      </c>
      <c r="T51" s="5" t="inlineStr">
        <is>
          <t>110B</t>
        </is>
      </c>
      <c r="U51" s="9" t="n"/>
      <c r="W51" s="133">
        <f>D51</f>
        <v/>
      </c>
      <c r="X51" s="134">
        <f>E51</f>
        <v/>
      </c>
      <c r="Y51" s="139">
        <f>H51</f>
        <v/>
      </c>
      <c r="Z51" s="137">
        <f>I51</f>
        <v/>
      </c>
      <c r="AA51" s="137">
        <f>K51</f>
        <v/>
      </c>
      <c r="AB51" s="137">
        <f>M51</f>
        <v/>
      </c>
      <c r="AC51" s="4">
        <f>N51</f>
        <v/>
      </c>
      <c r="AD51" s="138">
        <f>O51</f>
        <v/>
      </c>
      <c r="AE51" s="123">
        <f>S51</f>
        <v/>
      </c>
      <c r="AF51" s="123">
        <f>Q51&amp;"/"&amp;R51</f>
        <v/>
      </c>
      <c r="AH51" s="20">
        <f>IF(A51="","",A51)</f>
        <v/>
      </c>
      <c r="AI51" s="134">
        <f>IF(E51="","",E51)</f>
        <v/>
      </c>
      <c r="AJ51" s="123">
        <f>IF(AI51="","",$AJ$2)</f>
        <v/>
      </c>
      <c r="AK51" s="123" t="inlineStr">
        <is>
          <t>A</t>
        </is>
      </c>
      <c r="AL51" s="123" t="inlineStr">
        <is>
          <t>A+</t>
        </is>
      </c>
      <c r="AM51" s="123" t="inlineStr">
        <is>
          <t>B+</t>
        </is>
      </c>
      <c r="AN51" s="123">
        <f>IF(AI51="","",$AN$2)</f>
        <v/>
      </c>
      <c r="AO51" s="123">
        <f>IF(N51="","",IF(N51&gt;=$AO$1/100,"O","X"))</f>
        <v/>
      </c>
      <c r="AP51" s="123">
        <f>IF(I51="","",IF(I51&lt;=$AP$1,"O","X"))</f>
        <v/>
      </c>
      <c r="AQ51" s="123">
        <f>IF(O51="","",IF(O51&lt;=$AQ$1,"O","X"))</f>
        <v/>
      </c>
      <c r="AR51" s="123">
        <f>IF(M51="","",IF(M51&lt;=$AR$1,"O","X"))</f>
        <v/>
      </c>
      <c r="AS51" s="123" t="inlineStr">
        <is>
          <t>X</t>
        </is>
      </c>
      <c r="AT51" s="123">
        <f>IF(OR(F51="",AI51=""),"",IF(AND((F51&lt;=85),(AI51&gt;=15)),"O","X"))</f>
        <v/>
      </c>
      <c r="AU51" s="123">
        <f>IF(C51="","",IF(C51&gt;=$AU$1,"O","X"))</f>
        <v/>
      </c>
      <c r="AV51" s="123">
        <f>IF(AO51="","",IF(AND(AO51="O",AP51="O",AR51="O",AT51="O",AU51="O"),"후보","X"))</f>
        <v/>
      </c>
    </row>
    <row r="52">
      <c r="A52" s="9" t="n"/>
      <c r="B52" s="123" t="n"/>
      <c r="C52" s="6" t="n"/>
      <c r="D52" s="9" t="n"/>
      <c r="E52" s="14" t="n"/>
      <c r="F52" s="133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8" t="n"/>
      <c r="P52" s="138" t="n"/>
      <c r="Q52" s="134" t="n"/>
      <c r="R52" s="134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8">
        <f>IF(E52="","",E52)</f>
        <v/>
      </c>
      <c r="AJ52" s="123" t="n"/>
      <c r="AK52" s="123" t="n"/>
      <c r="AL52" s="123" t="n"/>
      <c r="AM52" s="123" t="n"/>
      <c r="AN52" s="123" t="n"/>
      <c r="AO52" s="123" t="n"/>
      <c r="AP52" s="123" t="n"/>
      <c r="AQ52" s="123" t="n"/>
      <c r="AR52" s="123" t="n"/>
      <c r="AS52" s="123" t="n"/>
      <c r="AT52" s="123" t="n"/>
      <c r="AU52" s="123" t="n"/>
      <c r="AV52" s="123" t="n"/>
    </row>
    <row r="53">
      <c r="A53" s="9" t="inlineStr">
        <is>
          <t>현대</t>
        </is>
      </c>
      <c r="B53" s="10" t="inlineStr">
        <is>
          <t>'95.09.</t>
        </is>
      </c>
      <c r="C53" s="135" t="n">
        <v>560</v>
      </c>
      <c r="D53" s="133" t="n">
        <v>91.90000000000001</v>
      </c>
      <c r="E53" s="134" t="n">
        <v>28</v>
      </c>
      <c r="F53" s="133" t="n">
        <v>75.09999999999999</v>
      </c>
      <c r="G53" s="17" t="n">
        <v>23</v>
      </c>
      <c r="H53" s="135" t="n">
        <v>112</v>
      </c>
      <c r="I53" s="136" t="n">
        <v>14000</v>
      </c>
      <c r="J53" s="136" t="inlineStr">
        <is>
          <t>5</t>
        </is>
      </c>
      <c r="K53" s="136" t="n"/>
      <c r="L53" s="136" t="n"/>
      <c r="M53" s="137">
        <f>I53-K53</f>
        <v/>
      </c>
      <c r="N53" s="4">
        <f>IF(ISERROR(K53/I53),"",K53/I53)</f>
        <v/>
      </c>
      <c r="O53" s="138">
        <f>I53/E53</f>
        <v/>
      </c>
      <c r="P53" s="138">
        <f>K53/E53</f>
        <v/>
      </c>
      <c r="Q53" s="123" t="n">
        <v>3</v>
      </c>
      <c r="R53" s="123" t="n">
        <v>1</v>
      </c>
      <c r="S53" s="123" t="inlineStr">
        <is>
          <t>계</t>
        </is>
      </c>
      <c r="T53" s="5" t="n">
        <v>91</v>
      </c>
      <c r="U53" s="9" t="n"/>
      <c r="W53" s="133">
        <f>D53</f>
        <v/>
      </c>
      <c r="X53" s="134">
        <f>E53</f>
        <v/>
      </c>
      <c r="Y53" s="139">
        <f>H53</f>
        <v/>
      </c>
      <c r="Z53" s="137">
        <f>I53</f>
        <v/>
      </c>
      <c r="AA53" s="137">
        <f>K53</f>
        <v/>
      </c>
      <c r="AB53" s="137">
        <f>M53</f>
        <v/>
      </c>
      <c r="AC53" s="4">
        <f>N53</f>
        <v/>
      </c>
      <c r="AD53" s="138">
        <f>O53</f>
        <v/>
      </c>
      <c r="AE53" s="123">
        <f>S53</f>
        <v/>
      </c>
      <c r="AF53" s="123">
        <f>Q53&amp;"/"&amp;R53</f>
        <v/>
      </c>
      <c r="AH53" s="20">
        <f>IF(A53="","",A53)</f>
        <v/>
      </c>
      <c r="AI53" s="134">
        <f>IF(E53="","",E53)</f>
        <v/>
      </c>
      <c r="AJ53" s="123">
        <f>IF(AI53="","",$AJ$2)</f>
        <v/>
      </c>
      <c r="AK53" s="123" t="inlineStr">
        <is>
          <t>A</t>
        </is>
      </c>
      <c r="AL53" s="123" t="inlineStr">
        <is>
          <t>A+</t>
        </is>
      </c>
      <c r="AM53" s="123" t="inlineStr">
        <is>
          <t>B+</t>
        </is>
      </c>
      <c r="AN53" s="123">
        <f>IF(AI53="","",$AN$2)</f>
        <v/>
      </c>
      <c r="AO53" s="123">
        <f>IF(N53="","",IF(N53&gt;=$AO$1/100,"O","X"))</f>
        <v/>
      </c>
      <c r="AP53" s="123">
        <f>IF(I53="","",IF(I53&lt;=$AP$1,"O","X"))</f>
        <v/>
      </c>
      <c r="AQ53" s="123">
        <f>IF(O53="","",IF(O53&lt;=$AQ$1,"O","X"))</f>
        <v/>
      </c>
      <c r="AR53" s="123">
        <f>IF(M53="","",IF(M53&lt;=$AR$1,"O","X"))</f>
        <v/>
      </c>
      <c r="AS53" s="123" t="inlineStr">
        <is>
          <t>X</t>
        </is>
      </c>
      <c r="AT53" s="123">
        <f>IF(OR(F53="",AI53=""),"",IF(AND((F53&lt;=85),(AI53&gt;=15)),"O","X"))</f>
        <v/>
      </c>
      <c r="AU53" s="123">
        <f>IF(C53="","",IF(C53&gt;=$AU$1,"O","X"))</f>
        <v/>
      </c>
      <c r="AV53" s="123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5" t="n">
        <v>560</v>
      </c>
      <c r="D54" s="133" t="n">
        <v>91.8</v>
      </c>
      <c r="E54" s="134" t="n">
        <v>28</v>
      </c>
      <c r="F54" s="133" t="n">
        <v>75</v>
      </c>
      <c r="G54" s="17" t="n">
        <v>23</v>
      </c>
      <c r="H54" s="135" t="n">
        <v>28</v>
      </c>
      <c r="I54" s="136" t="n"/>
      <c r="J54" s="136" t="n"/>
      <c r="K54" s="136" t="n"/>
      <c r="L54" s="136" t="n"/>
      <c r="M54" s="137">
        <f>I54-K54</f>
        <v/>
      </c>
      <c r="N54" s="4">
        <f>IF(ISERROR(K54/I54),"",K54/I54)</f>
        <v/>
      </c>
      <c r="O54" s="138">
        <f>I54/E54</f>
        <v/>
      </c>
      <c r="P54" s="138">
        <f>K54/E54</f>
        <v/>
      </c>
      <c r="Q54" s="123" t="n">
        <v>3</v>
      </c>
      <c r="R54" s="123" t="n">
        <v>1</v>
      </c>
      <c r="S54" s="123" t="inlineStr">
        <is>
          <t>계</t>
        </is>
      </c>
      <c r="T54" s="5" t="n">
        <v>91</v>
      </c>
      <c r="U54" s="9" t="n"/>
      <c r="W54" s="133">
        <f>D54</f>
        <v/>
      </c>
      <c r="X54" s="134">
        <f>E54</f>
        <v/>
      </c>
      <c r="Y54" s="139">
        <f>H54</f>
        <v/>
      </c>
      <c r="Z54" s="137">
        <f>I54</f>
        <v/>
      </c>
      <c r="AA54" s="137">
        <f>K54</f>
        <v/>
      </c>
      <c r="AB54" s="137">
        <f>M54</f>
        <v/>
      </c>
      <c r="AC54" s="4">
        <f>N54</f>
        <v/>
      </c>
      <c r="AD54" s="138">
        <f>O54</f>
        <v/>
      </c>
      <c r="AE54" s="123">
        <f>S54</f>
        <v/>
      </c>
      <c r="AF54" s="123">
        <f>Q54&amp;"/"&amp;R54</f>
        <v/>
      </c>
      <c r="AH54" s="20">
        <f>IF(A54="","",A54)</f>
        <v/>
      </c>
      <c r="AI54" s="134">
        <f>IF(E54="","",E54)</f>
        <v/>
      </c>
      <c r="AJ54" s="123">
        <f>IF(AI54="","",$AJ$2)</f>
        <v/>
      </c>
      <c r="AK54" s="123" t="inlineStr">
        <is>
          <t>A</t>
        </is>
      </c>
      <c r="AL54" s="123" t="inlineStr">
        <is>
          <t>A+</t>
        </is>
      </c>
      <c r="AM54" s="123" t="inlineStr">
        <is>
          <t>B+</t>
        </is>
      </c>
      <c r="AN54" s="123">
        <f>IF(AI54="","",$AN$2)</f>
        <v/>
      </c>
      <c r="AO54" s="123">
        <f>IF(N54="","",IF(N54&gt;=$AO$1/100,"O","X"))</f>
        <v/>
      </c>
      <c r="AP54" s="123">
        <f>IF(I54="","",IF(I54&lt;=$AP$1,"O","X"))</f>
        <v/>
      </c>
      <c r="AQ54" s="123">
        <f>IF(O54="","",IF(O54&lt;=$AQ$1,"O","X"))</f>
        <v/>
      </c>
      <c r="AR54" s="123">
        <f>IF(M54="","",IF(M54&lt;=$AR$1,"O","X"))</f>
        <v/>
      </c>
      <c r="AS54" s="123" t="inlineStr">
        <is>
          <t>X</t>
        </is>
      </c>
      <c r="AT54" s="123">
        <f>IF(OR(F54="",AI54=""),"",IF(AND((F54&lt;=85),(AI54&gt;=15)),"O","X"))</f>
        <v/>
      </c>
      <c r="AU54" s="123">
        <f>IF(C54="","",IF(C54&gt;=$AU$1,"O","X"))</f>
        <v/>
      </c>
      <c r="AV54" s="123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5" t="n">
        <v>560</v>
      </c>
      <c r="D55" s="133" t="n">
        <v>103.9</v>
      </c>
      <c r="E55" s="134" t="n">
        <v>31</v>
      </c>
      <c r="F55" s="133" t="n">
        <v>85</v>
      </c>
      <c r="G55" s="17" t="n">
        <v>26</v>
      </c>
      <c r="H55" s="135" t="n">
        <v>420</v>
      </c>
      <c r="I55" s="136" t="n">
        <v>16500</v>
      </c>
      <c r="J55" s="136" t="inlineStr">
        <is>
          <t>6</t>
        </is>
      </c>
      <c r="K55" s="136" t="n"/>
      <c r="L55" s="136" t="n"/>
      <c r="M55" s="137">
        <f>I55-K55</f>
        <v/>
      </c>
      <c r="N55" s="4">
        <f>IF(ISERROR(K55/I55),"",K55/I55)</f>
        <v/>
      </c>
      <c r="O55" s="138">
        <f>I55/E55</f>
        <v/>
      </c>
      <c r="P55" s="138">
        <f>K55/E55</f>
        <v/>
      </c>
      <c r="Q55" s="123" t="n">
        <v>3</v>
      </c>
      <c r="R55" s="123" t="n">
        <v>2</v>
      </c>
      <c r="S55" s="123" t="inlineStr">
        <is>
          <t>계</t>
        </is>
      </c>
      <c r="T55" s="5" t="n">
        <v>103</v>
      </c>
      <c r="U55" s="9" t="n"/>
      <c r="W55" s="133">
        <f>D55</f>
        <v/>
      </c>
      <c r="X55" s="134">
        <f>E55</f>
        <v/>
      </c>
      <c r="Y55" s="139">
        <f>H55</f>
        <v/>
      </c>
      <c r="Z55" s="137">
        <f>I55</f>
        <v/>
      </c>
      <c r="AA55" s="137">
        <f>K55</f>
        <v/>
      </c>
      <c r="AB55" s="137">
        <f>M55</f>
        <v/>
      </c>
      <c r="AC55" s="4">
        <f>N55</f>
        <v/>
      </c>
      <c r="AD55" s="138">
        <f>O55</f>
        <v/>
      </c>
      <c r="AE55" s="123">
        <f>S55</f>
        <v/>
      </c>
      <c r="AF55" s="123">
        <f>Q55&amp;"/"&amp;R55</f>
        <v/>
      </c>
      <c r="AH55" s="20">
        <f>IF(A55="","",A55)</f>
        <v/>
      </c>
      <c r="AI55" s="134">
        <f>IF(E55="","",E55)</f>
        <v/>
      </c>
      <c r="AJ55" s="123">
        <f>IF(AI55="","",$AJ$2)</f>
        <v/>
      </c>
      <c r="AK55" s="123" t="inlineStr">
        <is>
          <t>A</t>
        </is>
      </c>
      <c r="AL55" s="123" t="inlineStr">
        <is>
          <t>A+</t>
        </is>
      </c>
      <c r="AM55" s="123" t="inlineStr">
        <is>
          <t>B+</t>
        </is>
      </c>
      <c r="AN55" s="123">
        <f>IF(AI55="","",$AN$2)</f>
        <v/>
      </c>
      <c r="AO55" s="123">
        <f>IF(N55="","",IF(N55&gt;=$AO$1/100,"O","X"))</f>
        <v/>
      </c>
      <c r="AP55" s="123">
        <f>IF(I55="","",IF(I55&lt;=$AP$1,"O","X"))</f>
        <v/>
      </c>
      <c r="AQ55" s="123">
        <f>IF(O55="","",IF(O55&lt;=$AQ$1,"O","X"))</f>
        <v/>
      </c>
      <c r="AR55" s="123">
        <f>IF(M55="","",IF(M55&lt;=$AR$1,"O","X"))</f>
        <v/>
      </c>
      <c r="AS55" s="123" t="inlineStr">
        <is>
          <t>X</t>
        </is>
      </c>
      <c r="AT55" s="123">
        <f>IF(OR(F55="",AI55=""),"",IF(AND((F55&lt;=85),(AI55&gt;=15)),"O","X"))</f>
        <v/>
      </c>
      <c r="AU55" s="123">
        <f>IF(C55="","",IF(C55&gt;=$AU$1,"O","X"))</f>
        <v/>
      </c>
      <c r="AV55" s="123">
        <f>IF(AO55="","",IF(AND(AO55="O",AP55="O",AR55="O",AT55="O",AU55="O"),"후보","X"))</f>
        <v/>
      </c>
    </row>
    <row r="56">
      <c r="A56" s="9" t="n"/>
      <c r="B56" s="123" t="n"/>
      <c r="C56" s="6" t="n"/>
      <c r="D56" s="9" t="n"/>
      <c r="E56" s="14" t="n"/>
      <c r="F56" s="133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8" t="n"/>
      <c r="P56" s="138" t="n"/>
      <c r="Q56" s="134" t="n"/>
      <c r="R56" s="134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8">
        <f>IF(E56="","",E56)</f>
        <v/>
      </c>
      <c r="AJ56" s="123" t="n"/>
      <c r="AK56" s="123" t="n"/>
      <c r="AL56" s="123" t="n"/>
      <c r="AM56" s="123" t="n"/>
      <c r="AN56" s="123" t="n"/>
      <c r="AO56" s="123" t="n"/>
      <c r="AP56" s="123" t="n"/>
      <c r="AQ56" s="123" t="n"/>
      <c r="AR56" s="123" t="n"/>
      <c r="AS56" s="123" t="n"/>
      <c r="AT56" s="123" t="n"/>
      <c r="AU56" s="123" t="n"/>
      <c r="AV56" s="123" t="n"/>
    </row>
    <row r="57">
      <c r="A57" s="9" t="inlineStr">
        <is>
          <t>더샵디오션시티</t>
        </is>
      </c>
      <c r="B57" s="10" t="inlineStr">
        <is>
          <t>'21.10.</t>
        </is>
      </c>
      <c r="C57" s="135" t="n">
        <v>973</v>
      </c>
      <c r="D57" s="133" t="n">
        <v>79.5</v>
      </c>
      <c r="E57" s="134" t="n">
        <v>24</v>
      </c>
      <c r="F57" s="133" t="n">
        <v>60</v>
      </c>
      <c r="G57" s="17" t="n">
        <v>18</v>
      </c>
      <c r="H57" s="135" t="n">
        <v>171</v>
      </c>
      <c r="I57" s="136" t="n"/>
      <c r="J57" s="136" t="n"/>
      <c r="K57" s="136" t="n">
        <v>25000</v>
      </c>
      <c r="L57" s="136" t="inlineStr">
        <is>
          <t>17</t>
        </is>
      </c>
      <c r="M57" s="137">
        <f>I57-K57</f>
        <v/>
      </c>
      <c r="N57" s="4">
        <f>IF(ISERROR(K57/I57),"",K57/I57)</f>
        <v/>
      </c>
      <c r="O57" s="138">
        <f>I57/E57</f>
        <v/>
      </c>
      <c r="P57" s="138">
        <f>K57/E57</f>
        <v/>
      </c>
      <c r="Q57" s="123" t="n">
        <v>3</v>
      </c>
      <c r="R57" s="123" t="n">
        <v>2</v>
      </c>
      <c r="S57" s="123" t="inlineStr">
        <is>
          <t>계</t>
        </is>
      </c>
      <c r="T57" s="5" t="inlineStr">
        <is>
          <t>79A</t>
        </is>
      </c>
      <c r="U57" s="9" t="n"/>
      <c r="W57" s="133">
        <f>D57</f>
        <v/>
      </c>
      <c r="X57" s="134">
        <f>E57</f>
        <v/>
      </c>
      <c r="Y57" s="139">
        <f>H57</f>
        <v/>
      </c>
      <c r="Z57" s="137">
        <f>I57</f>
        <v/>
      </c>
      <c r="AA57" s="137">
        <f>K57</f>
        <v/>
      </c>
      <c r="AB57" s="137">
        <f>M57</f>
        <v/>
      </c>
      <c r="AC57" s="4">
        <f>N57</f>
        <v/>
      </c>
      <c r="AD57" s="138">
        <f>O57</f>
        <v/>
      </c>
      <c r="AE57" s="123">
        <f>S57</f>
        <v/>
      </c>
      <c r="AF57" s="123">
        <f>Q57&amp;"/"&amp;R57</f>
        <v/>
      </c>
      <c r="AH57" s="20">
        <f>IF(A57="","",A57)</f>
        <v/>
      </c>
      <c r="AI57" s="134">
        <f>IF(E57="","",E57)</f>
        <v/>
      </c>
      <c r="AJ57" s="123">
        <f>IF(AI57="","",$AJ$2)</f>
        <v/>
      </c>
      <c r="AK57" s="123" t="inlineStr">
        <is>
          <t>A</t>
        </is>
      </c>
      <c r="AL57" s="123" t="inlineStr">
        <is>
          <t>A+</t>
        </is>
      </c>
      <c r="AM57" s="123" t="inlineStr">
        <is>
          <t>B+</t>
        </is>
      </c>
      <c r="AN57" s="123">
        <f>IF(AI57="","",$AN$2)</f>
        <v/>
      </c>
      <c r="AO57" s="123">
        <f>IF(N57="","",IF(N57&gt;=$AO$1/100,"O","X"))</f>
        <v/>
      </c>
      <c r="AP57" s="123">
        <f>IF(I57="","",IF(I57&lt;=$AP$1,"O","X"))</f>
        <v/>
      </c>
      <c r="AQ57" s="123">
        <f>IF(O57="","",IF(O57&lt;=$AQ$1,"O","X"))</f>
        <v/>
      </c>
      <c r="AR57" s="123">
        <f>IF(M57="","",IF(M57&lt;=$AR$1,"O","X"))</f>
        <v/>
      </c>
      <c r="AS57" s="123" t="inlineStr">
        <is>
          <t>X</t>
        </is>
      </c>
      <c r="AT57" s="123">
        <f>IF(OR(F57="",AI57=""),"",IF(AND((F57&lt;=85),(AI57&gt;=15)),"O","X"))</f>
        <v/>
      </c>
      <c r="AU57" s="123">
        <f>IF(C57="","",IF(C57&gt;=$AU$1,"O","X"))</f>
        <v/>
      </c>
      <c r="AV57" s="123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5" t="n">
        <v>973</v>
      </c>
      <c r="D58" s="133" t="n">
        <v>79.5</v>
      </c>
      <c r="E58" s="134" t="n">
        <v>24</v>
      </c>
      <c r="F58" s="133" t="n">
        <v>60</v>
      </c>
      <c r="G58" s="17" t="n">
        <v>18</v>
      </c>
      <c r="H58" s="135" t="n">
        <v>58</v>
      </c>
      <c r="I58" s="136" t="n"/>
      <c r="J58" s="136" t="n"/>
      <c r="K58" s="136" t="n">
        <v>25000</v>
      </c>
      <c r="L58" s="136" t="inlineStr">
        <is>
          <t>17</t>
        </is>
      </c>
      <c r="M58" s="137">
        <f>I58-K58</f>
        <v/>
      </c>
      <c r="N58" s="4">
        <f>IF(ISERROR(K58/I58),"",K58/I58)</f>
        <v/>
      </c>
      <c r="O58" s="138">
        <f>I58/E58</f>
        <v/>
      </c>
      <c r="P58" s="138">
        <f>K58/E58</f>
        <v/>
      </c>
      <c r="Q58" s="123" t="n">
        <v>3</v>
      </c>
      <c r="R58" s="123" t="n">
        <v>2</v>
      </c>
      <c r="S58" s="123" t="inlineStr">
        <is>
          <t>계</t>
        </is>
      </c>
      <c r="T58" s="5" t="inlineStr">
        <is>
          <t>79B</t>
        </is>
      </c>
      <c r="U58" s="9" t="n"/>
      <c r="W58" s="133">
        <f>D58</f>
        <v/>
      </c>
      <c r="X58" s="134">
        <f>E58</f>
        <v/>
      </c>
      <c r="Y58" s="139">
        <f>H58</f>
        <v/>
      </c>
      <c r="Z58" s="137">
        <f>I58</f>
        <v/>
      </c>
      <c r="AA58" s="137">
        <f>K58</f>
        <v/>
      </c>
      <c r="AB58" s="137">
        <f>M58</f>
        <v/>
      </c>
      <c r="AC58" s="4">
        <f>N58</f>
        <v/>
      </c>
      <c r="AD58" s="138">
        <f>O58</f>
        <v/>
      </c>
      <c r="AE58" s="123">
        <f>S58</f>
        <v/>
      </c>
      <c r="AF58" s="123">
        <f>Q58&amp;"/"&amp;R58</f>
        <v/>
      </c>
      <c r="AH58" s="20">
        <f>IF(A58="","",A58)</f>
        <v/>
      </c>
      <c r="AI58" s="134">
        <f>IF(E58="","",E58)</f>
        <v/>
      </c>
      <c r="AJ58" s="123">
        <f>IF(AI58="","",$AJ$2)</f>
        <v/>
      </c>
      <c r="AK58" s="123" t="inlineStr">
        <is>
          <t>A</t>
        </is>
      </c>
      <c r="AL58" s="123" t="inlineStr">
        <is>
          <t>A+</t>
        </is>
      </c>
      <c r="AM58" s="123" t="inlineStr">
        <is>
          <t>B+</t>
        </is>
      </c>
      <c r="AN58" s="123">
        <f>IF(AI58="","",$AN$2)</f>
        <v/>
      </c>
      <c r="AO58" s="123">
        <f>IF(N58="","",IF(N58&gt;=$AO$1/100,"O","X"))</f>
        <v/>
      </c>
      <c r="AP58" s="123">
        <f>IF(I58="","",IF(I58&lt;=$AP$1,"O","X"))</f>
        <v/>
      </c>
      <c r="AQ58" s="123">
        <f>IF(O58="","",IF(O58&lt;=$AQ$1,"O","X"))</f>
        <v/>
      </c>
      <c r="AR58" s="123">
        <f>IF(M58="","",IF(M58&lt;=$AR$1,"O","X"))</f>
        <v/>
      </c>
      <c r="AS58" s="123" t="inlineStr">
        <is>
          <t>X</t>
        </is>
      </c>
      <c r="AT58" s="123">
        <f>IF(OR(F58="",AI58=""),"",IF(AND((F58&lt;=85),(AI58&gt;=15)),"O","X"))</f>
        <v/>
      </c>
      <c r="AU58" s="123">
        <f>IF(C58="","",IF(C58&gt;=$AU$1,"O","X"))</f>
        <v/>
      </c>
      <c r="AV58" s="123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5" t="n">
        <v>973</v>
      </c>
      <c r="D59" s="133" t="n">
        <v>110.7</v>
      </c>
      <c r="E59" s="134" t="n">
        <v>33</v>
      </c>
      <c r="F59" s="133" t="n">
        <v>85</v>
      </c>
      <c r="G59" s="17" t="n">
        <v>26</v>
      </c>
      <c r="H59" s="135" t="n">
        <v>492</v>
      </c>
      <c r="I59" s="136" t="n"/>
      <c r="J59" s="136" t="n"/>
      <c r="K59" s="136" t="n">
        <v>30000</v>
      </c>
      <c r="L59" s="136" t="inlineStr">
        <is>
          <t>8</t>
        </is>
      </c>
      <c r="M59" s="137">
        <f>I59-K59</f>
        <v/>
      </c>
      <c r="N59" s="4">
        <f>IF(ISERROR(K59/I59),"",K59/I59)</f>
        <v/>
      </c>
      <c r="O59" s="138">
        <f>I59/E59</f>
        <v/>
      </c>
      <c r="P59" s="138">
        <f>K59/E59</f>
        <v/>
      </c>
      <c r="Q59" s="123" t="n">
        <v>3</v>
      </c>
      <c r="R59" s="123" t="n">
        <v>2</v>
      </c>
      <c r="S59" s="123" t="inlineStr">
        <is>
          <t>계</t>
        </is>
      </c>
      <c r="T59" s="5" t="inlineStr">
        <is>
          <t>110A</t>
        </is>
      </c>
      <c r="U59" s="9" t="n"/>
      <c r="W59" s="133">
        <f>D59</f>
        <v/>
      </c>
      <c r="X59" s="134">
        <f>E59</f>
        <v/>
      </c>
      <c r="Y59" s="139">
        <f>H59</f>
        <v/>
      </c>
      <c r="Z59" s="137">
        <f>I59</f>
        <v/>
      </c>
      <c r="AA59" s="137">
        <f>K59</f>
        <v/>
      </c>
      <c r="AB59" s="137">
        <f>M59</f>
        <v/>
      </c>
      <c r="AC59" s="4">
        <f>N59</f>
        <v/>
      </c>
      <c r="AD59" s="138">
        <f>O59</f>
        <v/>
      </c>
      <c r="AE59" s="123">
        <f>S59</f>
        <v/>
      </c>
      <c r="AF59" s="123">
        <f>Q59&amp;"/"&amp;R59</f>
        <v/>
      </c>
      <c r="AH59" s="20">
        <f>IF(A59="","",A59)</f>
        <v/>
      </c>
      <c r="AI59" s="134">
        <f>IF(E59="","",E59)</f>
        <v/>
      </c>
      <c r="AJ59" s="123">
        <f>IF(AI59="","",$AJ$2)</f>
        <v/>
      </c>
      <c r="AK59" s="123" t="inlineStr">
        <is>
          <t>A</t>
        </is>
      </c>
      <c r="AL59" s="123" t="inlineStr">
        <is>
          <t>A+</t>
        </is>
      </c>
      <c r="AM59" s="123" t="inlineStr">
        <is>
          <t>B+</t>
        </is>
      </c>
      <c r="AN59" s="123">
        <f>IF(AI59="","",$AN$2)</f>
        <v/>
      </c>
      <c r="AO59" s="123">
        <f>IF(N59="","",IF(N59&gt;=$AO$1/100,"O","X"))</f>
        <v/>
      </c>
      <c r="AP59" s="123">
        <f>IF(I59="","",IF(I59&lt;=$AP$1,"O","X"))</f>
        <v/>
      </c>
      <c r="AQ59" s="123">
        <f>IF(O59="","",IF(O59&lt;=$AQ$1,"O","X"))</f>
        <v/>
      </c>
      <c r="AR59" s="123">
        <f>IF(M59="","",IF(M59&lt;=$AR$1,"O","X"))</f>
        <v/>
      </c>
      <c r="AS59" s="123" t="inlineStr">
        <is>
          <t>X</t>
        </is>
      </c>
      <c r="AT59" s="123">
        <f>IF(OR(F59="",AI59=""),"",IF(AND((F59&lt;=85),(AI59&gt;=15)),"O","X"))</f>
        <v/>
      </c>
      <c r="AU59" s="123">
        <f>IF(C59="","",IF(C59&gt;=$AU$1,"O","X"))</f>
        <v/>
      </c>
      <c r="AV59" s="123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5" t="n">
        <v>973</v>
      </c>
      <c r="D60" s="133" t="n">
        <v>111</v>
      </c>
      <c r="E60" s="134" t="n">
        <v>34</v>
      </c>
      <c r="F60" s="133" t="n">
        <v>85</v>
      </c>
      <c r="G60" s="17" t="n">
        <v>26</v>
      </c>
      <c r="H60" s="135" t="n">
        <v>81</v>
      </c>
      <c r="I60" s="136" t="n"/>
      <c r="J60" s="136" t="n"/>
      <c r="K60" s="136" t="n">
        <v>31000</v>
      </c>
      <c r="L60" s="136" t="inlineStr">
        <is>
          <t>15</t>
        </is>
      </c>
      <c r="M60" s="137">
        <f>I60-K60</f>
        <v/>
      </c>
      <c r="N60" s="4">
        <f>IF(ISERROR(K60/I60),"",K60/I60)</f>
        <v/>
      </c>
      <c r="O60" s="138">
        <f>I60/E60</f>
        <v/>
      </c>
      <c r="P60" s="138">
        <f>K60/E60</f>
        <v/>
      </c>
      <c r="Q60" s="123" t="n">
        <v>3</v>
      </c>
      <c r="R60" s="123" t="n">
        <v>2</v>
      </c>
      <c r="S60" s="123" t="inlineStr">
        <is>
          <t>계</t>
        </is>
      </c>
      <c r="T60" s="5" t="inlineStr">
        <is>
          <t>110B</t>
        </is>
      </c>
      <c r="U60" s="9" t="n"/>
      <c r="W60" s="133">
        <f>D60</f>
        <v/>
      </c>
      <c r="X60" s="134">
        <f>E60</f>
        <v/>
      </c>
      <c r="Y60" s="139">
        <f>H60</f>
        <v/>
      </c>
      <c r="Z60" s="137">
        <f>I60</f>
        <v/>
      </c>
      <c r="AA60" s="137">
        <f>K60</f>
        <v/>
      </c>
      <c r="AB60" s="137">
        <f>M60</f>
        <v/>
      </c>
      <c r="AC60" s="4">
        <f>N60</f>
        <v/>
      </c>
      <c r="AD60" s="138">
        <f>O60</f>
        <v/>
      </c>
      <c r="AE60" s="123">
        <f>S60</f>
        <v/>
      </c>
      <c r="AF60" s="123">
        <f>Q60&amp;"/"&amp;R60</f>
        <v/>
      </c>
      <c r="AH60" s="20">
        <f>IF(A60="","",A60)</f>
        <v/>
      </c>
      <c r="AI60" s="134">
        <f>IF(E60="","",E60)</f>
        <v/>
      </c>
      <c r="AJ60" s="123">
        <f>IF(AI60="","",$AJ$2)</f>
        <v/>
      </c>
      <c r="AK60" s="123" t="inlineStr">
        <is>
          <t>A</t>
        </is>
      </c>
      <c r="AL60" s="123" t="inlineStr">
        <is>
          <t>A+</t>
        </is>
      </c>
      <c r="AM60" s="123" t="inlineStr">
        <is>
          <t>B+</t>
        </is>
      </c>
      <c r="AN60" s="123">
        <f>IF(AI60="","",$AN$2)</f>
        <v/>
      </c>
      <c r="AO60" s="123">
        <f>IF(N60="","",IF(N60&gt;=$AO$1/100,"O","X"))</f>
        <v/>
      </c>
      <c r="AP60" s="123">
        <f>IF(I60="","",IF(I60&lt;=$AP$1,"O","X"))</f>
        <v/>
      </c>
      <c r="AQ60" s="123">
        <f>IF(O60="","",IF(O60&lt;=$AQ$1,"O","X"))</f>
        <v/>
      </c>
      <c r="AR60" s="123">
        <f>IF(M60="","",IF(M60&lt;=$AR$1,"O","X"))</f>
        <v/>
      </c>
      <c r="AS60" s="123" t="inlineStr">
        <is>
          <t>X</t>
        </is>
      </c>
      <c r="AT60" s="123">
        <f>IF(OR(F60="",AI60=""),"",IF(AND((F60&lt;=85),(AI60&gt;=15)),"O","X"))</f>
        <v/>
      </c>
      <c r="AU60" s="123">
        <f>IF(C60="","",IF(C60&gt;=$AU$1,"O","X"))</f>
        <v/>
      </c>
      <c r="AV60" s="123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5" t="n">
        <v>973</v>
      </c>
      <c r="D61" s="133" t="n">
        <v>134.2</v>
      </c>
      <c r="E61" s="134" t="n">
        <v>41</v>
      </c>
      <c r="F61" s="133" t="n">
        <v>104</v>
      </c>
      <c r="G61" s="17" t="n">
        <v>31</v>
      </c>
      <c r="H61" s="135" t="n">
        <v>112</v>
      </c>
      <c r="I61" s="136" t="n"/>
      <c r="J61" s="136" t="n"/>
      <c r="K61" s="136" t="n">
        <v>41000</v>
      </c>
      <c r="L61" s="136" t="inlineStr">
        <is>
          <t>22</t>
        </is>
      </c>
      <c r="M61" s="137">
        <f>I61-K61</f>
        <v/>
      </c>
      <c r="N61" s="4">
        <f>IF(ISERROR(K61/I61),"",K61/I61)</f>
        <v/>
      </c>
      <c r="O61" s="138">
        <f>I61/E61</f>
        <v/>
      </c>
      <c r="P61" s="138">
        <f>K61/E61</f>
        <v/>
      </c>
      <c r="Q61" s="123" t="n">
        <v>4</v>
      </c>
      <c r="R61" s="123" t="n">
        <v>2</v>
      </c>
      <c r="S61" s="123" t="inlineStr">
        <is>
          <t>계</t>
        </is>
      </c>
      <c r="T61" s="5" t="n">
        <v>134</v>
      </c>
      <c r="U61" s="9" t="n"/>
      <c r="W61" s="133">
        <f>D61</f>
        <v/>
      </c>
      <c r="X61" s="134">
        <f>E61</f>
        <v/>
      </c>
      <c r="Y61" s="139">
        <f>H61</f>
        <v/>
      </c>
      <c r="Z61" s="137">
        <f>I61</f>
        <v/>
      </c>
      <c r="AA61" s="137">
        <f>K61</f>
        <v/>
      </c>
      <c r="AB61" s="137">
        <f>M61</f>
        <v/>
      </c>
      <c r="AC61" s="4">
        <f>N61</f>
        <v/>
      </c>
      <c r="AD61" s="138">
        <f>O61</f>
        <v/>
      </c>
      <c r="AE61" s="123">
        <f>S61</f>
        <v/>
      </c>
      <c r="AF61" s="123">
        <f>Q61&amp;"/"&amp;R61</f>
        <v/>
      </c>
      <c r="AH61" s="20">
        <f>IF(A61="","",A61)</f>
        <v/>
      </c>
      <c r="AI61" s="134">
        <f>IF(E61="","",E61)</f>
        <v/>
      </c>
      <c r="AJ61" s="123">
        <f>IF(AI61="","",$AJ$2)</f>
        <v/>
      </c>
      <c r="AK61" s="123" t="inlineStr">
        <is>
          <t>A</t>
        </is>
      </c>
      <c r="AL61" s="123" t="inlineStr">
        <is>
          <t>A+</t>
        </is>
      </c>
      <c r="AM61" s="123" t="inlineStr">
        <is>
          <t>B+</t>
        </is>
      </c>
      <c r="AN61" s="123">
        <f>IF(AI61="","",$AN$2)</f>
        <v/>
      </c>
      <c r="AO61" s="123">
        <f>IF(N61="","",IF(N61&gt;=$AO$1/100,"O","X"))</f>
        <v/>
      </c>
      <c r="AP61" s="123">
        <f>IF(I61="","",IF(I61&lt;=$AP$1,"O","X"))</f>
        <v/>
      </c>
      <c r="AQ61" s="123">
        <f>IF(O61="","",IF(O61&lt;=$AQ$1,"O","X"))</f>
        <v/>
      </c>
      <c r="AR61" s="123">
        <f>IF(M61="","",IF(M61&lt;=$AR$1,"O","X"))</f>
        <v/>
      </c>
      <c r="AS61" s="123" t="inlineStr">
        <is>
          <t>X</t>
        </is>
      </c>
      <c r="AT61" s="123">
        <f>IF(OR(F61="",AI61=""),"",IF(AND((F61&lt;=85),(AI61&gt;=15)),"O","X"))</f>
        <v/>
      </c>
      <c r="AU61" s="123">
        <f>IF(C61="","",IF(C61&gt;=$AU$1,"O","X"))</f>
        <v/>
      </c>
      <c r="AV61" s="123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5" t="n">
        <v>973</v>
      </c>
      <c r="D62" s="133" t="n">
        <v>153.2</v>
      </c>
      <c r="E62" s="134" t="n">
        <v>46</v>
      </c>
      <c r="F62" s="133" t="n">
        <v>119</v>
      </c>
      <c r="G62" s="17" t="n">
        <v>36</v>
      </c>
      <c r="H62" s="135" t="n">
        <v>56</v>
      </c>
      <c r="I62" s="136" t="n"/>
      <c r="J62" s="136" t="n"/>
      <c r="K62" s="136" t="n">
        <v>48000</v>
      </c>
      <c r="L62" s="136" t="inlineStr">
        <is>
          <t>25</t>
        </is>
      </c>
      <c r="M62" s="137">
        <f>I62-K62</f>
        <v/>
      </c>
      <c r="N62" s="4">
        <f>IF(ISERROR(K62/I62),"",K62/I62)</f>
        <v/>
      </c>
      <c r="O62" s="138">
        <f>I62/E62</f>
        <v/>
      </c>
      <c r="P62" s="138">
        <f>K62/E62</f>
        <v/>
      </c>
      <c r="Q62" s="123" t="n">
        <v>4</v>
      </c>
      <c r="R62" s="123" t="n">
        <v>2</v>
      </c>
      <c r="S62" s="123" t="inlineStr">
        <is>
          <t>계</t>
        </is>
      </c>
      <c r="T62" s="5" t="n">
        <v>153</v>
      </c>
      <c r="U62" s="9" t="n"/>
      <c r="W62" s="133">
        <f>D62</f>
        <v/>
      </c>
      <c r="X62" s="134">
        <f>E62</f>
        <v/>
      </c>
      <c r="Y62" s="139">
        <f>H62</f>
        <v/>
      </c>
      <c r="Z62" s="137">
        <f>I62</f>
        <v/>
      </c>
      <c r="AA62" s="137">
        <f>K62</f>
        <v/>
      </c>
      <c r="AB62" s="137">
        <f>M62</f>
        <v/>
      </c>
      <c r="AC62" s="4">
        <f>N62</f>
        <v/>
      </c>
      <c r="AD62" s="138">
        <f>O62</f>
        <v/>
      </c>
      <c r="AE62" s="123">
        <f>S62</f>
        <v/>
      </c>
      <c r="AF62" s="123">
        <f>Q62&amp;"/"&amp;R62</f>
        <v/>
      </c>
      <c r="AH62" s="20">
        <f>IF(A62="","",A62)</f>
        <v/>
      </c>
      <c r="AI62" s="134">
        <f>IF(E62="","",E62)</f>
        <v/>
      </c>
      <c r="AJ62" s="123">
        <f>IF(AI62="","",$AJ$2)</f>
        <v/>
      </c>
      <c r="AK62" s="123" t="inlineStr">
        <is>
          <t>A</t>
        </is>
      </c>
      <c r="AL62" s="123" t="inlineStr">
        <is>
          <t>A+</t>
        </is>
      </c>
      <c r="AM62" s="123" t="inlineStr">
        <is>
          <t>B+</t>
        </is>
      </c>
      <c r="AN62" s="123">
        <f>IF(AI62="","",$AN$2)</f>
        <v/>
      </c>
      <c r="AO62" s="123">
        <f>IF(N62="","",IF(N62&gt;=$AO$1/100,"O","X"))</f>
        <v/>
      </c>
      <c r="AP62" s="123">
        <f>IF(I62="","",IF(I62&lt;=$AP$1,"O","X"))</f>
        <v/>
      </c>
      <c r="AQ62" s="123">
        <f>IF(O62="","",IF(O62&lt;=$AQ$1,"O","X"))</f>
        <v/>
      </c>
      <c r="AR62" s="123">
        <f>IF(M62="","",IF(M62&lt;=$AR$1,"O","X"))</f>
        <v/>
      </c>
      <c r="AS62" s="123" t="inlineStr">
        <is>
          <t>X</t>
        </is>
      </c>
      <c r="AT62" s="123">
        <f>IF(OR(F62="",AI62=""),"",IF(AND((F62&lt;=85),(AI62&gt;=15)),"O","X"))</f>
        <v/>
      </c>
      <c r="AU62" s="123">
        <f>IF(C62="","",IF(C62&gt;=$AU$1,"O","X"))</f>
        <v/>
      </c>
      <c r="AV62" s="123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5" t="n">
        <v>973</v>
      </c>
      <c r="D63" s="133" t="n">
        <v>192.2</v>
      </c>
      <c r="E63" s="134" t="n">
        <v>58</v>
      </c>
      <c r="F63" s="133" t="n">
        <v>146</v>
      </c>
      <c r="G63" s="17" t="n">
        <v>44</v>
      </c>
      <c r="H63" s="135" t="n">
        <v>3</v>
      </c>
      <c r="I63" s="136" t="n"/>
      <c r="J63" s="136" t="n"/>
      <c r="K63" s="136" t="n"/>
      <c r="L63" s="136" t="n"/>
      <c r="M63" s="137">
        <f>I63-K63</f>
        <v/>
      </c>
      <c r="N63" s="4">
        <f>IF(ISERROR(K63/I63),"",K63/I63)</f>
        <v/>
      </c>
      <c r="O63" s="138">
        <f>I63/E63</f>
        <v/>
      </c>
      <c r="P63" s="138">
        <f>K63/E63</f>
        <v/>
      </c>
      <c r="Q63" s="123" t="n">
        <v>4</v>
      </c>
      <c r="R63" s="123" t="n">
        <v>3</v>
      </c>
      <c r="S63" s="123" t="inlineStr">
        <is>
          <t>계</t>
        </is>
      </c>
      <c r="T63" s="5" t="n">
        <v>192</v>
      </c>
      <c r="U63" s="9" t="n"/>
      <c r="W63" s="133">
        <f>D63</f>
        <v/>
      </c>
      <c r="X63" s="134">
        <f>E63</f>
        <v/>
      </c>
      <c r="Y63" s="139">
        <f>H63</f>
        <v/>
      </c>
      <c r="Z63" s="137">
        <f>I63</f>
        <v/>
      </c>
      <c r="AA63" s="137">
        <f>K63</f>
        <v/>
      </c>
      <c r="AB63" s="137">
        <f>M63</f>
        <v/>
      </c>
      <c r="AC63" s="4">
        <f>N63</f>
        <v/>
      </c>
      <c r="AD63" s="138">
        <f>O63</f>
        <v/>
      </c>
      <c r="AE63" s="123">
        <f>S63</f>
        <v/>
      </c>
      <c r="AF63" s="123">
        <f>Q63&amp;"/"&amp;R63</f>
        <v/>
      </c>
      <c r="AH63" s="20">
        <f>IF(A63="","",A63)</f>
        <v/>
      </c>
      <c r="AI63" s="134">
        <f>IF(E63="","",E63)</f>
        <v/>
      </c>
      <c r="AJ63" s="123">
        <f>IF(AI63="","",$AJ$2)</f>
        <v/>
      </c>
      <c r="AK63" s="123" t="inlineStr">
        <is>
          <t>A</t>
        </is>
      </c>
      <c r="AL63" s="123" t="inlineStr">
        <is>
          <t>A+</t>
        </is>
      </c>
      <c r="AM63" s="123" t="inlineStr">
        <is>
          <t>B+</t>
        </is>
      </c>
      <c r="AN63" s="123">
        <f>IF(AI63="","",$AN$2)</f>
        <v/>
      </c>
      <c r="AO63" s="123">
        <f>IF(N63="","",IF(N63&gt;=$AO$1/100,"O","X"))</f>
        <v/>
      </c>
      <c r="AP63" s="123">
        <f>IF(I63="","",IF(I63&lt;=$AP$1,"O","X"))</f>
        <v/>
      </c>
      <c r="AQ63" s="123">
        <f>IF(O63="","",IF(O63&lt;=$AQ$1,"O","X"))</f>
        <v/>
      </c>
      <c r="AR63" s="123">
        <f>IF(M63="","",IF(M63&lt;=$AR$1,"O","X"))</f>
        <v/>
      </c>
      <c r="AS63" s="123" t="inlineStr">
        <is>
          <t>X</t>
        </is>
      </c>
      <c r="AT63" s="123">
        <f>IF(OR(F63="",AI63=""),"",IF(AND((F63&lt;=85),(AI63&gt;=15)),"O","X"))</f>
        <v/>
      </c>
      <c r="AU63" s="123">
        <f>IF(C63="","",IF(C63&gt;=$AU$1,"O","X"))</f>
        <v/>
      </c>
      <c r="AV63" s="123">
        <f>IF(AO63="","",IF(AND(AO63="O",AP63="O",AR63="O",AT63="O",AU63="O"),"후보","X"))</f>
        <v/>
      </c>
    </row>
    <row r="64">
      <c r="A64" s="9" t="n"/>
      <c r="B64" s="123" t="n"/>
      <c r="C64" s="6" t="n"/>
      <c r="D64" s="9" t="n"/>
      <c r="E64" s="14" t="n"/>
      <c r="F64" s="133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8" t="n"/>
      <c r="P64" s="138" t="n"/>
      <c r="Q64" s="134" t="n"/>
      <c r="R64" s="134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8">
        <f>IF(E64="","",E64)</f>
        <v/>
      </c>
      <c r="AJ64" s="123" t="n"/>
      <c r="AK64" s="123" t="n"/>
      <c r="AL64" s="123" t="n"/>
      <c r="AM64" s="123" t="n"/>
      <c r="AN64" s="123" t="n"/>
      <c r="AO64" s="123" t="n"/>
      <c r="AP64" s="123" t="n"/>
      <c r="AQ64" s="123" t="n"/>
      <c r="AR64" s="123" t="n"/>
      <c r="AS64" s="123" t="n"/>
      <c r="AT64" s="123" t="n"/>
      <c r="AU64" s="123" t="n"/>
      <c r="AV64" s="123" t="n"/>
    </row>
    <row r="65">
      <c r="A65" s="9" t="inlineStr">
        <is>
          <t>세경</t>
        </is>
      </c>
      <c r="B65" s="10" t="inlineStr">
        <is>
          <t>'18.03.</t>
        </is>
      </c>
      <c r="C65" s="135" t="n">
        <v>1400</v>
      </c>
      <c r="D65" s="133" t="n">
        <v>82</v>
      </c>
      <c r="E65" s="134" t="n">
        <v>25</v>
      </c>
      <c r="F65" s="133" t="n">
        <v>60</v>
      </c>
      <c r="G65" s="17" t="n">
        <v>18</v>
      </c>
      <c r="H65" s="135" t="n">
        <v>189</v>
      </c>
      <c r="I65" s="136" t="n"/>
      <c r="J65" s="136" t="n"/>
      <c r="K65" s="136" t="n"/>
      <c r="L65" s="136" t="n"/>
      <c r="M65" s="137">
        <f>I65-K65</f>
        <v/>
      </c>
      <c r="N65" s="4">
        <f>IF(ISERROR(K65/I65),"",K65/I65)</f>
        <v/>
      </c>
      <c r="O65" s="138">
        <f>I65/E65</f>
        <v/>
      </c>
      <c r="P65" s="138">
        <f>K65/E65</f>
        <v/>
      </c>
      <c r="Q65" s="123" t="n">
        <v>3</v>
      </c>
      <c r="R65" s="123" t="n">
        <v>2</v>
      </c>
      <c r="S65" s="123" t="inlineStr">
        <is>
          <t>계</t>
        </is>
      </c>
      <c r="T65" s="5" t="inlineStr">
        <is>
          <t>81A</t>
        </is>
      </c>
      <c r="U65" s="9" t="n"/>
      <c r="W65" s="133">
        <f>D65</f>
        <v/>
      </c>
      <c r="X65" s="134">
        <f>E65</f>
        <v/>
      </c>
      <c r="Y65" s="139">
        <f>H65</f>
        <v/>
      </c>
      <c r="Z65" s="137">
        <f>I65</f>
        <v/>
      </c>
      <c r="AA65" s="137">
        <f>K65</f>
        <v/>
      </c>
      <c r="AB65" s="137">
        <f>M65</f>
        <v/>
      </c>
      <c r="AC65" s="4">
        <f>N65</f>
        <v/>
      </c>
      <c r="AD65" s="138">
        <f>O65</f>
        <v/>
      </c>
      <c r="AE65" s="123">
        <f>S65</f>
        <v/>
      </c>
      <c r="AF65" s="123">
        <f>Q65&amp;"/"&amp;R65</f>
        <v/>
      </c>
      <c r="AH65" s="20">
        <f>IF(A65="","",A65)</f>
        <v/>
      </c>
      <c r="AI65" s="134">
        <f>IF(E65="","",E65)</f>
        <v/>
      </c>
      <c r="AJ65" s="123">
        <f>IF(AI65="","",$AJ$2)</f>
        <v/>
      </c>
      <c r="AK65" s="123" t="inlineStr">
        <is>
          <t>A</t>
        </is>
      </c>
      <c r="AL65" s="123" t="inlineStr">
        <is>
          <t>A+</t>
        </is>
      </c>
      <c r="AM65" s="123" t="inlineStr">
        <is>
          <t>B+</t>
        </is>
      </c>
      <c r="AN65" s="123">
        <f>IF(AI65="","",$AN$2)</f>
        <v/>
      </c>
      <c r="AO65" s="123">
        <f>IF(N65="","",IF(N65&gt;=$AO$1/100,"O","X"))</f>
        <v/>
      </c>
      <c r="AP65" s="123">
        <f>IF(I65="","",IF(I65&lt;=$AP$1,"O","X"))</f>
        <v/>
      </c>
      <c r="AQ65" s="123">
        <f>IF(O65="","",IF(O65&lt;=$AQ$1,"O","X"))</f>
        <v/>
      </c>
      <c r="AR65" s="123">
        <f>IF(M65="","",IF(M65&lt;=$AR$1,"O","X"))</f>
        <v/>
      </c>
      <c r="AS65" s="123" t="inlineStr">
        <is>
          <t>X</t>
        </is>
      </c>
      <c r="AT65" s="123">
        <f>IF(OR(F65="",AI65=""),"",IF(AND((F65&lt;=85),(AI65&gt;=15)),"O","X"))</f>
        <v/>
      </c>
      <c r="AU65" s="123">
        <f>IF(C65="","",IF(C65&gt;=$AU$1,"O","X"))</f>
        <v/>
      </c>
      <c r="AV65" s="123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7">
      <formula>AV4="X"</formula>
    </cfRule>
    <cfRule type="expression" priority="928" dxfId="16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7">
      <formula>AV7="X"</formula>
    </cfRule>
    <cfRule type="expression" priority="908" dxfId="16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7">
      <formula>AV8="X"</formula>
    </cfRule>
    <cfRule type="expression" priority="890" dxfId="16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7">
      <formula>AV9="X"</formula>
    </cfRule>
    <cfRule type="expression" priority="872" dxfId="16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7">
      <formula>AV10="X"</formula>
    </cfRule>
    <cfRule type="expression" priority="854" dxfId="16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7">
      <formula>AV11="X"</formula>
    </cfRule>
    <cfRule type="expression" priority="836" dxfId="16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7">
      <formula>AV12="X"</formula>
    </cfRule>
    <cfRule type="expression" priority="818" dxfId="16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7">
      <formula>AV13="X"</formula>
    </cfRule>
    <cfRule type="expression" priority="800" dxfId="16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7">
      <formula>AV14="X"</formula>
    </cfRule>
    <cfRule type="expression" priority="782" dxfId="16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7">
      <formula>AV15="X"</formula>
    </cfRule>
    <cfRule type="expression" priority="764" dxfId="16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7">
      <formula>AV16="X"</formula>
    </cfRule>
    <cfRule type="expression" priority="746" dxfId="16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7">
      <formula>AV17="X"</formula>
    </cfRule>
    <cfRule type="expression" priority="742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7">
      <formula>AV19="X"</formula>
    </cfRule>
    <cfRule type="expression" priority="706" dxfId="16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7">
      <formula>AV20="X"</formula>
    </cfRule>
    <cfRule type="expression" priority="688" dxfId="16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7">
      <formula>AV21="X"</formula>
    </cfRule>
    <cfRule type="expression" priority="670" dxfId="16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7">
      <formula>AV27="X"</formula>
    </cfRule>
    <cfRule type="expression" priority="590" dxfId="16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7">
      <formula>AV28="X"</formula>
    </cfRule>
    <cfRule type="expression" priority="572" dxfId="16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7">
      <formula>AV29="X"</formula>
    </cfRule>
    <cfRule type="expression" priority="568" dxfId="16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7">
      <formula>AV30="X"</formula>
    </cfRule>
    <cfRule type="expression" priority="550" dxfId="16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7">
      <formula>AV31="X"</formula>
    </cfRule>
    <cfRule type="expression" priority="532" dxfId="16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7">
      <formula>AV32="X"</formula>
    </cfRule>
    <cfRule type="expression" priority="514" dxfId="16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7">
      <formula>AV33="X"</formula>
    </cfRule>
    <cfRule type="expression" priority="496" dxfId="16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7">
      <formula>AV34="X"</formula>
    </cfRule>
    <cfRule type="expression" priority="478" dxfId="16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7">
      <formula>AV35="X"</formula>
    </cfRule>
    <cfRule type="expression" priority="460" dxfId="16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7">
      <formula>AV36="X"</formula>
    </cfRule>
    <cfRule type="expression" priority="456" dxfId="16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7">
      <formula>AV37="X"</formula>
    </cfRule>
    <cfRule type="expression" priority="438" dxfId="16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7">
      <formula>AV38="X"</formula>
    </cfRule>
    <cfRule type="expression" priority="420" dxfId="16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7">
      <formula>AV39="X"</formula>
    </cfRule>
    <cfRule type="expression" priority="416" dxfId="16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7">
      <formula>AV40="X"</formula>
    </cfRule>
    <cfRule type="expression" priority="398" dxfId="16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7">
      <formula>AV41="X"</formula>
    </cfRule>
    <cfRule type="expression" priority="380" dxfId="16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7">
      <formula>AV42="X"</formula>
    </cfRule>
    <cfRule type="expression" priority="362" dxfId="16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7">
      <formula>AV43="X"</formula>
    </cfRule>
    <cfRule type="expression" priority="344" dxfId="16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7">
      <formula>AV44="X"</formula>
    </cfRule>
    <cfRule type="expression" priority="326" dxfId="16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7">
      <formula>AV45="X"</formula>
    </cfRule>
    <cfRule type="expression" priority="308" dxfId="16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7">
      <formula>AV46="X"</formula>
    </cfRule>
    <cfRule type="expression" priority="290" dxfId="16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7">
      <formula>AV47="X"</formula>
    </cfRule>
    <cfRule type="expression" priority="286" dxfId="16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7">
      <formula>AV48="X"</formula>
    </cfRule>
    <cfRule type="expression" priority="268" dxfId="16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7">
      <formula>AV49="X"</formula>
    </cfRule>
    <cfRule type="expression" priority="250" dxfId="16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7">
      <formula>AV50="X"</formula>
    </cfRule>
    <cfRule type="expression" priority="246" dxfId="16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7">
      <formula>AV51="X"</formula>
    </cfRule>
    <cfRule type="expression" priority="228" dxfId="16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7">
      <formula>AV52="X"</formula>
    </cfRule>
    <cfRule type="expression" priority="210" dxfId="16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7">
      <formula>AV53="X"</formula>
    </cfRule>
    <cfRule type="expression" priority="206" dxfId="16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7">
      <formula>AV54="X"</formula>
    </cfRule>
    <cfRule type="expression" priority="188" dxfId="16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7">
      <formula>AV55="X"</formula>
    </cfRule>
    <cfRule type="expression" priority="170" dxfId="16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7">
      <formula>AV56="X"</formula>
    </cfRule>
    <cfRule type="expression" priority="152" dxfId="16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7">
      <formula>AV57="X"</formula>
    </cfRule>
    <cfRule type="expression" priority="148" dxfId="16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7">
      <formula>AV58="X"</formula>
    </cfRule>
    <cfRule type="expression" priority="130" dxfId="16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7">
      <formula>AV59="X"</formula>
    </cfRule>
    <cfRule type="expression" priority="112" dxfId="16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7">
      <formula>AV60="X"</formula>
    </cfRule>
    <cfRule type="expression" priority="94" dxfId="16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7">
      <formula>AV61="X"</formula>
    </cfRule>
    <cfRule type="expression" priority="76" dxfId="16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7">
      <formula>AV62="X"</formula>
    </cfRule>
    <cfRule type="expression" priority="58" dxfId="16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7">
      <formula>AV63="X"</formula>
    </cfRule>
    <cfRule type="expression" priority="40" dxfId="16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7">
      <formula>AV64="X"</formula>
    </cfRule>
    <cfRule type="expression" priority="22" dxfId="16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7">
      <formula>AV65="X"</formula>
    </cfRule>
    <cfRule type="expression" priority="18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5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6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3">
        <f>A1&amp;" 전체 등급"</f>
        <v/>
      </c>
      <c r="AK1" s="124" t="n"/>
      <c r="AL1" s="124" t="n"/>
      <c r="AM1" s="124" t="n"/>
      <c r="AN1" s="125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8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6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6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3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7" t="n"/>
      <c r="R4" s="157" t="n"/>
      <c r="S4" s="123" t="n"/>
      <c r="T4" s="5" t="n"/>
      <c r="U4" s="9" t="n"/>
      <c r="W4" s="9" t="n"/>
      <c r="X4" s="9" t="n"/>
      <c r="Y4" s="139" t="n"/>
      <c r="Z4" s="9" t="n"/>
      <c r="AA4" s="9" t="n"/>
      <c r="AB4" s="9" t="n"/>
      <c r="AC4" s="9" t="n"/>
      <c r="AD4" s="9" t="n"/>
      <c r="AE4" s="123" t="n"/>
      <c r="AF4" s="5" t="n"/>
      <c r="AH4" s="20" t="n"/>
      <c r="AI4" s="158">
        <f>IF(E4="","",E4)</f>
        <v/>
      </c>
      <c r="AJ4" s="123" t="n"/>
      <c r="AK4" s="123" t="n"/>
      <c r="AL4" s="123" t="n"/>
      <c r="AM4" s="123" t="n"/>
      <c r="AN4" s="123" t="n"/>
      <c r="AO4" s="123" t="n"/>
      <c r="AP4" s="123" t="n"/>
      <c r="AQ4" s="123" t="n"/>
      <c r="AR4" s="123" t="n"/>
      <c r="AS4" s="123" t="n"/>
      <c r="AT4" s="123" t="n"/>
      <c r="AU4" s="123" t="n"/>
      <c r="AV4" s="123" t="n"/>
    </row>
    <row r="5">
      <c r="A5" s="9" t="n"/>
      <c r="B5" s="123" t="n"/>
      <c r="C5" s="6" t="n"/>
      <c r="D5" s="9" t="n"/>
      <c r="E5" s="14" t="n"/>
      <c r="F5" s="133" t="n"/>
      <c r="G5" s="9" t="n"/>
      <c r="H5" s="9" t="n"/>
      <c r="I5" s="9" t="n"/>
      <c r="J5" s="9" t="n"/>
      <c r="K5" s="9" t="n"/>
      <c r="L5" s="9" t="n"/>
      <c r="M5" s="9" t="n"/>
      <c r="N5" s="9" t="n"/>
      <c r="O5" s="138" t="n"/>
      <c r="P5" s="138" t="n"/>
      <c r="Q5" s="134" t="n"/>
      <c r="R5" s="134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8">
        <f>IF(E5="","",E5)</f>
        <v/>
      </c>
      <c r="AJ5" s="123" t="n"/>
      <c r="AK5" s="123" t="n"/>
      <c r="AL5" s="123" t="n"/>
      <c r="AM5" s="123" t="n"/>
      <c r="AN5" s="123" t="n"/>
      <c r="AO5" s="123" t="n"/>
      <c r="AP5" s="123" t="n"/>
      <c r="AQ5" s="123" t="n"/>
      <c r="AR5" s="123" t="n"/>
      <c r="AS5" s="123" t="n"/>
      <c r="AT5" s="123" t="n"/>
      <c r="AU5" s="123" t="n"/>
      <c r="AV5" s="123" t="n"/>
    </row>
    <row r="6">
      <c r="A6" s="9" t="inlineStr">
        <is>
          <t>단지명</t>
        </is>
      </c>
      <c r="B6" s="10" t="inlineStr">
        <is>
          <t>'19.04</t>
        </is>
      </c>
      <c r="C6" s="135" t="n">
        <v>905</v>
      </c>
      <c r="D6" s="133" t="n">
        <v>79.3</v>
      </c>
      <c r="E6" s="134" t="n">
        <v>24</v>
      </c>
      <c r="F6" s="133" t="n">
        <v>59.8</v>
      </c>
      <c r="G6" s="17" t="n">
        <v>18</v>
      </c>
      <c r="H6" s="135" t="n">
        <v>240</v>
      </c>
      <c r="I6" s="136" t="n"/>
      <c r="J6" s="136" t="n"/>
      <c r="K6" s="136" t="n"/>
      <c r="L6" s="136" t="n"/>
      <c r="M6" s="137">
        <f>I6-K6</f>
        <v/>
      </c>
      <c r="N6" s="4">
        <f>IF(ISERROR(K6/I6),"",K6/I6)</f>
        <v/>
      </c>
      <c r="O6" s="138">
        <f>I6/E6</f>
        <v/>
      </c>
      <c r="P6" s="138">
        <f>K6/E6</f>
        <v/>
      </c>
      <c r="Q6" s="123" t="n">
        <v>3</v>
      </c>
      <c r="R6" s="123" t="n">
        <v>2</v>
      </c>
      <c r="S6" s="123" t="inlineStr">
        <is>
          <t>계</t>
        </is>
      </c>
      <c r="T6" s="5" t="n">
        <v>79</v>
      </c>
      <c r="U6" s="9" t="n"/>
      <c r="W6" s="133">
        <f>D6</f>
        <v/>
      </c>
      <c r="X6" s="134">
        <f>E6</f>
        <v/>
      </c>
      <c r="Y6" s="139">
        <f>H6</f>
        <v/>
      </c>
      <c r="Z6" s="137">
        <f>I6</f>
        <v/>
      </c>
      <c r="AA6" s="137">
        <f>K6</f>
        <v/>
      </c>
      <c r="AB6" s="137">
        <f>M6</f>
        <v/>
      </c>
      <c r="AC6" s="4">
        <f>N6</f>
        <v/>
      </c>
      <c r="AD6" s="138">
        <f>O6</f>
        <v/>
      </c>
      <c r="AE6" s="123">
        <f>S6</f>
        <v/>
      </c>
      <c r="AF6" s="123">
        <f>Q6&amp;"/"&amp;R6</f>
        <v/>
      </c>
      <c r="AH6" s="20">
        <f>IF(A6="","",A6)</f>
        <v/>
      </c>
      <c r="AI6" s="134">
        <f>IF(E6="","",E6)</f>
        <v/>
      </c>
      <c r="AJ6" s="123">
        <f>IF(AI6="","",$AJ$2)</f>
        <v/>
      </c>
      <c r="AK6" s="123" t="inlineStr">
        <is>
          <t>A</t>
        </is>
      </c>
      <c r="AL6" s="123" t="inlineStr">
        <is>
          <t>A+</t>
        </is>
      </c>
      <c r="AM6" s="123" t="inlineStr">
        <is>
          <t>B+</t>
        </is>
      </c>
      <c r="AN6" s="123">
        <f>IF(AI6="","",$AN$2)</f>
        <v/>
      </c>
      <c r="AO6" s="123">
        <f>IF(N6="","",IF(N6&gt;=$AO$1/100,"O","X"))</f>
        <v/>
      </c>
      <c r="AP6" s="123">
        <f>IF(I6="","",IF(I6&lt;=$AP$1,"O","X"))</f>
        <v/>
      </c>
      <c r="AQ6" s="123">
        <f>IF(O6="","",IF(O6&lt;=$AQ$1,"O","X"))</f>
        <v/>
      </c>
      <c r="AR6" s="123">
        <f>IF(M6="","",IF(M6&lt;=$AR$1,"O","X"))</f>
        <v/>
      </c>
      <c r="AS6" s="123" t="inlineStr">
        <is>
          <t>X</t>
        </is>
      </c>
      <c r="AT6" s="123">
        <f>IF(OR(F6="",AI6=""),"",IF(AND((F6&lt;=85),(AI6&gt;=15)),"O","X"))</f>
        <v/>
      </c>
      <c r="AU6" s="123">
        <f>IF(C6="","",IF(C6&gt;=$AU$1,"O","X"))</f>
        <v/>
      </c>
      <c r="AV6" s="12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2022-03-10T15:02:11Z</dcterms:modified>
  <cp:lastModifiedBy>MinsuKwon</cp:lastModifiedBy>
  <cp:lastPrinted>2018-04-28T10:52:41Z</cp:lastPrinted>
</cp:coreProperties>
</file>