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  <sheet xmlns:r="http://schemas.openxmlformats.org/officeDocument/2006/relationships" name="Sheet6" sheetId="28" state="visible" r:id="rId28"/>
    <sheet xmlns:r="http://schemas.openxmlformats.org/officeDocument/2006/relationships" name="Sheet7" sheetId="29" state="visible" r:id="rId29"/>
    <sheet xmlns:r="http://schemas.openxmlformats.org/officeDocument/2006/relationships" name="Sheet8" sheetId="30" state="visible" r:id="rId30"/>
    <sheet xmlns:r="http://schemas.openxmlformats.org/officeDocument/2006/relationships" name="Sheet9" sheetId="31" state="visible" r:id="rId31"/>
    <sheet xmlns:r="http://schemas.openxmlformats.org/officeDocument/2006/relationships" name="Sheet10" sheetId="32" state="visible" r:id="rId3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6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352" activePane="bottomRight" state="frozen"/>
      <selection activeCell="U15" sqref="U15"/>
      <selection pane="topRight" activeCell="U15" sqref="U15"/>
      <selection pane="bottomLeft" activeCell="U15" sqref="U15"/>
      <selection pane="bottomRight" activeCell="U361" sqref="U36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4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74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경암동 새한</t>
        </is>
      </c>
      <c r="B4" s="76" t="inlineStr">
        <is>
          <t>95.06.</t>
        </is>
      </c>
      <c r="C4" s="130" t="n">
        <v>304</v>
      </c>
      <c r="D4" s="131" t="n">
        <v>76.8</v>
      </c>
      <c r="E4" s="132" t="n">
        <v>23</v>
      </c>
      <c r="F4" s="131" t="n">
        <v>59.3</v>
      </c>
      <c r="G4" s="17" t="n">
        <v>18</v>
      </c>
      <c r="H4" s="133" t="n">
        <v>138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76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경암동 새한</t>
        </is>
      </c>
      <c r="B5" s="76" t="inlineStr">
        <is>
          <t>95.06.</t>
        </is>
      </c>
      <c r="C5" s="130" t="n">
        <v>304</v>
      </c>
      <c r="D5" s="131" t="n">
        <v>91.09999999999999</v>
      </c>
      <c r="E5" s="132" t="n">
        <v>28</v>
      </c>
      <c r="F5" s="131" t="n">
        <v>74.09999999999999</v>
      </c>
      <c r="G5" s="17" t="n">
        <v>22</v>
      </c>
      <c r="H5" s="133" t="n">
        <v>87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91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경암동 새한</t>
        </is>
      </c>
      <c r="B6" s="76" t="inlineStr">
        <is>
          <t>95.06.</t>
        </is>
      </c>
      <c r="C6" s="130" t="n">
        <v>304</v>
      </c>
      <c r="D6" s="131" t="n">
        <v>105.5</v>
      </c>
      <c r="E6" s="132" t="n">
        <v>32</v>
      </c>
      <c r="F6" s="131" t="n">
        <v>85</v>
      </c>
      <c r="G6" s="17" t="n">
        <v>26</v>
      </c>
      <c r="H6" s="133" t="n">
        <v>79</v>
      </c>
      <c r="I6" s="134" t="n">
        <v>12000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경암동 경암제일오투그란데</t>
        </is>
      </c>
      <c r="B7" s="76" t="inlineStr">
        <is>
          <t>15.11.</t>
        </is>
      </c>
      <c r="C7" s="130" t="n">
        <v>352</v>
      </c>
      <c r="D7" s="131" t="n">
        <v>109</v>
      </c>
      <c r="E7" s="132" t="n">
        <v>33</v>
      </c>
      <c r="F7" s="131" t="n">
        <v>83.90000000000001</v>
      </c>
      <c r="G7" s="17" t="n">
        <v>25</v>
      </c>
      <c r="H7" s="133" t="n">
        <v>20</v>
      </c>
      <c r="I7" s="134" t="n">
        <v>29500</v>
      </c>
      <c r="J7" s="134" t="inlineStr">
        <is>
          <t>17</t>
        </is>
      </c>
      <c r="K7" s="134" t="n">
        <v>24000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경암동 경암제일오투그란데</t>
        </is>
      </c>
      <c r="B8" s="76" t="inlineStr">
        <is>
          <t>15.11.</t>
        </is>
      </c>
      <c r="C8" s="130" t="n">
        <v>352</v>
      </c>
      <c r="D8" s="131" t="n">
        <v>109.5</v>
      </c>
      <c r="E8" s="132" t="n">
        <v>33</v>
      </c>
      <c r="F8" s="131" t="n">
        <v>85</v>
      </c>
      <c r="G8" s="17" t="n">
        <v>26</v>
      </c>
      <c r="H8" s="133" t="n">
        <v>104</v>
      </c>
      <c r="I8" s="134" t="n">
        <v>30000</v>
      </c>
      <c r="J8" s="134" t="inlineStr">
        <is>
          <t>13</t>
        </is>
      </c>
      <c r="K8" s="134" t="n">
        <v>23000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경암동 경암제일오투그란데</t>
        </is>
      </c>
      <c r="B9" s="76" t="inlineStr">
        <is>
          <t>15.11.</t>
        </is>
      </c>
      <c r="C9" s="130" t="n">
        <v>352</v>
      </c>
      <c r="D9" s="131" t="n">
        <v>110.6</v>
      </c>
      <c r="E9" s="132" t="n">
        <v>33</v>
      </c>
      <c r="F9" s="131" t="n">
        <v>84.5</v>
      </c>
      <c r="G9" s="17" t="n">
        <v>26</v>
      </c>
      <c r="H9" s="133" t="n">
        <v>131</v>
      </c>
      <c r="I9" s="134" t="n">
        <v>28000</v>
      </c>
      <c r="J9" s="134" t="inlineStr">
        <is>
          <t>16</t>
        </is>
      </c>
      <c r="K9" s="134" t="n">
        <v>23000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경암동 경암제일오투그란데</t>
        </is>
      </c>
      <c r="B10" s="76" t="inlineStr">
        <is>
          <t>15.11.</t>
        </is>
      </c>
      <c r="C10" s="130" t="n">
        <v>352</v>
      </c>
      <c r="D10" s="131" t="n">
        <v>110.1</v>
      </c>
      <c r="E10" s="132" t="n">
        <v>33</v>
      </c>
      <c r="F10" s="131" t="n">
        <v>84.90000000000001</v>
      </c>
      <c r="G10" s="17" t="n">
        <v>26</v>
      </c>
      <c r="H10" s="133" t="n">
        <v>97</v>
      </c>
      <c r="I10" s="134" t="n">
        <v>31000</v>
      </c>
      <c r="J10" s="134" t="inlineStr">
        <is>
          <t>11</t>
        </is>
      </c>
      <c r="K10" s="134" t="n">
        <v>23500</v>
      </c>
      <c r="L10" s="134" t="inlineStr">
        <is>
          <t>25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경암동 경암부향하나로</t>
        </is>
      </c>
      <c r="B11" s="76" t="inlineStr">
        <is>
          <t>98.09.</t>
        </is>
      </c>
      <c r="C11" s="130" t="n">
        <v>880</v>
      </c>
      <c r="D11" s="131" t="n">
        <v>55</v>
      </c>
      <c r="E11" s="132" t="n">
        <v>17</v>
      </c>
      <c r="F11" s="131" t="n">
        <v>40</v>
      </c>
      <c r="G11" s="17" t="n">
        <v>12</v>
      </c>
      <c r="H11" s="133" t="n">
        <v>163</v>
      </c>
      <c r="I11" s="134" t="n">
        <v>4300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54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구암동 현대</t>
        </is>
      </c>
      <c r="B12" s="76" t="inlineStr">
        <is>
          <t>94.03.</t>
        </is>
      </c>
      <c r="C12" s="130" t="n">
        <v>1084</v>
      </c>
      <c r="D12" s="131" t="n">
        <v>80.09999999999999</v>
      </c>
      <c r="E12" s="132" t="n">
        <v>24</v>
      </c>
      <c r="F12" s="131" t="n">
        <v>59.9</v>
      </c>
      <c r="G12" s="17" t="n">
        <v>18</v>
      </c>
      <c r="H12" s="133" t="n">
        <v>427</v>
      </c>
      <c r="I12" s="134" t="n">
        <v>7500</v>
      </c>
      <c r="J12" s="134" t="inlineStr">
        <is>
          <t>고</t>
        </is>
      </c>
      <c r="K12" s="134" t="n">
        <v>8500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구암동 현대</t>
        </is>
      </c>
      <c r="B13" s="76" t="inlineStr">
        <is>
          <t>94.03.</t>
        </is>
      </c>
      <c r="C13" s="130" t="n">
        <v>1084</v>
      </c>
      <c r="D13" s="131" t="n">
        <v>102.5</v>
      </c>
      <c r="E13" s="132" t="n">
        <v>31</v>
      </c>
      <c r="F13" s="131" t="n">
        <v>84.90000000000001</v>
      </c>
      <c r="G13" s="17" t="n">
        <v>26</v>
      </c>
      <c r="H13" s="133" t="n">
        <v>537</v>
      </c>
      <c r="I13" s="134" t="n">
        <v>13800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구암동 현대</t>
        </is>
      </c>
      <c r="B14" s="76" t="inlineStr">
        <is>
          <t>94.03.</t>
        </is>
      </c>
      <c r="C14" s="130" t="n">
        <v>1084</v>
      </c>
      <c r="D14" s="131" t="n">
        <v>146.3</v>
      </c>
      <c r="E14" s="132" t="n">
        <v>44</v>
      </c>
      <c r="F14" s="131" t="n">
        <v>125.9</v>
      </c>
      <c r="G14" s="17" t="n">
        <v>38</v>
      </c>
      <c r="H14" s="133" t="n">
        <v>120</v>
      </c>
      <c r="I14" s="134" t="n">
        <v>22000</v>
      </c>
      <c r="J14" s="134" t="inlineStr">
        <is>
          <t>7</t>
        </is>
      </c>
      <c r="K14" s="134" t="n">
        <v>18000</v>
      </c>
      <c r="L14" s="134" t="inlineStr">
        <is>
          <t>7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구암동 세풍</t>
        </is>
      </c>
      <c r="B15" s="76" t="inlineStr">
        <is>
          <t>97.01.</t>
        </is>
      </c>
      <c r="C15" s="130" t="n">
        <v>437</v>
      </c>
      <c r="D15" s="131" t="n">
        <v>74.7</v>
      </c>
      <c r="E15" s="132" t="n">
        <v>23</v>
      </c>
      <c r="F15" s="131" t="n">
        <v>59.9</v>
      </c>
      <c r="G15" s="17" t="n">
        <v>18</v>
      </c>
      <c r="H15" s="133" t="n">
        <v>164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74B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구암동 세풍</t>
        </is>
      </c>
      <c r="B16" s="76" t="inlineStr">
        <is>
          <t>97.01.</t>
        </is>
      </c>
      <c r="C16" s="130" t="n">
        <v>437</v>
      </c>
      <c r="D16" s="131" t="n">
        <v>74.2</v>
      </c>
      <c r="E16" s="132" t="n">
        <v>22</v>
      </c>
      <c r="F16" s="131" t="n">
        <v>59.5</v>
      </c>
      <c r="G16" s="17" t="n">
        <v>18</v>
      </c>
      <c r="H16" s="133" t="n">
        <v>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구암동 세풍</t>
        </is>
      </c>
      <c r="B17" s="76" t="inlineStr">
        <is>
          <t>97.01.</t>
        </is>
      </c>
      <c r="C17" s="130" t="n">
        <v>437</v>
      </c>
      <c r="D17" s="131" t="n">
        <v>106</v>
      </c>
      <c r="E17" s="132" t="n">
        <v>32</v>
      </c>
      <c r="F17" s="131" t="n">
        <v>85</v>
      </c>
      <c r="G17" s="17" t="n">
        <v>26</v>
      </c>
      <c r="H17" s="133" t="n">
        <v>208</v>
      </c>
      <c r="I17" s="134" t="n">
        <v>12600</v>
      </c>
      <c r="J17" s="134" t="inlineStr">
        <is>
          <t>10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106B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구암동 세풍</t>
        </is>
      </c>
      <c r="B18" s="76" t="inlineStr">
        <is>
          <t>97.01.</t>
        </is>
      </c>
      <c r="C18" s="130" t="n">
        <v>437</v>
      </c>
      <c r="D18" s="131" t="n">
        <v>106</v>
      </c>
      <c r="E18" s="132" t="n">
        <v>32</v>
      </c>
      <c r="F18" s="131" t="n">
        <v>85</v>
      </c>
      <c r="G18" s="17" t="n">
        <v>26</v>
      </c>
      <c r="H18" s="133" t="n">
        <v>32</v>
      </c>
      <c r="I18" s="134" t="n">
        <v>12600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106A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구암동 세풍</t>
        </is>
      </c>
      <c r="B19" s="76" t="inlineStr">
        <is>
          <t>97.01.</t>
        </is>
      </c>
      <c r="C19" s="130" t="n">
        <v>437</v>
      </c>
      <c r="D19" s="131" t="n">
        <v>124.8</v>
      </c>
      <c r="E19" s="132" t="n">
        <v>38</v>
      </c>
      <c r="F19" s="131" t="n">
        <v>100.1</v>
      </c>
      <c r="G19" s="17" t="n">
        <v>30</v>
      </c>
      <c r="H19" s="133" t="n">
        <v>22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124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금광동 삼성</t>
        </is>
      </c>
      <c r="B20" s="76" t="inlineStr">
        <is>
          <t>90.11.</t>
        </is>
      </c>
      <c r="C20" s="130" t="n">
        <v>424</v>
      </c>
      <c r="D20" s="131" t="n">
        <v>106.7</v>
      </c>
      <c r="E20" s="132" t="n">
        <v>32</v>
      </c>
      <c r="F20" s="131" t="n">
        <v>84.90000000000001</v>
      </c>
      <c r="G20" s="17" t="n">
        <v>26</v>
      </c>
      <c r="H20" s="133" t="n">
        <v>192</v>
      </c>
      <c r="I20" s="134" t="n">
        <v>13500</v>
      </c>
      <c r="J20" s="134" t="inlineStr">
        <is>
          <t>11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106B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금광동 삼성</t>
        </is>
      </c>
      <c r="B21" s="76" t="inlineStr">
        <is>
          <t>90.11.</t>
        </is>
      </c>
      <c r="C21" s="130" t="n">
        <v>424</v>
      </c>
      <c r="D21" s="131" t="n">
        <v>106.9</v>
      </c>
      <c r="E21" s="132" t="n">
        <v>32</v>
      </c>
      <c r="F21" s="131" t="n">
        <v>84.90000000000001</v>
      </c>
      <c r="G21" s="17" t="n">
        <v>26</v>
      </c>
      <c r="H21" s="133" t="n">
        <v>66</v>
      </c>
      <c r="I21" s="134" t="n">
        <v>12500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106A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금광동 삼성</t>
        </is>
      </c>
      <c r="B22" s="76" t="inlineStr">
        <is>
          <t>90.11.</t>
        </is>
      </c>
      <c r="C22" s="130" t="n">
        <v>424</v>
      </c>
      <c r="D22" s="131" t="n">
        <v>154.9</v>
      </c>
      <c r="E22" s="132" t="n">
        <v>47</v>
      </c>
      <c r="F22" s="131" t="n">
        <v>127.7</v>
      </c>
      <c r="G22" s="17" t="n">
        <v>39</v>
      </c>
      <c r="H22" s="133" t="n">
        <v>78</v>
      </c>
      <c r="I22" s="134" t="n">
        <v>16000</v>
      </c>
      <c r="J22" s="134" t="inlineStr">
        <is>
          <t>9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금광동 삼성</t>
        </is>
      </c>
      <c r="B23" s="76" t="inlineStr">
        <is>
          <t>90.11.</t>
        </is>
      </c>
      <c r="C23" s="130" t="n">
        <v>424</v>
      </c>
      <c r="D23" s="131" t="n">
        <v>155.4</v>
      </c>
      <c r="E23" s="132" t="n">
        <v>47</v>
      </c>
      <c r="F23" s="131" t="n">
        <v>128.5</v>
      </c>
      <c r="G23" s="17" t="n">
        <v>39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155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나운동 나운금호어울림센트럴</t>
        </is>
      </c>
      <c r="B24" s="76" t="inlineStr">
        <is>
          <t>22.09.</t>
        </is>
      </c>
      <c r="C24" s="130" t="n">
        <v>993</v>
      </c>
      <c r="D24" s="131" t="n">
        <v>80.5</v>
      </c>
      <c r="E24" s="132" t="n">
        <v>24</v>
      </c>
      <c r="F24" s="131" t="n">
        <v>59.8</v>
      </c>
      <c r="G24" s="17" t="n">
        <v>18</v>
      </c>
      <c r="H24" s="133" t="n">
        <v>178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80A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나운동 나운금호어울림센트럴</t>
        </is>
      </c>
      <c r="B25" s="76" t="inlineStr">
        <is>
          <t>22.09.</t>
        </is>
      </c>
      <c r="C25" s="130" t="n">
        <v>993</v>
      </c>
      <c r="D25" s="131" t="n">
        <v>80.59999999999999</v>
      </c>
      <c r="E25" s="132" t="n">
        <v>24</v>
      </c>
      <c r="F25" s="131" t="n">
        <v>60</v>
      </c>
      <c r="G25" s="17" t="n">
        <v>18</v>
      </c>
      <c r="H25" s="133" t="n">
        <v>82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80B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나운동 나운금호어울림센트럴</t>
        </is>
      </c>
      <c r="B26" s="76" t="inlineStr">
        <is>
          <t>22.09.</t>
        </is>
      </c>
      <c r="C26" s="130" t="n">
        <v>993</v>
      </c>
      <c r="D26" s="131" t="n">
        <v>98.3</v>
      </c>
      <c r="E26" s="132" t="n">
        <v>30</v>
      </c>
      <c r="F26" s="131" t="n">
        <v>73.40000000000001</v>
      </c>
      <c r="G26" s="17" t="n">
        <v>22</v>
      </c>
      <c r="H26" s="133" t="n">
        <v>86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나운동 나운금호어울림센트럴</t>
        </is>
      </c>
      <c r="B27" s="76" t="inlineStr">
        <is>
          <t>22.09.</t>
        </is>
      </c>
      <c r="C27" s="130" t="n">
        <v>993</v>
      </c>
      <c r="D27" s="131" t="n">
        <v>112.4</v>
      </c>
      <c r="E27" s="132" t="n">
        <v>34</v>
      </c>
      <c r="F27" s="131" t="n">
        <v>85</v>
      </c>
      <c r="G27" s="17" t="n">
        <v>26</v>
      </c>
      <c r="H27" s="133" t="n">
        <v>36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나운동 나운금호어울림센트럴</t>
        </is>
      </c>
      <c r="B28" s="76" t="inlineStr">
        <is>
          <t>22.09.</t>
        </is>
      </c>
      <c r="C28" s="130" t="n">
        <v>993</v>
      </c>
      <c r="D28" s="131" t="n">
        <v>113.4</v>
      </c>
      <c r="E28" s="132" t="n">
        <v>34</v>
      </c>
      <c r="F28" s="131" t="n">
        <v>84.90000000000001</v>
      </c>
      <c r="G28" s="17" t="n">
        <v>26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113B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나운동 나운금호어울림센트럴</t>
        </is>
      </c>
      <c r="B29" s="76" t="inlineStr">
        <is>
          <t>22.09.</t>
        </is>
      </c>
      <c r="C29" s="130" t="n">
        <v>993</v>
      </c>
      <c r="D29" s="131" t="n">
        <v>115.3</v>
      </c>
      <c r="E29" s="132" t="n">
        <v>35</v>
      </c>
      <c r="F29" s="131" t="n">
        <v>84.90000000000001</v>
      </c>
      <c r="G29" s="17" t="n">
        <v>26</v>
      </c>
      <c r="H29" s="133" t="n">
        <v>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115C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나운동 세경</t>
        </is>
      </c>
      <c r="B30" s="76" t="inlineStr">
        <is>
          <t>02.12.</t>
        </is>
      </c>
      <c r="C30" s="130" t="n">
        <v>1186</v>
      </c>
      <c r="D30" s="131" t="n">
        <v>51.7</v>
      </c>
      <c r="E30" s="132" t="n">
        <v>16</v>
      </c>
      <c r="F30" s="131" t="n">
        <v>40.3</v>
      </c>
      <c r="G30" s="17" t="n">
        <v>12</v>
      </c>
      <c r="H30" s="133" t="n">
        <v>230</v>
      </c>
      <c r="I30" s="134" t="n">
        <v>5500</v>
      </c>
      <c r="J30" s="134" t="inlineStr">
        <is>
          <t>10</t>
        </is>
      </c>
      <c r="K30" s="134" t="n">
        <v>5000</v>
      </c>
      <c r="L30" s="134" t="inlineStr">
        <is>
          <t>6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1</v>
      </c>
      <c r="R30" s="121" t="n">
        <v>1</v>
      </c>
      <c r="S30" s="121" t="inlineStr">
        <is>
          <t>복</t>
        </is>
      </c>
      <c r="T30" s="5" t="n">
        <v>51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나운동 세경</t>
        </is>
      </c>
      <c r="B31" s="76" t="inlineStr">
        <is>
          <t>02.12.</t>
        </is>
      </c>
      <c r="C31" s="130" t="n">
        <v>1186</v>
      </c>
      <c r="D31" s="131" t="n">
        <v>69</v>
      </c>
      <c r="E31" s="132" t="n">
        <v>21</v>
      </c>
      <c r="F31" s="131" t="n">
        <v>53.8</v>
      </c>
      <c r="G31" s="17" t="n">
        <v>16</v>
      </c>
      <c r="H31" s="133" t="n">
        <v>941</v>
      </c>
      <c r="I31" s="134" t="n">
        <v>6800</v>
      </c>
      <c r="J31" s="134" t="inlineStr">
        <is>
          <t>15</t>
        </is>
      </c>
      <c r="K31" s="134" t="n">
        <v>7000</v>
      </c>
      <c r="L31" s="134" t="inlineStr">
        <is>
          <t>11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n">
        <v>68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나운동 수송코아루</t>
        </is>
      </c>
      <c r="B32" s="76" t="inlineStr">
        <is>
          <t>09.03.</t>
        </is>
      </c>
      <c r="C32" s="130" t="n">
        <v>392</v>
      </c>
      <c r="D32" s="131" t="n">
        <v>87.09999999999999</v>
      </c>
      <c r="E32" s="132" t="n">
        <v>26</v>
      </c>
      <c r="F32" s="131" t="n">
        <v>59.6</v>
      </c>
      <c r="G32" s="17" t="n">
        <v>18</v>
      </c>
      <c r="H32" s="133" t="n">
        <v>392</v>
      </c>
      <c r="I32" s="134" t="n">
        <v>20400</v>
      </c>
      <c r="J32" s="134" t="inlineStr">
        <is>
          <t>8</t>
        </is>
      </c>
      <c r="K32" s="134" t="n">
        <v>17800</v>
      </c>
      <c r="L32" s="134" t="inlineStr">
        <is>
          <t>19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나운동 금호타운2차</t>
        </is>
      </c>
      <c r="B33" s="76" t="inlineStr">
        <is>
          <t>94.09.</t>
        </is>
      </c>
      <c r="C33" s="130" t="n">
        <v>336</v>
      </c>
      <c r="D33" s="131" t="n">
        <v>83.8</v>
      </c>
      <c r="E33" s="132" t="n">
        <v>25</v>
      </c>
      <c r="F33" s="131" t="n">
        <v>59.9</v>
      </c>
      <c r="G33" s="17" t="n">
        <v>18</v>
      </c>
      <c r="H33" s="133" t="n">
        <v>120</v>
      </c>
      <c r="I33" s="134" t="n">
        <v>10700</v>
      </c>
      <c r="J33" s="134" t="inlineStr">
        <is>
          <t>10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83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나운동 금호타운2차</t>
        </is>
      </c>
      <c r="B34" s="76" t="inlineStr">
        <is>
          <t>94.09.</t>
        </is>
      </c>
      <c r="C34" s="130" t="n">
        <v>336</v>
      </c>
      <c r="D34" s="131" t="n">
        <v>103</v>
      </c>
      <c r="E34" s="132" t="n">
        <v>31</v>
      </c>
      <c r="F34" s="131" t="n">
        <v>84.8</v>
      </c>
      <c r="G34" s="17" t="n">
        <v>26</v>
      </c>
      <c r="H34" s="133" t="n">
        <v>120</v>
      </c>
      <c r="I34" s="134" t="n">
        <v>17300</v>
      </c>
      <c r="J34" s="134" t="inlineStr">
        <is>
          <t>8</t>
        </is>
      </c>
      <c r="K34" s="134" t="n">
        <v>14000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103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나운동 금호타운2차</t>
        </is>
      </c>
      <c r="B35" s="76" t="inlineStr">
        <is>
          <t>94.09.</t>
        </is>
      </c>
      <c r="C35" s="130" t="n">
        <v>336</v>
      </c>
      <c r="D35" s="131" t="n">
        <v>148.8</v>
      </c>
      <c r="E35" s="132" t="n">
        <v>45</v>
      </c>
      <c r="F35" s="131" t="n">
        <v>126.6</v>
      </c>
      <c r="G35" s="17" t="n">
        <v>38</v>
      </c>
      <c r="H35" s="133" t="n">
        <v>96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나운동 나운현대2차</t>
        </is>
      </c>
      <c r="B36" s="76" t="inlineStr">
        <is>
          <t>93.10.</t>
        </is>
      </c>
      <c r="C36" s="130" t="n">
        <v>899</v>
      </c>
      <c r="D36" s="131" t="n">
        <v>74.2</v>
      </c>
      <c r="E36" s="132" t="n">
        <v>22</v>
      </c>
      <c r="F36" s="131" t="n">
        <v>59.4</v>
      </c>
      <c r="G36" s="17" t="n">
        <v>18</v>
      </c>
      <c r="H36" s="133" t="n">
        <v>344</v>
      </c>
      <c r="I36" s="134" t="n">
        <v>9200</v>
      </c>
      <c r="J36" s="134" t="inlineStr">
        <is>
          <t>8</t>
        </is>
      </c>
      <c r="K36" s="134" t="n">
        <v>8500</v>
      </c>
      <c r="L36" s="134" t="inlineStr">
        <is>
          <t>5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74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나운동 나운현대2차</t>
        </is>
      </c>
      <c r="B37" s="76" t="inlineStr">
        <is>
          <t>93.10.</t>
        </is>
      </c>
      <c r="C37" s="130" t="n">
        <v>899</v>
      </c>
      <c r="D37" s="131" t="n">
        <v>94.09999999999999</v>
      </c>
      <c r="E37" s="132" t="n">
        <v>28</v>
      </c>
      <c r="F37" s="131" t="n">
        <v>75.3</v>
      </c>
      <c r="G37" s="17" t="n">
        <v>23</v>
      </c>
      <c r="H37" s="133" t="n">
        <v>119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94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나운동 나운현대2차</t>
        </is>
      </c>
      <c r="B38" s="76" t="inlineStr">
        <is>
          <t>93.10.</t>
        </is>
      </c>
      <c r="C38" s="130" t="n">
        <v>899</v>
      </c>
      <c r="D38" s="131" t="n">
        <v>105.9</v>
      </c>
      <c r="E38" s="132" t="n">
        <v>32</v>
      </c>
      <c r="F38" s="131" t="n">
        <v>84.7</v>
      </c>
      <c r="G38" s="17" t="n">
        <v>26</v>
      </c>
      <c r="H38" s="133" t="n">
        <v>377</v>
      </c>
      <c r="I38" s="134" t="n">
        <v>15000</v>
      </c>
      <c r="J38" s="134" t="inlineStr">
        <is>
          <t>7</t>
        </is>
      </c>
      <c r="K38" s="134" t="n">
        <v>12500</v>
      </c>
      <c r="L38" s="134" t="inlineStr">
        <is>
          <t>14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105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나운동 나운현대2차</t>
        </is>
      </c>
      <c r="B39" s="76" t="inlineStr">
        <is>
          <t>93.10.</t>
        </is>
      </c>
      <c r="C39" s="130" t="n">
        <v>899</v>
      </c>
      <c r="D39" s="131" t="n">
        <v>168.1</v>
      </c>
      <c r="E39" s="132" t="n">
        <v>51</v>
      </c>
      <c r="F39" s="131" t="n">
        <v>134.6</v>
      </c>
      <c r="G39" s="17" t="n">
        <v>41</v>
      </c>
      <c r="H39" s="133" t="n">
        <v>59</v>
      </c>
      <c r="I39" s="134" t="n">
        <v>19000</v>
      </c>
      <c r="J39" s="134" t="inlineStr">
        <is>
          <t>5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168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나운동 현대1차</t>
        </is>
      </c>
      <c r="B40" s="76" t="inlineStr">
        <is>
          <t>90.04.</t>
        </is>
      </c>
      <c r="C40" s="130" t="n">
        <v>498</v>
      </c>
      <c r="D40" s="131" t="n">
        <v>89.5</v>
      </c>
      <c r="E40" s="132" t="n">
        <v>27</v>
      </c>
      <c r="F40" s="131" t="n">
        <v>72.2</v>
      </c>
      <c r="G40" s="17" t="n">
        <v>22</v>
      </c>
      <c r="H40" s="133" t="n">
        <v>112</v>
      </c>
      <c r="I40" s="134" t="n">
        <v>8700</v>
      </c>
      <c r="J40" s="134" t="inlineStr">
        <is>
          <t>10</t>
        </is>
      </c>
      <c r="K40" s="134" t="n">
        <v>10500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나운동 현대1차</t>
        </is>
      </c>
      <c r="B41" s="76" t="inlineStr">
        <is>
          <t>90.04.</t>
        </is>
      </c>
      <c r="C41" s="130" t="n">
        <v>498</v>
      </c>
      <c r="D41" s="131" t="n">
        <v>104.1</v>
      </c>
      <c r="E41" s="132" t="n">
        <v>31</v>
      </c>
      <c r="F41" s="131" t="n">
        <v>84.7</v>
      </c>
      <c r="G41" s="17" t="n">
        <v>26</v>
      </c>
      <c r="H41" s="133" t="n">
        <v>330</v>
      </c>
      <c r="I41" s="134" t="n">
        <v>9500</v>
      </c>
      <c r="J41" s="134" t="inlineStr">
        <is>
          <t>14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나운동 현대1차</t>
        </is>
      </c>
      <c r="B42" s="76" t="inlineStr">
        <is>
          <t>90.04.</t>
        </is>
      </c>
      <c r="C42" s="130" t="n">
        <v>498</v>
      </c>
      <c r="D42" s="131" t="n">
        <v>149.3</v>
      </c>
      <c r="E42" s="132" t="n">
        <v>45</v>
      </c>
      <c r="F42" s="131" t="n">
        <v>126.2</v>
      </c>
      <c r="G42" s="17" t="n">
        <v>38</v>
      </c>
      <c r="H42" s="133" t="n">
        <v>56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나운동 나운청솔</t>
        </is>
      </c>
      <c r="B43" s="76" t="inlineStr">
        <is>
          <t>02.12.</t>
        </is>
      </c>
      <c r="C43" s="130" t="n">
        <v>495</v>
      </c>
      <c r="D43" s="131" t="n">
        <v>63.7</v>
      </c>
      <c r="E43" s="132" t="n">
        <v>19</v>
      </c>
      <c r="F43" s="131" t="n">
        <v>49.7</v>
      </c>
      <c r="G43" s="17" t="n">
        <v>15</v>
      </c>
      <c r="H43" s="133" t="n">
        <v>495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63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나운동 신일</t>
        </is>
      </c>
      <c r="B44" s="76" t="inlineStr">
        <is>
          <t>95.12.</t>
        </is>
      </c>
      <c r="C44" s="130" t="n">
        <v>600</v>
      </c>
      <c r="D44" s="131" t="n">
        <v>75.09999999999999</v>
      </c>
      <c r="E44" s="132" t="n">
        <v>23</v>
      </c>
      <c r="F44" s="131" t="n">
        <v>59.9</v>
      </c>
      <c r="G44" s="17" t="n">
        <v>18</v>
      </c>
      <c r="H44" s="133" t="n">
        <v>600</v>
      </c>
      <c r="I44" s="134" t="n">
        <v>12500</v>
      </c>
      <c r="J44" s="134" t="inlineStr">
        <is>
          <t>15</t>
        </is>
      </c>
      <c r="K44" s="134" t="n">
        <v>11500</v>
      </c>
      <c r="L44" s="134" t="inlineStr">
        <is>
          <t>13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75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나운동 롯데4차</t>
        </is>
      </c>
      <c r="B45" s="76" t="inlineStr">
        <is>
          <t>96.04.</t>
        </is>
      </c>
      <c r="C45" s="130" t="n">
        <v>210</v>
      </c>
      <c r="D45" s="131" t="n">
        <v>122.5</v>
      </c>
      <c r="E45" s="132" t="n">
        <v>37</v>
      </c>
      <c r="F45" s="131" t="n">
        <v>99.90000000000001</v>
      </c>
      <c r="G45" s="17" t="n">
        <v>30</v>
      </c>
      <c r="H45" s="133" t="n">
        <v>90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나운동 롯데4차</t>
        </is>
      </c>
      <c r="B46" s="76" t="inlineStr">
        <is>
          <t>96.04.</t>
        </is>
      </c>
      <c r="C46" s="130" t="n">
        <v>210</v>
      </c>
      <c r="D46" s="131" t="n">
        <v>160</v>
      </c>
      <c r="E46" s="132" t="n">
        <v>48</v>
      </c>
      <c r="F46" s="131" t="n">
        <v>134.9</v>
      </c>
      <c r="G46" s="17" t="n">
        <v>41</v>
      </c>
      <c r="H46" s="133" t="n">
        <v>90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160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나운동 롯데4차</t>
        </is>
      </c>
      <c r="B47" s="76" t="inlineStr">
        <is>
          <t>96.04.</t>
        </is>
      </c>
      <c r="C47" s="130" t="n">
        <v>210</v>
      </c>
      <c r="D47" s="131" t="n">
        <v>197.4</v>
      </c>
      <c r="E47" s="132" t="n">
        <v>60</v>
      </c>
      <c r="F47" s="131" t="n">
        <v>164.9</v>
      </c>
      <c r="G47" s="17" t="n">
        <v>50</v>
      </c>
      <c r="H47" s="133" t="n">
        <v>30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197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나운동 롯데2차</t>
        </is>
      </c>
      <c r="B48" s="76" t="inlineStr">
        <is>
          <t>92.08.</t>
        </is>
      </c>
      <c r="C48" s="130" t="n">
        <v>460</v>
      </c>
      <c r="D48" s="131" t="n">
        <v>92</v>
      </c>
      <c r="E48" s="132" t="n">
        <v>28</v>
      </c>
      <c r="F48" s="131" t="n">
        <v>74</v>
      </c>
      <c r="G48" s="17" t="n">
        <v>22</v>
      </c>
      <c r="H48" s="133" t="n">
        <v>104</v>
      </c>
      <c r="I48" s="134" t="n">
        <v>13000</v>
      </c>
      <c r="J48" s="134" t="inlineStr">
        <is>
          <t>11</t>
        </is>
      </c>
      <c r="K48" s="134" t="n">
        <v>12500</v>
      </c>
      <c r="L48" s="134" t="inlineStr">
        <is>
          <t>13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91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나운동 롯데2차</t>
        </is>
      </c>
      <c r="B49" s="76" t="inlineStr">
        <is>
          <t>92.08.</t>
        </is>
      </c>
      <c r="C49" s="130" t="n">
        <v>460</v>
      </c>
      <c r="D49" s="131" t="n">
        <v>106</v>
      </c>
      <c r="E49" s="132" t="n">
        <v>32</v>
      </c>
      <c r="F49" s="131" t="n">
        <v>84.8</v>
      </c>
      <c r="G49" s="17" t="n">
        <v>26</v>
      </c>
      <c r="H49" s="133" t="n">
        <v>278</v>
      </c>
      <c r="I49" s="134" t="n">
        <v>18000</v>
      </c>
      <c r="J49" s="134" t="inlineStr">
        <is>
          <t>13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나운동 롯데2차</t>
        </is>
      </c>
      <c r="B50" s="76" t="inlineStr">
        <is>
          <t>92.08.</t>
        </is>
      </c>
      <c r="C50" s="130" t="n">
        <v>460</v>
      </c>
      <c r="D50" s="131" t="n">
        <v>155.6</v>
      </c>
      <c r="E50" s="132" t="n">
        <v>47</v>
      </c>
      <c r="F50" s="131" t="n">
        <v>131.8</v>
      </c>
      <c r="G50" s="17" t="n">
        <v>40</v>
      </c>
      <c r="H50" s="133" t="n">
        <v>78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나운동 우성</t>
        </is>
      </c>
      <c r="B51" s="76" t="inlineStr">
        <is>
          <t>95.06.</t>
        </is>
      </c>
      <c r="C51" s="130" t="n">
        <v>345</v>
      </c>
      <c r="D51" s="131" t="n">
        <v>115.7</v>
      </c>
      <c r="E51" s="132" t="n">
        <v>35</v>
      </c>
      <c r="F51" s="131" t="n">
        <v>93.59999999999999</v>
      </c>
      <c r="G51" s="17" t="n">
        <v>28</v>
      </c>
      <c r="H51" s="133" t="n">
        <v>75</v>
      </c>
      <c r="I51" s="134" t="n">
        <v>18500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나운동 우성</t>
        </is>
      </c>
      <c r="B52" s="76" t="inlineStr">
        <is>
          <t>95.06.</t>
        </is>
      </c>
      <c r="C52" s="130" t="n">
        <v>345</v>
      </c>
      <c r="D52" s="131" t="n">
        <v>120.2</v>
      </c>
      <c r="E52" s="132" t="n">
        <v>36</v>
      </c>
      <c r="F52" s="131" t="n">
        <v>100</v>
      </c>
      <c r="G52" s="17" t="n">
        <v>30</v>
      </c>
      <c r="H52" s="133" t="n">
        <v>270</v>
      </c>
      <c r="I52" s="134" t="n">
        <v>18000</v>
      </c>
      <c r="J52" s="134" t="inlineStr">
        <is>
          <t>11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나운동 금호타운1차</t>
        </is>
      </c>
      <c r="B53" s="76" t="inlineStr">
        <is>
          <t>91.09.</t>
        </is>
      </c>
      <c r="C53" s="130" t="n">
        <v>930</v>
      </c>
      <c r="D53" s="131" t="n">
        <v>89.09999999999999</v>
      </c>
      <c r="E53" s="132" t="n">
        <v>27</v>
      </c>
      <c r="F53" s="131" t="n">
        <v>73.09999999999999</v>
      </c>
      <c r="G53" s="17" t="n">
        <v>22</v>
      </c>
      <c r="H53" s="133" t="n">
        <v>330</v>
      </c>
      <c r="I53" s="134" t="n">
        <v>14200</v>
      </c>
      <c r="J53" s="134" t="inlineStr">
        <is>
          <t>12</t>
        </is>
      </c>
      <c r="K53" s="134" t="n">
        <v>12000</v>
      </c>
      <c r="L53" s="134" t="inlineStr">
        <is>
          <t>6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나운동 금호타운1차</t>
        </is>
      </c>
      <c r="B54" s="76" t="inlineStr">
        <is>
          <t>91.09.</t>
        </is>
      </c>
      <c r="C54" s="130" t="n">
        <v>930</v>
      </c>
      <c r="D54" s="131" t="n">
        <v>101.7</v>
      </c>
      <c r="E54" s="132" t="n">
        <v>31</v>
      </c>
      <c r="F54" s="131" t="n">
        <v>84.8</v>
      </c>
      <c r="G54" s="17" t="n">
        <v>26</v>
      </c>
      <c r="H54" s="133" t="n">
        <v>600</v>
      </c>
      <c r="I54" s="134" t="n">
        <v>15900</v>
      </c>
      <c r="J54" s="134" t="inlineStr">
        <is>
          <t>10</t>
        </is>
      </c>
      <c r="K54" s="134" t="n">
        <v>12000</v>
      </c>
      <c r="L54" s="134" t="inlineStr">
        <is>
          <t>15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나운동 서호</t>
        </is>
      </c>
      <c r="B55" s="76" t="inlineStr">
        <is>
          <t>95.06.</t>
        </is>
      </c>
      <c r="C55" s="130" t="n">
        <v>490</v>
      </c>
      <c r="D55" s="131" t="n">
        <v>83.8</v>
      </c>
      <c r="E55" s="132" t="n">
        <v>25</v>
      </c>
      <c r="F55" s="131" t="n">
        <v>67.90000000000001</v>
      </c>
      <c r="G55" s="17" t="n">
        <v>21</v>
      </c>
      <c r="H55" s="133" t="n">
        <v>262</v>
      </c>
      <c r="I55" s="134" t="n">
        <v>11800</v>
      </c>
      <c r="J55" s="134" t="inlineStr">
        <is>
          <t>5</t>
        </is>
      </c>
      <c r="K55" s="134" t="n">
        <v>10500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나운동 서호</t>
        </is>
      </c>
      <c r="B56" s="76" t="inlineStr">
        <is>
          <t>95.06.</t>
        </is>
      </c>
      <c r="C56" s="130" t="n">
        <v>490</v>
      </c>
      <c r="D56" s="131" t="n">
        <v>103.8</v>
      </c>
      <c r="E56" s="132" t="n">
        <v>31</v>
      </c>
      <c r="F56" s="131" t="n">
        <v>85</v>
      </c>
      <c r="G56" s="17" t="n">
        <v>26</v>
      </c>
      <c r="H56" s="133" t="n">
        <v>228</v>
      </c>
      <c r="I56" s="134" t="n">
        <v>15000</v>
      </c>
      <c r="J56" s="134" t="inlineStr">
        <is>
          <t>6</t>
        </is>
      </c>
      <c r="K56" s="134" t="n">
        <v>14800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47.6</v>
      </c>
      <c r="E57" s="132" t="n">
        <v>14</v>
      </c>
      <c r="F57" s="131" t="n">
        <v>47.6</v>
      </c>
      <c r="G57" s="17" t="n">
        <v>14</v>
      </c>
      <c r="H57" s="133" t="n">
        <v>25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1</v>
      </c>
      <c r="R57" s="121" t="n">
        <v>1</v>
      </c>
      <c r="S57" s="121" t="inlineStr">
        <is>
          <t>계</t>
        </is>
      </c>
      <c r="T57" s="5" t="n">
        <v>47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나운동 주공3단지</t>
        </is>
      </c>
      <c r="B58" s="76" t="inlineStr">
        <is>
          <t>83.12.</t>
        </is>
      </c>
      <c r="C58" s="130" t="n">
        <v>800</v>
      </c>
      <c r="D58" s="131" t="n">
        <v>53.6</v>
      </c>
      <c r="E58" s="132" t="n">
        <v>16</v>
      </c>
      <c r="F58" s="131" t="n">
        <v>48.6</v>
      </c>
      <c r="G58" s="17" t="n">
        <v>15</v>
      </c>
      <c r="H58" s="133" t="n">
        <v>136</v>
      </c>
      <c r="I58" s="134" t="n">
        <v>17000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계</t>
        </is>
      </c>
      <c r="T58" s="5" t="inlineStr">
        <is>
          <t>53A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나운동 주공3단지</t>
        </is>
      </c>
      <c r="B59" s="76" t="inlineStr">
        <is>
          <t>83.12.</t>
        </is>
      </c>
      <c r="C59" s="130" t="n">
        <v>800</v>
      </c>
      <c r="D59" s="131" t="n">
        <v>54.1</v>
      </c>
      <c r="E59" s="132" t="n">
        <v>16</v>
      </c>
      <c r="F59" s="131" t="n">
        <v>54.1</v>
      </c>
      <c r="G59" s="17" t="n">
        <v>16</v>
      </c>
      <c r="H59" s="133" t="n">
        <v>115</v>
      </c>
      <c r="I59" s="134" t="n">
        <v>16500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계</t>
        </is>
      </c>
      <c r="T59" s="5" t="inlineStr">
        <is>
          <t>54B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나운동 주공3단지</t>
        </is>
      </c>
      <c r="B60" s="76" t="inlineStr">
        <is>
          <t>83.12.</t>
        </is>
      </c>
      <c r="C60" s="130" t="n">
        <v>800</v>
      </c>
      <c r="D60" s="131" t="n">
        <v>54.8</v>
      </c>
      <c r="E60" s="132" t="n">
        <v>17</v>
      </c>
      <c r="F60" s="131" t="n">
        <v>54.8</v>
      </c>
      <c r="G60" s="17" t="n">
        <v>17</v>
      </c>
      <c r="H60" s="133" t="n">
        <v>100</v>
      </c>
      <c r="I60" s="134" t="n">
        <v>17000</v>
      </c>
      <c r="J60" s="134" t="inlineStr">
        <is>
          <t>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계</t>
        </is>
      </c>
      <c r="T60" s="5" t="n">
        <v>54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나운동 주공3단지</t>
        </is>
      </c>
      <c r="B61" s="76" t="inlineStr">
        <is>
          <t>83.12.</t>
        </is>
      </c>
      <c r="C61" s="130" t="n">
        <v>800</v>
      </c>
      <c r="D61" s="131" t="n">
        <v>54.4</v>
      </c>
      <c r="E61" s="132" t="n">
        <v>16</v>
      </c>
      <c r="F61" s="131" t="n">
        <v>54.4</v>
      </c>
      <c r="G61" s="17" t="n">
        <v>16</v>
      </c>
      <c r="H61" s="133" t="n">
        <v>43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54C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나운동 주공3단지</t>
        </is>
      </c>
      <c r="B62" s="76" t="inlineStr">
        <is>
          <t>83.12.</t>
        </is>
      </c>
      <c r="C62" s="130" t="n">
        <v>800</v>
      </c>
      <c r="D62" s="131" t="n">
        <v>61.6</v>
      </c>
      <c r="E62" s="132" t="n">
        <v>19</v>
      </c>
      <c r="F62" s="131" t="n">
        <v>55.8</v>
      </c>
      <c r="G62" s="17" t="n">
        <v>17</v>
      </c>
      <c r="H62" s="133" t="n">
        <v>112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inlineStr">
        <is>
          <t>61A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나운동 주공3단지</t>
        </is>
      </c>
      <c r="B63" s="76" t="inlineStr">
        <is>
          <t>83.12.</t>
        </is>
      </c>
      <c r="C63" s="130" t="n">
        <v>800</v>
      </c>
      <c r="D63" s="131" t="n">
        <v>61.6</v>
      </c>
      <c r="E63" s="132" t="n">
        <v>19</v>
      </c>
      <c r="F63" s="131" t="n">
        <v>61.6</v>
      </c>
      <c r="G63" s="17" t="n">
        <v>19</v>
      </c>
      <c r="H63" s="133" t="n">
        <v>1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61B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나운동 주공3단지</t>
        </is>
      </c>
      <c r="B64" s="76" t="inlineStr">
        <is>
          <t>83.12.</t>
        </is>
      </c>
      <c r="C64" s="130" t="n">
        <v>800</v>
      </c>
      <c r="D64" s="131" t="n">
        <v>62.4</v>
      </c>
      <c r="E64" s="132" t="n">
        <v>19</v>
      </c>
      <c r="F64" s="131" t="n">
        <v>62.4</v>
      </c>
      <c r="G64" s="17" t="n">
        <v>19</v>
      </c>
      <c r="H64" s="133" t="n">
        <v>28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62C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66</v>
      </c>
      <c r="E65" s="132" t="n">
        <v>20</v>
      </c>
      <c r="F65" s="131" t="n">
        <v>66</v>
      </c>
      <c r="G65" s="17" t="n">
        <v>20</v>
      </c>
      <c r="H65" s="133" t="n">
        <v>125</v>
      </c>
      <c r="I65" s="134" t="n">
        <v>22000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inlineStr">
        <is>
          <t>65B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나운동 주공3단지</t>
        </is>
      </c>
      <c r="B66" s="76" t="inlineStr">
        <is>
          <t>83.12.</t>
        </is>
      </c>
      <c r="C66" s="130" t="n">
        <v>800</v>
      </c>
      <c r="D66" s="131" t="n">
        <v>65.2</v>
      </c>
      <c r="E66" s="132" t="n">
        <v>20</v>
      </c>
      <c r="F66" s="131" t="n">
        <v>65.2</v>
      </c>
      <c r="G66" s="17" t="n">
        <v>20</v>
      </c>
      <c r="H66" s="133" t="n">
        <v>115</v>
      </c>
      <c r="I66" s="134" t="n">
        <v>20000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inlineStr">
        <is>
          <t>65A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나운동 나운보람더하임</t>
        </is>
      </c>
      <c r="B67" s="76" t="inlineStr">
        <is>
          <t>10.03.</t>
        </is>
      </c>
      <c r="C67" s="130" t="n">
        <v>437</v>
      </c>
      <c r="D67" s="131" t="n">
        <v>78</v>
      </c>
      <c r="E67" s="132" t="n">
        <v>24</v>
      </c>
      <c r="F67" s="131" t="n">
        <v>59.9</v>
      </c>
      <c r="G67" s="17" t="n">
        <v>18</v>
      </c>
      <c r="H67" s="133" t="n">
        <v>155</v>
      </c>
      <c r="I67" s="134" t="n">
        <v>14200</v>
      </c>
      <c r="J67" s="134" t="inlineStr">
        <is>
          <t>5</t>
        </is>
      </c>
      <c r="K67" s="134" t="n">
        <v>13000</v>
      </c>
      <c r="L67" s="134" t="inlineStr">
        <is>
          <t>9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77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나운동 나운보람더하임</t>
        </is>
      </c>
      <c r="B68" s="76" t="inlineStr">
        <is>
          <t>10.03.</t>
        </is>
      </c>
      <c r="C68" s="130" t="n">
        <v>437</v>
      </c>
      <c r="D68" s="131" t="n">
        <v>110.6</v>
      </c>
      <c r="E68" s="132" t="n">
        <v>33</v>
      </c>
      <c r="F68" s="131" t="n">
        <v>85</v>
      </c>
      <c r="G68" s="17" t="n">
        <v>26</v>
      </c>
      <c r="H68" s="133" t="n">
        <v>202</v>
      </c>
      <c r="I68" s="134" t="n">
        <v>21000</v>
      </c>
      <c r="J68" s="134" t="inlineStr">
        <is>
          <t>8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110A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나운동 나운보람더하임</t>
        </is>
      </c>
      <c r="B69" s="76" t="inlineStr">
        <is>
          <t>10.03.</t>
        </is>
      </c>
      <c r="C69" s="130" t="n">
        <v>437</v>
      </c>
      <c r="D69" s="131" t="n">
        <v>110.7</v>
      </c>
      <c r="E69" s="132" t="n">
        <v>33</v>
      </c>
      <c r="F69" s="131" t="n">
        <v>84.90000000000001</v>
      </c>
      <c r="G69" s="17" t="n">
        <v>26</v>
      </c>
      <c r="H69" s="133" t="n">
        <v>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110B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나운동 나운보람더하임</t>
        </is>
      </c>
      <c r="B70" s="76" t="inlineStr">
        <is>
          <t>10.03.</t>
        </is>
      </c>
      <c r="C70" s="130" t="n">
        <v>437</v>
      </c>
      <c r="D70" s="131" t="n">
        <v>110.5</v>
      </c>
      <c r="E70" s="132" t="n">
        <v>33</v>
      </c>
      <c r="F70" s="131" t="n">
        <v>84.5</v>
      </c>
      <c r="G70" s="17" t="n">
        <v>26</v>
      </c>
      <c r="H70" s="133" t="n">
        <v>12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110C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나운동 나운보람더하임</t>
        </is>
      </c>
      <c r="B71" s="76" t="inlineStr">
        <is>
          <t>10.03.</t>
        </is>
      </c>
      <c r="C71" s="130" t="n">
        <v>437</v>
      </c>
      <c r="D71" s="131" t="n">
        <v>152.7</v>
      </c>
      <c r="E71" s="132" t="n">
        <v>46</v>
      </c>
      <c r="F71" s="131" t="n">
        <v>118.6</v>
      </c>
      <c r="G71" s="17" t="n">
        <v>36</v>
      </c>
      <c r="H71" s="133" t="n">
        <v>54</v>
      </c>
      <c r="I71" s="134" t="n">
        <v>32000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4</v>
      </c>
      <c r="R71" s="121" t="n">
        <v>2</v>
      </c>
      <c r="S71" s="121" t="inlineStr">
        <is>
          <t>계</t>
        </is>
      </c>
      <c r="T71" s="5" t="n">
        <v>152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나운동 동신</t>
        </is>
      </c>
      <c r="B72" s="76" t="inlineStr">
        <is>
          <t>97.12.</t>
        </is>
      </c>
      <c r="C72" s="130" t="n">
        <v>420</v>
      </c>
      <c r="D72" s="131" t="n">
        <v>112.4</v>
      </c>
      <c r="E72" s="132" t="n">
        <v>34</v>
      </c>
      <c r="F72" s="131" t="n">
        <v>92.3</v>
      </c>
      <c r="G72" s="17" t="n">
        <v>28</v>
      </c>
      <c r="H72" s="133" t="n">
        <v>270</v>
      </c>
      <c r="I72" s="134" t="n">
        <v>19000</v>
      </c>
      <c r="J72" s="134" t="inlineStr">
        <is>
          <t>12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112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나운동 동신</t>
        </is>
      </c>
      <c r="B73" s="76" t="inlineStr">
        <is>
          <t>97.12.</t>
        </is>
      </c>
      <c r="C73" s="130" t="n">
        <v>420</v>
      </c>
      <c r="D73" s="131" t="n">
        <v>136.5</v>
      </c>
      <c r="E73" s="132" t="n">
        <v>41</v>
      </c>
      <c r="F73" s="131" t="n">
        <v>114.6</v>
      </c>
      <c r="G73" s="17" t="n">
        <v>35</v>
      </c>
      <c r="H73" s="133" t="n">
        <v>150</v>
      </c>
      <c r="I73" s="134" t="n">
        <v>22000</v>
      </c>
      <c r="J73" s="134" t="inlineStr">
        <is>
          <t>12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136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나운동 대우</t>
        </is>
      </c>
      <c r="B74" s="76" t="inlineStr">
        <is>
          <t>97.02.</t>
        </is>
      </c>
      <c r="C74" s="130" t="n">
        <v>260</v>
      </c>
      <c r="D74" s="131" t="n">
        <v>105.3</v>
      </c>
      <c r="E74" s="132" t="n">
        <v>32</v>
      </c>
      <c r="F74" s="131" t="n">
        <v>85</v>
      </c>
      <c r="G74" s="17" t="n">
        <v>26</v>
      </c>
      <c r="H74" s="133" t="n">
        <v>230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105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나운동 대우</t>
        </is>
      </c>
      <c r="B75" s="76" t="inlineStr">
        <is>
          <t>97.02.</t>
        </is>
      </c>
      <c r="C75" s="130" t="n">
        <v>260</v>
      </c>
      <c r="D75" s="131" t="n">
        <v>225.8</v>
      </c>
      <c r="E75" s="132" t="n">
        <v>68</v>
      </c>
      <c r="F75" s="131" t="n">
        <v>187.1</v>
      </c>
      <c r="G75" s="17" t="n">
        <v>57</v>
      </c>
      <c r="H75" s="133" t="n">
        <v>30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5</v>
      </c>
      <c r="R75" s="121" t="n">
        <v>2</v>
      </c>
      <c r="S75" s="121" t="inlineStr">
        <is>
          <t>계</t>
        </is>
      </c>
      <c r="T75" s="5" t="n">
        <v>225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나운동 롯데1차</t>
        </is>
      </c>
      <c r="B76" s="76" t="inlineStr">
        <is>
          <t>91.03.</t>
        </is>
      </c>
      <c r="C76" s="130" t="n">
        <v>420</v>
      </c>
      <c r="D76" s="131" t="n">
        <v>91.90000000000001</v>
      </c>
      <c r="E76" s="132" t="n">
        <v>28</v>
      </c>
      <c r="F76" s="131" t="n">
        <v>74</v>
      </c>
      <c r="G76" s="17" t="n">
        <v>22</v>
      </c>
      <c r="H76" s="133" t="n">
        <v>104</v>
      </c>
      <c r="I76" s="134" t="n">
        <v>13000</v>
      </c>
      <c r="J76" s="134" t="inlineStr">
        <is>
          <t>8</t>
        </is>
      </c>
      <c r="K76" s="134" t="n">
        <v>12500</v>
      </c>
      <c r="L76" s="134" t="inlineStr">
        <is>
          <t>13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91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나운동 롯데1차</t>
        </is>
      </c>
      <c r="B77" s="76" t="inlineStr">
        <is>
          <t>91.03.</t>
        </is>
      </c>
      <c r="C77" s="130" t="n">
        <v>420</v>
      </c>
      <c r="D77" s="131" t="n">
        <v>105.9</v>
      </c>
      <c r="E77" s="132" t="n">
        <v>32</v>
      </c>
      <c r="F77" s="131" t="n">
        <v>84.8</v>
      </c>
      <c r="G77" s="17" t="n">
        <v>26</v>
      </c>
      <c r="H77" s="133" t="n">
        <v>182</v>
      </c>
      <c r="I77" s="134" t="n">
        <v>15000</v>
      </c>
      <c r="J77" s="134" t="inlineStr">
        <is>
          <t>8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나운동 롯데1차</t>
        </is>
      </c>
      <c r="B78" s="76" t="inlineStr">
        <is>
          <t>91.03.</t>
        </is>
      </c>
      <c r="C78" s="130" t="n">
        <v>420</v>
      </c>
      <c r="D78" s="131" t="n">
        <v>155.4</v>
      </c>
      <c r="E78" s="132" t="n">
        <v>47</v>
      </c>
      <c r="F78" s="131" t="n">
        <v>131.8</v>
      </c>
      <c r="G78" s="17" t="n">
        <v>40</v>
      </c>
      <c r="H78" s="133" t="n">
        <v>78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155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나운동 롯데1차</t>
        </is>
      </c>
      <c r="B79" s="76" t="inlineStr">
        <is>
          <t>91.03.</t>
        </is>
      </c>
      <c r="C79" s="130" t="n">
        <v>420</v>
      </c>
      <c r="D79" s="131" t="n">
        <v>191.8</v>
      </c>
      <c r="E79" s="132" t="n">
        <v>58</v>
      </c>
      <c r="F79" s="131" t="n">
        <v>162.9</v>
      </c>
      <c r="G79" s="17" t="n">
        <v>49</v>
      </c>
      <c r="H79" s="133" t="n">
        <v>56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2</v>
      </c>
      <c r="S79" s="121" t="inlineStr">
        <is>
          <t>계</t>
        </is>
      </c>
      <c r="T79" s="5" t="n">
        <v>191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나운동 한울</t>
        </is>
      </c>
      <c r="B80" s="76" t="inlineStr">
        <is>
          <t>96.07.</t>
        </is>
      </c>
      <c r="C80" s="130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11000</v>
      </c>
      <c r="J80" s="134" t="inlineStr">
        <is>
          <t>7</t>
        </is>
      </c>
      <c r="K80" s="134" t="n">
        <v>9500</v>
      </c>
      <c r="L80" s="134" t="inlineStr">
        <is>
          <t>15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나운동 한울</t>
        </is>
      </c>
      <c r="B81" s="76" t="inlineStr">
        <is>
          <t>96.07.</t>
        </is>
      </c>
      <c r="C81" s="130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나운동 현대3차</t>
        </is>
      </c>
      <c r="B82" s="76" t="inlineStr">
        <is>
          <t>95.06.</t>
        </is>
      </c>
      <c r="C82" s="130" t="n">
        <v>479</v>
      </c>
      <c r="D82" s="131" t="n">
        <v>70</v>
      </c>
      <c r="E82" s="132" t="n">
        <v>21</v>
      </c>
      <c r="F82" s="131" t="n">
        <v>56.4</v>
      </c>
      <c r="G82" s="17" t="n">
        <v>17</v>
      </c>
      <c r="H82" s="133" t="n">
        <v>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69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나운동 현대3차</t>
        </is>
      </c>
      <c r="B83" s="76" t="inlineStr">
        <is>
          <t>95.06.</t>
        </is>
      </c>
      <c r="C83" s="130" t="n">
        <v>479</v>
      </c>
      <c r="D83" s="131" t="n">
        <v>74.3</v>
      </c>
      <c r="E83" s="132" t="n">
        <v>22</v>
      </c>
      <c r="F83" s="131" t="n">
        <v>60</v>
      </c>
      <c r="G83" s="17" t="n">
        <v>18</v>
      </c>
      <c r="H83" s="133" t="n">
        <v>180</v>
      </c>
      <c r="I83" s="134" t="n">
        <v>10800</v>
      </c>
      <c r="J83" s="134" t="inlineStr">
        <is>
          <t>7</t>
        </is>
      </c>
      <c r="K83" s="134" t="n">
        <v>9000</v>
      </c>
      <c r="L83" s="134" t="inlineStr">
        <is>
          <t>12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74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나운동 현대3차</t>
        </is>
      </c>
      <c r="B84" s="76" t="inlineStr">
        <is>
          <t>95.06.</t>
        </is>
      </c>
      <c r="C84" s="130" t="n">
        <v>479</v>
      </c>
      <c r="D84" s="131" t="n">
        <v>105.3</v>
      </c>
      <c r="E84" s="132" t="n">
        <v>32</v>
      </c>
      <c r="F84" s="131" t="n">
        <v>85</v>
      </c>
      <c r="G84" s="17" t="n">
        <v>26</v>
      </c>
      <c r="H84" s="133" t="n">
        <v>199</v>
      </c>
      <c r="I84" s="134" t="n">
        <v>15000</v>
      </c>
      <c r="J84" s="134" t="inlineStr">
        <is>
          <t>10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나운동 현대3차</t>
        </is>
      </c>
      <c r="B85" s="76" t="inlineStr">
        <is>
          <t>95.06.</t>
        </is>
      </c>
      <c r="C85" s="130" t="n">
        <v>479</v>
      </c>
      <c r="D85" s="131" t="n">
        <v>167.1</v>
      </c>
      <c r="E85" s="132" t="n">
        <v>51</v>
      </c>
      <c r="F85" s="131" t="n">
        <v>134.8</v>
      </c>
      <c r="G85" s="17" t="n">
        <v>41</v>
      </c>
      <c r="H85" s="133" t="n">
        <v>80</v>
      </c>
      <c r="I85" s="134" t="n">
        <v>20000</v>
      </c>
      <c r="J85" s="134" t="inlineStr">
        <is>
          <t>고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167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나운동 현대백조</t>
        </is>
      </c>
      <c r="B86" s="76" t="inlineStr">
        <is>
          <t>92.11.</t>
        </is>
      </c>
      <c r="C86" s="130" t="n">
        <v>498</v>
      </c>
      <c r="D86" s="131" t="n">
        <v>84.40000000000001</v>
      </c>
      <c r="E86" s="132" t="n">
        <v>26</v>
      </c>
      <c r="F86" s="131" t="n">
        <v>73.2</v>
      </c>
      <c r="G86" s="17" t="n">
        <v>22</v>
      </c>
      <c r="H86" s="133" t="n">
        <v>84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84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나운동 현대백조</t>
        </is>
      </c>
      <c r="B87" s="76" t="inlineStr">
        <is>
          <t>92.11.</t>
        </is>
      </c>
      <c r="C87" s="130" t="n">
        <v>498</v>
      </c>
      <c r="D87" s="131" t="n">
        <v>95.8</v>
      </c>
      <c r="E87" s="132" t="n">
        <v>29</v>
      </c>
      <c r="F87" s="131" t="n">
        <v>84.59999999999999</v>
      </c>
      <c r="G87" s="17" t="n">
        <v>26</v>
      </c>
      <c r="H87" s="133" t="n">
        <v>384</v>
      </c>
      <c r="I87" s="134" t="n">
        <v>9000</v>
      </c>
      <c r="J87" s="134" t="inlineStr">
        <is>
          <t>5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95B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나운동 현대백조</t>
        </is>
      </c>
      <c r="B88" s="76" t="inlineStr">
        <is>
          <t>92.11.</t>
        </is>
      </c>
      <c r="C88" s="130" t="n">
        <v>498</v>
      </c>
      <c r="D88" s="131" t="n">
        <v>95.7</v>
      </c>
      <c r="E88" s="132" t="n">
        <v>29</v>
      </c>
      <c r="F88" s="131" t="n">
        <v>84.5</v>
      </c>
      <c r="G88" s="17" t="n">
        <v>26</v>
      </c>
      <c r="H88" s="133" t="n">
        <v>30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95A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나운동 동신진주</t>
        </is>
      </c>
      <c r="B89" s="76" t="inlineStr">
        <is>
          <t>93.12.</t>
        </is>
      </c>
      <c r="C89" s="130" t="n">
        <v>246</v>
      </c>
      <c r="D89" s="131" t="n">
        <v>74.40000000000001</v>
      </c>
      <c r="E89" s="132" t="n">
        <v>23</v>
      </c>
      <c r="F89" s="131" t="n">
        <v>59.1</v>
      </c>
      <c r="G89" s="17" t="n">
        <v>18</v>
      </c>
      <c r="H89" s="133" t="n">
        <v>168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나운동 동신진주</t>
        </is>
      </c>
      <c r="B90" s="76" t="inlineStr">
        <is>
          <t>93.12.</t>
        </is>
      </c>
      <c r="C90" s="130" t="n">
        <v>246</v>
      </c>
      <c r="D90" s="131" t="n">
        <v>81.59999999999999</v>
      </c>
      <c r="E90" s="132" t="n">
        <v>25</v>
      </c>
      <c r="F90" s="131" t="n">
        <v>59.6</v>
      </c>
      <c r="G90" s="17" t="n">
        <v>18</v>
      </c>
      <c r="H90" s="133" t="n">
        <v>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inlineStr">
        <is>
          <t>81A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나운동 동신진주</t>
        </is>
      </c>
      <c r="B91" s="76" t="inlineStr">
        <is>
          <t>93.12.</t>
        </is>
      </c>
      <c r="C91" s="130" t="n">
        <v>246</v>
      </c>
      <c r="D91" s="131" t="n">
        <v>82.2</v>
      </c>
      <c r="E91" s="132" t="n">
        <v>25</v>
      </c>
      <c r="F91" s="131" t="n">
        <v>60</v>
      </c>
      <c r="G91" s="17" t="n">
        <v>18</v>
      </c>
      <c r="H91" s="133" t="n">
        <v>10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82B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나운동 동신진주</t>
        </is>
      </c>
      <c r="B92" s="76" t="inlineStr">
        <is>
          <t>93.12.</t>
        </is>
      </c>
      <c r="C92" s="130" t="n">
        <v>246</v>
      </c>
      <c r="D92" s="131" t="n">
        <v>103.7</v>
      </c>
      <c r="E92" s="132" t="n">
        <v>31</v>
      </c>
      <c r="F92" s="131" t="n">
        <v>84.7</v>
      </c>
      <c r="G92" s="17" t="n">
        <v>26</v>
      </c>
      <c r="H92" s="133" t="n">
        <v>48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103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나운동 수송금호어울림</t>
        </is>
      </c>
      <c r="B93" s="76" t="inlineStr">
        <is>
          <t>08.08.</t>
        </is>
      </c>
      <c r="C93" s="130" t="n">
        <v>773</v>
      </c>
      <c r="D93" s="131" t="n">
        <v>110.6</v>
      </c>
      <c r="E93" s="132" t="n">
        <v>33</v>
      </c>
      <c r="F93" s="131" t="n">
        <v>84.90000000000001</v>
      </c>
      <c r="G93" s="17" t="n">
        <v>26</v>
      </c>
      <c r="H93" s="133" t="n">
        <v>336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110A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나운동 수송금호어울림</t>
        </is>
      </c>
      <c r="B94" s="76" t="inlineStr">
        <is>
          <t>08.08.</t>
        </is>
      </c>
      <c r="C94" s="130" t="n">
        <v>773</v>
      </c>
      <c r="D94" s="131" t="n">
        <v>111.2</v>
      </c>
      <c r="E94" s="132" t="n">
        <v>34</v>
      </c>
      <c r="F94" s="131" t="n">
        <v>85</v>
      </c>
      <c r="G94" s="17" t="n">
        <v>26</v>
      </c>
      <c r="H94" s="133" t="n">
        <v>324</v>
      </c>
      <c r="I94" s="134" t="n">
        <v>26000</v>
      </c>
      <c r="J94" s="134" t="inlineStr">
        <is>
          <t>18</t>
        </is>
      </c>
      <c r="K94" s="134" t="n">
        <v>22500</v>
      </c>
      <c r="L94" s="134" t="inlineStr">
        <is>
          <t>18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나운동 수송금호어울림</t>
        </is>
      </c>
      <c r="B95" s="76" t="inlineStr">
        <is>
          <t>08.08.</t>
        </is>
      </c>
      <c r="C95" s="130" t="n">
        <v>773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37</v>
      </c>
      <c r="I95" s="134" t="n">
        <v>27000</v>
      </c>
      <c r="J95" s="134" t="inlineStr">
        <is>
          <t>13</t>
        </is>
      </c>
      <c r="K95" s="134" t="n">
        <v>27000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111C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나운동 수송금호어울림</t>
        </is>
      </c>
      <c r="B96" s="76" t="inlineStr">
        <is>
          <t>08.08.</t>
        </is>
      </c>
      <c r="C96" s="130" t="n">
        <v>773</v>
      </c>
      <c r="D96" s="131" t="n">
        <v>112.4</v>
      </c>
      <c r="E96" s="132" t="n">
        <v>34</v>
      </c>
      <c r="F96" s="131" t="n">
        <v>85</v>
      </c>
      <c r="G96" s="17" t="n">
        <v>26</v>
      </c>
      <c r="H96" s="133" t="n">
        <v>76</v>
      </c>
      <c r="I96" s="134" t="n">
        <v>30000</v>
      </c>
      <c r="J96" s="134" t="inlineStr">
        <is>
          <t>15</t>
        </is>
      </c>
      <c r="K96" s="134" t="n">
        <v>23000</v>
      </c>
      <c r="L96" s="134" t="inlineStr">
        <is>
          <t>8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112D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나운동 영창</t>
        </is>
      </c>
      <c r="B97" s="76" t="inlineStr">
        <is>
          <t>95.06.</t>
        </is>
      </c>
      <c r="C97" s="130" t="n">
        <v>765</v>
      </c>
      <c r="D97" s="131" t="n">
        <v>56.5</v>
      </c>
      <c r="E97" s="132" t="n">
        <v>17</v>
      </c>
      <c r="F97" s="131" t="n">
        <v>39.3</v>
      </c>
      <c r="G97" s="17" t="n">
        <v>12</v>
      </c>
      <c r="H97" s="133" t="n">
        <v>60</v>
      </c>
      <c r="I97" s="134" t="n">
        <v>6000</v>
      </c>
      <c r="J97" s="134" t="inlineStr">
        <is>
          <t>6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나운동 영창</t>
        </is>
      </c>
      <c r="B98" s="76" t="inlineStr">
        <is>
          <t>95.06.</t>
        </is>
      </c>
      <c r="C98" s="130" t="n">
        <v>765</v>
      </c>
      <c r="D98" s="131" t="n">
        <v>71.5</v>
      </c>
      <c r="E98" s="132" t="n">
        <v>22</v>
      </c>
      <c r="F98" s="131" t="n">
        <v>49.8</v>
      </c>
      <c r="G98" s="17" t="n">
        <v>15</v>
      </c>
      <c r="H98" s="133" t="n">
        <v>120</v>
      </c>
      <c r="I98" s="134" t="n">
        <v>7200</v>
      </c>
      <c r="J98" s="134" t="inlineStr">
        <is>
          <t>12</t>
        </is>
      </c>
      <c r="K98" s="134" t="n">
        <v>7000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71</v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나운동 영창</t>
        </is>
      </c>
      <c r="B99" s="76" t="inlineStr">
        <is>
          <t>95.06.</t>
        </is>
      </c>
      <c r="C99" s="130" t="n">
        <v>765</v>
      </c>
      <c r="D99" s="131" t="n">
        <v>74.7</v>
      </c>
      <c r="E99" s="132" t="n">
        <v>23</v>
      </c>
      <c r="F99" s="131" t="n">
        <v>59.9</v>
      </c>
      <c r="G99" s="17" t="n">
        <v>18</v>
      </c>
      <c r="H99" s="133" t="n">
        <v>300</v>
      </c>
      <c r="I99" s="134" t="n">
        <v>12000</v>
      </c>
      <c r="J99" s="134" t="inlineStr">
        <is>
          <t>15</t>
        </is>
      </c>
      <c r="K99" s="134" t="n">
        <v>9500</v>
      </c>
      <c r="L99" s="134" t="inlineStr">
        <is>
          <t>15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82.2</v>
      </c>
      <c r="E100" s="132" t="n">
        <v>25</v>
      </c>
      <c r="F100" s="131" t="n">
        <v>59.8</v>
      </c>
      <c r="G100" s="17" t="n">
        <v>18</v>
      </c>
      <c r="H100" s="133" t="n">
        <v>285</v>
      </c>
      <c r="I100" s="134" t="n">
        <v>10300</v>
      </c>
      <c r="J100" s="134" t="inlineStr">
        <is>
          <t>7</t>
        </is>
      </c>
      <c r="K100" s="134" t="n">
        <v>9000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복</t>
        </is>
      </c>
      <c r="T100" s="5" t="n">
        <v>82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나운동 비사벌</t>
        </is>
      </c>
      <c r="B101" s="76" t="inlineStr">
        <is>
          <t>97.02.</t>
        </is>
      </c>
      <c r="C101" s="130" t="n">
        <v>268</v>
      </c>
      <c r="D101" s="131" t="n">
        <v>78.2</v>
      </c>
      <c r="E101" s="132" t="n">
        <v>24</v>
      </c>
      <c r="F101" s="131" t="n">
        <v>59.9</v>
      </c>
      <c r="G101" s="17" t="n">
        <v>18</v>
      </c>
      <c r="H101" s="133" t="n">
        <v>268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n">
        <v>78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나운동 나운유원</t>
        </is>
      </c>
      <c r="B102" s="76" t="inlineStr">
        <is>
          <t>90.11.</t>
        </is>
      </c>
      <c r="C102" s="130" t="n">
        <v>458</v>
      </c>
      <c r="D102" s="131" t="n">
        <v>81.3</v>
      </c>
      <c r="E102" s="132" t="n">
        <v>25</v>
      </c>
      <c r="F102" s="131" t="n">
        <v>65.09999999999999</v>
      </c>
      <c r="G102" s="17" t="n">
        <v>20</v>
      </c>
      <c r="H102" s="133" t="n">
        <v>144</v>
      </c>
      <c r="I102" s="134" t="n">
        <v>8000</v>
      </c>
      <c r="J102" s="134" t="inlineStr">
        <is>
          <t>12</t>
        </is>
      </c>
      <c r="K102" s="134" t="n">
        <v>7000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81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나운동 나운유원</t>
        </is>
      </c>
      <c r="B103" s="76" t="inlineStr">
        <is>
          <t>90.11.</t>
        </is>
      </c>
      <c r="C103" s="130" t="n">
        <v>458</v>
      </c>
      <c r="D103" s="131" t="n">
        <v>96.8</v>
      </c>
      <c r="E103" s="132" t="n">
        <v>29</v>
      </c>
      <c r="F103" s="131" t="n">
        <v>78.09999999999999</v>
      </c>
      <c r="G103" s="17" t="n">
        <v>24</v>
      </c>
      <c r="H103" s="133" t="n">
        <v>69</v>
      </c>
      <c r="I103" s="134" t="n">
        <v>9500</v>
      </c>
      <c r="J103" s="134" t="inlineStr">
        <is>
          <t>8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96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나운동 나운유원</t>
        </is>
      </c>
      <c r="B104" s="76" t="inlineStr">
        <is>
          <t>90.11.</t>
        </is>
      </c>
      <c r="C104" s="130" t="n">
        <v>458</v>
      </c>
      <c r="D104" s="131" t="n">
        <v>104.1</v>
      </c>
      <c r="E104" s="132" t="n">
        <v>31</v>
      </c>
      <c r="F104" s="131" t="n">
        <v>85</v>
      </c>
      <c r="G104" s="17" t="n">
        <v>26</v>
      </c>
      <c r="H104" s="133" t="n">
        <v>245</v>
      </c>
      <c r="I104" s="134" t="n">
        <v>9500</v>
      </c>
      <c r="J104" s="134" t="inlineStr">
        <is>
          <t>중</t>
        </is>
      </c>
      <c r="K104" s="134" t="n">
        <v>11500</v>
      </c>
      <c r="L104" s="134" t="inlineStr">
        <is>
          <t>14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104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나운동 주공5단지</t>
        </is>
      </c>
      <c r="B105" s="76" t="inlineStr">
        <is>
          <t>95.07.</t>
        </is>
      </c>
      <c r="C105" s="130" t="n">
        <v>1541</v>
      </c>
      <c r="D105" s="131" t="n">
        <v>54.8</v>
      </c>
      <c r="E105" s="132" t="n">
        <v>17</v>
      </c>
      <c r="F105" s="131" t="n">
        <v>37.7</v>
      </c>
      <c r="G105" s="17" t="n">
        <v>11</v>
      </c>
      <c r="H105" s="133" t="n">
        <v>149</v>
      </c>
      <c r="I105" s="134" t="n">
        <v>6500</v>
      </c>
      <c r="J105" s="134" t="inlineStr">
        <is>
          <t>6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n">
        <v>54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나운동 주공5단지</t>
        </is>
      </c>
      <c r="B106" s="76" t="inlineStr">
        <is>
          <t>95.07.</t>
        </is>
      </c>
      <c r="C106" s="130" t="n">
        <v>1541</v>
      </c>
      <c r="D106" s="131" t="n">
        <v>69.8</v>
      </c>
      <c r="E106" s="132" t="n">
        <v>21</v>
      </c>
      <c r="F106" s="131" t="n">
        <v>49.7</v>
      </c>
      <c r="G106" s="17" t="n">
        <v>15</v>
      </c>
      <c r="H106" s="133" t="n">
        <v>149</v>
      </c>
      <c r="I106" s="134" t="n">
        <v>8500</v>
      </c>
      <c r="J106" s="134" t="inlineStr">
        <is>
          <t>고</t>
        </is>
      </c>
      <c r="K106" s="134" t="n">
        <v>7000</v>
      </c>
      <c r="L106" s="134" t="inlineStr">
        <is>
          <t>11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n">
        <v>69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나운동 주공5단지</t>
        </is>
      </c>
      <c r="B107" s="76" t="inlineStr">
        <is>
          <t>95.07.</t>
        </is>
      </c>
      <c r="C107" s="130" t="n">
        <v>1541</v>
      </c>
      <c r="D107" s="131" t="n">
        <v>79.2</v>
      </c>
      <c r="E107" s="132" t="n">
        <v>24</v>
      </c>
      <c r="F107" s="131" t="n">
        <v>58.1</v>
      </c>
      <c r="G107" s="17" t="n">
        <v>18</v>
      </c>
      <c r="H107" s="133" t="n">
        <v>1243</v>
      </c>
      <c r="I107" s="134" t="n">
        <v>8700</v>
      </c>
      <c r="J107" s="134" t="inlineStr">
        <is>
          <t>15</t>
        </is>
      </c>
      <c r="K107" s="134" t="n">
        <v>7500</v>
      </c>
      <c r="L107" s="134" t="inlineStr">
        <is>
          <t>15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복</t>
        </is>
      </c>
      <c r="T107" s="5" t="n">
        <v>79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나운동 현대4차</t>
        </is>
      </c>
      <c r="B108" s="76" t="inlineStr">
        <is>
          <t>98.09.</t>
        </is>
      </c>
      <c r="C108" s="130" t="n">
        <v>636</v>
      </c>
      <c r="D108" s="131" t="n">
        <v>74.8</v>
      </c>
      <c r="E108" s="132" t="n">
        <v>23</v>
      </c>
      <c r="F108" s="131" t="n">
        <v>60</v>
      </c>
      <c r="G108" s="17" t="n">
        <v>18</v>
      </c>
      <c r="H108" s="133" t="n">
        <v>64</v>
      </c>
      <c r="I108" s="134" t="n">
        <v>13500</v>
      </c>
      <c r="J108" s="134" t="inlineStr">
        <is>
          <t>13</t>
        </is>
      </c>
      <c r="K108" s="134" t="n">
        <v>12000</v>
      </c>
      <c r="L108" s="134" t="inlineStr">
        <is>
          <t>5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74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나운동 현대4차</t>
        </is>
      </c>
      <c r="B109" s="76" t="inlineStr">
        <is>
          <t>98.09.</t>
        </is>
      </c>
      <c r="C109" s="130" t="n">
        <v>636</v>
      </c>
      <c r="D109" s="131" t="n">
        <v>93.7</v>
      </c>
      <c r="E109" s="132" t="n">
        <v>28</v>
      </c>
      <c r="F109" s="131" t="n">
        <v>75.2</v>
      </c>
      <c r="G109" s="17" t="n">
        <v>23</v>
      </c>
      <c r="H109" s="133" t="n">
        <v>68</v>
      </c>
      <c r="I109" s="134" t="n">
        <v>18700</v>
      </c>
      <c r="J109" s="134" t="inlineStr">
        <is>
          <t>15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93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나운동 현대4차</t>
        </is>
      </c>
      <c r="B110" s="76" t="inlineStr">
        <is>
          <t>98.09.</t>
        </is>
      </c>
      <c r="C110" s="130" t="n">
        <v>636</v>
      </c>
      <c r="D110" s="131" t="n">
        <v>105.9</v>
      </c>
      <c r="E110" s="132" t="n">
        <v>32</v>
      </c>
      <c r="F110" s="131" t="n">
        <v>85</v>
      </c>
      <c r="G110" s="17" t="n">
        <v>26</v>
      </c>
      <c r="H110" s="133" t="n">
        <v>386</v>
      </c>
      <c r="I110" s="134" t="n">
        <v>19300</v>
      </c>
      <c r="J110" s="134" t="inlineStr">
        <is>
          <t>10</t>
        </is>
      </c>
      <c r="K110" s="134" t="n">
        <v>19000</v>
      </c>
      <c r="L110" s="134" t="inlineStr">
        <is>
          <t>8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105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나운동 현대4차</t>
        </is>
      </c>
      <c r="B111" s="76" t="inlineStr">
        <is>
          <t>98.09.</t>
        </is>
      </c>
      <c r="C111" s="130" t="n">
        <v>636</v>
      </c>
      <c r="D111" s="131" t="n">
        <v>124.6</v>
      </c>
      <c r="E111" s="132" t="n">
        <v>38</v>
      </c>
      <c r="F111" s="131" t="n">
        <v>99.90000000000001</v>
      </c>
      <c r="G111" s="17" t="n">
        <v>30</v>
      </c>
      <c r="H111" s="133" t="n">
        <v>78</v>
      </c>
      <c r="I111" s="134" t="n">
        <v>23000</v>
      </c>
      <c r="J111" s="134" t="inlineStr">
        <is>
          <t>5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124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나운동 현대4차</t>
        </is>
      </c>
      <c r="B112" s="76" t="inlineStr">
        <is>
          <t>98.09.</t>
        </is>
      </c>
      <c r="C112" s="130" t="n">
        <v>636</v>
      </c>
      <c r="D112" s="131" t="n">
        <v>147.3</v>
      </c>
      <c r="E112" s="132" t="n">
        <v>45</v>
      </c>
      <c r="F112" s="131" t="n">
        <v>118.2</v>
      </c>
      <c r="G112" s="17" t="n">
        <v>36</v>
      </c>
      <c r="H112" s="133" t="n">
        <v>40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147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나운동 삼성(401)</t>
        </is>
      </c>
      <c r="B113" s="76" t="inlineStr">
        <is>
          <t>98.05.</t>
        </is>
      </c>
      <c r="C113" s="130" t="n">
        <v>670</v>
      </c>
      <c r="D113" s="131" t="n">
        <v>95.5</v>
      </c>
      <c r="E113" s="132" t="n">
        <v>29</v>
      </c>
      <c r="F113" s="131" t="n">
        <v>73.90000000000001</v>
      </c>
      <c r="G113" s="17" t="n">
        <v>22</v>
      </c>
      <c r="H113" s="133" t="n">
        <v>128</v>
      </c>
      <c r="I113" s="134" t="n">
        <v>16200</v>
      </c>
      <c r="J113" s="134" t="inlineStr">
        <is>
          <t>5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95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나운동 삼성(401)</t>
        </is>
      </c>
      <c r="B114" s="76" t="inlineStr">
        <is>
          <t>98.05.</t>
        </is>
      </c>
      <c r="C114" s="130" t="n">
        <v>670</v>
      </c>
      <c r="D114" s="131" t="n">
        <v>107.4</v>
      </c>
      <c r="E114" s="132" t="n">
        <v>32</v>
      </c>
      <c r="F114" s="131" t="n">
        <v>85</v>
      </c>
      <c r="G114" s="17" t="n">
        <v>26</v>
      </c>
      <c r="H114" s="133" t="n">
        <v>422</v>
      </c>
      <c r="I114" s="134" t="n">
        <v>17200</v>
      </c>
      <c r="J114" s="134" t="inlineStr">
        <is>
          <t>11</t>
        </is>
      </c>
      <c r="K114" s="134" t="n">
        <v>17000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107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나운동 삼성(401)</t>
        </is>
      </c>
      <c r="B115" s="76" t="inlineStr">
        <is>
          <t>98.05.</t>
        </is>
      </c>
      <c r="C115" s="130" t="n">
        <v>670</v>
      </c>
      <c r="D115" s="131" t="n">
        <v>139.7</v>
      </c>
      <c r="E115" s="132" t="n">
        <v>42</v>
      </c>
      <c r="F115" s="131" t="n">
        <v>115</v>
      </c>
      <c r="G115" s="17" t="n">
        <v>35</v>
      </c>
      <c r="H115" s="133" t="n">
        <v>40</v>
      </c>
      <c r="I115" s="134" t="n">
        <v>25300</v>
      </c>
      <c r="J115" s="134" t="inlineStr">
        <is>
          <t>13</t>
        </is>
      </c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139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나운동 삼성(401)</t>
        </is>
      </c>
      <c r="B116" s="76" t="inlineStr">
        <is>
          <t>98.05.</t>
        </is>
      </c>
      <c r="C116" s="130" t="n">
        <v>670</v>
      </c>
      <c r="D116" s="131" t="n">
        <v>161.2</v>
      </c>
      <c r="E116" s="132" t="n">
        <v>49</v>
      </c>
      <c r="F116" s="131" t="n">
        <v>135</v>
      </c>
      <c r="G116" s="17" t="n">
        <v>41</v>
      </c>
      <c r="H116" s="133" t="n">
        <v>80</v>
      </c>
      <c r="I116" s="134" t="n">
        <v>24000</v>
      </c>
      <c r="J116" s="134" t="inlineStr">
        <is>
          <t>9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나운동 롯데3차</t>
        </is>
      </c>
      <c r="B117" s="76" t="inlineStr">
        <is>
          <t>94.06.</t>
        </is>
      </c>
      <c r="C117" s="130" t="n">
        <v>572</v>
      </c>
      <c r="D117" s="131" t="n">
        <v>90.59999999999999</v>
      </c>
      <c r="E117" s="132" t="n">
        <v>27</v>
      </c>
      <c r="F117" s="131" t="n">
        <v>74</v>
      </c>
      <c r="G117" s="17" t="n">
        <v>22</v>
      </c>
      <c r="H117" s="133" t="n">
        <v>234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90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나운동 롯데3차</t>
        </is>
      </c>
      <c r="B118" s="76" t="inlineStr">
        <is>
          <t>94.06.</t>
        </is>
      </c>
      <c r="C118" s="130" t="n">
        <v>572</v>
      </c>
      <c r="D118" s="131" t="n">
        <v>104.5</v>
      </c>
      <c r="E118" s="132" t="n">
        <v>32</v>
      </c>
      <c r="F118" s="131" t="n">
        <v>84.8</v>
      </c>
      <c r="G118" s="17" t="n">
        <v>26</v>
      </c>
      <c r="H118" s="133" t="n">
        <v>286</v>
      </c>
      <c r="I118" s="134" t="n">
        <v>17000</v>
      </c>
      <c r="J118" s="134" t="inlineStr">
        <is>
          <t>12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104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나운동 롯데3차</t>
        </is>
      </c>
      <c r="B119" s="76" t="inlineStr">
        <is>
          <t>94.06.</t>
        </is>
      </c>
      <c r="C119" s="130" t="n">
        <v>572</v>
      </c>
      <c r="D119" s="131" t="n">
        <v>153.4</v>
      </c>
      <c r="E119" s="132" t="n">
        <v>46</v>
      </c>
      <c r="F119" s="131" t="n">
        <v>131.8</v>
      </c>
      <c r="G119" s="17" t="n">
        <v>40</v>
      </c>
      <c r="H119" s="133" t="n">
        <v>52</v>
      </c>
      <c r="I119" s="134" t="n">
        <v>24000</v>
      </c>
      <c r="J119" s="134" t="inlineStr">
        <is>
          <t>8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153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나운동 우진</t>
        </is>
      </c>
      <c r="B120" s="76" t="inlineStr">
        <is>
          <t>79.01.</t>
        </is>
      </c>
      <c r="C120" s="130" t="n">
        <v>390</v>
      </c>
      <c r="D120" s="131" t="n">
        <v>60.5</v>
      </c>
      <c r="E120" s="132" t="n">
        <v>18</v>
      </c>
      <c r="F120" s="131" t="n">
        <v>55.5</v>
      </c>
      <c r="G120" s="17" t="n">
        <v>17</v>
      </c>
      <c r="H120" s="133" t="n">
        <v>100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n">
        <v>60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나운동 우진</t>
        </is>
      </c>
      <c r="B121" s="76" t="inlineStr">
        <is>
          <t>79.01.</t>
        </is>
      </c>
      <c r="C121" s="130" t="n">
        <v>390</v>
      </c>
      <c r="D121" s="131" t="n">
        <v>61.2</v>
      </c>
      <c r="E121" s="132" t="n">
        <v>19</v>
      </c>
      <c r="F121" s="131" t="n">
        <v>55.4</v>
      </c>
      <c r="G121" s="17" t="n">
        <v>17</v>
      </c>
      <c r="H121" s="133" t="n">
        <v>170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n">
        <v>61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나운동 우진</t>
        </is>
      </c>
      <c r="B122" s="76" t="inlineStr">
        <is>
          <t>79.01.</t>
        </is>
      </c>
      <c r="C122" s="130" t="n">
        <v>390</v>
      </c>
      <c r="D122" s="131" t="n">
        <v>72.7</v>
      </c>
      <c r="E122" s="132" t="n">
        <v>22</v>
      </c>
      <c r="F122" s="131" t="n">
        <v>65.8</v>
      </c>
      <c r="G122" s="17" t="n">
        <v>20</v>
      </c>
      <c r="H122" s="133" t="n">
        <v>120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72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대명동 현대메트로타워2차</t>
        </is>
      </c>
      <c r="B123" s="76" t="inlineStr">
        <is>
          <t>16.04.</t>
        </is>
      </c>
      <c r="C123" s="130" t="n">
        <v>942</v>
      </c>
      <c r="D123" s="131" t="n">
        <v>115.3</v>
      </c>
      <c r="E123" s="132" t="n">
        <v>35</v>
      </c>
      <c r="F123" s="131" t="n">
        <v>84.90000000000001</v>
      </c>
      <c r="G123" s="17" t="n">
        <v>26</v>
      </c>
      <c r="H123" s="133" t="n">
        <v>318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115C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대명동 현대메트로타워2차</t>
        </is>
      </c>
      <c r="B124" s="76" t="inlineStr">
        <is>
          <t>16.04.</t>
        </is>
      </c>
      <c r="C124" s="130" t="n">
        <v>942</v>
      </c>
      <c r="D124" s="131" t="n">
        <v>115.5</v>
      </c>
      <c r="E124" s="132" t="n">
        <v>35</v>
      </c>
      <c r="F124" s="131" t="n">
        <v>85</v>
      </c>
      <c r="G124" s="17" t="n">
        <v>26</v>
      </c>
      <c r="H124" s="133" t="n">
        <v>316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115B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대명동 현대메트로타워2차</t>
        </is>
      </c>
      <c r="B125" s="76" t="inlineStr">
        <is>
          <t>16.04.</t>
        </is>
      </c>
      <c r="C125" s="130" t="n">
        <v>942</v>
      </c>
      <c r="D125" s="131" t="n">
        <v>115.3</v>
      </c>
      <c r="E125" s="132" t="n">
        <v>35</v>
      </c>
      <c r="F125" s="131" t="n">
        <v>85</v>
      </c>
      <c r="G125" s="17" t="n">
        <v>26</v>
      </c>
      <c r="H125" s="133" t="n">
        <v>308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115A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대명동 현대메트로타워</t>
        </is>
      </c>
      <c r="B126" s="76" t="inlineStr">
        <is>
          <t>11.10.</t>
        </is>
      </c>
      <c r="C126" s="130" t="n">
        <v>614</v>
      </c>
      <c r="D126" s="131" t="n">
        <v>108.7</v>
      </c>
      <c r="E126" s="132" t="n">
        <v>33</v>
      </c>
      <c r="F126" s="131" t="n">
        <v>76.3</v>
      </c>
      <c r="G126" s="17" t="n">
        <v>23</v>
      </c>
      <c r="H126" s="133" t="n">
        <v>248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108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대명동 현대메트로타워</t>
        </is>
      </c>
      <c r="B127" s="76" t="inlineStr">
        <is>
          <t>11.10.</t>
        </is>
      </c>
      <c r="C127" s="130" t="n">
        <v>614</v>
      </c>
      <c r="D127" s="131" t="n">
        <v>120.5</v>
      </c>
      <c r="E127" s="132" t="n">
        <v>36</v>
      </c>
      <c r="F127" s="131" t="n">
        <v>84.90000000000001</v>
      </c>
      <c r="G127" s="17" t="n">
        <v>26</v>
      </c>
      <c r="H127" s="133" t="n">
        <v>244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120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대명동 현대메트로타워</t>
        </is>
      </c>
      <c r="B128" s="76" t="inlineStr">
        <is>
          <t>11.10.</t>
        </is>
      </c>
      <c r="C128" s="130" t="n">
        <v>614</v>
      </c>
      <c r="D128" s="131" t="n">
        <v>120.7</v>
      </c>
      <c r="E128" s="132" t="n">
        <v>37</v>
      </c>
      <c r="F128" s="131" t="n">
        <v>84.90000000000001</v>
      </c>
      <c r="G128" s="17" t="n">
        <v>26</v>
      </c>
      <c r="H128" s="133" t="n">
        <v>122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120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동흥남동 군산동흥남주공</t>
        </is>
      </c>
      <c r="B129" s="76" t="inlineStr">
        <is>
          <t>06.02.</t>
        </is>
      </c>
      <c r="C129" s="130" t="n">
        <v>318</v>
      </c>
      <c r="D129" s="131" t="n">
        <v>94.90000000000001</v>
      </c>
      <c r="E129" s="132" t="n">
        <v>29</v>
      </c>
      <c r="F129" s="131" t="n">
        <v>75.3</v>
      </c>
      <c r="G129" s="17" t="n">
        <v>23</v>
      </c>
      <c r="H129" s="133" t="n">
        <v>90</v>
      </c>
      <c r="I129" s="134" t="n">
        <v>16800</v>
      </c>
      <c r="J129" s="134" t="inlineStr">
        <is>
          <t>6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94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동흥남동 군산동흥남주공</t>
        </is>
      </c>
      <c r="B130" s="76" t="inlineStr">
        <is>
          <t>06.02.</t>
        </is>
      </c>
      <c r="C130" s="130" t="n">
        <v>318</v>
      </c>
      <c r="D130" s="131" t="n">
        <v>107</v>
      </c>
      <c r="E130" s="132" t="n">
        <v>32</v>
      </c>
      <c r="F130" s="131" t="n">
        <v>84.90000000000001</v>
      </c>
      <c r="G130" s="17" t="n">
        <v>26</v>
      </c>
      <c r="H130" s="133" t="n">
        <v>99</v>
      </c>
      <c r="I130" s="134" t="n">
        <v>21000</v>
      </c>
      <c r="J130" s="134" t="inlineStr">
        <is>
          <t>9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106A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동흥남동 군산동흥남주공</t>
        </is>
      </c>
      <c r="B131" s="76" t="inlineStr">
        <is>
          <t>06.02.</t>
        </is>
      </c>
      <c r="C131" s="130" t="n">
        <v>318</v>
      </c>
      <c r="D131" s="131" t="n">
        <v>107.1</v>
      </c>
      <c r="E131" s="132" t="n">
        <v>32</v>
      </c>
      <c r="F131" s="131" t="n">
        <v>85</v>
      </c>
      <c r="G131" s="17" t="n">
        <v>26</v>
      </c>
      <c r="H131" s="133" t="n">
        <v>129</v>
      </c>
      <c r="I131" s="134" t="n">
        <v>18000</v>
      </c>
      <c r="J131" s="134" t="inlineStr">
        <is>
          <t>9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107B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문화동 삼성</t>
        </is>
      </c>
      <c r="B132" s="76" t="inlineStr">
        <is>
          <t>92.08.</t>
        </is>
      </c>
      <c r="C132" s="130" t="n">
        <v>716</v>
      </c>
      <c r="D132" s="131" t="n">
        <v>79.7</v>
      </c>
      <c r="E132" s="132" t="n">
        <v>24</v>
      </c>
      <c r="F132" s="131" t="n">
        <v>65.2</v>
      </c>
      <c r="G132" s="17" t="n">
        <v>20</v>
      </c>
      <c r="H132" s="133" t="n">
        <v>56</v>
      </c>
      <c r="I132" s="134" t="n">
        <v>12500</v>
      </c>
      <c r="J132" s="134" t="inlineStr">
        <is>
          <t>6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문화동 삼성</t>
        </is>
      </c>
      <c r="B133" s="76" t="inlineStr">
        <is>
          <t>92.08.</t>
        </is>
      </c>
      <c r="C133" s="130" t="n">
        <v>716</v>
      </c>
      <c r="D133" s="131" t="n">
        <v>93.09999999999999</v>
      </c>
      <c r="E133" s="132" t="n">
        <v>28</v>
      </c>
      <c r="F133" s="131" t="n">
        <v>76</v>
      </c>
      <c r="G133" s="17" t="n">
        <v>23</v>
      </c>
      <c r="H133" s="133" t="n">
        <v>198</v>
      </c>
      <c r="I133" s="134" t="n">
        <v>12800</v>
      </c>
      <c r="J133" s="134" t="inlineStr">
        <is>
          <t>6</t>
        </is>
      </c>
      <c r="K133" s="134" t="n">
        <v>11000</v>
      </c>
      <c r="L133" s="134" t="inlineStr">
        <is>
          <t>6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n">
        <v>93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문화동 삼성</t>
        </is>
      </c>
      <c r="B134" s="76" t="inlineStr">
        <is>
          <t>92.08.</t>
        </is>
      </c>
      <c r="C134" s="130" t="n">
        <v>716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462</v>
      </c>
      <c r="I134" s="134" t="n">
        <v>16000</v>
      </c>
      <c r="J134" s="134" t="inlineStr">
        <is>
          <t>8</t>
        </is>
      </c>
      <c r="K134" s="134" t="n">
        <v>14000</v>
      </c>
      <c r="L134" s="134" t="inlineStr">
        <is>
          <t>12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104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미룡동 미룡대명1차</t>
        </is>
      </c>
      <c r="B135" s="76" t="inlineStr">
        <is>
          <t>98.06.</t>
        </is>
      </c>
      <c r="C135" s="130" t="n">
        <v>498</v>
      </c>
      <c r="D135" s="131" t="n">
        <v>53.9</v>
      </c>
      <c r="E135" s="132" t="n">
        <v>16</v>
      </c>
      <c r="F135" s="131" t="n">
        <v>40</v>
      </c>
      <c r="G135" s="17" t="n">
        <v>12</v>
      </c>
      <c r="H135" s="133" t="n">
        <v>498</v>
      </c>
      <c r="I135" s="134" t="n">
        <v>4000</v>
      </c>
      <c r="J135" s="134" t="inlineStr">
        <is>
          <t>18</t>
        </is>
      </c>
      <c r="K135" s="134" t="n">
        <v>5000</v>
      </c>
      <c r="L135" s="134" t="inlineStr">
        <is>
          <t>11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계</t>
        </is>
      </c>
      <c r="T135" s="5" t="n">
        <v>53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미룡동 금광베네스타</t>
        </is>
      </c>
      <c r="B136" s="76" t="inlineStr">
        <is>
          <t>08.12.</t>
        </is>
      </c>
      <c r="C136" s="130" t="n">
        <v>950</v>
      </c>
      <c r="D136" s="131" t="n">
        <v>110.3</v>
      </c>
      <c r="E136" s="132" t="n">
        <v>33</v>
      </c>
      <c r="F136" s="131" t="n">
        <v>84.7</v>
      </c>
      <c r="G136" s="17" t="n">
        <v>26</v>
      </c>
      <c r="H136" s="133" t="n">
        <v>120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복</t>
        </is>
      </c>
      <c r="T136" s="5" t="inlineStr">
        <is>
          <t>110A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미룡동 금광베네스타</t>
        </is>
      </c>
      <c r="B137" s="76" t="inlineStr">
        <is>
          <t>08.12.</t>
        </is>
      </c>
      <c r="C137" s="130" t="n">
        <v>950</v>
      </c>
      <c r="D137" s="131" t="n">
        <v>110.5</v>
      </c>
      <c r="E137" s="132" t="n">
        <v>33</v>
      </c>
      <c r="F137" s="131" t="n">
        <v>84.8</v>
      </c>
      <c r="G137" s="17" t="n">
        <v>26</v>
      </c>
      <c r="H137" s="133" t="n">
        <v>39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복</t>
        </is>
      </c>
      <c r="T137" s="5" t="inlineStr">
        <is>
          <t>110B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미룡동 금광베네스타</t>
        </is>
      </c>
      <c r="B138" s="76" t="inlineStr">
        <is>
          <t>08.12.</t>
        </is>
      </c>
      <c r="C138" s="130" t="n">
        <v>950</v>
      </c>
      <c r="D138" s="131" t="n">
        <v>111.7</v>
      </c>
      <c r="E138" s="132" t="n">
        <v>34</v>
      </c>
      <c r="F138" s="131" t="n">
        <v>85</v>
      </c>
      <c r="G138" s="17" t="n">
        <v>26</v>
      </c>
      <c r="H138" s="133" t="n">
        <v>40</v>
      </c>
      <c r="I138" s="134" t="n">
        <v>26500</v>
      </c>
      <c r="J138" s="134" t="inlineStr">
        <is>
          <t>20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복</t>
        </is>
      </c>
      <c r="T138" s="5" t="inlineStr">
        <is>
          <t>111C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미룡동 금광베네스타</t>
        </is>
      </c>
      <c r="B139" s="76" t="inlineStr">
        <is>
          <t>08.12.</t>
        </is>
      </c>
      <c r="C139" s="130" t="n">
        <v>950</v>
      </c>
      <c r="D139" s="131" t="n">
        <v>146.5</v>
      </c>
      <c r="E139" s="132" t="n">
        <v>44</v>
      </c>
      <c r="F139" s="131" t="n">
        <v>113.5</v>
      </c>
      <c r="G139" s="17" t="n">
        <v>34</v>
      </c>
      <c r="H139" s="133" t="n">
        <v>114</v>
      </c>
      <c r="I139" s="134" t="n">
        <v>31000</v>
      </c>
      <c r="J139" s="134" t="inlineStr">
        <is>
          <t>14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복</t>
        </is>
      </c>
      <c r="T139" s="5" t="n">
        <v>146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미룡동 금광베네스타</t>
        </is>
      </c>
      <c r="B140" s="76" t="inlineStr">
        <is>
          <t>08.12.</t>
        </is>
      </c>
      <c r="C140" s="130" t="n">
        <v>950</v>
      </c>
      <c r="D140" s="131" t="n">
        <v>160</v>
      </c>
      <c r="E140" s="132" t="n">
        <v>48</v>
      </c>
      <c r="F140" s="131" t="n">
        <v>130.8</v>
      </c>
      <c r="G140" s="17" t="n">
        <v>40</v>
      </c>
      <c r="H140" s="133" t="n">
        <v>320</v>
      </c>
      <c r="I140" s="134" t="n">
        <v>34000</v>
      </c>
      <c r="J140" s="134" t="inlineStr">
        <is>
          <t>16</t>
        </is>
      </c>
      <c r="K140" s="134" t="n">
        <v>27000</v>
      </c>
      <c r="L140" s="134" t="inlineStr">
        <is>
          <t>5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4</v>
      </c>
      <c r="R140" s="121" t="n">
        <v>2</v>
      </c>
      <c r="S140" s="121" t="inlineStr">
        <is>
          <t>복</t>
        </is>
      </c>
      <c r="T140" s="5" t="inlineStr">
        <is>
          <t>160A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미룡동 금광베네스타</t>
        </is>
      </c>
      <c r="B141" s="76" t="inlineStr">
        <is>
          <t>08.12.</t>
        </is>
      </c>
      <c r="C141" s="130" t="n">
        <v>950</v>
      </c>
      <c r="D141" s="131" t="n">
        <v>160</v>
      </c>
      <c r="E141" s="132" t="n">
        <v>48</v>
      </c>
      <c r="F141" s="131" t="n">
        <v>130.8</v>
      </c>
      <c r="G141" s="17" t="n">
        <v>40</v>
      </c>
      <c r="H141" s="133" t="n">
        <v>78</v>
      </c>
      <c r="I141" s="134" t="n">
        <v>34000</v>
      </c>
      <c r="J141" s="134" t="inlineStr">
        <is>
          <t>16</t>
        </is>
      </c>
      <c r="K141" s="134" t="n">
        <v>27000</v>
      </c>
      <c r="L141" s="134" t="inlineStr">
        <is>
          <t>5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4</v>
      </c>
      <c r="R141" s="121" t="n">
        <v>2</v>
      </c>
      <c r="S141" s="121" t="inlineStr">
        <is>
          <t>복</t>
        </is>
      </c>
      <c r="T141" s="5" t="inlineStr">
        <is>
          <t>160B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미룡동 금광베네스타</t>
        </is>
      </c>
      <c r="B142" s="76" t="inlineStr">
        <is>
          <t>08.12.</t>
        </is>
      </c>
      <c r="C142" s="130" t="n">
        <v>950</v>
      </c>
      <c r="D142" s="131" t="n">
        <v>176.6</v>
      </c>
      <c r="E142" s="132" t="n">
        <v>53</v>
      </c>
      <c r="F142" s="131" t="n">
        <v>139.8</v>
      </c>
      <c r="G142" s="17" t="n">
        <v>42</v>
      </c>
      <c r="H142" s="133" t="n">
        <v>160</v>
      </c>
      <c r="I142" s="134" t="n">
        <v>35000</v>
      </c>
      <c r="J142" s="134" t="inlineStr">
        <is>
          <t>7</t>
        </is>
      </c>
      <c r="K142" s="134" t="n">
        <v>32000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복</t>
        </is>
      </c>
      <c r="T142" s="5" t="n">
        <v>176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미룡동 금광베네스타</t>
        </is>
      </c>
      <c r="B143" s="76" t="inlineStr">
        <is>
          <t>08.12.</t>
        </is>
      </c>
      <c r="C143" s="130" t="n">
        <v>950</v>
      </c>
      <c r="D143" s="131" t="n">
        <v>203.2</v>
      </c>
      <c r="E143" s="132" t="n">
        <v>61</v>
      </c>
      <c r="F143" s="131" t="n">
        <v>172.2</v>
      </c>
      <c r="G143" s="17" t="n">
        <v>52</v>
      </c>
      <c r="H143" s="133" t="n">
        <v>40</v>
      </c>
      <c r="I143" s="134" t="n">
        <v>45000</v>
      </c>
      <c r="J143" s="134" t="inlineStr">
        <is>
          <t>14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복</t>
        </is>
      </c>
      <c r="T143" s="5" t="inlineStr">
        <is>
          <t>203B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미룡동 금광베네스타</t>
        </is>
      </c>
      <c r="B144" s="76" t="inlineStr">
        <is>
          <t>08.12.</t>
        </is>
      </c>
      <c r="C144" s="130" t="n">
        <v>950</v>
      </c>
      <c r="D144" s="131" t="n">
        <v>204.9</v>
      </c>
      <c r="E144" s="132" t="n">
        <v>62</v>
      </c>
      <c r="F144" s="131" t="n">
        <v>170.7</v>
      </c>
      <c r="G144" s="17" t="n">
        <v>52</v>
      </c>
      <c r="H144" s="133" t="n">
        <v>39</v>
      </c>
      <c r="I144" s="134" t="n">
        <v>45000</v>
      </c>
      <c r="J144" s="134" t="inlineStr">
        <is>
          <t>18</t>
        </is>
      </c>
      <c r="K144" s="134" t="n">
        <v>35000</v>
      </c>
      <c r="L144" s="134" t="inlineStr">
        <is>
          <t>18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5</v>
      </c>
      <c r="R144" s="121" t="n">
        <v>2</v>
      </c>
      <c r="S144" s="121" t="inlineStr">
        <is>
          <t>복</t>
        </is>
      </c>
      <c r="T144" s="5" t="inlineStr">
        <is>
          <t>204A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미룡동 은파롯데캐슬</t>
        </is>
      </c>
      <c r="B145" s="76" t="inlineStr">
        <is>
          <t>07.09.</t>
        </is>
      </c>
      <c r="C145" s="130" t="n">
        <v>307</v>
      </c>
      <c r="D145" s="131" t="n">
        <v>109.8</v>
      </c>
      <c r="E145" s="132" t="n">
        <v>33</v>
      </c>
      <c r="F145" s="131" t="n">
        <v>85</v>
      </c>
      <c r="G145" s="17" t="n">
        <v>26</v>
      </c>
      <c r="H145" s="133" t="n">
        <v>50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n">
        <v>109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미룡동 은파롯데캐슬</t>
        </is>
      </c>
      <c r="B146" s="76" t="inlineStr">
        <is>
          <t>07.09.</t>
        </is>
      </c>
      <c r="C146" s="130" t="n">
        <v>307</v>
      </c>
      <c r="D146" s="131" t="n">
        <v>129.9</v>
      </c>
      <c r="E146" s="132" t="n">
        <v>39</v>
      </c>
      <c r="F146" s="131" t="n">
        <v>102.8</v>
      </c>
      <c r="G146" s="17" t="n">
        <v>31</v>
      </c>
      <c r="H146" s="133" t="n">
        <v>52</v>
      </c>
      <c r="I146" s="134" t="n">
        <v>33000</v>
      </c>
      <c r="J146" s="134" t="inlineStr">
        <is>
          <t>14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129B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미룡동 은파롯데캐슬</t>
        </is>
      </c>
      <c r="B147" s="76" t="inlineStr">
        <is>
          <t>07.09.</t>
        </is>
      </c>
      <c r="C147" s="130" t="n">
        <v>307</v>
      </c>
      <c r="D147" s="131" t="n">
        <v>131.5</v>
      </c>
      <c r="E147" s="132" t="n">
        <v>40</v>
      </c>
      <c r="F147" s="131" t="n">
        <v>104.6</v>
      </c>
      <c r="G147" s="17" t="n">
        <v>32</v>
      </c>
      <c r="H147" s="133" t="n">
        <v>79</v>
      </c>
      <c r="I147" s="134" t="n">
        <v>32000</v>
      </c>
      <c r="J147" s="134" t="inlineStr">
        <is>
          <t>8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복</t>
        </is>
      </c>
      <c r="T147" s="5" t="inlineStr">
        <is>
          <t>131A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미룡동 은파롯데캐슬</t>
        </is>
      </c>
      <c r="B148" s="76" t="inlineStr">
        <is>
          <t>07.09.</t>
        </is>
      </c>
      <c r="C148" s="130" t="n">
        <v>307</v>
      </c>
      <c r="D148" s="131" t="n">
        <v>158.3</v>
      </c>
      <c r="E148" s="132" t="n">
        <v>48</v>
      </c>
      <c r="F148" s="131" t="n">
        <v>127.2</v>
      </c>
      <c r="G148" s="17" t="n">
        <v>38</v>
      </c>
      <c r="H148" s="133" t="n">
        <v>77</v>
      </c>
      <c r="I148" s="134" t="n">
        <v>35000</v>
      </c>
      <c r="J148" s="134" t="inlineStr">
        <is>
          <t>10</t>
        </is>
      </c>
      <c r="K148" s="134" t="n">
        <v>27000</v>
      </c>
      <c r="L148" s="134" t="inlineStr">
        <is>
          <t>6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inlineStr">
        <is>
          <t>158B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미룡동 은파롯데캐슬</t>
        </is>
      </c>
      <c r="B149" s="76" t="inlineStr">
        <is>
          <t>07.09.</t>
        </is>
      </c>
      <c r="C149" s="130" t="n">
        <v>307</v>
      </c>
      <c r="D149" s="131" t="n">
        <v>158.3</v>
      </c>
      <c r="E149" s="132" t="n">
        <v>48</v>
      </c>
      <c r="F149" s="131" t="n">
        <v>125.8</v>
      </c>
      <c r="G149" s="17" t="n">
        <v>38</v>
      </c>
      <c r="H149" s="133" t="n">
        <v>22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4</v>
      </c>
      <c r="R149" s="121" t="n">
        <v>2</v>
      </c>
      <c r="S149" s="121" t="inlineStr">
        <is>
          <t>복</t>
        </is>
      </c>
      <c r="T149" s="5" t="inlineStr">
        <is>
          <t>158A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미룡동 은파롯데캐슬</t>
        </is>
      </c>
      <c r="B150" s="76" t="inlineStr">
        <is>
          <t>07.09.</t>
        </is>
      </c>
      <c r="C150" s="130" t="n">
        <v>307</v>
      </c>
      <c r="D150" s="131" t="n">
        <v>189.5</v>
      </c>
      <c r="E150" s="132" t="n">
        <v>57</v>
      </c>
      <c r="F150" s="131" t="n">
        <v>149.5</v>
      </c>
      <c r="G150" s="17" t="n">
        <v>45</v>
      </c>
      <c r="H150" s="133" t="n">
        <v>26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복</t>
        </is>
      </c>
      <c r="T150" s="5" t="n">
        <v>189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미룡동 은파롯데캐슬</t>
        </is>
      </c>
      <c r="B151" s="76" t="inlineStr">
        <is>
          <t>07.09.</t>
        </is>
      </c>
      <c r="C151" s="130" t="n">
        <v>307</v>
      </c>
      <c r="D151" s="131" t="n">
        <v>241.3</v>
      </c>
      <c r="E151" s="132" t="n">
        <v>73</v>
      </c>
      <c r="F151" s="131" t="n">
        <v>194.7</v>
      </c>
      <c r="G151" s="17" t="n">
        <v>59</v>
      </c>
      <c r="H151" s="133" t="n">
        <v>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복</t>
        </is>
      </c>
      <c r="T151" s="5" t="n">
        <v>241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미룡동 미룡주공3단지</t>
        </is>
      </c>
      <c r="B152" s="76" t="inlineStr">
        <is>
          <t>01.06.</t>
        </is>
      </c>
      <c r="C152" s="130" t="n">
        <v>1460</v>
      </c>
      <c r="D152" s="131" t="n">
        <v>64.3</v>
      </c>
      <c r="E152" s="132" t="n">
        <v>19</v>
      </c>
      <c r="F152" s="131" t="n">
        <v>49</v>
      </c>
      <c r="G152" s="17" t="n">
        <v>15</v>
      </c>
      <c r="H152" s="133" t="n">
        <v>36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계</t>
        </is>
      </c>
      <c r="T152" s="5" t="inlineStr">
        <is>
          <t>64A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미룡동 미룡주공3단지</t>
        </is>
      </c>
      <c r="B153" s="76" t="inlineStr">
        <is>
          <t>01.06.</t>
        </is>
      </c>
      <c r="C153" s="130" t="n">
        <v>1460</v>
      </c>
      <c r="D153" s="131" t="n">
        <v>65.40000000000001</v>
      </c>
      <c r="E153" s="132" t="n">
        <v>20</v>
      </c>
      <c r="F153" s="131" t="n">
        <v>49.9</v>
      </c>
      <c r="G153" s="17" t="n">
        <v>15</v>
      </c>
      <c r="H153" s="133" t="n">
        <v>529</v>
      </c>
      <c r="I153" s="134" t="n">
        <v>8500</v>
      </c>
      <c r="J153" s="134" t="inlineStr">
        <is>
          <t>17</t>
        </is>
      </c>
      <c r="K153" s="134" t="n">
        <v>7000</v>
      </c>
      <c r="L153" s="134" t="inlineStr">
        <is>
          <t>15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계</t>
        </is>
      </c>
      <c r="T153" s="5" t="inlineStr">
        <is>
          <t>65C</t>
        </is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미룡동 미룡주공3단지</t>
        </is>
      </c>
      <c r="B154" s="76" t="inlineStr">
        <is>
          <t>01.06.</t>
        </is>
      </c>
      <c r="C154" s="130" t="n">
        <v>1460</v>
      </c>
      <c r="D154" s="131" t="n">
        <v>65</v>
      </c>
      <c r="E154" s="132" t="n">
        <v>20</v>
      </c>
      <c r="F154" s="131" t="n">
        <v>49.6</v>
      </c>
      <c r="G154" s="17" t="n">
        <v>15</v>
      </c>
      <c r="H154" s="133" t="n">
        <v>55</v>
      </c>
      <c r="I154" s="134" t="n">
        <v>8500</v>
      </c>
      <c r="J154" s="134" t="inlineStr">
        <is>
          <t>5</t>
        </is>
      </c>
      <c r="K154" s="134" t="n">
        <v>7800</v>
      </c>
      <c r="L154" s="134" t="inlineStr">
        <is>
          <t>7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inlineStr">
        <is>
          <t>65B</t>
        </is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미룡동 미룡주공3단지</t>
        </is>
      </c>
      <c r="B155" s="76" t="inlineStr">
        <is>
          <t>01.06.</t>
        </is>
      </c>
      <c r="C155" s="130" t="n">
        <v>1460</v>
      </c>
      <c r="D155" s="131" t="n">
        <v>77.90000000000001</v>
      </c>
      <c r="E155" s="132" t="n">
        <v>24</v>
      </c>
      <c r="F155" s="131" t="n">
        <v>59.4</v>
      </c>
      <c r="G155" s="17" t="n">
        <v>18</v>
      </c>
      <c r="H155" s="133" t="n">
        <v>759</v>
      </c>
      <c r="I155" s="134" t="n">
        <v>11500</v>
      </c>
      <c r="J155" s="134" t="inlineStr">
        <is>
          <t>19</t>
        </is>
      </c>
      <c r="K155" s="134" t="n">
        <v>11500</v>
      </c>
      <c r="L155" s="134" t="inlineStr">
        <is>
          <t>13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inlineStr">
        <is>
          <t>77A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미룡동 미룡주공3단지</t>
        </is>
      </c>
      <c r="B156" s="76" t="inlineStr">
        <is>
          <t>01.06.</t>
        </is>
      </c>
      <c r="C156" s="130" t="n">
        <v>1460</v>
      </c>
      <c r="D156" s="131" t="n">
        <v>77.59999999999999</v>
      </c>
      <c r="E156" s="132" t="n">
        <v>23</v>
      </c>
      <c r="F156" s="131" t="n">
        <v>59.2</v>
      </c>
      <c r="G156" s="17" t="n">
        <v>18</v>
      </c>
      <c r="H156" s="133" t="n">
        <v>81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미룡동 산북부향하나로3차</t>
        </is>
      </c>
      <c r="B157" s="76" t="inlineStr">
        <is>
          <t>98.04.</t>
        </is>
      </c>
      <c r="C157" s="130" t="n">
        <v>346</v>
      </c>
      <c r="D157" s="131" t="n">
        <v>45.2</v>
      </c>
      <c r="E157" s="132" t="n">
        <v>14</v>
      </c>
      <c r="F157" s="131" t="n">
        <v>32.8</v>
      </c>
      <c r="G157" s="17" t="n">
        <v>10</v>
      </c>
      <c r="H157" s="133" t="n">
        <v>12</v>
      </c>
      <c r="I157" s="134" t="n">
        <v>2700</v>
      </c>
      <c r="J157" s="134" t="inlineStr">
        <is>
          <t>15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45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미룡동 산북부향하나로3차</t>
        </is>
      </c>
      <c r="B158" s="76" t="inlineStr">
        <is>
          <t>98.04.</t>
        </is>
      </c>
      <c r="C158" s="130" t="n">
        <v>346</v>
      </c>
      <c r="D158" s="131" t="n">
        <v>55.1</v>
      </c>
      <c r="E158" s="132" t="n">
        <v>17</v>
      </c>
      <c r="F158" s="131" t="n">
        <v>40</v>
      </c>
      <c r="G158" s="17" t="n">
        <v>12</v>
      </c>
      <c r="H158" s="133" t="n">
        <v>334</v>
      </c>
      <c r="I158" s="134" t="n">
        <v>2700</v>
      </c>
      <c r="J158" s="134" t="inlineStr">
        <is>
          <t>12</t>
        </is>
      </c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55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미룡동 은파리젠시빌파크</t>
        </is>
      </c>
      <c r="B159" s="76" t="inlineStr">
        <is>
          <t>07.02.</t>
        </is>
      </c>
      <c r="C159" s="130" t="n">
        <v>317</v>
      </c>
      <c r="D159" s="131" t="n">
        <v>115.9</v>
      </c>
      <c r="E159" s="132" t="n">
        <v>35</v>
      </c>
      <c r="F159" s="131" t="n">
        <v>84.90000000000001</v>
      </c>
      <c r="G159" s="17" t="n">
        <v>26</v>
      </c>
      <c r="H159" s="133" t="n">
        <v>233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115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미룡동 은파리젠시빌파크</t>
        </is>
      </c>
      <c r="B160" s="76" t="inlineStr">
        <is>
          <t>07.02.</t>
        </is>
      </c>
      <c r="C160" s="130" t="n">
        <v>317</v>
      </c>
      <c r="D160" s="131" t="n">
        <v>159.7</v>
      </c>
      <c r="E160" s="132" t="n">
        <v>48</v>
      </c>
      <c r="F160" s="131" t="n">
        <v>132.4</v>
      </c>
      <c r="G160" s="17" t="n">
        <v>40</v>
      </c>
      <c r="H160" s="133" t="n">
        <v>84</v>
      </c>
      <c r="I160" s="134" t="n">
        <v>30000</v>
      </c>
      <c r="J160" s="134" t="inlineStr">
        <is>
          <t>7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159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미룡동 미룡대명2차</t>
        </is>
      </c>
      <c r="B161" s="76" t="inlineStr">
        <is>
          <t>02.05.</t>
        </is>
      </c>
      <c r="C161" s="130" t="n">
        <v>276</v>
      </c>
      <c r="D161" s="131" t="n">
        <v>68.90000000000001</v>
      </c>
      <c r="E161" s="132" t="n">
        <v>21</v>
      </c>
      <c r="F161" s="131" t="n">
        <v>48.9</v>
      </c>
      <c r="G161" s="17" t="n">
        <v>15</v>
      </c>
      <c r="H161" s="133" t="n">
        <v>78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inlineStr">
        <is>
          <t>68B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미룡동 미룡대명2차</t>
        </is>
      </c>
      <c r="B162" s="76" t="inlineStr">
        <is>
          <t>02.05.</t>
        </is>
      </c>
      <c r="C162" s="130" t="n">
        <v>276</v>
      </c>
      <c r="D162" s="131" t="n">
        <v>69.3</v>
      </c>
      <c r="E162" s="132" t="n">
        <v>21</v>
      </c>
      <c r="F162" s="131" t="n">
        <v>49.1</v>
      </c>
      <c r="G162" s="17" t="n">
        <v>15</v>
      </c>
      <c r="H162" s="133" t="n">
        <v>198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inlineStr">
        <is>
          <t>69A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미룡동 미룡주공2단지</t>
        </is>
      </c>
      <c r="B163" s="76" t="inlineStr">
        <is>
          <t>01.03.</t>
        </is>
      </c>
      <c r="C163" s="130" t="n">
        <v>874</v>
      </c>
      <c r="D163" s="131" t="n">
        <v>68.3</v>
      </c>
      <c r="E163" s="132" t="n">
        <v>21</v>
      </c>
      <c r="F163" s="131" t="n">
        <v>50.3</v>
      </c>
      <c r="G163" s="17" t="n">
        <v>15</v>
      </c>
      <c r="H163" s="133" t="n">
        <v>288</v>
      </c>
      <c r="I163" s="134" t="n">
        <v>9300</v>
      </c>
      <c r="J163" s="134" t="inlineStr">
        <is>
          <t>18</t>
        </is>
      </c>
      <c r="K163" s="134" t="n">
        <v>7900</v>
      </c>
      <c r="L163" s="134" t="inlineStr">
        <is>
          <t>13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2</v>
      </c>
      <c r="R163" s="121" t="n">
        <v>1</v>
      </c>
      <c r="S163" s="121" t="inlineStr">
        <is>
          <t>복</t>
        </is>
      </c>
      <c r="T163" s="5" t="inlineStr">
        <is>
          <t>68A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미룡동 미룡주공2단지</t>
        </is>
      </c>
      <c r="B164" s="76" t="inlineStr">
        <is>
          <t>01.03.</t>
        </is>
      </c>
      <c r="C164" s="130" t="n">
        <v>874</v>
      </c>
      <c r="D164" s="131" t="n">
        <v>70.59999999999999</v>
      </c>
      <c r="E164" s="132" t="n">
        <v>21</v>
      </c>
      <c r="F164" s="131" t="n">
        <v>51.9</v>
      </c>
      <c r="G164" s="17" t="n">
        <v>16</v>
      </c>
      <c r="H164" s="133" t="n">
        <v>4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inlineStr">
        <is>
          <t>70B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미룡동 미룡주공2단지</t>
        </is>
      </c>
      <c r="B165" s="76" t="inlineStr">
        <is>
          <t>01.03.</t>
        </is>
      </c>
      <c r="C165" s="130" t="n">
        <v>874</v>
      </c>
      <c r="D165" s="131" t="n">
        <v>80.7</v>
      </c>
      <c r="E165" s="132" t="n">
        <v>24</v>
      </c>
      <c r="F165" s="131" t="n">
        <v>59.4</v>
      </c>
      <c r="G165" s="17" t="n">
        <v>18</v>
      </c>
      <c r="H165" s="133" t="n">
        <v>267</v>
      </c>
      <c r="I165" s="134" t="n">
        <v>13000</v>
      </c>
      <c r="J165" s="134" t="inlineStr">
        <is>
          <t>18</t>
        </is>
      </c>
      <c r="K165" s="134" t="n">
        <v>12000</v>
      </c>
      <c r="L165" s="134" t="inlineStr">
        <is>
          <t>6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inlineStr">
        <is>
          <t>80B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미룡동 미룡주공2단지</t>
        </is>
      </c>
      <c r="B166" s="76" t="inlineStr">
        <is>
          <t>01.03.</t>
        </is>
      </c>
      <c r="C166" s="130" t="n">
        <v>874</v>
      </c>
      <c r="D166" s="131" t="n">
        <v>80.7</v>
      </c>
      <c r="E166" s="132" t="n">
        <v>24</v>
      </c>
      <c r="F166" s="131" t="n">
        <v>59.4</v>
      </c>
      <c r="G166" s="17" t="n">
        <v>18</v>
      </c>
      <c r="H166" s="133" t="n">
        <v>76</v>
      </c>
      <c r="I166" s="134" t="n">
        <v>13000</v>
      </c>
      <c r="J166" s="134" t="inlineStr">
        <is>
          <t>18</t>
        </is>
      </c>
      <c r="K166" s="134" t="n">
        <v>12000</v>
      </c>
      <c r="L166" s="134" t="inlineStr">
        <is>
          <t>6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inlineStr">
        <is>
          <t>80C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미룡동 미룡주공2단지</t>
        </is>
      </c>
      <c r="B167" s="76" t="inlineStr">
        <is>
          <t>01.03.</t>
        </is>
      </c>
      <c r="C167" s="130" t="n">
        <v>874</v>
      </c>
      <c r="D167" s="131" t="n">
        <v>80.59999999999999</v>
      </c>
      <c r="E167" s="132" t="n">
        <v>24</v>
      </c>
      <c r="F167" s="131" t="n">
        <v>59.3</v>
      </c>
      <c r="G167" s="17" t="n">
        <v>18</v>
      </c>
      <c r="H167" s="133" t="n">
        <v>15</v>
      </c>
      <c r="I167" s="134" t="n">
        <v>13000</v>
      </c>
      <c r="J167" s="134" t="inlineStr">
        <is>
          <t>12</t>
        </is>
      </c>
      <c r="K167" s="134" t="n">
        <v>10900</v>
      </c>
      <c r="L167" s="134" t="inlineStr">
        <is>
          <t>12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계</t>
        </is>
      </c>
      <c r="T167" s="5" t="inlineStr">
        <is>
          <t>80A</t>
        </is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미룡동 미룡주공2단지</t>
        </is>
      </c>
      <c r="B168" s="76" t="inlineStr">
        <is>
          <t>01.03.</t>
        </is>
      </c>
      <c r="C168" s="130" t="n">
        <v>874</v>
      </c>
      <c r="D168" s="131" t="n">
        <v>114.6</v>
      </c>
      <c r="E168" s="132" t="n">
        <v>35</v>
      </c>
      <c r="F168" s="131" t="n">
        <v>84.3</v>
      </c>
      <c r="G168" s="17" t="n">
        <v>26</v>
      </c>
      <c r="H168" s="133" t="n">
        <v>224</v>
      </c>
      <c r="I168" s="134" t="n">
        <v>18000</v>
      </c>
      <c r="J168" s="134" t="inlineStr">
        <is>
          <t>7</t>
        </is>
      </c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114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미장동 파인빌2차</t>
        </is>
      </c>
      <c r="B169" s="76" t="inlineStr">
        <is>
          <t>06.06.</t>
        </is>
      </c>
      <c r="C169" s="130" t="n">
        <v>351</v>
      </c>
      <c r="D169" s="131" t="n">
        <v>80.59999999999999</v>
      </c>
      <c r="E169" s="132" t="n">
        <v>24</v>
      </c>
      <c r="F169" s="131" t="n">
        <v>59.9</v>
      </c>
      <c r="G169" s="17" t="n">
        <v>18</v>
      </c>
      <c r="H169" s="133" t="n">
        <v>149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80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미장동 파인빌2차</t>
        </is>
      </c>
      <c r="B170" s="76" t="inlineStr">
        <is>
          <t>06.06.</t>
        </is>
      </c>
      <c r="C170" s="130" t="n">
        <v>351</v>
      </c>
      <c r="D170" s="131" t="n">
        <v>119.9</v>
      </c>
      <c r="E170" s="132" t="n">
        <v>36</v>
      </c>
      <c r="F170" s="131" t="n">
        <v>85</v>
      </c>
      <c r="G170" s="17" t="n">
        <v>26</v>
      </c>
      <c r="H170" s="133" t="n">
        <v>202</v>
      </c>
      <c r="I170" s="134" t="n">
        <v>21000</v>
      </c>
      <c r="J170" s="134" t="inlineStr">
        <is>
          <t>10</t>
        </is>
      </c>
      <c r="K170" s="134" t="n">
        <v>19000</v>
      </c>
      <c r="L170" s="134" t="inlineStr">
        <is>
          <t>9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복</t>
        </is>
      </c>
      <c r="T170" s="5" t="n">
        <v>119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미장동 파인빌1차</t>
        </is>
      </c>
      <c r="B171" s="76" t="inlineStr">
        <is>
          <t>04.11.</t>
        </is>
      </c>
      <c r="C171" s="130" t="n">
        <v>499</v>
      </c>
      <c r="D171" s="131" t="n">
        <v>80.09999999999999</v>
      </c>
      <c r="E171" s="132" t="n">
        <v>24</v>
      </c>
      <c r="F171" s="131" t="n">
        <v>60</v>
      </c>
      <c r="G171" s="17" t="n">
        <v>18</v>
      </c>
      <c r="H171" s="133" t="n">
        <v>139</v>
      </c>
      <c r="I171" s="134" t="n">
        <v>16500</v>
      </c>
      <c r="J171" s="134" t="inlineStr">
        <is>
          <t>10</t>
        </is>
      </c>
      <c r="K171" s="134" t="n">
        <v>14000</v>
      </c>
      <c r="L171" s="134" t="inlineStr">
        <is>
          <t>14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1</v>
      </c>
      <c r="S171" s="121" t="inlineStr">
        <is>
          <t>계</t>
        </is>
      </c>
      <c r="T171" s="5" t="n">
        <v>80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미장동 파인빌1차</t>
        </is>
      </c>
      <c r="B172" s="76" t="inlineStr">
        <is>
          <t>04.11.</t>
        </is>
      </c>
      <c r="C172" s="130" t="n">
        <v>499</v>
      </c>
      <c r="D172" s="131" t="n">
        <v>110.9</v>
      </c>
      <c r="E172" s="132" t="n">
        <v>34</v>
      </c>
      <c r="F172" s="131" t="n">
        <v>85</v>
      </c>
      <c r="G172" s="17" t="n">
        <v>26</v>
      </c>
      <c r="H172" s="133" t="n">
        <v>360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110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미장동 군산미장2차아이파크</t>
        </is>
      </c>
      <c r="B173" s="76" t="inlineStr">
        <is>
          <t>17.06.</t>
        </is>
      </c>
      <c r="C173" s="130" t="n">
        <v>540</v>
      </c>
      <c r="D173" s="131" t="n">
        <v>99.8</v>
      </c>
      <c r="E173" s="132" t="n">
        <v>30</v>
      </c>
      <c r="F173" s="131" t="n">
        <v>75</v>
      </c>
      <c r="G173" s="17" t="n">
        <v>23</v>
      </c>
      <c r="H173" s="133" t="n">
        <v>72</v>
      </c>
      <c r="I173" s="134" t="n">
        <v>38000</v>
      </c>
      <c r="J173" s="134" t="inlineStr">
        <is>
          <t>11</t>
        </is>
      </c>
      <c r="K173" s="134" t="n">
        <v>30000</v>
      </c>
      <c r="L173" s="134" t="inlineStr">
        <is>
          <t>11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99C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미장동 군산미장2차아이파크</t>
        </is>
      </c>
      <c r="B174" s="76" t="inlineStr">
        <is>
          <t>17.06.</t>
        </is>
      </c>
      <c r="C174" s="130" t="n">
        <v>540</v>
      </c>
      <c r="D174" s="131" t="n">
        <v>100</v>
      </c>
      <c r="E174" s="132" t="n">
        <v>30</v>
      </c>
      <c r="F174" s="131" t="n">
        <v>75</v>
      </c>
      <c r="G174" s="17" t="n">
        <v>23</v>
      </c>
      <c r="H174" s="133" t="n">
        <v>49</v>
      </c>
      <c r="I174" s="134" t="n">
        <v>38000</v>
      </c>
      <c r="J174" s="134" t="inlineStr">
        <is>
          <t>17</t>
        </is>
      </c>
      <c r="K174" s="134" t="n">
        <v>32000</v>
      </c>
      <c r="L174" s="134" t="inlineStr">
        <is>
          <t>고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99D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미장동 군산미장2차아이파크</t>
        </is>
      </c>
      <c r="B175" s="76" t="inlineStr">
        <is>
          <t>17.06.</t>
        </is>
      </c>
      <c r="C175" s="130" t="n">
        <v>540</v>
      </c>
      <c r="D175" s="131" t="n">
        <v>100.5</v>
      </c>
      <c r="E175" s="132" t="n">
        <v>30</v>
      </c>
      <c r="F175" s="131" t="n">
        <v>75</v>
      </c>
      <c r="G175" s="17" t="n">
        <v>23</v>
      </c>
      <c r="H175" s="133" t="n">
        <v>188</v>
      </c>
      <c r="I175" s="134" t="n">
        <v>37500</v>
      </c>
      <c r="J175" s="134" t="inlineStr">
        <is>
          <t>중</t>
        </is>
      </c>
      <c r="K175" s="134" t="n">
        <v>30000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100A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미장동 군산미장2차아이파크</t>
        </is>
      </c>
      <c r="B176" s="76" t="inlineStr">
        <is>
          <t>17.06.</t>
        </is>
      </c>
      <c r="C176" s="130" t="n">
        <v>540</v>
      </c>
      <c r="D176" s="131" t="n">
        <v>100</v>
      </c>
      <c r="E176" s="132" t="n">
        <v>30</v>
      </c>
      <c r="F176" s="131" t="n">
        <v>75</v>
      </c>
      <c r="G176" s="17" t="n">
        <v>23</v>
      </c>
      <c r="H176" s="133" t="n">
        <v>50</v>
      </c>
      <c r="I176" s="134" t="n">
        <v>38000</v>
      </c>
      <c r="J176" s="134" t="inlineStr">
        <is>
          <t>17</t>
        </is>
      </c>
      <c r="K176" s="134" t="n">
        <v>32000</v>
      </c>
      <c r="L176" s="134" t="inlineStr">
        <is>
          <t>고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100E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미장동 군산미장2차아이파크</t>
        </is>
      </c>
      <c r="B177" s="76" t="inlineStr">
        <is>
          <t>17.06.</t>
        </is>
      </c>
      <c r="C177" s="130" t="n">
        <v>540</v>
      </c>
      <c r="D177" s="131" t="n">
        <v>100.8</v>
      </c>
      <c r="E177" s="132" t="n">
        <v>30</v>
      </c>
      <c r="F177" s="131" t="n">
        <v>75</v>
      </c>
      <c r="G177" s="17" t="n">
        <v>23</v>
      </c>
      <c r="H177" s="133" t="n">
        <v>15</v>
      </c>
      <c r="I177" s="134" t="n">
        <v>38500</v>
      </c>
      <c r="J177" s="134" t="inlineStr">
        <is>
          <t>9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100B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미장동 군산미장2차아이파크</t>
        </is>
      </c>
      <c r="B178" s="76" t="inlineStr">
        <is>
          <t>17.06.</t>
        </is>
      </c>
      <c r="C178" s="130" t="n">
        <v>540</v>
      </c>
      <c r="D178" s="131" t="n">
        <v>130.4</v>
      </c>
      <c r="E178" s="132" t="n">
        <v>39</v>
      </c>
      <c r="F178" s="131" t="n">
        <v>101.8</v>
      </c>
      <c r="G178" s="17" t="n">
        <v>31</v>
      </c>
      <c r="H178" s="133" t="n">
        <v>166</v>
      </c>
      <c r="I178" s="134" t="n">
        <v>53500</v>
      </c>
      <c r="J178" s="134" t="inlineStr">
        <is>
          <t>14</t>
        </is>
      </c>
      <c r="K178" s="134" t="n">
        <v>38000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130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미장동 군산미장아이파크</t>
        </is>
      </c>
      <c r="B179" s="76" t="inlineStr">
        <is>
          <t>15.01.</t>
        </is>
      </c>
      <c r="C179" s="130" t="n">
        <v>1078</v>
      </c>
      <c r="D179" s="131" t="n">
        <v>80.3</v>
      </c>
      <c r="E179" s="132" t="n">
        <v>24</v>
      </c>
      <c r="F179" s="131" t="n">
        <v>60</v>
      </c>
      <c r="G179" s="17" t="n">
        <v>18</v>
      </c>
      <c r="H179" s="133" t="n">
        <v>141</v>
      </c>
      <c r="I179" s="134" t="n">
        <v>25000</v>
      </c>
      <c r="J179" s="134" t="inlineStr">
        <is>
          <t>20</t>
        </is>
      </c>
      <c r="K179" s="134" t="n">
        <v>23000</v>
      </c>
      <c r="L179" s="134" t="inlineStr">
        <is>
          <t>13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80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미장동 군산미장아이파크</t>
        </is>
      </c>
      <c r="B180" s="76" t="inlineStr">
        <is>
          <t>15.01.</t>
        </is>
      </c>
      <c r="C180" s="130" t="n">
        <v>1078</v>
      </c>
      <c r="D180" s="131" t="n">
        <v>111.3</v>
      </c>
      <c r="E180" s="132" t="n">
        <v>34</v>
      </c>
      <c r="F180" s="131" t="n">
        <v>85</v>
      </c>
      <c r="G180" s="17" t="n">
        <v>26</v>
      </c>
      <c r="H180" s="133" t="n">
        <v>435</v>
      </c>
      <c r="I180" s="134" t="n">
        <v>36000</v>
      </c>
      <c r="J180" s="134" t="inlineStr">
        <is>
          <t>중</t>
        </is>
      </c>
      <c r="K180" s="134" t="n">
        <v>28000</v>
      </c>
      <c r="L180" s="134" t="inlineStr">
        <is>
          <t>8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inlineStr">
        <is>
          <t>111A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미장동 군산미장아이파크</t>
        </is>
      </c>
      <c r="B181" s="76" t="inlineStr">
        <is>
          <t>15.01.</t>
        </is>
      </c>
      <c r="C181" s="130" t="n">
        <v>1078</v>
      </c>
      <c r="D181" s="131" t="n">
        <v>111.3</v>
      </c>
      <c r="E181" s="132" t="n">
        <v>34</v>
      </c>
      <c r="F181" s="131" t="n">
        <v>85</v>
      </c>
      <c r="G181" s="17" t="n">
        <v>26</v>
      </c>
      <c r="H181" s="133" t="n">
        <v>40</v>
      </c>
      <c r="I181" s="134" t="n">
        <v>36000</v>
      </c>
      <c r="J181" s="134" t="inlineStr">
        <is>
          <t>중</t>
        </is>
      </c>
      <c r="K181" s="134" t="n">
        <v>28000</v>
      </c>
      <c r="L181" s="134" t="inlineStr">
        <is>
          <t>8</t>
        </is>
      </c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111E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미장동 군산미장아이파크</t>
        </is>
      </c>
      <c r="B182" s="76" t="inlineStr">
        <is>
          <t>15.01.</t>
        </is>
      </c>
      <c r="C182" s="130" t="n">
        <v>1078</v>
      </c>
      <c r="D182" s="131" t="n">
        <v>113</v>
      </c>
      <c r="E182" s="132" t="n">
        <v>34</v>
      </c>
      <c r="F182" s="131" t="n">
        <v>85</v>
      </c>
      <c r="G182" s="17" t="n">
        <v>26</v>
      </c>
      <c r="H182" s="133" t="n">
        <v>200</v>
      </c>
      <c r="I182" s="134" t="n">
        <v>34500</v>
      </c>
      <c r="J182" s="134" t="inlineStr">
        <is>
          <t>10</t>
        </is>
      </c>
      <c r="K182" s="134" t="n">
        <v>30000</v>
      </c>
      <c r="L182" s="134" t="inlineStr">
        <is>
          <t>5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inlineStr">
        <is>
          <t>112B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미장동 군산미장아이파크</t>
        </is>
      </c>
      <c r="B183" s="76" t="inlineStr">
        <is>
          <t>15.01.</t>
        </is>
      </c>
      <c r="C183" s="130" t="n">
        <v>1078</v>
      </c>
      <c r="D183" s="131" t="n">
        <v>112.2</v>
      </c>
      <c r="E183" s="132" t="n">
        <v>34</v>
      </c>
      <c r="F183" s="131" t="n">
        <v>85</v>
      </c>
      <c r="G183" s="17" t="n">
        <v>26</v>
      </c>
      <c r="H183" s="133" t="n">
        <v>134</v>
      </c>
      <c r="I183" s="134" t="n">
        <v>37000</v>
      </c>
      <c r="J183" s="134" t="inlineStr">
        <is>
          <t>16</t>
        </is>
      </c>
      <c r="K183" s="134" t="n">
        <v>29000</v>
      </c>
      <c r="L183" s="134" t="inlineStr">
        <is>
          <t>16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inlineStr">
        <is>
          <t>112C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미장동 군산미장아이파크</t>
        </is>
      </c>
      <c r="B184" s="76" t="inlineStr">
        <is>
          <t>15.01.</t>
        </is>
      </c>
      <c r="C184" s="130" t="n">
        <v>1078</v>
      </c>
      <c r="D184" s="131" t="n">
        <v>112.6</v>
      </c>
      <c r="E184" s="132" t="n">
        <v>34</v>
      </c>
      <c r="F184" s="131" t="n">
        <v>85</v>
      </c>
      <c r="G184" s="17" t="n">
        <v>26</v>
      </c>
      <c r="H184" s="133" t="n">
        <v>54</v>
      </c>
      <c r="I184" s="134" t="n">
        <v>35500</v>
      </c>
      <c r="J184" s="134" t="inlineStr">
        <is>
          <t>11</t>
        </is>
      </c>
      <c r="K184" s="134" t="n">
        <v>30000</v>
      </c>
      <c r="L184" s="134" t="inlineStr">
        <is>
          <t>11</t>
        </is>
      </c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112D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미장동 군산미장아이파크</t>
        </is>
      </c>
      <c r="B185" s="76" t="inlineStr">
        <is>
          <t>15.01.</t>
        </is>
      </c>
      <c r="C185" s="130" t="n">
        <v>1078</v>
      </c>
      <c r="D185" s="131" t="n">
        <v>131.7</v>
      </c>
      <c r="E185" s="132" t="n">
        <v>40</v>
      </c>
      <c r="F185" s="131" t="n">
        <v>100.4</v>
      </c>
      <c r="G185" s="17" t="n">
        <v>30</v>
      </c>
      <c r="H185" s="133" t="n">
        <v>74</v>
      </c>
      <c r="I185" s="134" t="n">
        <v>39500</v>
      </c>
      <c r="J185" s="134" t="inlineStr">
        <is>
          <t>20</t>
        </is>
      </c>
      <c r="K185" s="134" t="n">
        <v>35000</v>
      </c>
      <c r="L185" s="134" t="inlineStr">
        <is>
          <t>10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4</v>
      </c>
      <c r="R185" s="121" t="n">
        <v>2</v>
      </c>
      <c r="S185" s="121" t="inlineStr">
        <is>
          <t>계</t>
        </is>
      </c>
      <c r="T185" s="5" t="n">
        <v>131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미장동 미장코아루</t>
        </is>
      </c>
      <c r="B186" s="76" t="inlineStr">
        <is>
          <t>07.06.</t>
        </is>
      </c>
      <c r="C186" s="130" t="n">
        <v>354</v>
      </c>
      <c r="D186" s="131" t="n">
        <v>160.8</v>
      </c>
      <c r="E186" s="132" t="n">
        <v>49</v>
      </c>
      <c r="F186" s="131" t="n">
        <v>129.2</v>
      </c>
      <c r="G186" s="17" t="n">
        <v>39</v>
      </c>
      <c r="H186" s="133" t="n">
        <v>174</v>
      </c>
      <c r="I186" s="134" t="n">
        <v>36000</v>
      </c>
      <c r="J186" s="134" t="inlineStr">
        <is>
          <t>5</t>
        </is>
      </c>
      <c r="K186" s="134" t="n">
        <v>35000</v>
      </c>
      <c r="L186" s="134" t="inlineStr">
        <is>
          <t>15</t>
        </is>
      </c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160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미장동 미장코아루</t>
        </is>
      </c>
      <c r="B187" s="76" t="inlineStr">
        <is>
          <t>07.06.</t>
        </is>
      </c>
      <c r="C187" s="130" t="n">
        <v>354</v>
      </c>
      <c r="D187" s="131" t="n">
        <v>185.7</v>
      </c>
      <c r="E187" s="132" t="n">
        <v>56</v>
      </c>
      <c r="F187" s="131" t="n">
        <v>152.7</v>
      </c>
      <c r="G187" s="17" t="n">
        <v>46</v>
      </c>
      <c r="H187" s="133" t="n">
        <v>120</v>
      </c>
      <c r="I187" s="134" t="n">
        <v>47500</v>
      </c>
      <c r="J187" s="134" t="inlineStr">
        <is>
          <t>고</t>
        </is>
      </c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4</v>
      </c>
      <c r="R187" s="121" t="n">
        <v>2</v>
      </c>
      <c r="S187" s="121" t="inlineStr">
        <is>
          <t>계</t>
        </is>
      </c>
      <c r="T187" s="5" t="n">
        <v>185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미장동 미장코아루</t>
        </is>
      </c>
      <c r="B188" s="76" t="inlineStr">
        <is>
          <t>07.06.</t>
        </is>
      </c>
      <c r="C188" s="130" t="n">
        <v>354</v>
      </c>
      <c r="D188" s="131" t="n">
        <v>215.8</v>
      </c>
      <c r="E188" s="132" t="n">
        <v>65</v>
      </c>
      <c r="F188" s="131" t="n">
        <v>181.1</v>
      </c>
      <c r="G188" s="17" t="n">
        <v>55</v>
      </c>
      <c r="H188" s="133" t="n">
        <v>60</v>
      </c>
      <c r="I188" s="134" t="n">
        <v>54000</v>
      </c>
      <c r="J188" s="134" t="inlineStr">
        <is>
          <t>6</t>
        </is>
      </c>
      <c r="K188" s="134" t="n">
        <v>45000</v>
      </c>
      <c r="L188" s="134" t="inlineStr">
        <is>
          <t>8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5</v>
      </c>
      <c r="R188" s="121" t="n">
        <v>2</v>
      </c>
      <c r="S188" s="121" t="inlineStr">
        <is>
          <t>계</t>
        </is>
      </c>
      <c r="T188" s="5" t="n">
        <v>215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미장동 수송공원삼성쉐르빌</t>
        </is>
      </c>
      <c r="B189" s="76" t="inlineStr">
        <is>
          <t>09.12.</t>
        </is>
      </c>
      <c r="C189" s="130" t="n">
        <v>654</v>
      </c>
      <c r="D189" s="131" t="n">
        <v>113</v>
      </c>
      <c r="E189" s="132" t="n">
        <v>34</v>
      </c>
      <c r="F189" s="131" t="n">
        <v>84.40000000000001</v>
      </c>
      <c r="G189" s="17" t="n">
        <v>26</v>
      </c>
      <c r="H189" s="133" t="n">
        <v>205</v>
      </c>
      <c r="I189" s="134" t="n">
        <v>31000</v>
      </c>
      <c r="J189" s="134" t="inlineStr">
        <is>
          <t>12</t>
        </is>
      </c>
      <c r="K189" s="134" t="n">
        <v>25000</v>
      </c>
      <c r="L189" s="134" t="inlineStr">
        <is>
          <t>고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113A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미장동 수송공원삼성쉐르빌</t>
        </is>
      </c>
      <c r="B190" s="76" t="inlineStr">
        <is>
          <t>09.12.</t>
        </is>
      </c>
      <c r="C190" s="130" t="n">
        <v>654</v>
      </c>
      <c r="D190" s="131" t="n">
        <v>115.3</v>
      </c>
      <c r="E190" s="132" t="n">
        <v>35</v>
      </c>
      <c r="F190" s="131" t="n">
        <v>84.90000000000001</v>
      </c>
      <c r="G190" s="17" t="n">
        <v>26</v>
      </c>
      <c r="H190" s="133" t="n">
        <v>60</v>
      </c>
      <c r="I190" s="134" t="n">
        <v>29500</v>
      </c>
      <c r="J190" s="134" t="inlineStr">
        <is>
          <t>10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115B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미장동 수송공원삼성쉐르빌</t>
        </is>
      </c>
      <c r="B191" s="76" t="inlineStr">
        <is>
          <t>09.12.</t>
        </is>
      </c>
      <c r="C191" s="130" t="n">
        <v>654</v>
      </c>
      <c r="D191" s="131" t="n">
        <v>135.3</v>
      </c>
      <c r="E191" s="132" t="n">
        <v>41</v>
      </c>
      <c r="F191" s="131" t="n">
        <v>103.8</v>
      </c>
      <c r="G191" s="17" t="n">
        <v>31</v>
      </c>
      <c r="H191" s="133" t="n">
        <v>163</v>
      </c>
      <c r="I191" s="134" t="n">
        <v>34000</v>
      </c>
      <c r="J191" s="134" t="inlineStr">
        <is>
          <t>5</t>
        </is>
      </c>
      <c r="K191" s="134" t="n">
        <v>27000</v>
      </c>
      <c r="L191" s="134" t="inlineStr">
        <is>
          <t>9</t>
        </is>
      </c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135A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미장동 수송공원삼성쉐르빌</t>
        </is>
      </c>
      <c r="B192" s="76" t="inlineStr">
        <is>
          <t>09.12.</t>
        </is>
      </c>
      <c r="C192" s="130" t="n">
        <v>654</v>
      </c>
      <c r="D192" s="131" t="n">
        <v>135.2</v>
      </c>
      <c r="E192" s="132" t="n">
        <v>41</v>
      </c>
      <c r="F192" s="131" t="n">
        <v>104.2</v>
      </c>
      <c r="G192" s="17" t="n">
        <v>32</v>
      </c>
      <c r="H192" s="133" t="n">
        <v>113</v>
      </c>
      <c r="I192" s="134" t="n">
        <v>36500</v>
      </c>
      <c r="J192" s="134" t="inlineStr">
        <is>
          <t>8</t>
        </is>
      </c>
      <c r="K192" s="134" t="n">
        <v>29000</v>
      </c>
      <c r="L192" s="134" t="inlineStr">
        <is>
          <t>11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135B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미장동 수송공원삼성쉐르빌</t>
        </is>
      </c>
      <c r="B193" s="76" t="inlineStr">
        <is>
          <t>09.12.</t>
        </is>
      </c>
      <c r="C193" s="130" t="n">
        <v>654</v>
      </c>
      <c r="D193" s="131" t="n">
        <v>152</v>
      </c>
      <c r="E193" s="132" t="n">
        <v>46</v>
      </c>
      <c r="F193" s="131" t="n">
        <v>121.3</v>
      </c>
      <c r="G193" s="17" t="n">
        <v>37</v>
      </c>
      <c r="H193" s="133" t="n">
        <v>52</v>
      </c>
      <c r="I193" s="134" t="n">
        <v>44000</v>
      </c>
      <c r="J193" s="134" t="inlineStr">
        <is>
          <t>13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4</v>
      </c>
      <c r="R193" s="121" t="n">
        <v>2</v>
      </c>
      <c r="S193" s="121" t="inlineStr">
        <is>
          <t>계</t>
        </is>
      </c>
      <c r="T193" s="5" t="n">
        <v>151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미장동 수송공원삼성쉐르빌</t>
        </is>
      </c>
      <c r="B194" s="76" t="inlineStr">
        <is>
          <t>09.12.</t>
        </is>
      </c>
      <c r="C194" s="130" t="n">
        <v>654</v>
      </c>
      <c r="D194" s="131" t="n">
        <v>181.8</v>
      </c>
      <c r="E194" s="132" t="n">
        <v>55</v>
      </c>
      <c r="F194" s="131" t="n">
        <v>149.9</v>
      </c>
      <c r="G194" s="17" t="n">
        <v>45</v>
      </c>
      <c r="H194" s="133" t="n">
        <v>57</v>
      </c>
      <c r="I194" s="134" t="n">
        <v>45000</v>
      </c>
      <c r="J194" s="134" t="inlineStr">
        <is>
          <t>6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4</v>
      </c>
      <c r="R194" s="121" t="n">
        <v>2</v>
      </c>
      <c r="S194" s="121" t="inlineStr">
        <is>
          <t>계</t>
        </is>
      </c>
      <c r="T194" s="5" t="n">
        <v>181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미장동 수송공원삼성쉐르빌</t>
        </is>
      </c>
      <c r="B195" s="76" t="inlineStr">
        <is>
          <t>09.12.</t>
        </is>
      </c>
      <c r="C195" s="130" t="n">
        <v>654</v>
      </c>
      <c r="D195" s="131" t="n">
        <v>209.2</v>
      </c>
      <c r="E195" s="132" t="n">
        <v>63</v>
      </c>
      <c r="F195" s="131" t="n">
        <v>160.1</v>
      </c>
      <c r="G195" s="17" t="n">
        <v>48</v>
      </c>
      <c r="H195" s="133" t="n">
        <v>4</v>
      </c>
      <c r="I195" s="134" t="n">
        <v>70000</v>
      </c>
      <c r="J195" s="134" t="inlineStr">
        <is>
          <t>15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5</v>
      </c>
      <c r="R195" s="121" t="n">
        <v>2</v>
      </c>
      <c r="S195" s="121" t="inlineStr">
        <is>
          <t>계</t>
        </is>
      </c>
      <c r="T195" s="5" t="n">
        <v>209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미장동 미장대원칸타빌</t>
        </is>
      </c>
      <c r="B196" s="76" t="inlineStr">
        <is>
          <t>18.06.</t>
        </is>
      </c>
      <c r="C196" s="130" t="n">
        <v>805</v>
      </c>
      <c r="D196" s="131" t="n">
        <v>80.3</v>
      </c>
      <c r="E196" s="132" t="n">
        <v>24</v>
      </c>
      <c r="F196" s="131" t="n">
        <v>59.9</v>
      </c>
      <c r="G196" s="17" t="n">
        <v>18</v>
      </c>
      <c r="H196" s="133" t="n">
        <v>78</v>
      </c>
      <c r="I196" s="134" t="n">
        <v>28500</v>
      </c>
      <c r="J196" s="134" t="inlineStr">
        <is>
          <t>19</t>
        </is>
      </c>
      <c r="K196" s="134" t="n">
        <v>21000</v>
      </c>
      <c r="L196" s="134" t="inlineStr">
        <is>
          <t>18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80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미장동 미장대원칸타빌</t>
        </is>
      </c>
      <c r="B197" s="76" t="inlineStr">
        <is>
          <t>18.06.</t>
        </is>
      </c>
      <c r="C197" s="130" t="n">
        <v>805</v>
      </c>
      <c r="D197" s="131" t="n">
        <v>87.90000000000001</v>
      </c>
      <c r="E197" s="132" t="n">
        <v>27</v>
      </c>
      <c r="F197" s="131" t="n">
        <v>65.90000000000001</v>
      </c>
      <c r="G197" s="17" t="n">
        <v>20</v>
      </c>
      <c r="H197" s="133" t="n">
        <v>47</v>
      </c>
      <c r="I197" s="134" t="n">
        <v>28500</v>
      </c>
      <c r="J197" s="134" t="inlineStr">
        <is>
          <t>5</t>
        </is>
      </c>
      <c r="K197" s="134" t="n">
        <v>23000</v>
      </c>
      <c r="L197" s="134" t="inlineStr">
        <is>
          <t>21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87B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미장동 미장대원칸타빌</t>
        </is>
      </c>
      <c r="B198" s="76" t="inlineStr">
        <is>
          <t>18.06.</t>
        </is>
      </c>
      <c r="C198" s="130" t="n">
        <v>805</v>
      </c>
      <c r="D198" s="131" t="n">
        <v>88.7</v>
      </c>
      <c r="E198" s="132" t="n">
        <v>27</v>
      </c>
      <c r="F198" s="131" t="n">
        <v>65.90000000000001</v>
      </c>
      <c r="G198" s="17" t="n">
        <v>20</v>
      </c>
      <c r="H198" s="133" t="n">
        <v>44</v>
      </c>
      <c r="I198" s="134" t="n">
        <v>28500</v>
      </c>
      <c r="J198" s="134" t="inlineStr">
        <is>
          <t>9</t>
        </is>
      </c>
      <c r="K198" s="134" t="n">
        <v>22000</v>
      </c>
      <c r="L198" s="134" t="inlineStr">
        <is>
          <t>18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88A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미장동 미장대원칸타빌</t>
        </is>
      </c>
      <c r="B199" s="76" t="inlineStr">
        <is>
          <t>18.06.</t>
        </is>
      </c>
      <c r="C199" s="130" t="n">
        <v>805</v>
      </c>
      <c r="D199" s="131" t="n">
        <v>100</v>
      </c>
      <c r="E199" s="132" t="n">
        <v>30</v>
      </c>
      <c r="F199" s="131" t="n">
        <v>74.90000000000001</v>
      </c>
      <c r="G199" s="17" t="n">
        <v>23</v>
      </c>
      <c r="H199" s="133" t="n">
        <v>186</v>
      </c>
      <c r="I199" s="134" t="n">
        <v>32500</v>
      </c>
      <c r="J199" s="134" t="inlineStr">
        <is>
          <t>5</t>
        </is>
      </c>
      <c r="K199" s="134" t="n">
        <v>27000</v>
      </c>
      <c r="L199" s="134" t="inlineStr">
        <is>
          <t>6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미장동 미장대원칸타빌</t>
        </is>
      </c>
      <c r="B200" s="76" t="inlineStr">
        <is>
          <t>18.06.</t>
        </is>
      </c>
      <c r="C200" s="130" t="n">
        <v>805</v>
      </c>
      <c r="D200" s="131" t="n">
        <v>99.7</v>
      </c>
      <c r="E200" s="132" t="n">
        <v>30</v>
      </c>
      <c r="F200" s="131" t="n">
        <v>74.90000000000001</v>
      </c>
      <c r="G200" s="17" t="n">
        <v>23</v>
      </c>
      <c r="H200" s="133" t="n">
        <v>18</v>
      </c>
      <c r="I200" s="134" t="n">
        <v>40000</v>
      </c>
      <c r="J200" s="134" t="inlineStr">
        <is>
          <t>8</t>
        </is>
      </c>
      <c r="K200" s="134" t="n">
        <v>28000</v>
      </c>
      <c r="L200" s="134" t="inlineStr">
        <is>
          <t>8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99D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미장동 미장대원칸타빌</t>
        </is>
      </c>
      <c r="B201" s="76" t="inlineStr">
        <is>
          <t>18.06.</t>
        </is>
      </c>
      <c r="C201" s="130" t="n">
        <v>805</v>
      </c>
      <c r="D201" s="131" t="n">
        <v>100.4</v>
      </c>
      <c r="E201" s="132" t="n">
        <v>30</v>
      </c>
      <c r="F201" s="131" t="n">
        <v>74.90000000000001</v>
      </c>
      <c r="G201" s="17" t="n">
        <v>23</v>
      </c>
      <c r="H201" s="133" t="n">
        <v>44</v>
      </c>
      <c r="I201" s="134" t="n">
        <v>32000</v>
      </c>
      <c r="J201" s="134" t="inlineStr">
        <is>
          <t>고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100C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미장동 미장대원칸타빌</t>
        </is>
      </c>
      <c r="B202" s="76" t="inlineStr">
        <is>
          <t>18.06.</t>
        </is>
      </c>
      <c r="C202" s="130" t="n">
        <v>805</v>
      </c>
      <c r="D202" s="131" t="n">
        <v>100.1</v>
      </c>
      <c r="E202" s="132" t="n">
        <v>30</v>
      </c>
      <c r="F202" s="131" t="n">
        <v>75</v>
      </c>
      <c r="G202" s="17" t="n">
        <v>23</v>
      </c>
      <c r="H202" s="133" t="n">
        <v>40</v>
      </c>
      <c r="I202" s="134" t="n">
        <v>34000</v>
      </c>
      <c r="J202" s="134" t="inlineStr">
        <is>
          <t>12</t>
        </is>
      </c>
      <c r="K202" s="134" t="n">
        <v>27000</v>
      </c>
      <c r="L202" s="134" t="inlineStr">
        <is>
          <t>중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100B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미장동 미장대원칸타빌</t>
        </is>
      </c>
      <c r="B203" s="76" t="inlineStr">
        <is>
          <t>18.06.</t>
        </is>
      </c>
      <c r="C203" s="130" t="n">
        <v>805</v>
      </c>
      <c r="D203" s="131" t="n">
        <v>112.4</v>
      </c>
      <c r="E203" s="132" t="n">
        <v>34</v>
      </c>
      <c r="F203" s="131" t="n">
        <v>84.90000000000001</v>
      </c>
      <c r="G203" s="17" t="n">
        <v>26</v>
      </c>
      <c r="H203" s="133" t="n">
        <v>274</v>
      </c>
      <c r="I203" s="134" t="n">
        <v>38000</v>
      </c>
      <c r="J203" s="134" t="inlineStr">
        <is>
          <t>5</t>
        </is>
      </c>
      <c r="K203" s="134" t="n">
        <v>30000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4</v>
      </c>
      <c r="R203" s="121" t="n">
        <v>2</v>
      </c>
      <c r="S203" s="121" t="inlineStr">
        <is>
          <t>계</t>
        </is>
      </c>
      <c r="T203" s="5" t="n">
        <v>112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미장동 미장대원칸타빌</t>
        </is>
      </c>
      <c r="B204" s="76" t="inlineStr">
        <is>
          <t>18.06.</t>
        </is>
      </c>
      <c r="C204" s="130" t="n">
        <v>805</v>
      </c>
      <c r="D204" s="131" t="n">
        <v>134.7</v>
      </c>
      <c r="E204" s="132" t="n">
        <v>41</v>
      </c>
      <c r="F204" s="131" t="n">
        <v>101.8</v>
      </c>
      <c r="G204" s="17" t="n">
        <v>31</v>
      </c>
      <c r="H204" s="133" t="n">
        <v>70</v>
      </c>
      <c r="I204" s="134" t="n">
        <v>48000</v>
      </c>
      <c r="J204" s="134" t="inlineStr">
        <is>
          <t>9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134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미장동 미장대원칸타빌</t>
        </is>
      </c>
      <c r="B205" s="76" t="inlineStr">
        <is>
          <t>18.06.</t>
        </is>
      </c>
      <c r="C205" s="130" t="n">
        <v>805</v>
      </c>
      <c r="D205" s="131" t="n">
        <v>174.2</v>
      </c>
      <c r="E205" s="132" t="n">
        <v>53</v>
      </c>
      <c r="F205" s="131" t="n">
        <v>128.7</v>
      </c>
      <c r="G205" s="17" t="n">
        <v>39</v>
      </c>
      <c r="H205" s="133" t="n">
        <v>4</v>
      </c>
      <c r="I205" s="134" t="n">
        <v>90000</v>
      </c>
      <c r="J205" s="134" t="inlineStr">
        <is>
          <t>25</t>
        </is>
      </c>
      <c r="K205" s="134" t="n">
        <v>50000</v>
      </c>
      <c r="L205" s="134" t="inlineStr">
        <is>
          <t>25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4</v>
      </c>
      <c r="R205" s="121" t="n">
        <v>2</v>
      </c>
      <c r="S205" s="121" t="inlineStr">
        <is>
          <t>계</t>
        </is>
      </c>
      <c r="T205" s="5" t="n">
        <v>174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사정동 금호타운2단지</t>
        </is>
      </c>
      <c r="B206" s="76" t="inlineStr">
        <is>
          <t>96.11.</t>
        </is>
      </c>
      <c r="C206" s="130" t="n">
        <v>358</v>
      </c>
      <c r="D206" s="131" t="n">
        <v>76.2</v>
      </c>
      <c r="E206" s="132" t="n">
        <v>23</v>
      </c>
      <c r="F206" s="131" t="n">
        <v>59.6</v>
      </c>
      <c r="G206" s="17" t="n">
        <v>18</v>
      </c>
      <c r="H206" s="133" t="n">
        <v>150</v>
      </c>
      <c r="I206" s="134" t="n">
        <v>13000</v>
      </c>
      <c r="J206" s="134" t="inlineStr">
        <is>
          <t>12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76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사정동 금호타운2단지</t>
        </is>
      </c>
      <c r="B207" s="76" t="inlineStr">
        <is>
          <t>96.11.</t>
        </is>
      </c>
      <c r="C207" s="130" t="n">
        <v>358</v>
      </c>
      <c r="D207" s="131" t="n">
        <v>103</v>
      </c>
      <c r="E207" s="132" t="n">
        <v>31</v>
      </c>
      <c r="F207" s="131" t="n">
        <v>84.59999999999999</v>
      </c>
      <c r="G207" s="17" t="n">
        <v>26</v>
      </c>
      <c r="H207" s="133" t="n">
        <v>208</v>
      </c>
      <c r="I207" s="134" t="n">
        <v>17000</v>
      </c>
      <c r="J207" s="134" t="inlineStr">
        <is>
          <t>중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n">
        <v>102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사정동 금호타운1단지</t>
        </is>
      </c>
      <c r="B208" s="76" t="inlineStr">
        <is>
          <t>93.02.</t>
        </is>
      </c>
      <c r="C208" s="130" t="n">
        <v>342</v>
      </c>
      <c r="D208" s="131" t="n">
        <v>89.40000000000001</v>
      </c>
      <c r="E208" s="132" t="n">
        <v>27</v>
      </c>
      <c r="F208" s="131" t="n">
        <v>73.09999999999999</v>
      </c>
      <c r="G208" s="17" t="n">
        <v>22</v>
      </c>
      <c r="H208" s="133" t="n">
        <v>138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89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사정동 금호타운1단지</t>
        </is>
      </c>
      <c r="B209" s="76" t="inlineStr">
        <is>
          <t>93.02.</t>
        </is>
      </c>
      <c r="C209" s="130" t="n">
        <v>342</v>
      </c>
      <c r="D209" s="131" t="n">
        <v>102</v>
      </c>
      <c r="E209" s="132" t="n">
        <v>31</v>
      </c>
      <c r="F209" s="131" t="n">
        <v>84.8</v>
      </c>
      <c r="G209" s="17" t="n">
        <v>26</v>
      </c>
      <c r="H209" s="133" t="n">
        <v>204</v>
      </c>
      <c r="I209" s="134" t="n">
        <v>13000</v>
      </c>
      <c r="J209" s="134" t="inlineStr">
        <is>
          <t>9</t>
        </is>
      </c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n">
        <v>102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산북동 시영1단지</t>
        </is>
      </c>
      <c r="B210" s="76" t="inlineStr">
        <is>
          <t>90.12.</t>
        </is>
      </c>
      <c r="C210" s="130" t="n">
        <v>280</v>
      </c>
      <c r="D210" s="131" t="n">
        <v>43.9</v>
      </c>
      <c r="E210" s="132" t="n">
        <v>13</v>
      </c>
      <c r="F210" s="131" t="n">
        <v>34.4</v>
      </c>
      <c r="G210" s="17" t="n">
        <v>10</v>
      </c>
      <c r="H210" s="133" t="n">
        <v>40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2</v>
      </c>
      <c r="R210" s="121" t="n">
        <v>1</v>
      </c>
      <c r="S210" s="121" t="inlineStr">
        <is>
          <t>계</t>
        </is>
      </c>
      <c r="T210" s="5" t="inlineStr">
        <is>
          <t>43A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산북동 시영1단지</t>
        </is>
      </c>
      <c r="B211" s="76" t="inlineStr">
        <is>
          <t>90.12.</t>
        </is>
      </c>
      <c r="C211" s="130" t="n">
        <v>280</v>
      </c>
      <c r="D211" s="131" t="n">
        <v>44.1</v>
      </c>
      <c r="E211" s="132" t="n">
        <v>13</v>
      </c>
      <c r="F211" s="131" t="n">
        <v>34.7</v>
      </c>
      <c r="G211" s="17" t="n">
        <v>10</v>
      </c>
      <c r="H211" s="133" t="n">
        <v>40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inlineStr">
        <is>
          <t>44B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산북동 시영1단지</t>
        </is>
      </c>
      <c r="B212" s="76" t="inlineStr">
        <is>
          <t>90.12.</t>
        </is>
      </c>
      <c r="C212" s="130" t="n">
        <v>280</v>
      </c>
      <c r="D212" s="131" t="n">
        <v>53.4</v>
      </c>
      <c r="E212" s="132" t="n">
        <v>16</v>
      </c>
      <c r="F212" s="131" t="n">
        <v>43.5</v>
      </c>
      <c r="G212" s="17" t="n">
        <v>13</v>
      </c>
      <c r="H212" s="133" t="n">
        <v>150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inlineStr">
        <is>
          <t>53A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산북동 시영1단지</t>
        </is>
      </c>
      <c r="B213" s="76" t="inlineStr">
        <is>
          <t>90.12.</t>
        </is>
      </c>
      <c r="C213" s="130" t="n">
        <v>280</v>
      </c>
      <c r="D213" s="131" t="n">
        <v>54</v>
      </c>
      <c r="E213" s="132" t="n">
        <v>16</v>
      </c>
      <c r="F213" s="131" t="n">
        <v>44.1</v>
      </c>
      <c r="G213" s="17" t="n">
        <v>13</v>
      </c>
      <c r="H213" s="133" t="n">
        <v>50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inlineStr">
        <is>
          <t>54B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산북동 산북대명1차</t>
        </is>
      </c>
      <c r="B214" s="76" t="inlineStr">
        <is>
          <t>97.09.</t>
        </is>
      </c>
      <c r="C214" s="130" t="n">
        <v>225</v>
      </c>
      <c r="D214" s="131" t="n">
        <v>56.1</v>
      </c>
      <c r="E214" s="132" t="n">
        <v>17</v>
      </c>
      <c r="F214" s="131" t="n">
        <v>40</v>
      </c>
      <c r="G214" s="17" t="n">
        <v>12</v>
      </c>
      <c r="H214" s="133" t="n">
        <v>225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복</t>
        </is>
      </c>
      <c r="T214" s="5" t="n">
        <v>56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산북동 시영2단지</t>
        </is>
      </c>
      <c r="B215" s="76" t="inlineStr">
        <is>
          <t>91.11.</t>
        </is>
      </c>
      <c r="C215" s="130" t="n">
        <v>200</v>
      </c>
      <c r="D215" s="131" t="n">
        <v>44.5</v>
      </c>
      <c r="E215" s="132" t="n">
        <v>13</v>
      </c>
      <c r="F215" s="131" t="n">
        <v>35.4</v>
      </c>
      <c r="G215" s="17" t="n">
        <v>11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44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산북동 시영2단지</t>
        </is>
      </c>
      <c r="B216" s="76" t="inlineStr">
        <is>
          <t>91.11.</t>
        </is>
      </c>
      <c r="C216" s="130" t="n">
        <v>200</v>
      </c>
      <c r="D216" s="131" t="n">
        <v>59.9</v>
      </c>
      <c r="E216" s="132" t="n">
        <v>18</v>
      </c>
      <c r="F216" s="131" t="n">
        <v>48.5</v>
      </c>
      <c r="G216" s="17" t="n">
        <v>15</v>
      </c>
      <c r="H216" s="133" t="n">
        <v>100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계</t>
        </is>
      </c>
      <c r="T216" s="5" t="n">
        <v>59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산북동 코오롱</t>
        </is>
      </c>
      <c r="B217" s="76" t="inlineStr">
        <is>
          <t>94.11.</t>
        </is>
      </c>
      <c r="C217" s="130" t="n">
        <v>380</v>
      </c>
      <c r="D217" s="131" t="n">
        <v>75.90000000000001</v>
      </c>
      <c r="E217" s="132" t="n">
        <v>23</v>
      </c>
      <c r="F217" s="131" t="n">
        <v>59.4</v>
      </c>
      <c r="G217" s="17" t="n">
        <v>18</v>
      </c>
      <c r="H217" s="133" t="n">
        <v>254</v>
      </c>
      <c r="I217" s="134" t="n">
        <v>9000</v>
      </c>
      <c r="J217" s="134" t="inlineStr">
        <is>
          <t>10</t>
        </is>
      </c>
      <c r="K217" s="134" t="n">
        <v>8000</v>
      </c>
      <c r="L217" s="134" t="inlineStr">
        <is>
          <t>9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75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산북동 코오롱</t>
        </is>
      </c>
      <c r="B218" s="76" t="inlineStr">
        <is>
          <t>94.11.</t>
        </is>
      </c>
      <c r="C218" s="130" t="n">
        <v>380</v>
      </c>
      <c r="D218" s="131" t="n">
        <v>102.9</v>
      </c>
      <c r="E218" s="132" t="n">
        <v>31</v>
      </c>
      <c r="F218" s="131" t="n">
        <v>84.5</v>
      </c>
      <c r="G218" s="17" t="n">
        <v>26</v>
      </c>
      <c r="H218" s="133" t="n">
        <v>126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n">
        <v>102</v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산북동 산북주공</t>
        </is>
      </c>
      <c r="B219" s="76" t="inlineStr">
        <is>
          <t>89.04.</t>
        </is>
      </c>
      <c r="C219" s="130" t="n">
        <v>750</v>
      </c>
      <c r="D219" s="131" t="n">
        <v>49.9</v>
      </c>
      <c r="E219" s="132" t="n">
        <v>15</v>
      </c>
      <c r="F219" s="131" t="n">
        <v>39.7</v>
      </c>
      <c r="G219" s="17" t="n">
        <v>12</v>
      </c>
      <c r="H219" s="133" t="n">
        <v>110</v>
      </c>
      <c r="I219" s="134" t="n">
        <v>8000</v>
      </c>
      <c r="J219" s="134" t="inlineStr">
        <is>
          <t>5</t>
        </is>
      </c>
      <c r="K219" s="134" t="n">
        <v>2000</v>
      </c>
      <c r="L219" s="134" t="inlineStr">
        <is>
          <t>5</t>
        </is>
      </c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2</v>
      </c>
      <c r="R219" s="121" t="n">
        <v>1</v>
      </c>
      <c r="S219" s="121" t="inlineStr">
        <is>
          <t>계</t>
        </is>
      </c>
      <c r="T219" s="5" t="inlineStr">
        <is>
          <t>49A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산북동 산북주공</t>
        </is>
      </c>
      <c r="B220" s="76" t="inlineStr">
        <is>
          <t>89.04.</t>
        </is>
      </c>
      <c r="C220" s="130" t="n">
        <v>750</v>
      </c>
      <c r="D220" s="131" t="n">
        <v>49.5</v>
      </c>
      <c r="E220" s="132" t="n">
        <v>15</v>
      </c>
      <c r="F220" s="131" t="n">
        <v>39.3</v>
      </c>
      <c r="G220" s="17" t="n">
        <v>12</v>
      </c>
      <c r="H220" s="133" t="n">
        <v>110</v>
      </c>
      <c r="I220" s="134" t="n">
        <v>8700</v>
      </c>
      <c r="J220" s="134" t="inlineStr">
        <is>
          <t>5</t>
        </is>
      </c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2</v>
      </c>
      <c r="R220" s="121" t="n">
        <v>1</v>
      </c>
      <c r="S220" s="121" t="inlineStr">
        <is>
          <t>계</t>
        </is>
      </c>
      <c r="T220" s="5" t="inlineStr">
        <is>
          <t>49B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산북동 산북주공</t>
        </is>
      </c>
      <c r="B221" s="76" t="inlineStr">
        <is>
          <t>89.04.</t>
        </is>
      </c>
      <c r="C221" s="130" t="n">
        <v>750</v>
      </c>
      <c r="D221" s="131" t="n">
        <v>57.9</v>
      </c>
      <c r="E221" s="132" t="n">
        <v>18</v>
      </c>
      <c r="F221" s="131" t="n">
        <v>47</v>
      </c>
      <c r="G221" s="17" t="n">
        <v>14</v>
      </c>
      <c r="H221" s="133" t="n">
        <v>290</v>
      </c>
      <c r="I221" s="134" t="n">
        <v>8500</v>
      </c>
      <c r="J221" s="134" t="inlineStr">
        <is>
          <t>5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산북동 산북주공</t>
        </is>
      </c>
      <c r="B222" s="76" t="inlineStr">
        <is>
          <t>89.04.</t>
        </is>
      </c>
      <c r="C222" s="130" t="n">
        <v>750</v>
      </c>
      <c r="D222" s="131" t="n">
        <v>57.6</v>
      </c>
      <c r="E222" s="132" t="n">
        <v>17</v>
      </c>
      <c r="F222" s="131" t="n">
        <v>46.7</v>
      </c>
      <c r="G222" s="17" t="n">
        <v>14</v>
      </c>
      <c r="H222" s="133" t="n">
        <v>240</v>
      </c>
      <c r="I222" s="134" t="n">
        <v>8500</v>
      </c>
      <c r="J222" s="134" t="inlineStr">
        <is>
          <t>5</t>
        </is>
      </c>
      <c r="K222" s="134" t="n">
        <v>2500</v>
      </c>
      <c r="L222" s="134" t="inlineStr">
        <is>
          <t>5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57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산북동 산북하늘가201동</t>
        </is>
      </c>
      <c r="B223" s="76" t="inlineStr">
        <is>
          <t>07.02.</t>
        </is>
      </c>
      <c r="C223" s="130" t="n">
        <v>220</v>
      </c>
      <c r="D223" s="131" t="n">
        <v>49</v>
      </c>
      <c r="E223" s="132" t="n">
        <v>15</v>
      </c>
      <c r="F223" s="131" t="n">
        <v>35.9</v>
      </c>
      <c r="G223" s="17" t="n">
        <v>11</v>
      </c>
      <c r="H223" s="133" t="n">
        <v>220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1</v>
      </c>
      <c r="R223" s="121" t="n">
        <v>1</v>
      </c>
      <c r="S223" s="121" t="inlineStr">
        <is>
          <t>계</t>
        </is>
      </c>
      <c r="T223" s="5" t="n">
        <v>48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산북동 하늘가1차</t>
        </is>
      </c>
      <c r="B224" s="76" t="inlineStr">
        <is>
          <t>01.08.</t>
        </is>
      </c>
      <c r="C224" s="130" t="n">
        <v>221</v>
      </c>
      <c r="D224" s="131" t="n">
        <v>52</v>
      </c>
      <c r="E224" s="132" t="n">
        <v>16</v>
      </c>
      <c r="F224" s="131" t="n">
        <v>40</v>
      </c>
      <c r="G224" s="17" t="n">
        <v>12</v>
      </c>
      <c r="H224" s="133" t="n">
        <v>221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2</v>
      </c>
      <c r="R224" s="121" t="n">
        <v>1</v>
      </c>
      <c r="S224" s="121" t="inlineStr">
        <is>
          <t>복</t>
        </is>
      </c>
      <c r="T224" s="5" t="n">
        <v>52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산북동 산북부향하나로4차</t>
        </is>
      </c>
      <c r="B225" s="76" t="inlineStr">
        <is>
          <t>97.12.</t>
        </is>
      </c>
      <c r="C225" s="130" t="n">
        <v>404</v>
      </c>
      <c r="D225" s="131" t="n">
        <v>40.3</v>
      </c>
      <c r="E225" s="132" t="n">
        <v>12</v>
      </c>
      <c r="F225" s="131" t="n">
        <v>30.3</v>
      </c>
      <c r="G225" s="17" t="n">
        <v>9</v>
      </c>
      <c r="H225" s="133" t="n">
        <v>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1</v>
      </c>
      <c r="R225" s="121" t="n">
        <v>1</v>
      </c>
      <c r="S225" s="121" t="inlineStr">
        <is>
          <t>계</t>
        </is>
      </c>
      <c r="T225" s="5" t="n">
        <v>40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산북동 산북부향하나로4차</t>
        </is>
      </c>
      <c r="B226" s="76" t="inlineStr">
        <is>
          <t>97.12.</t>
        </is>
      </c>
      <c r="C226" s="130" t="n">
        <v>404</v>
      </c>
      <c r="D226" s="131" t="n">
        <v>52.1</v>
      </c>
      <c r="E226" s="132" t="n">
        <v>16</v>
      </c>
      <c r="F226" s="131" t="n">
        <v>39.1</v>
      </c>
      <c r="G226" s="17" t="n">
        <v>12</v>
      </c>
      <c r="H226" s="133" t="n">
        <v>105</v>
      </c>
      <c r="I226" s="134" t="n">
        <v>2000</v>
      </c>
      <c r="J226" s="134" t="inlineStr">
        <is>
          <t>11</t>
        </is>
      </c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1</v>
      </c>
      <c r="R226" s="121" t="n">
        <v>1</v>
      </c>
      <c r="S226" s="121" t="inlineStr">
        <is>
          <t>계</t>
        </is>
      </c>
      <c r="T226" s="5" t="n">
        <v>52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산북동 부향하나로1차</t>
        </is>
      </c>
      <c r="B227" s="76" t="inlineStr">
        <is>
          <t>97.03.</t>
        </is>
      </c>
      <c r="C227" s="130" t="n">
        <v>349</v>
      </c>
      <c r="D227" s="131" t="n">
        <v>35.6</v>
      </c>
      <c r="E227" s="132" t="n">
        <v>11</v>
      </c>
      <c r="F227" s="131" t="n">
        <v>27</v>
      </c>
      <c r="G227" s="17" t="n">
        <v>8</v>
      </c>
      <c r="H227" s="133" t="n">
        <v>54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1</v>
      </c>
      <c r="R227" s="121" t="n">
        <v>1</v>
      </c>
      <c r="S227" s="121" t="inlineStr">
        <is>
          <t>복</t>
        </is>
      </c>
      <c r="T227" s="5" t="n">
        <v>35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산북동 부향하나로1차</t>
        </is>
      </c>
      <c r="B228" s="76" t="inlineStr">
        <is>
          <t>97.03.</t>
        </is>
      </c>
      <c r="C228" s="130" t="n">
        <v>349</v>
      </c>
      <c r="D228" s="131" t="n">
        <v>51.5</v>
      </c>
      <c r="E228" s="132" t="n">
        <v>16</v>
      </c>
      <c r="F228" s="131" t="n">
        <v>39</v>
      </c>
      <c r="G228" s="17" t="n">
        <v>12</v>
      </c>
      <c r="H228" s="133" t="n">
        <v>295</v>
      </c>
      <c r="I228" s="134" t="n">
        <v>2100</v>
      </c>
      <c r="J228" s="134" t="inlineStr">
        <is>
          <t>7</t>
        </is>
      </c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2</v>
      </c>
      <c r="R228" s="121" t="n">
        <v>1</v>
      </c>
      <c r="S228" s="121" t="inlineStr">
        <is>
          <t>복</t>
        </is>
      </c>
      <c r="T228" s="5" t="n">
        <v>51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삼학동 군산삼학대우</t>
        </is>
      </c>
      <c r="B229" s="76" t="inlineStr">
        <is>
          <t>96.07.</t>
        </is>
      </c>
      <c r="C229" s="130" t="n">
        <v>381</v>
      </c>
      <c r="D229" s="131" t="n">
        <v>81.09999999999999</v>
      </c>
      <c r="E229" s="132" t="n">
        <v>25</v>
      </c>
      <c r="F229" s="131" t="n">
        <v>59.9</v>
      </c>
      <c r="G229" s="17" t="n">
        <v>18</v>
      </c>
      <c r="H229" s="133" t="n">
        <v>159</v>
      </c>
      <c r="I229" s="134" t="n">
        <v>8500</v>
      </c>
      <c r="J229" s="134" t="inlineStr">
        <is>
          <t>6</t>
        </is>
      </c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복</t>
        </is>
      </c>
      <c r="T229" s="5" t="n">
        <v>81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삼학동 군산삼학대우</t>
        </is>
      </c>
      <c r="B230" s="76" t="inlineStr">
        <is>
          <t>96.07.</t>
        </is>
      </c>
      <c r="C230" s="130" t="n">
        <v>381</v>
      </c>
      <c r="D230" s="131" t="n">
        <v>104.4</v>
      </c>
      <c r="E230" s="132" t="n">
        <v>32</v>
      </c>
      <c r="F230" s="131" t="n">
        <v>84.90000000000001</v>
      </c>
      <c r="G230" s="17" t="n">
        <v>26</v>
      </c>
      <c r="H230" s="133" t="n">
        <v>132</v>
      </c>
      <c r="I230" s="134" t="n">
        <v>16500</v>
      </c>
      <c r="J230" s="134" t="inlineStr">
        <is>
          <t>9</t>
        </is>
      </c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n">
        <v>104</v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삼학동 군산삼학대우</t>
        </is>
      </c>
      <c r="B231" s="76" t="inlineStr">
        <is>
          <t>96.07.</t>
        </is>
      </c>
      <c r="C231" s="130" t="n">
        <v>381</v>
      </c>
      <c r="D231" s="131" t="n">
        <v>155.2</v>
      </c>
      <c r="E231" s="132" t="n">
        <v>47</v>
      </c>
      <c r="F231" s="131" t="n">
        <v>131.4</v>
      </c>
      <c r="G231" s="17" t="n">
        <v>40</v>
      </c>
      <c r="H231" s="133" t="n">
        <v>90</v>
      </c>
      <c r="I231" s="134" t="n">
        <v>17300</v>
      </c>
      <c r="J231" s="134" t="inlineStr">
        <is>
          <t>8</t>
        </is>
      </c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4</v>
      </c>
      <c r="R231" s="121" t="n">
        <v>2</v>
      </c>
      <c r="S231" s="121" t="inlineStr">
        <is>
          <t>계</t>
        </is>
      </c>
      <c r="T231" s="5" t="n">
        <v>155</v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서흥남동 고려타운</t>
        </is>
      </c>
      <c r="B232" s="76" t="inlineStr">
        <is>
          <t>92.05.</t>
        </is>
      </c>
      <c r="C232" s="130" t="n">
        <v>226</v>
      </c>
      <c r="D232" s="131" t="n">
        <v>56.3</v>
      </c>
      <c r="E232" s="132" t="n">
        <v>17</v>
      </c>
      <c r="F232" s="131" t="n">
        <v>43.1</v>
      </c>
      <c r="G232" s="17" t="n">
        <v>13</v>
      </c>
      <c r="H232" s="133" t="n">
        <v>12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2</v>
      </c>
      <c r="R232" s="121" t="n">
        <v>1</v>
      </c>
      <c r="S232" s="121" t="inlineStr">
        <is>
          <t>계</t>
        </is>
      </c>
      <c r="T232" s="5" t="n">
        <v>56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서흥남동 고려타운</t>
        </is>
      </c>
      <c r="B233" s="76" t="inlineStr">
        <is>
          <t>92.05.</t>
        </is>
      </c>
      <c r="C233" s="130" t="n">
        <v>226</v>
      </c>
      <c r="D233" s="131" t="n">
        <v>64.8</v>
      </c>
      <c r="E233" s="132" t="n">
        <v>20</v>
      </c>
      <c r="F233" s="131" t="n">
        <v>49</v>
      </c>
      <c r="G233" s="17" t="n">
        <v>15</v>
      </c>
      <c r="H233" s="133" t="n">
        <v>20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2</v>
      </c>
      <c r="R233" s="121" t="n">
        <v>1</v>
      </c>
      <c r="S233" s="121" t="inlineStr">
        <is>
          <t>계</t>
        </is>
      </c>
      <c r="T233" s="5" t="n">
        <v>64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서흥남동 고려타운</t>
        </is>
      </c>
      <c r="B234" s="76" t="inlineStr">
        <is>
          <t>92.05.</t>
        </is>
      </c>
      <c r="C234" s="130" t="n">
        <v>226</v>
      </c>
      <c r="D234" s="131" t="n">
        <v>74.59999999999999</v>
      </c>
      <c r="E234" s="132" t="n">
        <v>23</v>
      </c>
      <c r="F234" s="131" t="n">
        <v>58.8</v>
      </c>
      <c r="G234" s="17" t="n">
        <v>18</v>
      </c>
      <c r="H234" s="133" t="n">
        <v>18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74A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서흥남동 고려타운</t>
        </is>
      </c>
      <c r="B235" s="76" t="inlineStr">
        <is>
          <t>92.05.</t>
        </is>
      </c>
      <c r="C235" s="130" t="n">
        <v>226</v>
      </c>
      <c r="D235" s="131" t="n">
        <v>76.90000000000001</v>
      </c>
      <c r="E235" s="132" t="n">
        <v>23</v>
      </c>
      <c r="F235" s="131" t="n">
        <v>59.5</v>
      </c>
      <c r="G235" s="17" t="n">
        <v>18</v>
      </c>
      <c r="H235" s="133" t="n">
        <v>56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76C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서흥남동 고려타운</t>
        </is>
      </c>
      <c r="B236" s="76" t="inlineStr">
        <is>
          <t>92.05.</t>
        </is>
      </c>
      <c r="C236" s="130" t="n">
        <v>226</v>
      </c>
      <c r="D236" s="131" t="n">
        <v>77.5</v>
      </c>
      <c r="E236" s="132" t="n">
        <v>23</v>
      </c>
      <c r="F236" s="131" t="n">
        <v>59.7</v>
      </c>
      <c r="G236" s="17" t="n">
        <v>18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77B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서흥남동 고려타운</t>
        </is>
      </c>
      <c r="B237" s="76" t="inlineStr">
        <is>
          <t>92.05.</t>
        </is>
      </c>
      <c r="C237" s="130" t="n">
        <v>226</v>
      </c>
      <c r="D237" s="131" t="n">
        <v>77.5</v>
      </c>
      <c r="E237" s="132" t="n">
        <v>23</v>
      </c>
      <c r="F237" s="131" t="n">
        <v>59.5</v>
      </c>
      <c r="G237" s="17" t="n">
        <v>18</v>
      </c>
      <c r="H237" s="133" t="n">
        <v>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77D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서흥남동 고려타운</t>
        </is>
      </c>
      <c r="B238" s="76" t="inlineStr">
        <is>
          <t>92.05.</t>
        </is>
      </c>
      <c r="C238" s="130" t="n">
        <v>226</v>
      </c>
      <c r="D238" s="131" t="n">
        <v>104.9</v>
      </c>
      <c r="E238" s="132" t="n">
        <v>32</v>
      </c>
      <c r="F238" s="131" t="n">
        <v>84.8</v>
      </c>
      <c r="G238" s="17" t="n">
        <v>26</v>
      </c>
      <c r="H238" s="133" t="n">
        <v>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104B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서흥남동 고려타운</t>
        </is>
      </c>
      <c r="B239" s="76" t="inlineStr">
        <is>
          <t>92.05.</t>
        </is>
      </c>
      <c r="C239" s="130" t="n">
        <v>226</v>
      </c>
      <c r="D239" s="131" t="n">
        <v>105.4</v>
      </c>
      <c r="E239" s="132" t="n">
        <v>32</v>
      </c>
      <c r="F239" s="131" t="n">
        <v>84.59999999999999</v>
      </c>
      <c r="G239" s="17" t="n">
        <v>26</v>
      </c>
      <c r="H239" s="133" t="n">
        <v>24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105A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서흥남동 고려타운</t>
        </is>
      </c>
      <c r="B240" s="76" t="inlineStr">
        <is>
          <t>92.05.</t>
        </is>
      </c>
      <c r="C240" s="130" t="n">
        <v>226</v>
      </c>
      <c r="D240" s="131" t="n">
        <v>110</v>
      </c>
      <c r="E240" s="132" t="n">
        <v>33</v>
      </c>
      <c r="F240" s="131" t="n">
        <v>80.59999999999999</v>
      </c>
      <c r="G240" s="17" t="n">
        <v>24</v>
      </c>
      <c r="H240" s="133" t="n">
        <v>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복</t>
        </is>
      </c>
      <c r="T240" s="5" t="n">
        <v>109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서흥남동 고려타운</t>
        </is>
      </c>
      <c r="B241" s="76" t="inlineStr">
        <is>
          <t>92.05.</t>
        </is>
      </c>
      <c r="C241" s="130" t="n">
        <v>226</v>
      </c>
      <c r="D241" s="131" t="n">
        <v>110.8</v>
      </c>
      <c r="E241" s="132" t="n">
        <v>34</v>
      </c>
      <c r="F241" s="131" t="n">
        <v>81.3</v>
      </c>
      <c r="G241" s="17" t="n">
        <v>25</v>
      </c>
      <c r="H241" s="133" t="n">
        <v>5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복</t>
        </is>
      </c>
      <c r="T241" s="5" t="n">
        <v>110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소룡동 군산성원</t>
        </is>
      </c>
      <c r="B242" s="76" t="inlineStr">
        <is>
          <t>04.07.</t>
        </is>
      </c>
      <c r="C242" s="130" t="n">
        <v>675</v>
      </c>
      <c r="D242" s="131" t="n">
        <v>75</v>
      </c>
      <c r="E242" s="132" t="n">
        <v>23</v>
      </c>
      <c r="F242" s="131" t="n">
        <v>59.7</v>
      </c>
      <c r="G242" s="17" t="n">
        <v>18</v>
      </c>
      <c r="H242" s="133" t="n">
        <v>270</v>
      </c>
      <c r="I242" s="134" t="n">
        <v>9000</v>
      </c>
      <c r="J242" s="134" t="inlineStr">
        <is>
          <t>12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1</v>
      </c>
      <c r="S242" s="121" t="inlineStr">
        <is>
          <t>계</t>
        </is>
      </c>
      <c r="T242" s="5" t="n">
        <v>75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소룡동 군산성원</t>
        </is>
      </c>
      <c r="B243" s="76" t="inlineStr">
        <is>
          <t>04.07.</t>
        </is>
      </c>
      <c r="C243" s="130" t="n">
        <v>675</v>
      </c>
      <c r="D243" s="131" t="n">
        <v>106.8</v>
      </c>
      <c r="E243" s="132" t="n">
        <v>32</v>
      </c>
      <c r="F243" s="131" t="n">
        <v>85</v>
      </c>
      <c r="G243" s="17" t="n">
        <v>26</v>
      </c>
      <c r="H243" s="133" t="n">
        <v>405</v>
      </c>
      <c r="I243" s="134" t="n">
        <v>11000</v>
      </c>
      <c r="J243" s="134" t="inlineStr">
        <is>
          <t>8</t>
        </is>
      </c>
      <c r="K243" s="134" t="n">
        <v>10000</v>
      </c>
      <c r="L243" s="134" t="inlineStr">
        <is>
          <t>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n">
        <v>106</v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7">
      <c r="A244" s="75" t="inlineStr">
        <is>
          <t>소룡동 금강골드빌</t>
        </is>
      </c>
      <c r="B244" s="76" t="inlineStr">
        <is>
          <t>03.02.</t>
        </is>
      </c>
      <c r="C244" s="130" t="n">
        <v>294</v>
      </c>
      <c r="D244" s="131" t="n">
        <v>113.6</v>
      </c>
      <c r="E244" s="132" t="n">
        <v>34</v>
      </c>
      <c r="F244" s="131" t="n">
        <v>84.7</v>
      </c>
      <c r="G244" s="17" t="n">
        <v>26</v>
      </c>
      <c r="H244" s="133" t="n">
        <v>294</v>
      </c>
      <c r="I244" s="134" t="n"/>
      <c r="J244" s="134" t="n"/>
      <c r="K244" s="134" t="n"/>
      <c r="L244" s="134" t="n"/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n">
        <v>113</v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7">
      <c r="A245" s="75" t="inlineStr">
        <is>
          <t>소룡동 그린서해맨션</t>
        </is>
      </c>
      <c r="B245" s="76" t="inlineStr">
        <is>
          <t>93.12.</t>
        </is>
      </c>
      <c r="C245" s="130" t="n">
        <v>350</v>
      </c>
      <c r="D245" s="131" t="n">
        <v>77.8</v>
      </c>
      <c r="E245" s="132" t="n">
        <v>24</v>
      </c>
      <c r="F245" s="131" t="n">
        <v>59.4</v>
      </c>
      <c r="G245" s="17" t="n">
        <v>18</v>
      </c>
      <c r="H245" s="133" t="n">
        <v>174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1</v>
      </c>
      <c r="S245" s="121" t="inlineStr">
        <is>
          <t>복</t>
        </is>
      </c>
      <c r="T245" s="5" t="inlineStr">
        <is>
          <t>77A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7">
      <c r="A246" s="75" t="inlineStr">
        <is>
          <t>소룡동 그린서해맨션</t>
        </is>
      </c>
      <c r="B246" s="76" t="inlineStr">
        <is>
          <t>93.12.</t>
        </is>
      </c>
      <c r="C246" s="130" t="n">
        <v>350</v>
      </c>
      <c r="D246" s="131" t="n">
        <v>79.3</v>
      </c>
      <c r="E246" s="132" t="n">
        <v>24</v>
      </c>
      <c r="F246" s="131" t="n">
        <v>59.4</v>
      </c>
      <c r="G246" s="17" t="n">
        <v>18</v>
      </c>
      <c r="H246" s="133" t="n">
        <v>60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1</v>
      </c>
      <c r="S246" s="121" t="inlineStr">
        <is>
          <t>복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7">
      <c r="A247" s="75" t="inlineStr">
        <is>
          <t>소룡동 그린서해맨션</t>
        </is>
      </c>
      <c r="B247" s="76" t="inlineStr">
        <is>
          <t>93.12.</t>
        </is>
      </c>
      <c r="C247" s="130" t="n">
        <v>350</v>
      </c>
      <c r="D247" s="131" t="n">
        <v>91.40000000000001</v>
      </c>
      <c r="E247" s="132" t="n">
        <v>28</v>
      </c>
      <c r="F247" s="131" t="n">
        <v>75</v>
      </c>
      <c r="G247" s="17" t="n">
        <v>23</v>
      </c>
      <c r="H247" s="133" t="n">
        <v>59</v>
      </c>
      <c r="I247" s="134" t="n">
        <v>8000</v>
      </c>
      <c r="J247" s="134" t="inlineStr">
        <is>
          <t>7</t>
        </is>
      </c>
      <c r="K247" s="134" t="n"/>
      <c r="L247" s="134" t="n"/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1</v>
      </c>
      <c r="S247" s="121" t="inlineStr">
        <is>
          <t>계</t>
        </is>
      </c>
      <c r="T247" s="5" t="n">
        <v>91</v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7">
      <c r="A248" s="75" t="inlineStr">
        <is>
          <t>소룡동 그린서해맨션</t>
        </is>
      </c>
      <c r="B248" s="76" t="inlineStr">
        <is>
          <t>93.12.</t>
        </is>
      </c>
      <c r="C248" s="130" t="n">
        <v>350</v>
      </c>
      <c r="D248" s="131" t="n">
        <v>101.3</v>
      </c>
      <c r="E248" s="132" t="n">
        <v>31</v>
      </c>
      <c r="F248" s="131" t="n">
        <v>75</v>
      </c>
      <c r="G248" s="17" t="n">
        <v>23</v>
      </c>
      <c r="H248" s="133" t="n">
        <v>1</v>
      </c>
      <c r="I248" s="134" t="n"/>
      <c r="J248" s="134" t="n"/>
      <c r="K248" s="134" t="n"/>
      <c r="L248" s="134" t="n"/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101A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7">
      <c r="A249" s="75" t="inlineStr">
        <is>
          <t>소룡동 그린서해맨션</t>
        </is>
      </c>
      <c r="B249" s="76" t="inlineStr">
        <is>
          <t>93.12.</t>
        </is>
      </c>
      <c r="C249" s="130" t="n">
        <v>350</v>
      </c>
      <c r="D249" s="131" t="n">
        <v>103.5</v>
      </c>
      <c r="E249" s="132" t="n">
        <v>31</v>
      </c>
      <c r="F249" s="131" t="n">
        <v>84.90000000000001</v>
      </c>
      <c r="G249" s="17" t="n">
        <v>26</v>
      </c>
      <c r="H249" s="133" t="n">
        <v>52</v>
      </c>
      <c r="I249" s="134" t="n">
        <v>9500</v>
      </c>
      <c r="J249" s="134" t="inlineStr">
        <is>
          <t>15</t>
        </is>
      </c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103B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7">
      <c r="A250" s="75" t="inlineStr">
        <is>
          <t>소룡동 그린서해맨션</t>
        </is>
      </c>
      <c r="B250" s="76" t="inlineStr">
        <is>
          <t>93.12.</t>
        </is>
      </c>
      <c r="C250" s="130" t="n">
        <v>350</v>
      </c>
      <c r="D250" s="131" t="n">
        <v>115.2</v>
      </c>
      <c r="E250" s="132" t="n">
        <v>35</v>
      </c>
      <c r="F250" s="131" t="n">
        <v>84.90000000000001</v>
      </c>
      <c r="G250" s="17" t="n">
        <v>26</v>
      </c>
      <c r="H250" s="133" t="n">
        <v>4</v>
      </c>
      <c r="I250" s="134" t="n"/>
      <c r="J250" s="134" t="n"/>
      <c r="K250" s="134" t="n"/>
      <c r="L250" s="134" t="n"/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복</t>
        </is>
      </c>
      <c r="T250" s="5" t="n">
        <v>115</v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7">
      <c r="A251" s="75" t="inlineStr">
        <is>
          <t>소룡동 동아</t>
        </is>
      </c>
      <c r="B251" s="76" t="inlineStr">
        <is>
          <t>90.10.</t>
        </is>
      </c>
      <c r="C251" s="130" t="n">
        <v>702</v>
      </c>
      <c r="D251" s="131" t="n">
        <v>79.5</v>
      </c>
      <c r="E251" s="132" t="n">
        <v>24</v>
      </c>
      <c r="F251" s="131" t="n">
        <v>60.5</v>
      </c>
      <c r="G251" s="17" t="n">
        <v>18</v>
      </c>
      <c r="H251" s="133" t="n">
        <v>251</v>
      </c>
      <c r="I251" s="134" t="n">
        <v>6100</v>
      </c>
      <c r="J251" s="134" t="inlineStr">
        <is>
          <t>10</t>
        </is>
      </c>
      <c r="K251" s="134" t="n"/>
      <c r="L251" s="134" t="n"/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1</v>
      </c>
      <c r="S251" s="121" t="inlineStr">
        <is>
          <t>계</t>
        </is>
      </c>
      <c r="T251" s="5" t="inlineStr">
        <is>
          <t>79A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7">
      <c r="A252" s="75" t="inlineStr">
        <is>
          <t>소룡동 동아</t>
        </is>
      </c>
      <c r="B252" s="76" t="inlineStr">
        <is>
          <t>90.10.</t>
        </is>
      </c>
      <c r="C252" s="130" t="n">
        <v>702</v>
      </c>
      <c r="D252" s="131" t="n">
        <v>79.2</v>
      </c>
      <c r="E252" s="132" t="n">
        <v>24</v>
      </c>
      <c r="F252" s="131" t="n">
        <v>60.7</v>
      </c>
      <c r="G252" s="17" t="n">
        <v>18</v>
      </c>
      <c r="H252" s="133" t="n">
        <v>1</v>
      </c>
      <c r="I252" s="134" t="n"/>
      <c r="J252" s="134" t="n"/>
      <c r="K252" s="134" t="n"/>
      <c r="L252" s="134" t="n"/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2</v>
      </c>
      <c r="R252" s="121" t="n">
        <v>1</v>
      </c>
      <c r="S252" s="121" t="inlineStr">
        <is>
          <t>계</t>
        </is>
      </c>
      <c r="T252" s="5" t="inlineStr">
        <is>
          <t>79B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7">
      <c r="A253" s="75" t="inlineStr">
        <is>
          <t>소룡동 동아</t>
        </is>
      </c>
      <c r="B253" s="76" t="inlineStr">
        <is>
          <t>90.10.</t>
        </is>
      </c>
      <c r="C253" s="130" t="n">
        <v>702</v>
      </c>
      <c r="D253" s="131" t="n">
        <v>93.59999999999999</v>
      </c>
      <c r="E253" s="132" t="n">
        <v>28</v>
      </c>
      <c r="F253" s="131" t="n">
        <v>75.59999999999999</v>
      </c>
      <c r="G253" s="17" t="n">
        <v>23</v>
      </c>
      <c r="H253" s="133" t="n">
        <v>240</v>
      </c>
      <c r="I253" s="134" t="n"/>
      <c r="J253" s="134" t="n"/>
      <c r="K253" s="134" t="n"/>
      <c r="L253" s="134" t="n"/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1</v>
      </c>
      <c r="S253" s="121" t="inlineStr">
        <is>
          <t>계</t>
        </is>
      </c>
      <c r="T253" s="5" t="n">
        <v>93</v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7">
      <c r="A254" s="75" t="inlineStr">
        <is>
          <t>소룡동 동아</t>
        </is>
      </c>
      <c r="B254" s="76" t="inlineStr">
        <is>
          <t>90.10.</t>
        </is>
      </c>
      <c r="C254" s="130" t="n">
        <v>702</v>
      </c>
      <c r="D254" s="131" t="n">
        <v>103.9</v>
      </c>
      <c r="E254" s="132" t="n">
        <v>31</v>
      </c>
      <c r="F254" s="131" t="n">
        <v>84.90000000000001</v>
      </c>
      <c r="G254" s="17" t="n">
        <v>26</v>
      </c>
      <c r="H254" s="133" t="n">
        <v>210</v>
      </c>
      <c r="I254" s="134" t="n">
        <v>9800</v>
      </c>
      <c r="J254" s="134" t="inlineStr">
        <is>
          <t>6</t>
        </is>
      </c>
      <c r="K254" s="134" t="n"/>
      <c r="L254" s="134" t="n"/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n">
        <v>103</v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7">
      <c r="A255" s="75" t="inlineStr">
        <is>
          <t>소룡동 소룡진흥</t>
        </is>
      </c>
      <c r="B255" s="76" t="inlineStr">
        <is>
          <t>91.05.</t>
        </is>
      </c>
      <c r="C255" s="130" t="n">
        <v>499</v>
      </c>
      <c r="D255" s="131" t="n">
        <v>57.5</v>
      </c>
      <c r="E255" s="132" t="n">
        <v>17</v>
      </c>
      <c r="F255" s="131" t="n">
        <v>43.7</v>
      </c>
      <c r="G255" s="17" t="n">
        <v>13</v>
      </c>
      <c r="H255" s="133" t="n">
        <v>123</v>
      </c>
      <c r="I255" s="134" t="n"/>
      <c r="J255" s="134" t="n"/>
      <c r="K255" s="134" t="n"/>
      <c r="L255" s="134" t="n"/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2</v>
      </c>
      <c r="R255" s="121" t="n">
        <v>1</v>
      </c>
      <c r="S255" s="121" t="inlineStr">
        <is>
          <t>계</t>
        </is>
      </c>
      <c r="T255" s="5" t="n">
        <v>57</v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7">
      <c r="A256" s="75" t="inlineStr">
        <is>
          <t>소룡동 소룡진흥</t>
        </is>
      </c>
      <c r="B256" s="76" t="inlineStr">
        <is>
          <t>91.05.</t>
        </is>
      </c>
      <c r="C256" s="130" t="n">
        <v>499</v>
      </c>
      <c r="D256" s="131" t="n">
        <v>63.4</v>
      </c>
      <c r="E256" s="132" t="n">
        <v>19</v>
      </c>
      <c r="F256" s="131" t="n">
        <v>49.3</v>
      </c>
      <c r="G256" s="17" t="n">
        <v>15</v>
      </c>
      <c r="H256" s="133" t="n">
        <v>50</v>
      </c>
      <c r="I256" s="134" t="n">
        <v>3100</v>
      </c>
      <c r="J256" s="134" t="inlineStr">
        <is>
          <t>12</t>
        </is>
      </c>
      <c r="K256" s="134" t="n"/>
      <c r="L256" s="134" t="n"/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2</v>
      </c>
      <c r="R256" s="121" t="n">
        <v>1</v>
      </c>
      <c r="S256" s="121" t="inlineStr">
        <is>
          <t>계</t>
        </is>
      </c>
      <c r="T256" s="5" t="n">
        <v>63</v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7">
      <c r="A257" s="75" t="inlineStr">
        <is>
          <t>소룡동 소룡진흥</t>
        </is>
      </c>
      <c r="B257" s="76" t="inlineStr">
        <is>
          <t>91.05.</t>
        </is>
      </c>
      <c r="C257" s="130" t="n">
        <v>499</v>
      </c>
      <c r="D257" s="131" t="n">
        <v>70.2</v>
      </c>
      <c r="E257" s="132" t="n">
        <v>21</v>
      </c>
      <c r="F257" s="131" t="n">
        <v>59.2</v>
      </c>
      <c r="G257" s="17" t="n">
        <v>18</v>
      </c>
      <c r="H257" s="133" t="n">
        <v>25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2</v>
      </c>
      <c r="R257" s="121" t="n">
        <v>1</v>
      </c>
      <c r="S257" s="121" t="inlineStr">
        <is>
          <t>계</t>
        </is>
      </c>
      <c r="T257" s="5" t="n">
        <v>70</v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7">
      <c r="A258" s="75" t="inlineStr">
        <is>
          <t>소룡동 소룡진흥</t>
        </is>
      </c>
      <c r="B258" s="76" t="inlineStr">
        <is>
          <t>91.05.</t>
        </is>
      </c>
      <c r="C258" s="130" t="n">
        <v>499</v>
      </c>
      <c r="D258" s="131" t="n">
        <v>78.40000000000001</v>
      </c>
      <c r="E258" s="132" t="n">
        <v>24</v>
      </c>
      <c r="F258" s="131" t="n">
        <v>59.8</v>
      </c>
      <c r="G258" s="17" t="n">
        <v>18</v>
      </c>
      <c r="H258" s="133" t="n">
        <v>48</v>
      </c>
      <c r="I258" s="134" t="n">
        <v>6200</v>
      </c>
      <c r="J258" s="134" t="inlineStr">
        <is>
          <t>9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3</v>
      </c>
      <c r="R258" s="121" t="n">
        <v>1</v>
      </c>
      <c r="S258" s="121" t="inlineStr">
        <is>
          <t>복</t>
        </is>
      </c>
      <c r="T258" s="5" t="inlineStr">
        <is>
          <t>78A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7">
      <c r="A259" s="75" t="inlineStr">
        <is>
          <t>소룡동 소룡진흥</t>
        </is>
      </c>
      <c r="B259" s="76" t="inlineStr">
        <is>
          <t>91.05.</t>
        </is>
      </c>
      <c r="C259" s="130" t="n">
        <v>499</v>
      </c>
      <c r="D259" s="131" t="n">
        <v>80.7</v>
      </c>
      <c r="E259" s="132" t="n">
        <v>24</v>
      </c>
      <c r="F259" s="131" t="n">
        <v>68.09999999999999</v>
      </c>
      <c r="G259" s="17" t="n">
        <v>21</v>
      </c>
      <c r="H259" s="133" t="n">
        <v>25</v>
      </c>
      <c r="I259" s="134" t="n"/>
      <c r="J259" s="134" t="n"/>
      <c r="K259" s="134" t="n"/>
      <c r="L259" s="134" t="n"/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1</v>
      </c>
      <c r="S259" s="121" t="inlineStr">
        <is>
          <t>계</t>
        </is>
      </c>
      <c r="T259" s="5" t="inlineStr">
        <is>
          <t>80B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7">
      <c r="A260" s="75" t="inlineStr">
        <is>
          <t>소룡동 소룡진흥</t>
        </is>
      </c>
      <c r="B260" s="76" t="inlineStr">
        <is>
          <t>91.05.</t>
        </is>
      </c>
      <c r="C260" s="130" t="n">
        <v>499</v>
      </c>
      <c r="D260" s="131" t="n">
        <v>88.3</v>
      </c>
      <c r="E260" s="132" t="n">
        <v>27</v>
      </c>
      <c r="F260" s="131" t="n">
        <v>72</v>
      </c>
      <c r="G260" s="17" t="n">
        <v>22</v>
      </c>
      <c r="H260" s="133" t="n">
        <v>128</v>
      </c>
      <c r="I260" s="134" t="n">
        <v>6700</v>
      </c>
      <c r="J260" s="134" t="inlineStr">
        <is>
          <t>12</t>
        </is>
      </c>
      <c r="K260" s="134" t="n"/>
      <c r="L260" s="134" t="n"/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n">
        <v>88</v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7">
      <c r="A261" s="75" t="inlineStr">
        <is>
          <t>소룡동 소룡진흥</t>
        </is>
      </c>
      <c r="B261" s="76" t="inlineStr">
        <is>
          <t>91.05.</t>
        </is>
      </c>
      <c r="C261" s="130" t="n">
        <v>499</v>
      </c>
      <c r="D261" s="131" t="n">
        <v>102.8</v>
      </c>
      <c r="E261" s="132" t="n">
        <v>31</v>
      </c>
      <c r="F261" s="131" t="n">
        <v>85</v>
      </c>
      <c r="G261" s="17" t="n">
        <v>26</v>
      </c>
      <c r="H261" s="133" t="n">
        <v>100</v>
      </c>
      <c r="I261" s="134" t="n"/>
      <c r="J261" s="134" t="n"/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n">
        <v>102</v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7">
      <c r="A262" s="75" t="inlineStr">
        <is>
          <t>소룡동 스카이타운</t>
        </is>
      </c>
      <c r="B262" s="76" t="inlineStr">
        <is>
          <t>08.08.</t>
        </is>
      </c>
      <c r="C262" s="130" t="n">
        <v>398</v>
      </c>
      <c r="D262" s="131" t="n">
        <v>41.3</v>
      </c>
      <c r="E262" s="132" t="n">
        <v>12</v>
      </c>
      <c r="F262" s="131" t="n">
        <v>31.8</v>
      </c>
      <c r="G262" s="17" t="n">
        <v>10</v>
      </c>
      <c r="H262" s="133" t="n">
        <v>390</v>
      </c>
      <c r="I262" s="134" t="n">
        <v>3000</v>
      </c>
      <c r="J262" s="134" t="inlineStr">
        <is>
          <t>11</t>
        </is>
      </c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1</v>
      </c>
      <c r="R262" s="121" t="n">
        <v>1</v>
      </c>
      <c r="S262" s="121" t="inlineStr">
        <is>
          <t>복</t>
        </is>
      </c>
      <c r="T262" s="5" t="n">
        <v>41</v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7">
      <c r="A263" s="75" t="inlineStr">
        <is>
          <t>소룡동 스카이타운</t>
        </is>
      </c>
      <c r="B263" s="76" t="inlineStr">
        <is>
          <t>08.08.</t>
        </is>
      </c>
      <c r="C263" s="130" t="n">
        <v>398</v>
      </c>
      <c r="D263" s="131" t="n">
        <v>53.8</v>
      </c>
      <c r="E263" s="132" t="n">
        <v>16</v>
      </c>
      <c r="F263" s="131" t="n">
        <v>41.5</v>
      </c>
      <c r="G263" s="17" t="n">
        <v>13</v>
      </c>
      <c r="H263" s="133" t="n">
        <v>8</v>
      </c>
      <c r="I263" s="134" t="n"/>
      <c r="J263" s="134" t="n"/>
      <c r="K263" s="134" t="n"/>
      <c r="L263" s="134" t="n"/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2</v>
      </c>
      <c r="R263" s="121" t="n">
        <v>1</v>
      </c>
      <c r="S263" s="121" t="inlineStr">
        <is>
          <t>복</t>
        </is>
      </c>
      <c r="T263" s="5" t="n">
        <v>53</v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7">
      <c r="A264" s="75" t="inlineStr">
        <is>
          <t>소룡동 소룡제이파크</t>
        </is>
      </c>
      <c r="B264" s="76" t="inlineStr">
        <is>
          <t>06.06.</t>
        </is>
      </c>
      <c r="C264" s="130" t="n">
        <v>972</v>
      </c>
      <c r="D264" s="131" t="n">
        <v>77.7</v>
      </c>
      <c r="E264" s="132" t="n">
        <v>23</v>
      </c>
      <c r="F264" s="131" t="n">
        <v>59.6</v>
      </c>
      <c r="G264" s="17" t="n">
        <v>18</v>
      </c>
      <c r="H264" s="133" t="n">
        <v>144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2</v>
      </c>
      <c r="R264" s="121" t="n">
        <v>1</v>
      </c>
      <c r="S264" s="121" t="inlineStr">
        <is>
          <t>계</t>
        </is>
      </c>
      <c r="T264" s="5" t="inlineStr">
        <is>
          <t>77A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7">
      <c r="A265" s="75" t="inlineStr">
        <is>
          <t>소룡동 소룡제이파크</t>
        </is>
      </c>
      <c r="B265" s="76" t="inlineStr">
        <is>
          <t>06.06.</t>
        </is>
      </c>
      <c r="C265" s="130" t="n">
        <v>972</v>
      </c>
      <c r="D265" s="131" t="n">
        <v>78.8</v>
      </c>
      <c r="E265" s="132" t="n">
        <v>24</v>
      </c>
      <c r="F265" s="131" t="n">
        <v>60</v>
      </c>
      <c r="G265" s="17" t="n">
        <v>18</v>
      </c>
      <c r="H265" s="133" t="n">
        <v>252</v>
      </c>
      <c r="I265" s="134" t="n">
        <v>10000</v>
      </c>
      <c r="J265" s="134" t="inlineStr">
        <is>
          <t>8</t>
        </is>
      </c>
      <c r="K265" s="134" t="n">
        <v>9000</v>
      </c>
      <c r="L265" s="134" t="inlineStr">
        <is>
          <t>6</t>
        </is>
      </c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2</v>
      </c>
      <c r="R265" s="121" t="n">
        <v>1</v>
      </c>
      <c r="S265" s="121" t="inlineStr">
        <is>
          <t>계</t>
        </is>
      </c>
      <c r="T265" s="5" t="inlineStr">
        <is>
          <t>78B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7">
      <c r="A266" s="75" t="inlineStr">
        <is>
          <t>소룡동 소룡제이파크</t>
        </is>
      </c>
      <c r="B266" s="76" t="inlineStr">
        <is>
          <t>06.06.</t>
        </is>
      </c>
      <c r="C266" s="130" t="n">
        <v>972</v>
      </c>
      <c r="D266" s="131" t="n">
        <v>106.3</v>
      </c>
      <c r="E266" s="132" t="n">
        <v>32</v>
      </c>
      <c r="F266" s="131" t="n">
        <v>84.5</v>
      </c>
      <c r="G266" s="17" t="n">
        <v>26</v>
      </c>
      <c r="H266" s="133" t="n">
        <v>576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3</v>
      </c>
      <c r="R266" s="121" t="n">
        <v>2</v>
      </c>
      <c r="S266" s="121" t="inlineStr">
        <is>
          <t>계</t>
        </is>
      </c>
      <c r="T266" s="5" t="n">
        <v>106</v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7">
      <c r="A267" s="75" t="inlineStr">
        <is>
          <t>소룡동 신도시</t>
        </is>
      </c>
      <c r="B267" s="76" t="inlineStr">
        <is>
          <t>01.12.</t>
        </is>
      </c>
      <c r="C267" s="130" t="n">
        <v>720</v>
      </c>
      <c r="D267" s="131" t="n">
        <v>63</v>
      </c>
      <c r="E267" s="132" t="n">
        <v>19</v>
      </c>
      <c r="F267" s="131" t="n">
        <v>45.4</v>
      </c>
      <c r="G267" s="17" t="n">
        <v>14</v>
      </c>
      <c r="H267" s="133" t="n">
        <v>416</v>
      </c>
      <c r="I267" s="134" t="n">
        <v>4600</v>
      </c>
      <c r="J267" s="134" t="inlineStr">
        <is>
          <t>11</t>
        </is>
      </c>
      <c r="K267" s="134" t="n"/>
      <c r="L267" s="134" t="n"/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2</v>
      </c>
      <c r="R267" s="121" t="n">
        <v>1</v>
      </c>
      <c r="S267" s="121" t="inlineStr">
        <is>
          <t>복</t>
        </is>
      </c>
      <c r="T267" s="5" t="inlineStr">
        <is>
          <t>62A</t>
        </is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7">
      <c r="A268" s="75" t="inlineStr">
        <is>
          <t>소룡동 신도시</t>
        </is>
      </c>
      <c r="B268" s="76" t="inlineStr">
        <is>
          <t>01.12.</t>
        </is>
      </c>
      <c r="C268" s="130" t="n">
        <v>720</v>
      </c>
      <c r="D268" s="131" t="n">
        <v>63.6</v>
      </c>
      <c r="E268" s="132" t="n">
        <v>19</v>
      </c>
      <c r="F268" s="131" t="n">
        <v>46.5</v>
      </c>
      <c r="G268" s="17" t="n">
        <v>14</v>
      </c>
      <c r="H268" s="133" t="n">
        <v>304</v>
      </c>
      <c r="I268" s="134" t="n">
        <v>4700</v>
      </c>
      <c r="J268" s="134" t="inlineStr">
        <is>
          <t>11</t>
        </is>
      </c>
      <c r="K268" s="134" t="n"/>
      <c r="L268" s="134" t="n"/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2</v>
      </c>
      <c r="R268" s="121" t="n">
        <v>1</v>
      </c>
      <c r="S268" s="121" t="inlineStr">
        <is>
          <t>복</t>
        </is>
      </c>
      <c r="T268" s="5" t="inlineStr">
        <is>
          <t>63B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7">
      <c r="A269" s="75" t="inlineStr">
        <is>
          <t>소룡동 이화</t>
        </is>
      </c>
      <c r="B269" s="76" t="inlineStr">
        <is>
          <t>92.02.</t>
        </is>
      </c>
      <c r="C269" s="130" t="n">
        <v>204</v>
      </c>
      <c r="D269" s="131" t="n">
        <v>58.6</v>
      </c>
      <c r="E269" s="132" t="n">
        <v>18</v>
      </c>
      <c r="F269" s="131" t="n">
        <v>44.8</v>
      </c>
      <c r="G269" s="17" t="n">
        <v>14</v>
      </c>
      <c r="H269" s="133" t="n">
        <v>60</v>
      </c>
      <c r="I269" s="134" t="n"/>
      <c r="J269" s="134" t="n"/>
      <c r="K269" s="134" t="n"/>
      <c r="L269" s="134" t="n"/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2</v>
      </c>
      <c r="R269" s="121" t="n">
        <v>1</v>
      </c>
      <c r="S269" s="121" t="inlineStr">
        <is>
          <t>계</t>
        </is>
      </c>
      <c r="T269" s="5" t="n">
        <v>58</v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7">
      <c r="A270" s="75" t="inlineStr">
        <is>
          <t>소룡동 이화</t>
        </is>
      </c>
      <c r="B270" s="76" t="inlineStr">
        <is>
          <t>92.02.</t>
        </is>
      </c>
      <c r="C270" s="130" t="n">
        <v>204</v>
      </c>
      <c r="D270" s="131" t="n">
        <v>69.3</v>
      </c>
      <c r="E270" s="132" t="n">
        <v>21</v>
      </c>
      <c r="F270" s="131" t="n">
        <v>53.9</v>
      </c>
      <c r="G270" s="17" t="n">
        <v>16</v>
      </c>
      <c r="H270" s="133" t="n">
        <v>132</v>
      </c>
      <c r="I270" s="134" t="n"/>
      <c r="J270" s="134" t="n"/>
      <c r="K270" s="134" t="n"/>
      <c r="L270" s="134" t="n"/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1</v>
      </c>
      <c r="S270" s="121" t="inlineStr">
        <is>
          <t>계</t>
        </is>
      </c>
      <c r="T270" s="5" t="n">
        <v>69</v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7">
      <c r="A271" s="75" t="inlineStr">
        <is>
          <t>소룡동 이화</t>
        </is>
      </c>
      <c r="B271" s="76" t="inlineStr">
        <is>
          <t>92.02.</t>
        </is>
      </c>
      <c r="C271" s="130" t="n">
        <v>204</v>
      </c>
      <c r="D271" s="131" t="n">
        <v>75.09999999999999</v>
      </c>
      <c r="E271" s="132" t="n">
        <v>23</v>
      </c>
      <c r="F271" s="131" t="n">
        <v>58.9</v>
      </c>
      <c r="G271" s="17" t="n">
        <v>18</v>
      </c>
      <c r="H271" s="133" t="n">
        <v>12</v>
      </c>
      <c r="I271" s="134" t="n"/>
      <c r="J271" s="134" t="n"/>
      <c r="K271" s="134" t="n"/>
      <c r="L271" s="134" t="n"/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1</v>
      </c>
      <c r="S271" s="121" t="inlineStr">
        <is>
          <t>계</t>
        </is>
      </c>
      <c r="T271" s="5" t="n">
        <v>75</v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7">
      <c r="A272" s="75" t="inlineStr">
        <is>
          <t>수송동 한라비발디2단지</t>
        </is>
      </c>
      <c r="B272" s="76" t="inlineStr">
        <is>
          <t>08.11.</t>
        </is>
      </c>
      <c r="C272" s="130" t="n">
        <v>782</v>
      </c>
      <c r="D272" s="131" t="n">
        <v>113.3</v>
      </c>
      <c r="E272" s="132" t="n">
        <v>34</v>
      </c>
      <c r="F272" s="131" t="n">
        <v>85</v>
      </c>
      <c r="G272" s="17" t="n">
        <v>26</v>
      </c>
      <c r="H272" s="133" t="n">
        <v>480</v>
      </c>
      <c r="I272" s="134" t="n">
        <v>32000</v>
      </c>
      <c r="J272" s="134" t="inlineStr">
        <is>
          <t>5</t>
        </is>
      </c>
      <c r="K272" s="134" t="n">
        <v>28000</v>
      </c>
      <c r="L272" s="134" t="inlineStr">
        <is>
          <t>16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n">
        <v>113</v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7">
      <c r="A273" s="75" t="inlineStr">
        <is>
          <t>수송동 한라비발디2단지</t>
        </is>
      </c>
      <c r="B273" s="76" t="inlineStr">
        <is>
          <t>08.11.</t>
        </is>
      </c>
      <c r="C273" s="130" t="n">
        <v>782</v>
      </c>
      <c r="D273" s="131" t="n">
        <v>114.2</v>
      </c>
      <c r="E273" s="132" t="n">
        <v>35</v>
      </c>
      <c r="F273" s="131" t="n">
        <v>85</v>
      </c>
      <c r="G273" s="17" t="n">
        <v>26</v>
      </c>
      <c r="H273" s="133" t="n">
        <v>160</v>
      </c>
      <c r="I273" s="134" t="n">
        <v>33000</v>
      </c>
      <c r="J273" s="134" t="inlineStr">
        <is>
          <t>14</t>
        </is>
      </c>
      <c r="K273" s="134" t="n">
        <v>26000</v>
      </c>
      <c r="L273" s="134" t="inlineStr">
        <is>
          <t>10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114A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7">
      <c r="A274" s="75" t="inlineStr">
        <is>
          <t>수송동 한라비발디2단지</t>
        </is>
      </c>
      <c r="B274" s="76" t="inlineStr">
        <is>
          <t>08.11.</t>
        </is>
      </c>
      <c r="C274" s="130" t="n">
        <v>782</v>
      </c>
      <c r="D274" s="131" t="n">
        <v>115.2</v>
      </c>
      <c r="E274" s="132" t="n">
        <v>35</v>
      </c>
      <c r="F274" s="131" t="n">
        <v>85</v>
      </c>
      <c r="G274" s="17" t="n">
        <v>26</v>
      </c>
      <c r="H274" s="133" t="n">
        <v>142</v>
      </c>
      <c r="I274" s="134" t="n">
        <v>31000</v>
      </c>
      <c r="J274" s="134" t="inlineStr">
        <is>
          <t>17</t>
        </is>
      </c>
      <c r="K274" s="134" t="n">
        <v>28000</v>
      </c>
      <c r="L274" s="134" t="inlineStr">
        <is>
          <t>8</t>
        </is>
      </c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115B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7">
      <c r="A275" s="75" t="inlineStr">
        <is>
          <t>수송동 한라비발디1단지</t>
        </is>
      </c>
      <c r="B275" s="76" t="inlineStr">
        <is>
          <t>08.11.</t>
        </is>
      </c>
      <c r="C275" s="130" t="n">
        <v>332</v>
      </c>
      <c r="D275" s="131" t="n">
        <v>133</v>
      </c>
      <c r="E275" s="132" t="n">
        <v>40</v>
      </c>
      <c r="F275" s="131" t="n">
        <v>100.4</v>
      </c>
      <c r="G275" s="17" t="n">
        <v>30</v>
      </c>
      <c r="H275" s="133" t="n">
        <v>59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132A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7">
      <c r="A276" s="75" t="inlineStr">
        <is>
          <t>수송동 한라비발디1단지</t>
        </is>
      </c>
      <c r="B276" s="76" t="inlineStr">
        <is>
          <t>08.11.</t>
        </is>
      </c>
      <c r="C276" s="130" t="n">
        <v>332</v>
      </c>
      <c r="D276" s="131" t="n">
        <v>135.3</v>
      </c>
      <c r="E276" s="132" t="n">
        <v>41</v>
      </c>
      <c r="F276" s="131" t="n">
        <v>103.6</v>
      </c>
      <c r="G276" s="17" t="n">
        <v>31</v>
      </c>
      <c r="H276" s="133" t="n">
        <v>39</v>
      </c>
      <c r="I276" s="134" t="n">
        <v>39500</v>
      </c>
      <c r="J276" s="134" t="inlineStr">
        <is>
          <t>11</t>
        </is>
      </c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3</v>
      </c>
      <c r="R276" s="121" t="n">
        <v>2</v>
      </c>
      <c r="S276" s="121" t="inlineStr">
        <is>
          <t>계</t>
        </is>
      </c>
      <c r="T276" s="5" t="inlineStr">
        <is>
          <t>135B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7">
      <c r="A277" s="75" t="inlineStr">
        <is>
          <t>수송동 한라비발디1단지</t>
        </is>
      </c>
      <c r="B277" s="76" t="inlineStr">
        <is>
          <t>08.11.</t>
        </is>
      </c>
      <c r="C277" s="130" t="n">
        <v>332</v>
      </c>
      <c r="D277" s="131" t="n">
        <v>159.2</v>
      </c>
      <c r="E277" s="132" t="n">
        <v>48</v>
      </c>
      <c r="F277" s="131" t="n">
        <v>123.1</v>
      </c>
      <c r="G277" s="17" t="n">
        <v>37</v>
      </c>
      <c r="H277" s="133" t="n">
        <v>80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4</v>
      </c>
      <c r="R277" s="121" t="n">
        <v>2</v>
      </c>
      <c r="S277" s="121" t="inlineStr">
        <is>
          <t>계</t>
        </is>
      </c>
      <c r="T277" s="5" t="inlineStr">
        <is>
          <t>159A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7">
      <c r="A278" s="75" t="inlineStr">
        <is>
          <t>수송동 한라비발디1단지</t>
        </is>
      </c>
      <c r="B278" s="76" t="inlineStr">
        <is>
          <t>08.11.</t>
        </is>
      </c>
      <c r="C278" s="130" t="n">
        <v>332</v>
      </c>
      <c r="D278" s="131" t="n">
        <v>161.5</v>
      </c>
      <c r="E278" s="132" t="n">
        <v>49</v>
      </c>
      <c r="F278" s="131" t="n">
        <v>132.3</v>
      </c>
      <c r="G278" s="17" t="n">
        <v>40</v>
      </c>
      <c r="H278" s="133" t="n">
        <v>79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4</v>
      </c>
      <c r="R278" s="121" t="n">
        <v>2</v>
      </c>
      <c r="S278" s="121" t="inlineStr">
        <is>
          <t>계</t>
        </is>
      </c>
      <c r="T278" s="5" t="inlineStr">
        <is>
          <t>161B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7">
      <c r="A279" s="75" t="inlineStr">
        <is>
          <t>수송동 한라비발디1단지</t>
        </is>
      </c>
      <c r="B279" s="76" t="inlineStr">
        <is>
          <t>08.11.</t>
        </is>
      </c>
      <c r="C279" s="130" t="n">
        <v>332</v>
      </c>
      <c r="D279" s="131" t="n">
        <v>189.5</v>
      </c>
      <c r="E279" s="132" t="n">
        <v>57</v>
      </c>
      <c r="F279" s="131" t="n">
        <v>155.9</v>
      </c>
      <c r="G279" s="17" t="n">
        <v>47</v>
      </c>
      <c r="H279" s="133" t="n">
        <v>71</v>
      </c>
      <c r="I279" s="134" t="n">
        <v>57000</v>
      </c>
      <c r="J279" s="134" t="inlineStr">
        <is>
          <t>18</t>
        </is>
      </c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4</v>
      </c>
      <c r="R279" s="121" t="n">
        <v>2</v>
      </c>
      <c r="S279" s="121" t="inlineStr">
        <is>
          <t>계</t>
        </is>
      </c>
      <c r="T279" s="5" t="n">
        <v>189</v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7">
      <c r="A280" s="75" t="inlineStr">
        <is>
          <t>수송동 한라비발디1단지</t>
        </is>
      </c>
      <c r="B280" s="76" t="inlineStr">
        <is>
          <t>08.11.</t>
        </is>
      </c>
      <c r="C280" s="130" t="n">
        <v>332</v>
      </c>
      <c r="D280" s="131" t="n">
        <v>320.9</v>
      </c>
      <c r="E280" s="132" t="n">
        <v>97</v>
      </c>
      <c r="F280" s="131" t="n">
        <v>261.2</v>
      </c>
      <c r="G280" s="17" t="n">
        <v>79</v>
      </c>
      <c r="H280" s="133" t="n">
        <v>4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6</v>
      </c>
      <c r="R280" s="121" t="n">
        <v>4</v>
      </c>
      <c r="S280" s="121" t="inlineStr">
        <is>
          <t>계</t>
        </is>
      </c>
      <c r="T280" s="5" t="n">
        <v>320</v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7">
      <c r="A281" s="75" t="inlineStr">
        <is>
          <t>수송동 동신</t>
        </is>
      </c>
      <c r="B281" s="76" t="inlineStr">
        <is>
          <t>91.09.</t>
        </is>
      </c>
      <c r="C281" s="130" t="n">
        <v>660</v>
      </c>
      <c r="D281" s="131" t="n">
        <v>73.59999999999999</v>
      </c>
      <c r="E281" s="132" t="n">
        <v>22</v>
      </c>
      <c r="F281" s="131" t="n">
        <v>59.5</v>
      </c>
      <c r="G281" s="17" t="n">
        <v>18</v>
      </c>
      <c r="H281" s="133" t="n">
        <v>120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2</v>
      </c>
      <c r="R281" s="121" t="n">
        <v>1</v>
      </c>
      <c r="S281" s="121" t="inlineStr">
        <is>
          <t>계</t>
        </is>
      </c>
      <c r="T281" s="5" t="n">
        <v>73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7">
      <c r="A282" s="75" t="inlineStr">
        <is>
          <t>수송동 동신</t>
        </is>
      </c>
      <c r="B282" s="76" t="inlineStr">
        <is>
          <t>91.09.</t>
        </is>
      </c>
      <c r="C282" s="130" t="n">
        <v>660</v>
      </c>
      <c r="D282" s="131" t="n">
        <v>83.5</v>
      </c>
      <c r="E282" s="132" t="n">
        <v>25</v>
      </c>
      <c r="F282" s="131" t="n">
        <v>67.40000000000001</v>
      </c>
      <c r="G282" s="17" t="n">
        <v>20</v>
      </c>
      <c r="H282" s="133" t="n">
        <v>120</v>
      </c>
      <c r="I282" s="134" t="n">
        <v>9700</v>
      </c>
      <c r="J282" s="134" t="inlineStr">
        <is>
          <t>5</t>
        </is>
      </c>
      <c r="K282" s="134" t="n">
        <v>9000</v>
      </c>
      <c r="L282" s="134" t="inlineStr">
        <is>
          <t>11</t>
        </is>
      </c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1</v>
      </c>
      <c r="S282" s="121" t="inlineStr">
        <is>
          <t>복</t>
        </is>
      </c>
      <c r="T282" s="5" t="n">
        <v>83</v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7">
      <c r="A283" s="75" t="inlineStr">
        <is>
          <t>수송동 동신</t>
        </is>
      </c>
      <c r="B283" s="76" t="inlineStr">
        <is>
          <t>91.09.</t>
        </is>
      </c>
      <c r="C283" s="130" t="n">
        <v>660</v>
      </c>
      <c r="D283" s="131" t="n">
        <v>94.59999999999999</v>
      </c>
      <c r="E283" s="132" t="n">
        <v>29</v>
      </c>
      <c r="F283" s="131" t="n">
        <v>76.40000000000001</v>
      </c>
      <c r="G283" s="17" t="n">
        <v>23</v>
      </c>
      <c r="H283" s="133" t="n">
        <v>60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복</t>
        </is>
      </c>
      <c r="T283" s="5" t="n">
        <v>94</v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7">
      <c r="A284" s="75" t="inlineStr">
        <is>
          <t>수송동 동신</t>
        </is>
      </c>
      <c r="B284" s="76" t="inlineStr">
        <is>
          <t>91.09.</t>
        </is>
      </c>
      <c r="C284" s="130" t="n">
        <v>660</v>
      </c>
      <c r="D284" s="131" t="n">
        <v>97.2</v>
      </c>
      <c r="E284" s="132" t="n">
        <v>29</v>
      </c>
      <c r="F284" s="131" t="n">
        <v>78.5</v>
      </c>
      <c r="G284" s="17" t="n">
        <v>24</v>
      </c>
      <c r="H284" s="133" t="n">
        <v>120</v>
      </c>
      <c r="I284" s="134" t="n">
        <v>11000</v>
      </c>
      <c r="J284" s="134" t="inlineStr">
        <is>
          <t>12</t>
        </is>
      </c>
      <c r="K284" s="134" t="n">
        <v>12500</v>
      </c>
      <c r="L284" s="134" t="inlineStr">
        <is>
          <t>13</t>
        </is>
      </c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n">
        <v>97</v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7">
      <c r="A285" s="75" t="inlineStr">
        <is>
          <t>수송동 동신</t>
        </is>
      </c>
      <c r="B285" s="76" t="inlineStr">
        <is>
          <t>91.09.</t>
        </is>
      </c>
      <c r="C285" s="130" t="n">
        <v>660</v>
      </c>
      <c r="D285" s="131" t="n">
        <v>105</v>
      </c>
      <c r="E285" s="132" t="n">
        <v>32</v>
      </c>
      <c r="F285" s="131" t="n">
        <v>84.8</v>
      </c>
      <c r="G285" s="17" t="n">
        <v>26</v>
      </c>
      <c r="H285" s="133" t="n">
        <v>240</v>
      </c>
      <c r="I285" s="134" t="n">
        <v>12000</v>
      </c>
      <c r="J285" s="134" t="inlineStr">
        <is>
          <t>13</t>
        </is>
      </c>
      <c r="K285" s="134" t="n">
        <v>13000</v>
      </c>
      <c r="L285" s="134" t="inlineStr">
        <is>
          <t>15</t>
        </is>
      </c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복</t>
        </is>
      </c>
      <c r="T285" s="5" t="n">
        <v>105</v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7">
      <c r="A286" s="75" t="inlineStr">
        <is>
          <t>수송동 수송아이파크(201-2BL)</t>
        </is>
      </c>
      <c r="B286" s="76" t="inlineStr">
        <is>
          <t>08.09.</t>
        </is>
      </c>
      <c r="C286" s="130" t="n">
        <v>566</v>
      </c>
      <c r="D286" s="131" t="n">
        <v>130.7</v>
      </c>
      <c r="E286" s="132" t="n">
        <v>40</v>
      </c>
      <c r="F286" s="131" t="n">
        <v>100.1</v>
      </c>
      <c r="G286" s="17" t="n">
        <v>30</v>
      </c>
      <c r="H286" s="133" t="n">
        <v>87</v>
      </c>
      <c r="I286" s="134" t="n">
        <v>39000</v>
      </c>
      <c r="J286" s="134" t="inlineStr">
        <is>
          <t>10</t>
        </is>
      </c>
      <c r="K286" s="134" t="n">
        <v>35000</v>
      </c>
      <c r="L286" s="134" t="inlineStr">
        <is>
          <t>13</t>
        </is>
      </c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n">
        <v>130</v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7">
      <c r="A287" s="75" t="inlineStr">
        <is>
          <t>수송동 수송아이파크(201-2BL)</t>
        </is>
      </c>
      <c r="B287" s="76" t="inlineStr">
        <is>
          <t>08.09.</t>
        </is>
      </c>
      <c r="C287" s="130" t="n">
        <v>566</v>
      </c>
      <c r="D287" s="131" t="n">
        <v>134.3</v>
      </c>
      <c r="E287" s="132" t="n">
        <v>41</v>
      </c>
      <c r="F287" s="131" t="n">
        <v>104.5</v>
      </c>
      <c r="G287" s="17" t="n">
        <v>32</v>
      </c>
      <c r="H287" s="133" t="n">
        <v>54</v>
      </c>
      <c r="I287" s="134" t="n">
        <v>46000</v>
      </c>
      <c r="J287" s="134" t="inlineStr">
        <is>
          <t>7</t>
        </is>
      </c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n">
        <v>134</v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7">
      <c r="A288" s="75" t="inlineStr">
        <is>
          <t>수송동 수송아이파크(201-2BL)</t>
        </is>
      </c>
      <c r="B288" s="76" t="inlineStr">
        <is>
          <t>08.09.</t>
        </is>
      </c>
      <c r="C288" s="130" t="n">
        <v>566</v>
      </c>
      <c r="D288" s="131" t="n">
        <v>153.9</v>
      </c>
      <c r="E288" s="132" t="n">
        <v>47</v>
      </c>
      <c r="F288" s="131" t="n">
        <v>119.9</v>
      </c>
      <c r="G288" s="17" t="n">
        <v>36</v>
      </c>
      <c r="H288" s="133" t="n">
        <v>328</v>
      </c>
      <c r="I288" s="134" t="n">
        <v>46000</v>
      </c>
      <c r="J288" s="134" t="inlineStr">
        <is>
          <t>7</t>
        </is>
      </c>
      <c r="K288" s="134" t="n">
        <v>35000</v>
      </c>
      <c r="L288" s="134" t="inlineStr">
        <is>
          <t>7</t>
        </is>
      </c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4</v>
      </c>
      <c r="R288" s="121" t="n">
        <v>2</v>
      </c>
      <c r="S288" s="121" t="inlineStr">
        <is>
          <t>계</t>
        </is>
      </c>
      <c r="T288" s="5" t="n">
        <v>153</v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7">
      <c r="A289" s="75" t="inlineStr">
        <is>
          <t>수송동 수송아이파크(201-2BL)</t>
        </is>
      </c>
      <c r="B289" s="76" t="inlineStr">
        <is>
          <t>08.09.</t>
        </is>
      </c>
      <c r="C289" s="130" t="n">
        <v>566</v>
      </c>
      <c r="D289" s="131" t="n">
        <v>178.7</v>
      </c>
      <c r="E289" s="132" t="n">
        <v>54</v>
      </c>
      <c r="F289" s="131" t="n">
        <v>143.8</v>
      </c>
      <c r="G289" s="17" t="n">
        <v>44</v>
      </c>
      <c r="H289" s="133" t="n">
        <v>94</v>
      </c>
      <c r="I289" s="134" t="n">
        <v>55000</v>
      </c>
      <c r="J289" s="134" t="inlineStr">
        <is>
          <t>6</t>
        </is>
      </c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4</v>
      </c>
      <c r="R289" s="121" t="n">
        <v>2</v>
      </c>
      <c r="S289" s="121" t="inlineStr">
        <is>
          <t>계</t>
        </is>
      </c>
      <c r="T289" s="5" t="n">
        <v>178</v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7">
      <c r="A290" s="75" t="inlineStr">
        <is>
          <t>수송동 수송아이파크(201-2BL)</t>
        </is>
      </c>
      <c r="B290" s="76" t="inlineStr">
        <is>
          <t>08.09.</t>
        </is>
      </c>
      <c r="C290" s="130" t="n">
        <v>566</v>
      </c>
      <c r="D290" s="131" t="n">
        <v>287</v>
      </c>
      <c r="E290" s="132" t="n">
        <v>87</v>
      </c>
      <c r="F290" s="131" t="n">
        <v>232.1</v>
      </c>
      <c r="G290" s="17" t="n">
        <v>70</v>
      </c>
      <c r="H290" s="133" t="n">
        <v>3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5</v>
      </c>
      <c r="R290" s="121" t="n">
        <v>4</v>
      </c>
      <c r="S290" s="121" t="inlineStr">
        <is>
          <t>계</t>
        </is>
      </c>
      <c r="T290" s="5" t="n">
        <v>286</v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7">
      <c r="A291" s="75" t="inlineStr">
        <is>
          <t>수송동 군산수송세영리첼</t>
        </is>
      </c>
      <c r="B291" s="76" t="inlineStr">
        <is>
          <t>10.06.</t>
        </is>
      </c>
      <c r="C291" s="130" t="n">
        <v>1041</v>
      </c>
      <c r="D291" s="131" t="n">
        <v>108.9</v>
      </c>
      <c r="E291" s="132" t="n">
        <v>33</v>
      </c>
      <c r="F291" s="131" t="n">
        <v>84.7</v>
      </c>
      <c r="G291" s="17" t="n">
        <v>26</v>
      </c>
      <c r="H291" s="133" t="n">
        <v>160</v>
      </c>
      <c r="I291" s="134" t="n">
        <v>32000</v>
      </c>
      <c r="J291" s="134" t="inlineStr">
        <is>
          <t>18</t>
        </is>
      </c>
      <c r="K291" s="134" t="n">
        <v>26000</v>
      </c>
      <c r="L291" s="134" t="inlineStr">
        <is>
          <t>17</t>
        </is>
      </c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n">
        <v>108</v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7">
      <c r="A292" s="75" t="inlineStr">
        <is>
          <t>수송동 군산수송세영리첼</t>
        </is>
      </c>
      <c r="B292" s="76" t="inlineStr">
        <is>
          <t>10.06.</t>
        </is>
      </c>
      <c r="C292" s="130" t="n">
        <v>1041</v>
      </c>
      <c r="D292" s="131" t="n">
        <v>114.2</v>
      </c>
      <c r="E292" s="132" t="n">
        <v>35</v>
      </c>
      <c r="F292" s="131" t="n">
        <v>85</v>
      </c>
      <c r="G292" s="17" t="n">
        <v>26</v>
      </c>
      <c r="H292" s="133" t="n">
        <v>466</v>
      </c>
      <c r="I292" s="134" t="n">
        <v>30500</v>
      </c>
      <c r="J292" s="134" t="inlineStr">
        <is>
          <t>12</t>
        </is>
      </c>
      <c r="K292" s="134" t="n">
        <v>27000</v>
      </c>
      <c r="L292" s="134" t="inlineStr">
        <is>
          <t>12</t>
        </is>
      </c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114A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7">
      <c r="A293" s="75" t="inlineStr">
        <is>
          <t>수송동 군산수송세영리첼</t>
        </is>
      </c>
      <c r="B293" s="76" t="inlineStr">
        <is>
          <t>10.06.</t>
        </is>
      </c>
      <c r="C293" s="130" t="n">
        <v>1041</v>
      </c>
      <c r="D293" s="131" t="n">
        <v>114.4</v>
      </c>
      <c r="E293" s="132" t="n">
        <v>35</v>
      </c>
      <c r="F293" s="131" t="n">
        <v>84.90000000000001</v>
      </c>
      <c r="G293" s="17" t="n">
        <v>26</v>
      </c>
      <c r="H293" s="133" t="n">
        <v>120</v>
      </c>
      <c r="I293" s="134" t="n">
        <v>32500</v>
      </c>
      <c r="J293" s="134" t="inlineStr">
        <is>
          <t>10</t>
        </is>
      </c>
      <c r="K293" s="134" t="n">
        <v>26000</v>
      </c>
      <c r="L293" s="134" t="inlineStr">
        <is>
          <t>9</t>
        </is>
      </c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114B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7">
      <c r="A294" s="75" t="inlineStr">
        <is>
          <t>수송동 군산수송세영리첼</t>
        </is>
      </c>
      <c r="B294" s="76" t="inlineStr">
        <is>
          <t>10.06.</t>
        </is>
      </c>
      <c r="C294" s="130" t="n">
        <v>1041</v>
      </c>
      <c r="D294" s="131" t="n">
        <v>119.3</v>
      </c>
      <c r="E294" s="132" t="n">
        <v>36</v>
      </c>
      <c r="F294" s="131" t="n">
        <v>84.90000000000001</v>
      </c>
      <c r="G294" s="17" t="n">
        <v>26</v>
      </c>
      <c r="H294" s="133" t="n">
        <v>295</v>
      </c>
      <c r="I294" s="134" t="n">
        <v>33000</v>
      </c>
      <c r="J294" s="134" t="inlineStr">
        <is>
          <t>7</t>
        </is>
      </c>
      <c r="K294" s="134" t="n">
        <v>28000</v>
      </c>
      <c r="L294" s="134" t="inlineStr">
        <is>
          <t>15</t>
        </is>
      </c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2</v>
      </c>
      <c r="S294" s="121" t="inlineStr">
        <is>
          <t>계</t>
        </is>
      </c>
      <c r="T294" s="5" t="n">
        <v>119</v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7">
      <c r="A295" s="75" t="inlineStr">
        <is>
          <t>수송동 수송오투그란데2차</t>
        </is>
      </c>
      <c r="B295" s="76" t="inlineStr">
        <is>
          <t>11.03.</t>
        </is>
      </c>
      <c r="C295" s="130" t="n">
        <v>570</v>
      </c>
      <c r="D295" s="131" t="n">
        <v>71.8</v>
      </c>
      <c r="E295" s="132" t="n">
        <v>22</v>
      </c>
      <c r="F295" s="131" t="n">
        <v>49.9</v>
      </c>
      <c r="G295" s="17" t="n">
        <v>15</v>
      </c>
      <c r="H295" s="133" t="n">
        <v>104</v>
      </c>
      <c r="I295" s="134" t="n">
        <v>17900</v>
      </c>
      <c r="J295" s="134" t="inlineStr">
        <is>
          <t>12</t>
        </is>
      </c>
      <c r="K295" s="134" t="n">
        <v>16500</v>
      </c>
      <c r="L295" s="134" t="inlineStr">
        <is>
          <t>15</t>
        </is>
      </c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2</v>
      </c>
      <c r="R295" s="121" t="n">
        <v>1</v>
      </c>
      <c r="S295" s="121" t="inlineStr">
        <is>
          <t>계</t>
        </is>
      </c>
      <c r="T295" s="5" t="n">
        <v>71</v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2" customFormat="1" customHeight="1" s="37">
      <c r="A296" s="75" t="inlineStr">
        <is>
          <t>수송동 수송오투그란데2차</t>
        </is>
      </c>
      <c r="B296" s="76" t="inlineStr">
        <is>
          <t>11.03.</t>
        </is>
      </c>
      <c r="C296" s="130" t="n">
        <v>570</v>
      </c>
      <c r="D296" s="131" t="n">
        <v>83</v>
      </c>
      <c r="E296" s="132" t="n">
        <v>25</v>
      </c>
      <c r="F296" s="131" t="n">
        <v>60</v>
      </c>
      <c r="G296" s="17" t="n">
        <v>18</v>
      </c>
      <c r="H296" s="133" t="n">
        <v>235</v>
      </c>
      <c r="I296" s="134" t="n">
        <v>21500</v>
      </c>
      <c r="J296" s="134" t="inlineStr">
        <is>
          <t>11</t>
        </is>
      </c>
      <c r="K296" s="134" t="n">
        <v>18500</v>
      </c>
      <c r="L296" s="134" t="inlineStr">
        <is>
          <t>11</t>
        </is>
      </c>
      <c r="M296" s="135">
        <f>I296-K296</f>
        <v/>
      </c>
      <c r="N296" s="4">
        <f>IF(ISERROR(K296/I296),"",K296/I296)</f>
        <v/>
      </c>
      <c r="O296" s="136">
        <f>I296/E296</f>
        <v/>
      </c>
      <c r="P296" s="136">
        <f>K296/E296</f>
        <v/>
      </c>
      <c r="Q296" s="121" t="n">
        <v>3</v>
      </c>
      <c r="R296" s="121" t="n">
        <v>2</v>
      </c>
      <c r="S296" s="121" t="inlineStr">
        <is>
          <t>계</t>
        </is>
      </c>
      <c r="T296" s="5" t="inlineStr">
        <is>
          <t>82B</t>
        </is>
      </c>
      <c r="U296" s="9" t="n"/>
      <c r="W296" s="131">
        <f>D296</f>
        <v/>
      </c>
      <c r="X296" s="132">
        <f>E296</f>
        <v/>
      </c>
      <c r="Y296" s="137">
        <f>H296</f>
        <v/>
      </c>
      <c r="Z296" s="135">
        <f>I296</f>
        <v/>
      </c>
      <c r="AA296" s="135">
        <f>K296</f>
        <v/>
      </c>
      <c r="AB296" s="135">
        <f>M296</f>
        <v/>
      </c>
      <c r="AC296" s="4">
        <f>N296</f>
        <v/>
      </c>
      <c r="AD296" s="136">
        <f>O296</f>
        <v/>
      </c>
      <c r="AE296" s="121">
        <f>S296</f>
        <v/>
      </c>
      <c r="AF296" s="121">
        <f>Q296&amp;"/"&amp;R296</f>
        <v/>
      </c>
      <c r="AH296" s="20">
        <f>IF(A296="","",A296)</f>
        <v/>
      </c>
      <c r="AI296" s="132">
        <f>IF(E296="","",E296)</f>
        <v/>
      </c>
      <c r="AJ296" s="121">
        <f>IF(AI296="","",$AJ$2)</f>
        <v/>
      </c>
      <c r="AK296" s="121" t="inlineStr">
        <is>
          <t>A</t>
        </is>
      </c>
      <c r="AL296" s="121" t="inlineStr">
        <is>
          <t>A+</t>
        </is>
      </c>
      <c r="AM296" s="121" t="inlineStr">
        <is>
          <t>B+</t>
        </is>
      </c>
      <c r="AN296" s="121">
        <f>IF(AI296="","",$AN$2)</f>
        <v/>
      </c>
      <c r="AO296" s="121">
        <f>IF(N296="","",IF(N296&gt;=$AO$1/100,"O","X"))</f>
        <v/>
      </c>
      <c r="AP296" s="121">
        <f>IF(I296="","",IF(I296&lt;=$AP$1,"O","X"))</f>
        <v/>
      </c>
      <c r="AQ296" s="121">
        <f>IF(O296="","",IF(O296&lt;=$AQ$1,"O","X"))</f>
        <v/>
      </c>
      <c r="AR296" s="121">
        <f>IF(M296="","",IF(M296&lt;=$AR$1,"O","X"))</f>
        <v/>
      </c>
      <c r="AS296" s="121" t="inlineStr">
        <is>
          <t>X</t>
        </is>
      </c>
      <c r="AT296" s="121">
        <f>IF(OR(F296="",AI296=""),"",IF(AND((F296&lt;=85),(AI296&gt;=15)),"O","X"))</f>
        <v/>
      </c>
      <c r="AU296" s="121">
        <f>IF(C296="","",IF(C296&gt;=$AU$1,"O","X"))</f>
        <v/>
      </c>
      <c r="AV296" s="121">
        <f>IF(AO296="","",IF(AND(AO296="O",AP296="O",AR296="O",AT296="O",AU296="O"),"후보","X"))</f>
        <v/>
      </c>
    </row>
    <row r="297" ht="12" customFormat="1" customHeight="1" s="37">
      <c r="A297" s="75" t="inlineStr">
        <is>
          <t>수송동 수송오투그란데2차</t>
        </is>
      </c>
      <c r="B297" s="76" t="inlineStr">
        <is>
          <t>11.03.</t>
        </is>
      </c>
      <c r="C297" s="130" t="n">
        <v>570</v>
      </c>
      <c r="D297" s="131" t="n">
        <v>82.59999999999999</v>
      </c>
      <c r="E297" s="132" t="n">
        <v>25</v>
      </c>
      <c r="F297" s="131" t="n">
        <v>59.7</v>
      </c>
      <c r="G297" s="17" t="n">
        <v>18</v>
      </c>
      <c r="H297" s="133" t="n">
        <v>231</v>
      </c>
      <c r="I297" s="134" t="n"/>
      <c r="J297" s="134" t="n"/>
      <c r="K297" s="134" t="n"/>
      <c r="L297" s="134" t="n"/>
      <c r="M297" s="135">
        <f>I297-K297</f>
        <v/>
      </c>
      <c r="N297" s="4">
        <f>IF(ISERROR(K297/I297),"",K297/I297)</f>
        <v/>
      </c>
      <c r="O297" s="136">
        <f>I297/E297</f>
        <v/>
      </c>
      <c r="P297" s="136">
        <f>K297/E297</f>
        <v/>
      </c>
      <c r="Q297" s="121" t="n">
        <v>3</v>
      </c>
      <c r="R297" s="121" t="n">
        <v>2</v>
      </c>
      <c r="S297" s="121" t="inlineStr">
        <is>
          <t>계</t>
        </is>
      </c>
      <c r="T297" s="5" t="inlineStr">
        <is>
          <t>82A</t>
        </is>
      </c>
      <c r="U297" s="9" t="n"/>
      <c r="W297" s="131">
        <f>D297</f>
        <v/>
      </c>
      <c r="X297" s="132">
        <f>E297</f>
        <v/>
      </c>
      <c r="Y297" s="137">
        <f>H297</f>
        <v/>
      </c>
      <c r="Z297" s="135">
        <f>I297</f>
        <v/>
      </c>
      <c r="AA297" s="135">
        <f>K297</f>
        <v/>
      </c>
      <c r="AB297" s="135">
        <f>M297</f>
        <v/>
      </c>
      <c r="AC297" s="4">
        <f>N297</f>
        <v/>
      </c>
      <c r="AD297" s="136">
        <f>O297</f>
        <v/>
      </c>
      <c r="AE297" s="121">
        <f>S297</f>
        <v/>
      </c>
      <c r="AF297" s="121">
        <f>Q297&amp;"/"&amp;R297</f>
        <v/>
      </c>
      <c r="AH297" s="20">
        <f>IF(A297="","",A297)</f>
        <v/>
      </c>
      <c r="AI297" s="132">
        <f>IF(E297="","",E297)</f>
        <v/>
      </c>
      <c r="AJ297" s="121">
        <f>IF(AI297="","",$AJ$2)</f>
        <v/>
      </c>
      <c r="AK297" s="121" t="inlineStr">
        <is>
          <t>A</t>
        </is>
      </c>
      <c r="AL297" s="121" t="inlineStr">
        <is>
          <t>A+</t>
        </is>
      </c>
      <c r="AM297" s="121" t="inlineStr">
        <is>
          <t>B+</t>
        </is>
      </c>
      <c r="AN297" s="121">
        <f>IF(AI297="","",$AN$2)</f>
        <v/>
      </c>
      <c r="AO297" s="121">
        <f>IF(N297="","",IF(N297&gt;=$AO$1/100,"O","X"))</f>
        <v/>
      </c>
      <c r="AP297" s="121">
        <f>IF(I297="","",IF(I297&lt;=$AP$1,"O","X"))</f>
        <v/>
      </c>
      <c r="AQ297" s="121">
        <f>IF(O297="","",IF(O297&lt;=$AQ$1,"O","X"))</f>
        <v/>
      </c>
      <c r="AR297" s="121">
        <f>IF(M297="","",IF(M297&lt;=$AR$1,"O","X"))</f>
        <v/>
      </c>
      <c r="AS297" s="121" t="inlineStr">
        <is>
          <t>X</t>
        </is>
      </c>
      <c r="AT297" s="121">
        <f>IF(OR(F297="",AI297=""),"",IF(AND((F297&lt;=85),(AI297&gt;=15)),"O","X"))</f>
        <v/>
      </c>
      <c r="AU297" s="121">
        <f>IF(C297="","",IF(C297&gt;=$AU$1,"O","X"))</f>
        <v/>
      </c>
      <c r="AV297" s="121">
        <f>IF(AO297="","",IF(AND(AO297="O",AP297="O",AR297="O",AT297="O",AU297="O"),"후보","X"))</f>
        <v/>
      </c>
    </row>
    <row r="298" ht="12" customFormat="1" customHeight="1" s="37">
      <c r="A298" s="75" t="inlineStr">
        <is>
          <t>수송동 현대</t>
        </is>
      </c>
      <c r="B298" s="76" t="inlineStr">
        <is>
          <t>97.06.</t>
        </is>
      </c>
      <c r="C298" s="130" t="n">
        <v>657</v>
      </c>
      <c r="D298" s="131" t="n">
        <v>78.3</v>
      </c>
      <c r="E298" s="132" t="n">
        <v>24</v>
      </c>
      <c r="F298" s="131" t="n">
        <v>60</v>
      </c>
      <c r="G298" s="17" t="n">
        <v>18</v>
      </c>
      <c r="H298" s="133" t="n">
        <v>272</v>
      </c>
      <c r="I298" s="134" t="n"/>
      <c r="J298" s="134" t="n"/>
      <c r="K298" s="134" t="n"/>
      <c r="L298" s="134" t="n"/>
      <c r="M298" s="135">
        <f>I298-K298</f>
        <v/>
      </c>
      <c r="N298" s="4">
        <f>IF(ISERROR(K298/I298),"",K298/I298)</f>
        <v/>
      </c>
      <c r="O298" s="136">
        <f>I298/E298</f>
        <v/>
      </c>
      <c r="P298" s="136">
        <f>K298/E298</f>
        <v/>
      </c>
      <c r="Q298" s="121" t="n">
        <v>3</v>
      </c>
      <c r="R298" s="121" t="n">
        <v>1</v>
      </c>
      <c r="S298" s="121" t="inlineStr">
        <is>
          <t>계</t>
        </is>
      </c>
      <c r="T298" s="5" t="n">
        <v>78</v>
      </c>
      <c r="U298" s="9" t="n"/>
      <c r="W298" s="131">
        <f>D298</f>
        <v/>
      </c>
      <c r="X298" s="132">
        <f>E298</f>
        <v/>
      </c>
      <c r="Y298" s="137">
        <f>H298</f>
        <v/>
      </c>
      <c r="Z298" s="135">
        <f>I298</f>
        <v/>
      </c>
      <c r="AA298" s="135">
        <f>K298</f>
        <v/>
      </c>
      <c r="AB298" s="135">
        <f>M298</f>
        <v/>
      </c>
      <c r="AC298" s="4">
        <f>N298</f>
        <v/>
      </c>
      <c r="AD298" s="136">
        <f>O298</f>
        <v/>
      </c>
      <c r="AE298" s="121">
        <f>S298</f>
        <v/>
      </c>
      <c r="AF298" s="121">
        <f>Q298&amp;"/"&amp;R298</f>
        <v/>
      </c>
      <c r="AH298" s="20">
        <f>IF(A298="","",A298)</f>
        <v/>
      </c>
      <c r="AI298" s="132">
        <f>IF(E298="","",E298)</f>
        <v/>
      </c>
      <c r="AJ298" s="121">
        <f>IF(AI298="","",$AJ$2)</f>
        <v/>
      </c>
      <c r="AK298" s="121" t="inlineStr">
        <is>
          <t>A</t>
        </is>
      </c>
      <c r="AL298" s="121" t="inlineStr">
        <is>
          <t>A+</t>
        </is>
      </c>
      <c r="AM298" s="121" t="inlineStr">
        <is>
          <t>B+</t>
        </is>
      </c>
      <c r="AN298" s="121">
        <f>IF(AI298="","",$AN$2)</f>
        <v/>
      </c>
      <c r="AO298" s="121">
        <f>IF(N298="","",IF(N298&gt;=$AO$1/100,"O","X"))</f>
        <v/>
      </c>
      <c r="AP298" s="121">
        <f>IF(I298="","",IF(I298&lt;=$AP$1,"O","X"))</f>
        <v/>
      </c>
      <c r="AQ298" s="121">
        <f>IF(O298="","",IF(O298&lt;=$AQ$1,"O","X"))</f>
        <v/>
      </c>
      <c r="AR298" s="121">
        <f>IF(M298="","",IF(M298&lt;=$AR$1,"O","X"))</f>
        <v/>
      </c>
      <c r="AS298" s="121" t="inlineStr">
        <is>
          <t>X</t>
        </is>
      </c>
      <c r="AT298" s="121">
        <f>IF(OR(F298="",AI298=""),"",IF(AND((F298&lt;=85),(AI298&gt;=15)),"O","X"))</f>
        <v/>
      </c>
      <c r="AU298" s="121">
        <f>IF(C298="","",IF(C298&gt;=$AU$1,"O","X"))</f>
        <v/>
      </c>
      <c r="AV298" s="121">
        <f>IF(AO298="","",IF(AND(AO298="O",AP298="O",AR298="O",AT298="O",AU298="O"),"후보","X"))</f>
        <v/>
      </c>
    </row>
    <row r="299" ht="12" customFormat="1" customHeight="1" s="37">
      <c r="A299" s="75" t="inlineStr">
        <is>
          <t>수송동 현대</t>
        </is>
      </c>
      <c r="B299" s="76" t="inlineStr">
        <is>
          <t>97.06.</t>
        </is>
      </c>
      <c r="C299" s="130" t="n">
        <v>657</v>
      </c>
      <c r="D299" s="131" t="n">
        <v>96.40000000000001</v>
      </c>
      <c r="E299" s="132" t="n">
        <v>29</v>
      </c>
      <c r="F299" s="131" t="n">
        <v>75.2</v>
      </c>
      <c r="G299" s="17" t="n">
        <v>23</v>
      </c>
      <c r="H299" s="133" t="n">
        <v>136</v>
      </c>
      <c r="I299" s="134" t="n">
        <v>17500</v>
      </c>
      <c r="J299" s="134" t="inlineStr">
        <is>
          <t>고</t>
        </is>
      </c>
      <c r="K299" s="134" t="n">
        <v>15500</v>
      </c>
      <c r="L299" s="134" t="inlineStr">
        <is>
          <t>13</t>
        </is>
      </c>
      <c r="M299" s="135">
        <f>I299-K299</f>
        <v/>
      </c>
      <c r="N299" s="4">
        <f>IF(ISERROR(K299/I299),"",K299/I299)</f>
        <v/>
      </c>
      <c r="O299" s="136">
        <f>I299/E299</f>
        <v/>
      </c>
      <c r="P299" s="136">
        <f>K299/E299</f>
        <v/>
      </c>
      <c r="Q299" s="121" t="n">
        <v>3</v>
      </c>
      <c r="R299" s="121" t="n">
        <v>1</v>
      </c>
      <c r="S299" s="121" t="inlineStr">
        <is>
          <t>계</t>
        </is>
      </c>
      <c r="T299" s="5" t="n">
        <v>96</v>
      </c>
      <c r="U299" s="9" t="n"/>
      <c r="W299" s="131">
        <f>D299</f>
        <v/>
      </c>
      <c r="X299" s="132">
        <f>E299</f>
        <v/>
      </c>
      <c r="Y299" s="137">
        <f>H299</f>
        <v/>
      </c>
      <c r="Z299" s="135">
        <f>I299</f>
        <v/>
      </c>
      <c r="AA299" s="135">
        <f>K299</f>
        <v/>
      </c>
      <c r="AB299" s="135">
        <f>M299</f>
        <v/>
      </c>
      <c r="AC299" s="4">
        <f>N299</f>
        <v/>
      </c>
      <c r="AD299" s="136">
        <f>O299</f>
        <v/>
      </c>
      <c r="AE299" s="121">
        <f>S299</f>
        <v/>
      </c>
      <c r="AF299" s="121">
        <f>Q299&amp;"/"&amp;R299</f>
        <v/>
      </c>
      <c r="AH299" s="20">
        <f>IF(A299="","",A299)</f>
        <v/>
      </c>
      <c r="AI299" s="132">
        <f>IF(E299="","",E299)</f>
        <v/>
      </c>
      <c r="AJ299" s="121">
        <f>IF(AI299="","",$AJ$2)</f>
        <v/>
      </c>
      <c r="AK299" s="121" t="inlineStr">
        <is>
          <t>A</t>
        </is>
      </c>
      <c r="AL299" s="121" t="inlineStr">
        <is>
          <t>A+</t>
        </is>
      </c>
      <c r="AM299" s="121" t="inlineStr">
        <is>
          <t>B+</t>
        </is>
      </c>
      <c r="AN299" s="121">
        <f>IF(AI299="","",$AN$2)</f>
        <v/>
      </c>
      <c r="AO299" s="121">
        <f>IF(N299="","",IF(N299&gt;=$AO$1/100,"O","X"))</f>
        <v/>
      </c>
      <c r="AP299" s="121">
        <f>IF(I299="","",IF(I299&lt;=$AP$1,"O","X"))</f>
        <v/>
      </c>
      <c r="AQ299" s="121">
        <f>IF(O299="","",IF(O299&lt;=$AQ$1,"O","X"))</f>
        <v/>
      </c>
      <c r="AR299" s="121">
        <f>IF(M299="","",IF(M299&lt;=$AR$1,"O","X"))</f>
        <v/>
      </c>
      <c r="AS299" s="121" t="inlineStr">
        <is>
          <t>X</t>
        </is>
      </c>
      <c r="AT299" s="121">
        <f>IF(OR(F299="",AI299=""),"",IF(AND((F299&lt;=85),(AI299&gt;=15)),"O","X"))</f>
        <v/>
      </c>
      <c r="AU299" s="121">
        <f>IF(C299="","",IF(C299&gt;=$AU$1,"O","X"))</f>
        <v/>
      </c>
      <c r="AV299" s="121">
        <f>IF(AO299="","",IF(AND(AO299="O",AP299="O",AR299="O",AT299="O",AU299="O"),"후보","X"))</f>
        <v/>
      </c>
    </row>
    <row r="300" ht="12" customFormat="1" customHeight="1" s="37">
      <c r="A300" s="75" t="inlineStr">
        <is>
          <t>수송동 현대</t>
        </is>
      </c>
      <c r="B300" s="76" t="inlineStr">
        <is>
          <t>97.06.</t>
        </is>
      </c>
      <c r="C300" s="130" t="n">
        <v>657</v>
      </c>
      <c r="D300" s="131" t="n">
        <v>105.2</v>
      </c>
      <c r="E300" s="132" t="n">
        <v>32</v>
      </c>
      <c r="F300" s="131" t="n">
        <v>85</v>
      </c>
      <c r="G300" s="17" t="n">
        <v>26</v>
      </c>
      <c r="H300" s="133" t="n">
        <v>249</v>
      </c>
      <c r="I300" s="134" t="n">
        <v>19000</v>
      </c>
      <c r="J300" s="134" t="inlineStr">
        <is>
          <t>15</t>
        </is>
      </c>
      <c r="K300" s="134" t="n">
        <v>18000</v>
      </c>
      <c r="L300" s="134" t="inlineStr">
        <is>
          <t>12</t>
        </is>
      </c>
      <c r="M300" s="135">
        <f>I300-K300</f>
        <v/>
      </c>
      <c r="N300" s="4">
        <f>IF(ISERROR(K300/I300),"",K300/I300)</f>
        <v/>
      </c>
      <c r="O300" s="136">
        <f>I300/E300</f>
        <v/>
      </c>
      <c r="P300" s="136">
        <f>K300/E300</f>
        <v/>
      </c>
      <c r="Q300" s="121" t="n">
        <v>3</v>
      </c>
      <c r="R300" s="121" t="n">
        <v>2</v>
      </c>
      <c r="S300" s="121" t="inlineStr">
        <is>
          <t>계</t>
        </is>
      </c>
      <c r="T300" s="5" t="n">
        <v>105</v>
      </c>
      <c r="U300" s="9" t="n"/>
      <c r="W300" s="131">
        <f>D300</f>
        <v/>
      </c>
      <c r="X300" s="132">
        <f>E300</f>
        <v/>
      </c>
      <c r="Y300" s="137">
        <f>H300</f>
        <v/>
      </c>
      <c r="Z300" s="135">
        <f>I300</f>
        <v/>
      </c>
      <c r="AA300" s="135">
        <f>K300</f>
        <v/>
      </c>
      <c r="AB300" s="135">
        <f>M300</f>
        <v/>
      </c>
      <c r="AC300" s="4">
        <f>N300</f>
        <v/>
      </c>
      <c r="AD300" s="136">
        <f>O300</f>
        <v/>
      </c>
      <c r="AE300" s="121">
        <f>S300</f>
        <v/>
      </c>
      <c r="AF300" s="121">
        <f>Q300&amp;"/"&amp;R300</f>
        <v/>
      </c>
      <c r="AH300" s="20">
        <f>IF(A300="","",A300)</f>
        <v/>
      </c>
      <c r="AI300" s="132">
        <f>IF(E300="","",E300)</f>
        <v/>
      </c>
      <c r="AJ300" s="121">
        <f>IF(AI300="","",$AJ$2)</f>
        <v/>
      </c>
      <c r="AK300" s="121" t="inlineStr">
        <is>
          <t>A</t>
        </is>
      </c>
      <c r="AL300" s="121" t="inlineStr">
        <is>
          <t>A+</t>
        </is>
      </c>
      <c r="AM300" s="121" t="inlineStr">
        <is>
          <t>B+</t>
        </is>
      </c>
      <c r="AN300" s="121">
        <f>IF(AI300="","",$AN$2)</f>
        <v/>
      </c>
      <c r="AO300" s="121">
        <f>IF(N300="","",IF(N300&gt;=$AO$1/100,"O","X"))</f>
        <v/>
      </c>
      <c r="AP300" s="121">
        <f>IF(I300="","",IF(I300&lt;=$AP$1,"O","X"))</f>
        <v/>
      </c>
      <c r="AQ300" s="121">
        <f>IF(O300="","",IF(O300&lt;=$AQ$1,"O","X"))</f>
        <v/>
      </c>
      <c r="AR300" s="121">
        <f>IF(M300="","",IF(M300&lt;=$AR$1,"O","X"))</f>
        <v/>
      </c>
      <c r="AS300" s="121" t="inlineStr">
        <is>
          <t>X</t>
        </is>
      </c>
      <c r="AT300" s="121">
        <f>IF(OR(F300="",AI300=""),"",IF(AND((F300&lt;=85),(AI300&gt;=15)),"O","X"))</f>
        <v/>
      </c>
      <c r="AU300" s="121">
        <f>IF(C300="","",IF(C300&gt;=$AU$1,"O","X"))</f>
        <v/>
      </c>
      <c r="AV300" s="121">
        <f>IF(AO300="","",IF(AND(AO300="O",AP300="O",AR300="O",AT300="O",AU300="O"),"후보","X"))</f>
        <v/>
      </c>
    </row>
    <row r="301" ht="12" customFormat="1" customHeight="1" s="37">
      <c r="A301" s="75" t="inlineStr">
        <is>
          <t>수송동 수송제일</t>
        </is>
      </c>
      <c r="B301" s="76" t="inlineStr">
        <is>
          <t>02.03.</t>
        </is>
      </c>
      <c r="C301" s="130" t="n">
        <v>941</v>
      </c>
      <c r="D301" s="131" t="n">
        <v>111.5</v>
      </c>
      <c r="E301" s="132" t="n">
        <v>34</v>
      </c>
      <c r="F301" s="131" t="n">
        <v>84.7</v>
      </c>
      <c r="G301" s="17" t="n">
        <v>26</v>
      </c>
      <c r="H301" s="133" t="n">
        <v>729</v>
      </c>
      <c r="I301" s="134" t="n">
        <v>19200</v>
      </c>
      <c r="J301" s="134" t="inlineStr">
        <is>
          <t>11</t>
        </is>
      </c>
      <c r="K301" s="134" t="n">
        <v>18000</v>
      </c>
      <c r="L301" s="134" t="inlineStr">
        <is>
          <t>11</t>
        </is>
      </c>
      <c r="M301" s="135">
        <f>I301-K301</f>
        <v/>
      </c>
      <c r="N301" s="4">
        <f>IF(ISERROR(K301/I301),"",K301/I301)</f>
        <v/>
      </c>
      <c r="O301" s="136">
        <f>I301/E301</f>
        <v/>
      </c>
      <c r="P301" s="136">
        <f>K301/E301</f>
        <v/>
      </c>
      <c r="Q301" s="121" t="n">
        <v>3</v>
      </c>
      <c r="R301" s="121" t="n">
        <v>2</v>
      </c>
      <c r="S301" s="121" t="inlineStr">
        <is>
          <t>계</t>
        </is>
      </c>
      <c r="T301" s="5" t="inlineStr">
        <is>
          <t>111A</t>
        </is>
      </c>
      <c r="U301" s="9" t="n"/>
      <c r="W301" s="131">
        <f>D301</f>
        <v/>
      </c>
      <c r="X301" s="132">
        <f>E301</f>
        <v/>
      </c>
      <c r="Y301" s="137">
        <f>H301</f>
        <v/>
      </c>
      <c r="Z301" s="135">
        <f>I301</f>
        <v/>
      </c>
      <c r="AA301" s="135">
        <f>K301</f>
        <v/>
      </c>
      <c r="AB301" s="135">
        <f>M301</f>
        <v/>
      </c>
      <c r="AC301" s="4">
        <f>N301</f>
        <v/>
      </c>
      <c r="AD301" s="136">
        <f>O301</f>
        <v/>
      </c>
      <c r="AE301" s="121">
        <f>S301</f>
        <v/>
      </c>
      <c r="AF301" s="121">
        <f>Q301&amp;"/"&amp;R301</f>
        <v/>
      </c>
      <c r="AH301" s="20">
        <f>IF(A301="","",A301)</f>
        <v/>
      </c>
      <c r="AI301" s="132">
        <f>IF(E301="","",E301)</f>
        <v/>
      </c>
      <c r="AJ301" s="121">
        <f>IF(AI301="","",$AJ$2)</f>
        <v/>
      </c>
      <c r="AK301" s="121" t="inlineStr">
        <is>
          <t>A</t>
        </is>
      </c>
      <c r="AL301" s="121" t="inlineStr">
        <is>
          <t>A+</t>
        </is>
      </c>
      <c r="AM301" s="121" t="inlineStr">
        <is>
          <t>B+</t>
        </is>
      </c>
      <c r="AN301" s="121">
        <f>IF(AI301="","",$AN$2)</f>
        <v/>
      </c>
      <c r="AO301" s="121">
        <f>IF(N301="","",IF(N301&gt;=$AO$1/100,"O","X"))</f>
        <v/>
      </c>
      <c r="AP301" s="121">
        <f>IF(I301="","",IF(I301&lt;=$AP$1,"O","X"))</f>
        <v/>
      </c>
      <c r="AQ301" s="121">
        <f>IF(O301="","",IF(O301&lt;=$AQ$1,"O","X"))</f>
        <v/>
      </c>
      <c r="AR301" s="121">
        <f>IF(M301="","",IF(M301&lt;=$AR$1,"O","X"))</f>
        <v/>
      </c>
      <c r="AS301" s="121" t="inlineStr">
        <is>
          <t>X</t>
        </is>
      </c>
      <c r="AT301" s="121">
        <f>IF(OR(F301="",AI301=""),"",IF(AND((F301&lt;=85),(AI301&gt;=15)),"O","X"))</f>
        <v/>
      </c>
      <c r="AU301" s="121">
        <f>IF(C301="","",IF(C301&gt;=$AU$1,"O","X"))</f>
        <v/>
      </c>
      <c r="AV301" s="121">
        <f>IF(AO301="","",IF(AND(AO301="O",AP301="O",AR301="O",AT301="O",AU301="O"),"후보","X"))</f>
        <v/>
      </c>
    </row>
    <row r="302" ht="12" customFormat="1" customHeight="1" s="37">
      <c r="A302" s="75" t="inlineStr">
        <is>
          <t>수송동 수송제일</t>
        </is>
      </c>
      <c r="B302" s="76" t="inlineStr">
        <is>
          <t>02.03.</t>
        </is>
      </c>
      <c r="C302" s="130" t="n">
        <v>941</v>
      </c>
      <c r="D302" s="131" t="n">
        <v>111</v>
      </c>
      <c r="E302" s="132" t="n">
        <v>34</v>
      </c>
      <c r="F302" s="131" t="n">
        <v>84.8</v>
      </c>
      <c r="G302" s="17" t="n">
        <v>26</v>
      </c>
      <c r="H302" s="133" t="n">
        <v>178</v>
      </c>
      <c r="I302" s="134" t="n">
        <v>18000</v>
      </c>
      <c r="J302" s="134" t="inlineStr">
        <is>
          <t>9</t>
        </is>
      </c>
      <c r="K302" s="134" t="n">
        <v>19100</v>
      </c>
      <c r="L302" s="134" t="inlineStr">
        <is>
          <t>15</t>
        </is>
      </c>
      <c r="M302" s="135">
        <f>I302-K302</f>
        <v/>
      </c>
      <c r="N302" s="4">
        <f>IF(ISERROR(K302/I302),"",K302/I302)</f>
        <v/>
      </c>
      <c r="O302" s="136">
        <f>I302/E302</f>
        <v/>
      </c>
      <c r="P302" s="136">
        <f>K302/E302</f>
        <v/>
      </c>
      <c r="Q302" s="121" t="n">
        <v>3</v>
      </c>
      <c r="R302" s="121" t="n">
        <v>2</v>
      </c>
      <c r="S302" s="121" t="inlineStr">
        <is>
          <t>계</t>
        </is>
      </c>
      <c r="T302" s="5" t="inlineStr">
        <is>
          <t>111C</t>
        </is>
      </c>
      <c r="U302" s="9" t="n"/>
      <c r="W302" s="131">
        <f>D302</f>
        <v/>
      </c>
      <c r="X302" s="132">
        <f>E302</f>
        <v/>
      </c>
      <c r="Y302" s="137">
        <f>H302</f>
        <v/>
      </c>
      <c r="Z302" s="135">
        <f>I302</f>
        <v/>
      </c>
      <c r="AA302" s="135">
        <f>K302</f>
        <v/>
      </c>
      <c r="AB302" s="135">
        <f>M302</f>
        <v/>
      </c>
      <c r="AC302" s="4">
        <f>N302</f>
        <v/>
      </c>
      <c r="AD302" s="136">
        <f>O302</f>
        <v/>
      </c>
      <c r="AE302" s="121">
        <f>S302</f>
        <v/>
      </c>
      <c r="AF302" s="121">
        <f>Q302&amp;"/"&amp;R302</f>
        <v/>
      </c>
      <c r="AH302" s="20">
        <f>IF(A302="","",A302)</f>
        <v/>
      </c>
      <c r="AI302" s="132">
        <f>IF(E302="","",E302)</f>
        <v/>
      </c>
      <c r="AJ302" s="121">
        <f>IF(AI302="","",$AJ$2)</f>
        <v/>
      </c>
      <c r="AK302" s="121" t="inlineStr">
        <is>
          <t>A</t>
        </is>
      </c>
      <c r="AL302" s="121" t="inlineStr">
        <is>
          <t>A+</t>
        </is>
      </c>
      <c r="AM302" s="121" t="inlineStr">
        <is>
          <t>B+</t>
        </is>
      </c>
      <c r="AN302" s="121">
        <f>IF(AI302="","",$AN$2)</f>
        <v/>
      </c>
      <c r="AO302" s="121">
        <f>IF(N302="","",IF(N302&gt;=$AO$1/100,"O","X"))</f>
        <v/>
      </c>
      <c r="AP302" s="121">
        <f>IF(I302="","",IF(I302&lt;=$AP$1,"O","X"))</f>
        <v/>
      </c>
      <c r="AQ302" s="121">
        <f>IF(O302="","",IF(O302&lt;=$AQ$1,"O","X"))</f>
        <v/>
      </c>
      <c r="AR302" s="121">
        <f>IF(M302="","",IF(M302&lt;=$AR$1,"O","X"))</f>
        <v/>
      </c>
      <c r="AS302" s="121" t="inlineStr">
        <is>
          <t>X</t>
        </is>
      </c>
      <c r="AT302" s="121">
        <f>IF(OR(F302="",AI302=""),"",IF(AND((F302&lt;=85),(AI302&gt;=15)),"O","X"))</f>
        <v/>
      </c>
      <c r="AU302" s="121">
        <f>IF(C302="","",IF(C302&gt;=$AU$1,"O","X"))</f>
        <v/>
      </c>
      <c r="AV302" s="121">
        <f>IF(AO302="","",IF(AND(AO302="O",AP302="O",AR302="O",AT302="O",AU302="O"),"후보","X"))</f>
        <v/>
      </c>
    </row>
    <row r="303" ht="12" customFormat="1" customHeight="1" s="37">
      <c r="A303" s="75" t="inlineStr">
        <is>
          <t>수송동 수송제일</t>
        </is>
      </c>
      <c r="B303" s="76" t="inlineStr">
        <is>
          <t>02.03.</t>
        </is>
      </c>
      <c r="C303" s="130" t="n">
        <v>941</v>
      </c>
      <c r="D303" s="131" t="n">
        <v>111.1</v>
      </c>
      <c r="E303" s="132" t="n">
        <v>34</v>
      </c>
      <c r="F303" s="131" t="n">
        <v>84.8</v>
      </c>
      <c r="G303" s="17" t="n">
        <v>26</v>
      </c>
      <c r="H303" s="133" t="n">
        <v>34</v>
      </c>
      <c r="I303" s="134" t="n">
        <v>21500</v>
      </c>
      <c r="J303" s="134" t="inlineStr">
        <is>
          <t>13</t>
        </is>
      </c>
      <c r="K303" s="134" t="n"/>
      <c r="L303" s="134" t="n"/>
      <c r="M303" s="135">
        <f>I303-K303</f>
        <v/>
      </c>
      <c r="N303" s="4">
        <f>IF(ISERROR(K303/I303),"",K303/I303)</f>
        <v/>
      </c>
      <c r="O303" s="136">
        <f>I303/E303</f>
        <v/>
      </c>
      <c r="P303" s="136">
        <f>K303/E303</f>
        <v/>
      </c>
      <c r="Q303" s="121" t="n">
        <v>3</v>
      </c>
      <c r="R303" s="121" t="n">
        <v>2</v>
      </c>
      <c r="S303" s="121" t="inlineStr">
        <is>
          <t>계</t>
        </is>
      </c>
      <c r="T303" s="5" t="inlineStr">
        <is>
          <t>111B</t>
        </is>
      </c>
      <c r="U303" s="9" t="n"/>
      <c r="W303" s="131">
        <f>D303</f>
        <v/>
      </c>
      <c r="X303" s="132">
        <f>E303</f>
        <v/>
      </c>
      <c r="Y303" s="137">
        <f>H303</f>
        <v/>
      </c>
      <c r="Z303" s="135">
        <f>I303</f>
        <v/>
      </c>
      <c r="AA303" s="135">
        <f>K303</f>
        <v/>
      </c>
      <c r="AB303" s="135">
        <f>M303</f>
        <v/>
      </c>
      <c r="AC303" s="4">
        <f>N303</f>
        <v/>
      </c>
      <c r="AD303" s="136">
        <f>O303</f>
        <v/>
      </c>
      <c r="AE303" s="121">
        <f>S303</f>
        <v/>
      </c>
      <c r="AF303" s="121">
        <f>Q303&amp;"/"&amp;R303</f>
        <v/>
      </c>
      <c r="AH303" s="20">
        <f>IF(A303="","",A303)</f>
        <v/>
      </c>
      <c r="AI303" s="132">
        <f>IF(E303="","",E303)</f>
        <v/>
      </c>
      <c r="AJ303" s="121">
        <f>IF(AI303="","",$AJ$2)</f>
        <v/>
      </c>
      <c r="AK303" s="121" t="inlineStr">
        <is>
          <t>A</t>
        </is>
      </c>
      <c r="AL303" s="121" t="inlineStr">
        <is>
          <t>A+</t>
        </is>
      </c>
      <c r="AM303" s="121" t="inlineStr">
        <is>
          <t>B+</t>
        </is>
      </c>
      <c r="AN303" s="121">
        <f>IF(AI303="","",$AN$2)</f>
        <v/>
      </c>
      <c r="AO303" s="121">
        <f>IF(N303="","",IF(N303&gt;=$AO$1/100,"O","X"))</f>
        <v/>
      </c>
      <c r="AP303" s="121">
        <f>IF(I303="","",IF(I303&lt;=$AP$1,"O","X"))</f>
        <v/>
      </c>
      <c r="AQ303" s="121">
        <f>IF(O303="","",IF(O303&lt;=$AQ$1,"O","X"))</f>
        <v/>
      </c>
      <c r="AR303" s="121">
        <f>IF(M303="","",IF(M303&lt;=$AR$1,"O","X"))</f>
        <v/>
      </c>
      <c r="AS303" s="121" t="inlineStr">
        <is>
          <t>X</t>
        </is>
      </c>
      <c r="AT303" s="121">
        <f>IF(OR(F303="",AI303=""),"",IF(AND((F303&lt;=85),(AI303&gt;=15)),"O","X"))</f>
        <v/>
      </c>
      <c r="AU303" s="121">
        <f>IF(C303="","",IF(C303&gt;=$AU$1,"O","X"))</f>
        <v/>
      </c>
      <c r="AV303" s="121">
        <f>IF(AO303="","",IF(AND(AO303="O",AP303="O",AR303="O",AT303="O",AU303="O"),"후보","X"))</f>
        <v/>
      </c>
    </row>
    <row r="304" ht="12" customFormat="1" customHeight="1" s="37">
      <c r="A304" s="75" t="inlineStr">
        <is>
          <t>수송동 동영</t>
        </is>
      </c>
      <c r="B304" s="76" t="inlineStr">
        <is>
          <t>98.09.</t>
        </is>
      </c>
      <c r="C304" s="130" t="n">
        <v>360</v>
      </c>
      <c r="D304" s="131" t="n">
        <v>46.9</v>
      </c>
      <c r="E304" s="132" t="n">
        <v>14</v>
      </c>
      <c r="F304" s="131" t="n">
        <v>39.5</v>
      </c>
      <c r="G304" s="17" t="n">
        <v>12</v>
      </c>
      <c r="H304" s="133" t="n">
        <v>205</v>
      </c>
      <c r="I304" s="134" t="n">
        <v>6300</v>
      </c>
      <c r="J304" s="134" t="inlineStr">
        <is>
          <t>11</t>
        </is>
      </c>
      <c r="K304" s="134" t="n"/>
      <c r="L304" s="134" t="n"/>
      <c r="M304" s="135">
        <f>I304-K304</f>
        <v/>
      </c>
      <c r="N304" s="4">
        <f>IF(ISERROR(K304/I304),"",K304/I304)</f>
        <v/>
      </c>
      <c r="O304" s="136">
        <f>I304/E304</f>
        <v/>
      </c>
      <c r="P304" s="136">
        <f>K304/E304</f>
        <v/>
      </c>
      <c r="Q304" s="121" t="n">
        <v>2</v>
      </c>
      <c r="R304" s="121" t="n">
        <v>1</v>
      </c>
      <c r="S304" s="121" t="inlineStr">
        <is>
          <t>계</t>
        </is>
      </c>
      <c r="T304" s="5" t="n">
        <v>46</v>
      </c>
      <c r="U304" s="9" t="n"/>
      <c r="W304" s="131">
        <f>D304</f>
        <v/>
      </c>
      <c r="X304" s="132">
        <f>E304</f>
        <v/>
      </c>
      <c r="Y304" s="137">
        <f>H304</f>
        <v/>
      </c>
      <c r="Z304" s="135">
        <f>I304</f>
        <v/>
      </c>
      <c r="AA304" s="135">
        <f>K304</f>
        <v/>
      </c>
      <c r="AB304" s="135">
        <f>M304</f>
        <v/>
      </c>
      <c r="AC304" s="4">
        <f>N304</f>
        <v/>
      </c>
      <c r="AD304" s="136">
        <f>O304</f>
        <v/>
      </c>
      <c r="AE304" s="121">
        <f>S304</f>
        <v/>
      </c>
      <c r="AF304" s="121">
        <f>Q304&amp;"/"&amp;R304</f>
        <v/>
      </c>
      <c r="AH304" s="20">
        <f>IF(A304="","",A304)</f>
        <v/>
      </c>
      <c r="AI304" s="132">
        <f>IF(E304="","",E304)</f>
        <v/>
      </c>
      <c r="AJ304" s="121">
        <f>IF(AI304="","",$AJ$2)</f>
        <v/>
      </c>
      <c r="AK304" s="121" t="inlineStr">
        <is>
          <t>A</t>
        </is>
      </c>
      <c r="AL304" s="121" t="inlineStr">
        <is>
          <t>A+</t>
        </is>
      </c>
      <c r="AM304" s="121" t="inlineStr">
        <is>
          <t>B+</t>
        </is>
      </c>
      <c r="AN304" s="121">
        <f>IF(AI304="","",$AN$2)</f>
        <v/>
      </c>
      <c r="AO304" s="121">
        <f>IF(N304="","",IF(N304&gt;=$AO$1/100,"O","X"))</f>
        <v/>
      </c>
      <c r="AP304" s="121">
        <f>IF(I304="","",IF(I304&lt;=$AP$1,"O","X"))</f>
        <v/>
      </c>
      <c r="AQ304" s="121">
        <f>IF(O304="","",IF(O304&lt;=$AQ$1,"O","X"))</f>
        <v/>
      </c>
      <c r="AR304" s="121">
        <f>IF(M304="","",IF(M304&lt;=$AR$1,"O","X"))</f>
        <v/>
      </c>
      <c r="AS304" s="121" t="inlineStr">
        <is>
          <t>X</t>
        </is>
      </c>
      <c r="AT304" s="121">
        <f>IF(OR(F304="",AI304=""),"",IF(AND((F304&lt;=85),(AI304&gt;=15)),"O","X"))</f>
        <v/>
      </c>
      <c r="AU304" s="121">
        <f>IF(C304="","",IF(C304&gt;=$AU$1,"O","X"))</f>
        <v/>
      </c>
      <c r="AV304" s="121">
        <f>IF(AO304="","",IF(AND(AO304="O",AP304="O",AR304="O",AT304="O",AU304="O"),"후보","X"))</f>
        <v/>
      </c>
    </row>
    <row r="305" ht="12" customFormat="1" customHeight="1" s="37">
      <c r="A305" s="75" t="inlineStr">
        <is>
          <t>수송동 동영</t>
        </is>
      </c>
      <c r="B305" s="76" t="inlineStr">
        <is>
          <t>98.09.</t>
        </is>
      </c>
      <c r="C305" s="130" t="n">
        <v>360</v>
      </c>
      <c r="D305" s="131" t="n">
        <v>54.4</v>
      </c>
      <c r="E305" s="132" t="n">
        <v>16</v>
      </c>
      <c r="F305" s="131" t="n">
        <v>39.5</v>
      </c>
      <c r="G305" s="17" t="n">
        <v>12</v>
      </c>
      <c r="H305" s="133" t="n">
        <v>5</v>
      </c>
      <c r="I305" s="134" t="n"/>
      <c r="J305" s="134" t="n"/>
      <c r="K305" s="134" t="n"/>
      <c r="L305" s="134" t="n"/>
      <c r="M305" s="135">
        <f>I305-K305</f>
        <v/>
      </c>
      <c r="N305" s="4">
        <f>IF(ISERROR(K305/I305),"",K305/I305)</f>
        <v/>
      </c>
      <c r="O305" s="136">
        <f>I305/E305</f>
        <v/>
      </c>
      <c r="P305" s="136">
        <f>K305/E305</f>
        <v/>
      </c>
      <c r="Q305" s="121" t="n">
        <v>2</v>
      </c>
      <c r="R305" s="121" t="n">
        <v>1</v>
      </c>
      <c r="S305" s="121" t="inlineStr">
        <is>
          <t>계</t>
        </is>
      </c>
      <c r="T305" s="5" t="n">
        <v>54</v>
      </c>
      <c r="U305" s="9" t="n"/>
      <c r="W305" s="131">
        <f>D305</f>
        <v/>
      </c>
      <c r="X305" s="132">
        <f>E305</f>
        <v/>
      </c>
      <c r="Y305" s="137">
        <f>H305</f>
        <v/>
      </c>
      <c r="Z305" s="135">
        <f>I305</f>
        <v/>
      </c>
      <c r="AA305" s="135">
        <f>K305</f>
        <v/>
      </c>
      <c r="AB305" s="135">
        <f>M305</f>
        <v/>
      </c>
      <c r="AC305" s="4">
        <f>N305</f>
        <v/>
      </c>
      <c r="AD305" s="136">
        <f>O305</f>
        <v/>
      </c>
      <c r="AE305" s="121">
        <f>S305</f>
        <v/>
      </c>
      <c r="AF305" s="121">
        <f>Q305&amp;"/"&amp;R305</f>
        <v/>
      </c>
      <c r="AH305" s="20">
        <f>IF(A305="","",A305)</f>
        <v/>
      </c>
      <c r="AI305" s="132">
        <f>IF(E305="","",E305)</f>
        <v/>
      </c>
      <c r="AJ305" s="121">
        <f>IF(AI305="","",$AJ$2)</f>
        <v/>
      </c>
      <c r="AK305" s="121" t="inlineStr">
        <is>
          <t>A</t>
        </is>
      </c>
      <c r="AL305" s="121" t="inlineStr">
        <is>
          <t>A+</t>
        </is>
      </c>
      <c r="AM305" s="121" t="inlineStr">
        <is>
          <t>B+</t>
        </is>
      </c>
      <c r="AN305" s="121">
        <f>IF(AI305="","",$AN$2)</f>
        <v/>
      </c>
      <c r="AO305" s="121">
        <f>IF(N305="","",IF(N305&gt;=$AO$1/100,"O","X"))</f>
        <v/>
      </c>
      <c r="AP305" s="121">
        <f>IF(I305="","",IF(I305&lt;=$AP$1,"O","X"))</f>
        <v/>
      </c>
      <c r="AQ305" s="121">
        <f>IF(O305="","",IF(O305&lt;=$AQ$1,"O","X"))</f>
        <v/>
      </c>
      <c r="AR305" s="121">
        <f>IF(M305="","",IF(M305&lt;=$AR$1,"O","X"))</f>
        <v/>
      </c>
      <c r="AS305" s="121" t="inlineStr">
        <is>
          <t>X</t>
        </is>
      </c>
      <c r="AT305" s="121">
        <f>IF(OR(F305="",AI305=""),"",IF(AND((F305&lt;=85),(AI305&gt;=15)),"O","X"))</f>
        <v/>
      </c>
      <c r="AU305" s="121">
        <f>IF(C305="","",IF(C305&gt;=$AU$1,"O","X"))</f>
        <v/>
      </c>
      <c r="AV305" s="121">
        <f>IF(AO305="","",IF(AND(AO305="O",AP305="O",AR305="O",AT305="O",AU305="O"),"후보","X"))</f>
        <v/>
      </c>
    </row>
    <row r="306" ht="12" customFormat="1" customHeight="1" s="37">
      <c r="A306" s="75" t="inlineStr">
        <is>
          <t>수송동 동영</t>
        </is>
      </c>
      <c r="B306" s="76" t="inlineStr">
        <is>
          <t>98.09.</t>
        </is>
      </c>
      <c r="C306" s="130" t="n">
        <v>360</v>
      </c>
      <c r="D306" s="131" t="n">
        <v>76</v>
      </c>
      <c r="E306" s="132" t="n">
        <v>23</v>
      </c>
      <c r="F306" s="131" t="n">
        <v>59.9</v>
      </c>
      <c r="G306" s="17" t="n">
        <v>18</v>
      </c>
      <c r="H306" s="133" t="n">
        <v>15</v>
      </c>
      <c r="I306" s="134" t="n"/>
      <c r="J306" s="134" t="n"/>
      <c r="K306" s="134" t="n"/>
      <c r="L306" s="134" t="n"/>
      <c r="M306" s="135">
        <f>I306-K306</f>
        <v/>
      </c>
      <c r="N306" s="4">
        <f>IF(ISERROR(K306/I306),"",K306/I306)</f>
        <v/>
      </c>
      <c r="O306" s="136">
        <f>I306/E306</f>
        <v/>
      </c>
      <c r="P306" s="136">
        <f>K306/E306</f>
        <v/>
      </c>
      <c r="Q306" s="121" t="n">
        <v>3</v>
      </c>
      <c r="R306" s="121" t="n">
        <v>1</v>
      </c>
      <c r="S306" s="121" t="inlineStr">
        <is>
          <t>계</t>
        </is>
      </c>
      <c r="T306" s="5" t="inlineStr">
        <is>
          <t>75A</t>
        </is>
      </c>
      <c r="U306" s="9" t="n"/>
      <c r="W306" s="131">
        <f>D306</f>
        <v/>
      </c>
      <c r="X306" s="132">
        <f>E306</f>
        <v/>
      </c>
      <c r="Y306" s="137">
        <f>H306</f>
        <v/>
      </c>
      <c r="Z306" s="135">
        <f>I306</f>
        <v/>
      </c>
      <c r="AA306" s="135">
        <f>K306</f>
        <v/>
      </c>
      <c r="AB306" s="135">
        <f>M306</f>
        <v/>
      </c>
      <c r="AC306" s="4">
        <f>N306</f>
        <v/>
      </c>
      <c r="AD306" s="136">
        <f>O306</f>
        <v/>
      </c>
      <c r="AE306" s="121">
        <f>S306</f>
        <v/>
      </c>
      <c r="AF306" s="121">
        <f>Q306&amp;"/"&amp;R306</f>
        <v/>
      </c>
      <c r="AH306" s="20">
        <f>IF(A306="","",A306)</f>
        <v/>
      </c>
      <c r="AI306" s="132">
        <f>IF(E306="","",E306)</f>
        <v/>
      </c>
      <c r="AJ306" s="121">
        <f>IF(AI306="","",$AJ$2)</f>
        <v/>
      </c>
      <c r="AK306" s="121" t="inlineStr">
        <is>
          <t>A</t>
        </is>
      </c>
      <c r="AL306" s="121" t="inlineStr">
        <is>
          <t>A+</t>
        </is>
      </c>
      <c r="AM306" s="121" t="inlineStr">
        <is>
          <t>B+</t>
        </is>
      </c>
      <c r="AN306" s="121">
        <f>IF(AI306="","",$AN$2)</f>
        <v/>
      </c>
      <c r="AO306" s="121">
        <f>IF(N306="","",IF(N306&gt;=$AO$1/100,"O","X"))</f>
        <v/>
      </c>
      <c r="AP306" s="121">
        <f>IF(I306="","",IF(I306&lt;=$AP$1,"O","X"))</f>
        <v/>
      </c>
      <c r="AQ306" s="121">
        <f>IF(O306="","",IF(O306&lt;=$AQ$1,"O","X"))</f>
        <v/>
      </c>
      <c r="AR306" s="121">
        <f>IF(M306="","",IF(M306&lt;=$AR$1,"O","X"))</f>
        <v/>
      </c>
      <c r="AS306" s="121" t="inlineStr">
        <is>
          <t>X</t>
        </is>
      </c>
      <c r="AT306" s="121">
        <f>IF(OR(F306="",AI306=""),"",IF(AND((F306&lt;=85),(AI306&gt;=15)),"O","X"))</f>
        <v/>
      </c>
      <c r="AU306" s="121">
        <f>IF(C306="","",IF(C306&gt;=$AU$1,"O","X"))</f>
        <v/>
      </c>
      <c r="AV306" s="121">
        <f>IF(AO306="","",IF(AND(AO306="O",AP306="O",AR306="O",AT306="O",AU306="O"),"후보","X"))</f>
        <v/>
      </c>
    </row>
    <row r="307" ht="12" customFormat="1" customHeight="1" s="37">
      <c r="A307" s="75" t="inlineStr">
        <is>
          <t>수송동 동영</t>
        </is>
      </c>
      <c r="B307" s="76" t="inlineStr">
        <is>
          <t>98.09.</t>
        </is>
      </c>
      <c r="C307" s="130" t="n">
        <v>360</v>
      </c>
      <c r="D307" s="131" t="n">
        <v>76</v>
      </c>
      <c r="E307" s="132" t="n">
        <v>23</v>
      </c>
      <c r="F307" s="131" t="n">
        <v>59.9</v>
      </c>
      <c r="G307" s="17" t="n">
        <v>18</v>
      </c>
      <c r="H307" s="133" t="n">
        <v>135</v>
      </c>
      <c r="I307" s="134" t="n"/>
      <c r="J307" s="134" t="n"/>
      <c r="K307" s="134" t="n"/>
      <c r="L307" s="134" t="n"/>
      <c r="M307" s="135">
        <f>I307-K307</f>
        <v/>
      </c>
      <c r="N307" s="4">
        <f>IF(ISERROR(K307/I307),"",K307/I307)</f>
        <v/>
      </c>
      <c r="O307" s="136">
        <f>I307/E307</f>
        <v/>
      </c>
      <c r="P307" s="136">
        <f>K307/E307</f>
        <v/>
      </c>
      <c r="Q307" s="121" t="n">
        <v>3</v>
      </c>
      <c r="R307" s="121" t="n">
        <v>1</v>
      </c>
      <c r="S307" s="121" t="inlineStr">
        <is>
          <t>계</t>
        </is>
      </c>
      <c r="T307" s="5" t="inlineStr">
        <is>
          <t>76B</t>
        </is>
      </c>
      <c r="U307" s="9" t="n"/>
      <c r="W307" s="131">
        <f>D307</f>
        <v/>
      </c>
      <c r="X307" s="132">
        <f>E307</f>
        <v/>
      </c>
      <c r="Y307" s="137">
        <f>H307</f>
        <v/>
      </c>
      <c r="Z307" s="135">
        <f>I307</f>
        <v/>
      </c>
      <c r="AA307" s="135">
        <f>K307</f>
        <v/>
      </c>
      <c r="AB307" s="135">
        <f>M307</f>
        <v/>
      </c>
      <c r="AC307" s="4">
        <f>N307</f>
        <v/>
      </c>
      <c r="AD307" s="136">
        <f>O307</f>
        <v/>
      </c>
      <c r="AE307" s="121">
        <f>S307</f>
        <v/>
      </c>
      <c r="AF307" s="121">
        <f>Q307&amp;"/"&amp;R307</f>
        <v/>
      </c>
      <c r="AH307" s="20">
        <f>IF(A307="","",A307)</f>
        <v/>
      </c>
      <c r="AI307" s="132">
        <f>IF(E307="","",E307)</f>
        <v/>
      </c>
      <c r="AJ307" s="121">
        <f>IF(AI307="","",$AJ$2)</f>
        <v/>
      </c>
      <c r="AK307" s="121" t="inlineStr">
        <is>
          <t>A</t>
        </is>
      </c>
      <c r="AL307" s="121" t="inlineStr">
        <is>
          <t>A+</t>
        </is>
      </c>
      <c r="AM307" s="121" t="inlineStr">
        <is>
          <t>B+</t>
        </is>
      </c>
      <c r="AN307" s="121">
        <f>IF(AI307="","",$AN$2)</f>
        <v/>
      </c>
      <c r="AO307" s="121">
        <f>IF(N307="","",IF(N307&gt;=$AO$1/100,"O","X"))</f>
        <v/>
      </c>
      <c r="AP307" s="121">
        <f>IF(I307="","",IF(I307&lt;=$AP$1,"O","X"))</f>
        <v/>
      </c>
      <c r="AQ307" s="121">
        <f>IF(O307="","",IF(O307&lt;=$AQ$1,"O","X"))</f>
        <v/>
      </c>
      <c r="AR307" s="121">
        <f>IF(M307="","",IF(M307&lt;=$AR$1,"O","X"))</f>
        <v/>
      </c>
      <c r="AS307" s="121" t="inlineStr">
        <is>
          <t>X</t>
        </is>
      </c>
      <c r="AT307" s="121">
        <f>IF(OR(F307="",AI307=""),"",IF(AND((F307&lt;=85),(AI307&gt;=15)),"O","X"))</f>
        <v/>
      </c>
      <c r="AU307" s="121">
        <f>IF(C307="","",IF(C307&gt;=$AU$1,"O","X"))</f>
        <v/>
      </c>
      <c r="AV307" s="121">
        <f>IF(AO307="","",IF(AND(AO307="O",AP307="O",AR307="O",AT307="O",AU307="O"),"후보","X"))</f>
        <v/>
      </c>
    </row>
    <row r="308" ht="24" customFormat="1" customHeight="1" s="37">
      <c r="A308" s="75" t="inlineStr">
        <is>
          <t>수송동 군산수송제일오투그란데2단지</t>
        </is>
      </c>
      <c r="B308" s="76" t="inlineStr">
        <is>
          <t>08.10.</t>
        </is>
      </c>
      <c r="C308" s="130" t="n">
        <v>656</v>
      </c>
      <c r="D308" s="131" t="n">
        <v>117.7</v>
      </c>
      <c r="E308" s="132" t="n">
        <v>36</v>
      </c>
      <c r="F308" s="131" t="n">
        <v>91.3</v>
      </c>
      <c r="G308" s="17" t="n">
        <v>28</v>
      </c>
      <c r="H308" s="133" t="n">
        <v>114</v>
      </c>
      <c r="I308" s="134" t="n">
        <v>31500</v>
      </c>
      <c r="J308" s="134" t="inlineStr">
        <is>
          <t>중</t>
        </is>
      </c>
      <c r="K308" s="134" t="n">
        <v>26000</v>
      </c>
      <c r="L308" s="134" t="inlineStr">
        <is>
          <t>13</t>
        </is>
      </c>
      <c r="M308" s="135">
        <f>I308-K308</f>
        <v/>
      </c>
      <c r="N308" s="4">
        <f>IF(ISERROR(K308/I308),"",K308/I308)</f>
        <v/>
      </c>
      <c r="O308" s="136">
        <f>I308/E308</f>
        <v/>
      </c>
      <c r="P308" s="136">
        <f>K308/E308</f>
        <v/>
      </c>
      <c r="Q308" s="121" t="n">
        <v>3</v>
      </c>
      <c r="R308" s="121" t="n">
        <v>2</v>
      </c>
      <c r="S308" s="121" t="inlineStr">
        <is>
          <t>계</t>
        </is>
      </c>
      <c r="T308" s="5" t="inlineStr">
        <is>
          <t>117A</t>
        </is>
      </c>
      <c r="U308" s="9" t="n"/>
      <c r="W308" s="131">
        <f>D308</f>
        <v/>
      </c>
      <c r="X308" s="132">
        <f>E308</f>
        <v/>
      </c>
      <c r="Y308" s="137">
        <f>H308</f>
        <v/>
      </c>
      <c r="Z308" s="135">
        <f>I308</f>
        <v/>
      </c>
      <c r="AA308" s="135">
        <f>K308</f>
        <v/>
      </c>
      <c r="AB308" s="135">
        <f>M308</f>
        <v/>
      </c>
      <c r="AC308" s="4">
        <f>N308</f>
        <v/>
      </c>
      <c r="AD308" s="136">
        <f>O308</f>
        <v/>
      </c>
      <c r="AE308" s="121">
        <f>S308</f>
        <v/>
      </c>
      <c r="AF308" s="121">
        <f>Q308&amp;"/"&amp;R308</f>
        <v/>
      </c>
      <c r="AH308" s="20">
        <f>IF(A308="","",A308)</f>
        <v/>
      </c>
      <c r="AI308" s="132">
        <f>IF(E308="","",E308)</f>
        <v/>
      </c>
      <c r="AJ308" s="121">
        <f>IF(AI308="","",$AJ$2)</f>
        <v/>
      </c>
      <c r="AK308" s="121" t="inlineStr">
        <is>
          <t>A</t>
        </is>
      </c>
      <c r="AL308" s="121" t="inlineStr">
        <is>
          <t>A+</t>
        </is>
      </c>
      <c r="AM308" s="121" t="inlineStr">
        <is>
          <t>B+</t>
        </is>
      </c>
      <c r="AN308" s="121">
        <f>IF(AI308="","",$AN$2)</f>
        <v/>
      </c>
      <c r="AO308" s="121">
        <f>IF(N308="","",IF(N308&gt;=$AO$1/100,"O","X"))</f>
        <v/>
      </c>
      <c r="AP308" s="121">
        <f>IF(I308="","",IF(I308&lt;=$AP$1,"O","X"))</f>
        <v/>
      </c>
      <c r="AQ308" s="121">
        <f>IF(O308="","",IF(O308&lt;=$AQ$1,"O","X"))</f>
        <v/>
      </c>
      <c r="AR308" s="121">
        <f>IF(M308="","",IF(M308&lt;=$AR$1,"O","X"))</f>
        <v/>
      </c>
      <c r="AS308" s="121" t="inlineStr">
        <is>
          <t>X</t>
        </is>
      </c>
      <c r="AT308" s="121">
        <f>IF(OR(F308="",AI308=""),"",IF(AND((F308&lt;=85),(AI308&gt;=15)),"O","X"))</f>
        <v/>
      </c>
      <c r="AU308" s="121">
        <f>IF(C308="","",IF(C308&gt;=$AU$1,"O","X"))</f>
        <v/>
      </c>
      <c r="AV308" s="121">
        <f>IF(AO308="","",IF(AND(AO308="O",AP308="O",AR308="O",AT308="O",AU308="O"),"후보","X"))</f>
        <v/>
      </c>
    </row>
    <row r="309" ht="24" customFormat="1" customHeight="1" s="37">
      <c r="A309" s="75" t="inlineStr">
        <is>
          <t>수송동 군산수송제일오투그란데2단지</t>
        </is>
      </c>
      <c r="B309" s="76" t="inlineStr">
        <is>
          <t>08.10.</t>
        </is>
      </c>
      <c r="C309" s="130" t="n">
        <v>656</v>
      </c>
      <c r="D309" s="131" t="n">
        <v>118.8</v>
      </c>
      <c r="E309" s="132" t="n">
        <v>36</v>
      </c>
      <c r="F309" s="131" t="n">
        <v>91.2</v>
      </c>
      <c r="G309" s="17" t="n">
        <v>28</v>
      </c>
      <c r="H309" s="133" t="n">
        <v>136</v>
      </c>
      <c r="I309" s="134" t="n">
        <v>32300</v>
      </c>
      <c r="J309" s="134" t="inlineStr">
        <is>
          <t>고</t>
        </is>
      </c>
      <c r="K309" s="134" t="n">
        <v>27500</v>
      </c>
      <c r="L309" s="134" t="inlineStr">
        <is>
          <t>11</t>
        </is>
      </c>
      <c r="M309" s="135">
        <f>I309-K309</f>
        <v/>
      </c>
      <c r="N309" s="4">
        <f>IF(ISERROR(K309/I309),"",K309/I309)</f>
        <v/>
      </c>
      <c r="O309" s="136">
        <f>I309/E309</f>
        <v/>
      </c>
      <c r="P309" s="136">
        <f>K309/E309</f>
        <v/>
      </c>
      <c r="Q309" s="121" t="n">
        <v>3</v>
      </c>
      <c r="R309" s="121" t="n">
        <v>2</v>
      </c>
      <c r="S309" s="121" t="inlineStr">
        <is>
          <t>계</t>
        </is>
      </c>
      <c r="T309" s="5" t="inlineStr">
        <is>
          <t>118B</t>
        </is>
      </c>
      <c r="U309" s="9" t="n"/>
      <c r="W309" s="131">
        <f>D309</f>
        <v/>
      </c>
      <c r="X309" s="132">
        <f>E309</f>
        <v/>
      </c>
      <c r="Y309" s="137">
        <f>H309</f>
        <v/>
      </c>
      <c r="Z309" s="135">
        <f>I309</f>
        <v/>
      </c>
      <c r="AA309" s="135">
        <f>K309</f>
        <v/>
      </c>
      <c r="AB309" s="135">
        <f>M309</f>
        <v/>
      </c>
      <c r="AC309" s="4">
        <f>N309</f>
        <v/>
      </c>
      <c r="AD309" s="136">
        <f>O309</f>
        <v/>
      </c>
      <c r="AE309" s="121">
        <f>S309</f>
        <v/>
      </c>
      <c r="AF309" s="121">
        <f>Q309&amp;"/"&amp;R309</f>
        <v/>
      </c>
      <c r="AH309" s="20">
        <f>IF(A309="","",A309)</f>
        <v/>
      </c>
      <c r="AI309" s="132">
        <f>IF(E309="","",E309)</f>
        <v/>
      </c>
      <c r="AJ309" s="121">
        <f>IF(AI309="","",$AJ$2)</f>
        <v/>
      </c>
      <c r="AK309" s="121" t="inlineStr">
        <is>
          <t>A</t>
        </is>
      </c>
      <c r="AL309" s="121" t="inlineStr">
        <is>
          <t>A+</t>
        </is>
      </c>
      <c r="AM309" s="121" t="inlineStr">
        <is>
          <t>B+</t>
        </is>
      </c>
      <c r="AN309" s="121">
        <f>IF(AI309="","",$AN$2)</f>
        <v/>
      </c>
      <c r="AO309" s="121">
        <f>IF(N309="","",IF(N309&gt;=$AO$1/100,"O","X"))</f>
        <v/>
      </c>
      <c r="AP309" s="121">
        <f>IF(I309="","",IF(I309&lt;=$AP$1,"O","X"))</f>
        <v/>
      </c>
      <c r="AQ309" s="121">
        <f>IF(O309="","",IF(O309&lt;=$AQ$1,"O","X"))</f>
        <v/>
      </c>
      <c r="AR309" s="121">
        <f>IF(M309="","",IF(M309&lt;=$AR$1,"O","X"))</f>
        <v/>
      </c>
      <c r="AS309" s="121" t="inlineStr">
        <is>
          <t>X</t>
        </is>
      </c>
      <c r="AT309" s="121">
        <f>IF(OR(F309="",AI309=""),"",IF(AND((F309&lt;=85),(AI309&gt;=15)),"O","X"))</f>
        <v/>
      </c>
      <c r="AU309" s="121">
        <f>IF(C309="","",IF(C309&gt;=$AU$1,"O","X"))</f>
        <v/>
      </c>
      <c r="AV309" s="121">
        <f>IF(AO309="","",IF(AND(AO309="O",AP309="O",AR309="O",AT309="O",AU309="O"),"후보","X"))</f>
        <v/>
      </c>
    </row>
    <row r="310" ht="24" customFormat="1" customHeight="1" s="37">
      <c r="A310" s="75" t="inlineStr">
        <is>
          <t>수송동 군산수송제일오투그란데2단지</t>
        </is>
      </c>
      <c r="B310" s="76" t="inlineStr">
        <is>
          <t>08.10.</t>
        </is>
      </c>
      <c r="C310" s="130" t="n">
        <v>656</v>
      </c>
      <c r="D310" s="131" t="n">
        <v>125.6</v>
      </c>
      <c r="E310" s="132" t="n">
        <v>38</v>
      </c>
      <c r="F310" s="131" t="n">
        <v>92.7</v>
      </c>
      <c r="G310" s="17" t="n">
        <v>28</v>
      </c>
      <c r="H310" s="133" t="n">
        <v>274</v>
      </c>
      <c r="I310" s="134" t="n">
        <v>33000</v>
      </c>
      <c r="J310" s="134" t="inlineStr">
        <is>
          <t>5</t>
        </is>
      </c>
      <c r="K310" s="134" t="n">
        <v>29000</v>
      </c>
      <c r="L310" s="134" t="inlineStr">
        <is>
          <t>14</t>
        </is>
      </c>
      <c r="M310" s="135">
        <f>I310-K310</f>
        <v/>
      </c>
      <c r="N310" s="4">
        <f>IF(ISERROR(K310/I310),"",K310/I310)</f>
        <v/>
      </c>
      <c r="O310" s="136">
        <f>I310/E310</f>
        <v/>
      </c>
      <c r="P310" s="136">
        <f>K310/E310</f>
        <v/>
      </c>
      <c r="Q310" s="121" t="n">
        <v>3</v>
      </c>
      <c r="R310" s="121" t="n">
        <v>2</v>
      </c>
      <c r="S310" s="121" t="inlineStr">
        <is>
          <t>계</t>
        </is>
      </c>
      <c r="T310" s="5" t="n">
        <v>125</v>
      </c>
      <c r="U310" s="9" t="n"/>
      <c r="W310" s="131">
        <f>D310</f>
        <v/>
      </c>
      <c r="X310" s="132">
        <f>E310</f>
        <v/>
      </c>
      <c r="Y310" s="137">
        <f>H310</f>
        <v/>
      </c>
      <c r="Z310" s="135">
        <f>I310</f>
        <v/>
      </c>
      <c r="AA310" s="135">
        <f>K310</f>
        <v/>
      </c>
      <c r="AB310" s="135">
        <f>M310</f>
        <v/>
      </c>
      <c r="AC310" s="4">
        <f>N310</f>
        <v/>
      </c>
      <c r="AD310" s="136">
        <f>O310</f>
        <v/>
      </c>
      <c r="AE310" s="121">
        <f>S310</f>
        <v/>
      </c>
      <c r="AF310" s="121">
        <f>Q310&amp;"/"&amp;R310</f>
        <v/>
      </c>
      <c r="AH310" s="20">
        <f>IF(A310="","",A310)</f>
        <v/>
      </c>
      <c r="AI310" s="132">
        <f>IF(E310="","",E310)</f>
        <v/>
      </c>
      <c r="AJ310" s="121">
        <f>IF(AI310="","",$AJ$2)</f>
        <v/>
      </c>
      <c r="AK310" s="121" t="inlineStr">
        <is>
          <t>A</t>
        </is>
      </c>
      <c r="AL310" s="121" t="inlineStr">
        <is>
          <t>A+</t>
        </is>
      </c>
      <c r="AM310" s="121" t="inlineStr">
        <is>
          <t>B+</t>
        </is>
      </c>
      <c r="AN310" s="121">
        <f>IF(AI310="","",$AN$2)</f>
        <v/>
      </c>
      <c r="AO310" s="121">
        <f>IF(N310="","",IF(N310&gt;=$AO$1/100,"O","X"))</f>
        <v/>
      </c>
      <c r="AP310" s="121">
        <f>IF(I310="","",IF(I310&lt;=$AP$1,"O","X"))</f>
        <v/>
      </c>
      <c r="AQ310" s="121">
        <f>IF(O310="","",IF(O310&lt;=$AQ$1,"O","X"))</f>
        <v/>
      </c>
      <c r="AR310" s="121">
        <f>IF(M310="","",IF(M310&lt;=$AR$1,"O","X"))</f>
        <v/>
      </c>
      <c r="AS310" s="121" t="inlineStr">
        <is>
          <t>X</t>
        </is>
      </c>
      <c r="AT310" s="121">
        <f>IF(OR(F310="",AI310=""),"",IF(AND((F310&lt;=85),(AI310&gt;=15)),"O","X"))</f>
        <v/>
      </c>
      <c r="AU310" s="121">
        <f>IF(C310="","",IF(C310&gt;=$AU$1,"O","X"))</f>
        <v/>
      </c>
      <c r="AV310" s="121">
        <f>IF(AO310="","",IF(AND(AO310="O",AP310="O",AR310="O",AT310="O",AU310="O"),"후보","X"))</f>
        <v/>
      </c>
    </row>
    <row r="311" ht="24" customFormat="1" customHeight="1" s="37">
      <c r="A311" s="75" t="inlineStr">
        <is>
          <t>수송동 군산수송제일오투그란데2단지</t>
        </is>
      </c>
      <c r="B311" s="76" t="inlineStr">
        <is>
          <t>08.10.</t>
        </is>
      </c>
      <c r="C311" s="130" t="n">
        <v>656</v>
      </c>
      <c r="D311" s="131" t="n">
        <v>140.7</v>
      </c>
      <c r="E311" s="132" t="n">
        <v>43</v>
      </c>
      <c r="F311" s="131" t="n">
        <v>110.2</v>
      </c>
      <c r="G311" s="17" t="n">
        <v>33</v>
      </c>
      <c r="H311" s="133" t="n">
        <v>132</v>
      </c>
      <c r="I311" s="134" t="n">
        <v>42000</v>
      </c>
      <c r="J311" s="134" t="inlineStr">
        <is>
          <t>11</t>
        </is>
      </c>
      <c r="K311" s="134" t="n"/>
      <c r="L311" s="134" t="n"/>
      <c r="M311" s="135">
        <f>I311-K311</f>
        <v/>
      </c>
      <c r="N311" s="4">
        <f>IF(ISERROR(K311/I311),"",K311/I311)</f>
        <v/>
      </c>
      <c r="O311" s="136">
        <f>I311/E311</f>
        <v/>
      </c>
      <c r="P311" s="136">
        <f>K311/E311</f>
        <v/>
      </c>
      <c r="Q311" s="121" t="n">
        <v>4</v>
      </c>
      <c r="R311" s="121" t="n">
        <v>2</v>
      </c>
      <c r="S311" s="121" t="inlineStr">
        <is>
          <t>계</t>
        </is>
      </c>
      <c r="T311" s="5" t="n">
        <v>140</v>
      </c>
      <c r="U311" s="9" t="n"/>
      <c r="W311" s="131">
        <f>D311</f>
        <v/>
      </c>
      <c r="X311" s="132">
        <f>E311</f>
        <v/>
      </c>
      <c r="Y311" s="137">
        <f>H311</f>
        <v/>
      </c>
      <c r="Z311" s="135">
        <f>I311</f>
        <v/>
      </c>
      <c r="AA311" s="135">
        <f>K311</f>
        <v/>
      </c>
      <c r="AB311" s="135">
        <f>M311</f>
        <v/>
      </c>
      <c r="AC311" s="4">
        <f>N311</f>
        <v/>
      </c>
      <c r="AD311" s="136">
        <f>O311</f>
        <v/>
      </c>
      <c r="AE311" s="121">
        <f>S311</f>
        <v/>
      </c>
      <c r="AF311" s="121">
        <f>Q311&amp;"/"&amp;R311</f>
        <v/>
      </c>
      <c r="AH311" s="20">
        <f>IF(A311="","",A311)</f>
        <v/>
      </c>
      <c r="AI311" s="132">
        <f>IF(E311="","",E311)</f>
        <v/>
      </c>
      <c r="AJ311" s="121">
        <f>IF(AI311="","",$AJ$2)</f>
        <v/>
      </c>
      <c r="AK311" s="121" t="inlineStr">
        <is>
          <t>A</t>
        </is>
      </c>
      <c r="AL311" s="121" t="inlineStr">
        <is>
          <t>A+</t>
        </is>
      </c>
      <c r="AM311" s="121" t="inlineStr">
        <is>
          <t>B+</t>
        </is>
      </c>
      <c r="AN311" s="121">
        <f>IF(AI311="","",$AN$2)</f>
        <v/>
      </c>
      <c r="AO311" s="121">
        <f>IF(N311="","",IF(N311&gt;=$AO$1/100,"O","X"))</f>
        <v/>
      </c>
      <c r="AP311" s="121">
        <f>IF(I311="","",IF(I311&lt;=$AP$1,"O","X"))</f>
        <v/>
      </c>
      <c r="AQ311" s="121">
        <f>IF(O311="","",IF(O311&lt;=$AQ$1,"O","X"))</f>
        <v/>
      </c>
      <c r="AR311" s="121">
        <f>IF(M311="","",IF(M311&lt;=$AR$1,"O","X"))</f>
        <v/>
      </c>
      <c r="AS311" s="121" t="inlineStr">
        <is>
          <t>X</t>
        </is>
      </c>
      <c r="AT311" s="121">
        <f>IF(OR(F311="",AI311=""),"",IF(AND((F311&lt;=85),(AI311&gt;=15)),"O","X"))</f>
        <v/>
      </c>
      <c r="AU311" s="121">
        <f>IF(C311="","",IF(C311&gt;=$AU$1,"O","X"))</f>
        <v/>
      </c>
      <c r="AV311" s="121">
        <f>IF(AO311="","",IF(AND(AO311="O",AP311="O",AR311="O",AT311="O",AU311="O"),"후보","X"))</f>
        <v/>
      </c>
    </row>
    <row r="312" ht="24" customFormat="1" customHeight="1" s="37">
      <c r="A312" s="75" t="inlineStr">
        <is>
          <t>수송동 군산수송제일오투그란데1단지</t>
        </is>
      </c>
      <c r="B312" s="76" t="inlineStr">
        <is>
          <t>08.10.</t>
        </is>
      </c>
      <c r="C312" s="130" t="n">
        <v>724</v>
      </c>
      <c r="D312" s="131" t="n">
        <v>99</v>
      </c>
      <c r="E312" s="132" t="n">
        <v>30</v>
      </c>
      <c r="F312" s="131" t="n">
        <v>69</v>
      </c>
      <c r="G312" s="17" t="n">
        <v>21</v>
      </c>
      <c r="H312" s="133" t="n">
        <v>212</v>
      </c>
      <c r="I312" s="134" t="n">
        <v>25200</v>
      </c>
      <c r="J312" s="134" t="inlineStr">
        <is>
          <t>6</t>
        </is>
      </c>
      <c r="K312" s="134" t="n">
        <v>24000</v>
      </c>
      <c r="L312" s="134" t="inlineStr">
        <is>
          <t>15</t>
        </is>
      </c>
      <c r="M312" s="135">
        <f>I312-K312</f>
        <v/>
      </c>
      <c r="N312" s="4">
        <f>IF(ISERROR(K312/I312),"",K312/I312)</f>
        <v/>
      </c>
      <c r="O312" s="136">
        <f>I312/E312</f>
        <v/>
      </c>
      <c r="P312" s="136">
        <f>K312/E312</f>
        <v/>
      </c>
      <c r="Q312" s="121" t="n">
        <v>3</v>
      </c>
      <c r="R312" s="121" t="n">
        <v>2</v>
      </c>
      <c r="S312" s="121" t="inlineStr">
        <is>
          <t>계</t>
        </is>
      </c>
      <c r="T312" s="5" t="n">
        <v>99</v>
      </c>
      <c r="U312" s="9" t="n"/>
      <c r="W312" s="131">
        <f>D312</f>
        <v/>
      </c>
      <c r="X312" s="132">
        <f>E312</f>
        <v/>
      </c>
      <c r="Y312" s="137">
        <f>H312</f>
        <v/>
      </c>
      <c r="Z312" s="135">
        <f>I312</f>
        <v/>
      </c>
      <c r="AA312" s="135">
        <f>K312</f>
        <v/>
      </c>
      <c r="AB312" s="135">
        <f>M312</f>
        <v/>
      </c>
      <c r="AC312" s="4">
        <f>N312</f>
        <v/>
      </c>
      <c r="AD312" s="136">
        <f>O312</f>
        <v/>
      </c>
      <c r="AE312" s="121">
        <f>S312</f>
        <v/>
      </c>
      <c r="AF312" s="121">
        <f>Q312&amp;"/"&amp;R312</f>
        <v/>
      </c>
      <c r="AH312" s="20">
        <f>IF(A312="","",A312)</f>
        <v/>
      </c>
      <c r="AI312" s="132">
        <f>IF(E312="","",E312)</f>
        <v/>
      </c>
      <c r="AJ312" s="121">
        <f>IF(AI312="","",$AJ$2)</f>
        <v/>
      </c>
      <c r="AK312" s="121" t="inlineStr">
        <is>
          <t>A</t>
        </is>
      </c>
      <c r="AL312" s="121" t="inlineStr">
        <is>
          <t>A+</t>
        </is>
      </c>
      <c r="AM312" s="121" t="inlineStr">
        <is>
          <t>B+</t>
        </is>
      </c>
      <c r="AN312" s="121">
        <f>IF(AI312="","",$AN$2)</f>
        <v/>
      </c>
      <c r="AO312" s="121">
        <f>IF(N312="","",IF(N312&gt;=$AO$1/100,"O","X"))</f>
        <v/>
      </c>
      <c r="AP312" s="121">
        <f>IF(I312="","",IF(I312&lt;=$AP$1,"O","X"))</f>
        <v/>
      </c>
      <c r="AQ312" s="121">
        <f>IF(O312="","",IF(O312&lt;=$AQ$1,"O","X"))</f>
        <v/>
      </c>
      <c r="AR312" s="121">
        <f>IF(M312="","",IF(M312&lt;=$AR$1,"O","X"))</f>
        <v/>
      </c>
      <c r="AS312" s="121" t="inlineStr">
        <is>
          <t>X</t>
        </is>
      </c>
      <c r="AT312" s="121">
        <f>IF(OR(F312="",AI312=""),"",IF(AND((F312&lt;=85),(AI312&gt;=15)),"O","X"))</f>
        <v/>
      </c>
      <c r="AU312" s="121">
        <f>IF(C312="","",IF(C312&gt;=$AU$1,"O","X"))</f>
        <v/>
      </c>
      <c r="AV312" s="121">
        <f>IF(AO312="","",IF(AND(AO312="O",AP312="O",AR312="O",AT312="O",AU312="O"),"후보","X"))</f>
        <v/>
      </c>
    </row>
    <row r="313" ht="24" customFormat="1" customHeight="1" s="37">
      <c r="A313" s="75" t="inlineStr">
        <is>
          <t>수송동 군산수송제일오투그란데1단지</t>
        </is>
      </c>
      <c r="B313" s="76" t="inlineStr">
        <is>
          <t>08.10.</t>
        </is>
      </c>
      <c r="C313" s="130" t="n">
        <v>724</v>
      </c>
      <c r="D313" s="131" t="n">
        <v>115.6</v>
      </c>
      <c r="E313" s="132" t="n">
        <v>35</v>
      </c>
      <c r="F313" s="131" t="n">
        <v>84.90000000000001</v>
      </c>
      <c r="G313" s="17" t="n">
        <v>26</v>
      </c>
      <c r="H313" s="133" t="n">
        <v>206</v>
      </c>
      <c r="I313" s="134" t="n">
        <v>30500</v>
      </c>
      <c r="J313" s="134" t="inlineStr">
        <is>
          <t>5</t>
        </is>
      </c>
      <c r="K313" s="134" t="n">
        <v>26000</v>
      </c>
      <c r="L313" s="134" t="inlineStr">
        <is>
          <t>7</t>
        </is>
      </c>
      <c r="M313" s="135">
        <f>I313-K313</f>
        <v/>
      </c>
      <c r="N313" s="4">
        <f>IF(ISERROR(K313/I313),"",K313/I313)</f>
        <v/>
      </c>
      <c r="O313" s="136">
        <f>I313/E313</f>
        <v/>
      </c>
      <c r="P313" s="136">
        <f>K313/E313</f>
        <v/>
      </c>
      <c r="Q313" s="121" t="n">
        <v>3</v>
      </c>
      <c r="R313" s="121" t="n">
        <v>2</v>
      </c>
      <c r="S313" s="121" t="inlineStr">
        <is>
          <t>계</t>
        </is>
      </c>
      <c r="T313" s="5" t="inlineStr">
        <is>
          <t>115A</t>
        </is>
      </c>
      <c r="U313" s="9" t="n"/>
      <c r="W313" s="131">
        <f>D313</f>
        <v/>
      </c>
      <c r="X313" s="132">
        <f>E313</f>
        <v/>
      </c>
      <c r="Y313" s="137">
        <f>H313</f>
        <v/>
      </c>
      <c r="Z313" s="135">
        <f>I313</f>
        <v/>
      </c>
      <c r="AA313" s="135">
        <f>K313</f>
        <v/>
      </c>
      <c r="AB313" s="135">
        <f>M313</f>
        <v/>
      </c>
      <c r="AC313" s="4">
        <f>N313</f>
        <v/>
      </c>
      <c r="AD313" s="136">
        <f>O313</f>
        <v/>
      </c>
      <c r="AE313" s="121">
        <f>S313</f>
        <v/>
      </c>
      <c r="AF313" s="121">
        <f>Q313&amp;"/"&amp;R313</f>
        <v/>
      </c>
      <c r="AH313" s="20">
        <f>IF(A313="","",A313)</f>
        <v/>
      </c>
      <c r="AI313" s="132">
        <f>IF(E313="","",E313)</f>
        <v/>
      </c>
      <c r="AJ313" s="121">
        <f>IF(AI313="","",$AJ$2)</f>
        <v/>
      </c>
      <c r="AK313" s="121" t="inlineStr">
        <is>
          <t>A</t>
        </is>
      </c>
      <c r="AL313" s="121" t="inlineStr">
        <is>
          <t>A+</t>
        </is>
      </c>
      <c r="AM313" s="121" t="inlineStr">
        <is>
          <t>B+</t>
        </is>
      </c>
      <c r="AN313" s="121">
        <f>IF(AI313="","",$AN$2)</f>
        <v/>
      </c>
      <c r="AO313" s="121">
        <f>IF(N313="","",IF(N313&gt;=$AO$1/100,"O","X"))</f>
        <v/>
      </c>
      <c r="AP313" s="121">
        <f>IF(I313="","",IF(I313&lt;=$AP$1,"O","X"))</f>
        <v/>
      </c>
      <c r="AQ313" s="121">
        <f>IF(O313="","",IF(O313&lt;=$AQ$1,"O","X"))</f>
        <v/>
      </c>
      <c r="AR313" s="121">
        <f>IF(M313="","",IF(M313&lt;=$AR$1,"O","X"))</f>
        <v/>
      </c>
      <c r="AS313" s="121" t="inlineStr">
        <is>
          <t>X</t>
        </is>
      </c>
      <c r="AT313" s="121">
        <f>IF(OR(F313="",AI313=""),"",IF(AND((F313&lt;=85),(AI313&gt;=15)),"O","X"))</f>
        <v/>
      </c>
      <c r="AU313" s="121">
        <f>IF(C313="","",IF(C313&gt;=$AU$1,"O","X"))</f>
        <v/>
      </c>
      <c r="AV313" s="121">
        <f>IF(AO313="","",IF(AND(AO313="O",AP313="O",AR313="O",AT313="O",AU313="O"),"후보","X"))</f>
        <v/>
      </c>
    </row>
    <row r="314" ht="24" customFormat="1" customHeight="1" s="37">
      <c r="A314" s="75" t="inlineStr">
        <is>
          <t>수송동 군산수송제일오투그란데1단지</t>
        </is>
      </c>
      <c r="B314" s="76" t="inlineStr">
        <is>
          <t>08.10.</t>
        </is>
      </c>
      <c r="C314" s="130" t="n">
        <v>724</v>
      </c>
      <c r="D314" s="131" t="n">
        <v>115.7</v>
      </c>
      <c r="E314" s="132" t="n">
        <v>35</v>
      </c>
      <c r="F314" s="131" t="n">
        <v>84.90000000000001</v>
      </c>
      <c r="G314" s="17" t="n">
        <v>26</v>
      </c>
      <c r="H314" s="133" t="n">
        <v>160</v>
      </c>
      <c r="I314" s="134" t="n"/>
      <c r="J314" s="134" t="n"/>
      <c r="K314" s="134" t="n"/>
      <c r="L314" s="134" t="n"/>
      <c r="M314" s="135">
        <f>I314-K314</f>
        <v/>
      </c>
      <c r="N314" s="4">
        <f>IF(ISERROR(K314/I314),"",K314/I314)</f>
        <v/>
      </c>
      <c r="O314" s="136">
        <f>I314/E314</f>
        <v/>
      </c>
      <c r="P314" s="136">
        <f>K314/E314</f>
        <v/>
      </c>
      <c r="Q314" s="121" t="n">
        <v>3</v>
      </c>
      <c r="R314" s="121" t="n">
        <v>2</v>
      </c>
      <c r="S314" s="121" t="inlineStr">
        <is>
          <t>계</t>
        </is>
      </c>
      <c r="T314" s="5" t="inlineStr">
        <is>
          <t>115C</t>
        </is>
      </c>
      <c r="U314" s="9" t="n"/>
      <c r="W314" s="131">
        <f>D314</f>
        <v/>
      </c>
      <c r="X314" s="132">
        <f>E314</f>
        <v/>
      </c>
      <c r="Y314" s="137">
        <f>H314</f>
        <v/>
      </c>
      <c r="Z314" s="135">
        <f>I314</f>
        <v/>
      </c>
      <c r="AA314" s="135">
        <f>K314</f>
        <v/>
      </c>
      <c r="AB314" s="135">
        <f>M314</f>
        <v/>
      </c>
      <c r="AC314" s="4">
        <f>N314</f>
        <v/>
      </c>
      <c r="AD314" s="136">
        <f>O314</f>
        <v/>
      </c>
      <c r="AE314" s="121">
        <f>S314</f>
        <v/>
      </c>
      <c r="AF314" s="121">
        <f>Q314&amp;"/"&amp;R314</f>
        <v/>
      </c>
      <c r="AH314" s="20">
        <f>IF(A314="","",A314)</f>
        <v/>
      </c>
      <c r="AI314" s="132">
        <f>IF(E314="","",E314)</f>
        <v/>
      </c>
      <c r="AJ314" s="121">
        <f>IF(AI314="","",$AJ$2)</f>
        <v/>
      </c>
      <c r="AK314" s="121" t="inlineStr">
        <is>
          <t>A</t>
        </is>
      </c>
      <c r="AL314" s="121" t="inlineStr">
        <is>
          <t>A+</t>
        </is>
      </c>
      <c r="AM314" s="121" t="inlineStr">
        <is>
          <t>B+</t>
        </is>
      </c>
      <c r="AN314" s="121">
        <f>IF(AI314="","",$AN$2)</f>
        <v/>
      </c>
      <c r="AO314" s="121">
        <f>IF(N314="","",IF(N314&gt;=$AO$1/100,"O","X"))</f>
        <v/>
      </c>
      <c r="AP314" s="121">
        <f>IF(I314="","",IF(I314&lt;=$AP$1,"O","X"))</f>
        <v/>
      </c>
      <c r="AQ314" s="121">
        <f>IF(O314="","",IF(O314&lt;=$AQ$1,"O","X"))</f>
        <v/>
      </c>
      <c r="AR314" s="121">
        <f>IF(M314="","",IF(M314&lt;=$AR$1,"O","X"))</f>
        <v/>
      </c>
      <c r="AS314" s="121" t="inlineStr">
        <is>
          <t>X</t>
        </is>
      </c>
      <c r="AT314" s="121">
        <f>IF(OR(F314="",AI314=""),"",IF(AND((F314&lt;=85),(AI314&gt;=15)),"O","X"))</f>
        <v/>
      </c>
      <c r="AU314" s="121">
        <f>IF(C314="","",IF(C314&gt;=$AU$1,"O","X"))</f>
        <v/>
      </c>
      <c r="AV314" s="121">
        <f>IF(AO314="","",IF(AND(AO314="O",AP314="O",AR314="O",AT314="O",AU314="O"),"후보","X"))</f>
        <v/>
      </c>
    </row>
    <row r="315" ht="24" customFormat="1" customHeight="1" s="37">
      <c r="A315" s="75" t="inlineStr">
        <is>
          <t>수송동 군산수송제일오투그란데1단지</t>
        </is>
      </c>
      <c r="B315" s="76" t="inlineStr">
        <is>
          <t>08.10.</t>
        </is>
      </c>
      <c r="C315" s="130" t="n">
        <v>724</v>
      </c>
      <c r="D315" s="131" t="n">
        <v>115.6</v>
      </c>
      <c r="E315" s="132" t="n">
        <v>35</v>
      </c>
      <c r="F315" s="131" t="n">
        <v>84.90000000000001</v>
      </c>
      <c r="G315" s="17" t="n">
        <v>26</v>
      </c>
      <c r="H315" s="133" t="n">
        <v>146</v>
      </c>
      <c r="I315" s="134" t="n">
        <v>30500</v>
      </c>
      <c r="J315" s="134" t="inlineStr">
        <is>
          <t>5</t>
        </is>
      </c>
      <c r="K315" s="134" t="n">
        <v>26000</v>
      </c>
      <c r="L315" s="134" t="inlineStr">
        <is>
          <t>7</t>
        </is>
      </c>
      <c r="M315" s="135">
        <f>I315-K315</f>
        <v/>
      </c>
      <c r="N315" s="4">
        <f>IF(ISERROR(K315/I315),"",K315/I315)</f>
        <v/>
      </c>
      <c r="O315" s="136">
        <f>I315/E315</f>
        <v/>
      </c>
      <c r="P315" s="136">
        <f>K315/E315</f>
        <v/>
      </c>
      <c r="Q315" s="121" t="n">
        <v>3</v>
      </c>
      <c r="R315" s="121" t="n">
        <v>2</v>
      </c>
      <c r="S315" s="121" t="inlineStr">
        <is>
          <t>계</t>
        </is>
      </c>
      <c r="T315" s="5" t="inlineStr">
        <is>
          <t>115B</t>
        </is>
      </c>
      <c r="U315" s="9" t="n"/>
      <c r="W315" s="131">
        <f>D315</f>
        <v/>
      </c>
      <c r="X315" s="132">
        <f>E315</f>
        <v/>
      </c>
      <c r="Y315" s="137">
        <f>H315</f>
        <v/>
      </c>
      <c r="Z315" s="135">
        <f>I315</f>
        <v/>
      </c>
      <c r="AA315" s="135">
        <f>K315</f>
        <v/>
      </c>
      <c r="AB315" s="135">
        <f>M315</f>
        <v/>
      </c>
      <c r="AC315" s="4">
        <f>N315</f>
        <v/>
      </c>
      <c r="AD315" s="136">
        <f>O315</f>
        <v/>
      </c>
      <c r="AE315" s="121">
        <f>S315</f>
        <v/>
      </c>
      <c r="AF315" s="121">
        <f>Q315&amp;"/"&amp;R315</f>
        <v/>
      </c>
      <c r="AH315" s="20">
        <f>IF(A315="","",A315)</f>
        <v/>
      </c>
      <c r="AI315" s="132">
        <f>IF(E315="","",E315)</f>
        <v/>
      </c>
      <c r="AJ315" s="121">
        <f>IF(AI315="","",$AJ$2)</f>
        <v/>
      </c>
      <c r="AK315" s="121" t="inlineStr">
        <is>
          <t>A</t>
        </is>
      </c>
      <c r="AL315" s="121" t="inlineStr">
        <is>
          <t>A+</t>
        </is>
      </c>
      <c r="AM315" s="121" t="inlineStr">
        <is>
          <t>B+</t>
        </is>
      </c>
      <c r="AN315" s="121">
        <f>IF(AI315="","",$AN$2)</f>
        <v/>
      </c>
      <c r="AO315" s="121">
        <f>IF(N315="","",IF(N315&gt;=$AO$1/100,"O","X"))</f>
        <v/>
      </c>
      <c r="AP315" s="121">
        <f>IF(I315="","",IF(I315&lt;=$AP$1,"O","X"))</f>
        <v/>
      </c>
      <c r="AQ315" s="121">
        <f>IF(O315="","",IF(O315&lt;=$AQ$1,"O","X"))</f>
        <v/>
      </c>
      <c r="AR315" s="121">
        <f>IF(M315="","",IF(M315&lt;=$AR$1,"O","X"))</f>
        <v/>
      </c>
      <c r="AS315" s="121" t="inlineStr">
        <is>
          <t>X</t>
        </is>
      </c>
      <c r="AT315" s="121">
        <f>IF(OR(F315="",AI315=""),"",IF(AND((F315&lt;=85),(AI315&gt;=15)),"O","X"))</f>
        <v/>
      </c>
      <c r="AU315" s="121">
        <f>IF(C315="","",IF(C315&gt;=$AU$1,"O","X"))</f>
        <v/>
      </c>
      <c r="AV315" s="121">
        <f>IF(AO315="","",IF(AND(AO315="O",AP315="O",AR315="O",AT315="O",AU315="O"),"후보","X"))</f>
        <v/>
      </c>
    </row>
    <row r="316" ht="12" customFormat="1" customHeight="1" s="37">
      <c r="A316" s="75" t="inlineStr">
        <is>
          <t>신풍동 월명</t>
        </is>
      </c>
      <c r="B316" s="76" t="inlineStr">
        <is>
          <t>79.05.</t>
        </is>
      </c>
      <c r="C316" s="130" t="n">
        <v>240</v>
      </c>
      <c r="D316" s="131" t="n">
        <v>62</v>
      </c>
      <c r="E316" s="132" t="n">
        <v>19</v>
      </c>
      <c r="F316" s="131" t="n">
        <v>62</v>
      </c>
      <c r="G316" s="17" t="n">
        <v>19</v>
      </c>
      <c r="H316" s="133" t="n">
        <v>30</v>
      </c>
      <c r="I316" s="134" t="n"/>
      <c r="J316" s="134" t="n"/>
      <c r="K316" s="134" t="n"/>
      <c r="L316" s="134" t="n"/>
      <c r="M316" s="135">
        <f>I316-K316</f>
        <v/>
      </c>
      <c r="N316" s="4">
        <f>IF(ISERROR(K316/I316),"",K316/I316)</f>
        <v/>
      </c>
      <c r="O316" s="136">
        <f>I316/E316</f>
        <v/>
      </c>
      <c r="P316" s="136">
        <f>K316/E316</f>
        <v/>
      </c>
      <c r="Q316" s="121" t="n">
        <v>2</v>
      </c>
      <c r="R316" s="121" t="n">
        <v>1</v>
      </c>
      <c r="S316" s="121" t="inlineStr">
        <is>
          <t>계</t>
        </is>
      </c>
      <c r="T316" s="5" t="n">
        <v>61</v>
      </c>
      <c r="U316" s="9" t="n"/>
      <c r="W316" s="131">
        <f>D316</f>
        <v/>
      </c>
      <c r="X316" s="132">
        <f>E316</f>
        <v/>
      </c>
      <c r="Y316" s="137">
        <f>H316</f>
        <v/>
      </c>
      <c r="Z316" s="135">
        <f>I316</f>
        <v/>
      </c>
      <c r="AA316" s="135">
        <f>K316</f>
        <v/>
      </c>
      <c r="AB316" s="135">
        <f>M316</f>
        <v/>
      </c>
      <c r="AC316" s="4">
        <f>N316</f>
        <v/>
      </c>
      <c r="AD316" s="136">
        <f>O316</f>
        <v/>
      </c>
      <c r="AE316" s="121">
        <f>S316</f>
        <v/>
      </c>
      <c r="AF316" s="121">
        <f>Q316&amp;"/"&amp;R316</f>
        <v/>
      </c>
      <c r="AH316" s="20">
        <f>IF(A316="","",A316)</f>
        <v/>
      </c>
      <c r="AI316" s="132">
        <f>IF(E316="","",E316)</f>
        <v/>
      </c>
      <c r="AJ316" s="121">
        <f>IF(AI316="","",$AJ$2)</f>
        <v/>
      </c>
      <c r="AK316" s="121" t="inlineStr">
        <is>
          <t>A</t>
        </is>
      </c>
      <c r="AL316" s="121" t="inlineStr">
        <is>
          <t>A+</t>
        </is>
      </c>
      <c r="AM316" s="121" t="inlineStr">
        <is>
          <t>B+</t>
        </is>
      </c>
      <c r="AN316" s="121">
        <f>IF(AI316="","",$AN$2)</f>
        <v/>
      </c>
      <c r="AO316" s="121">
        <f>IF(N316="","",IF(N316&gt;=$AO$1/100,"O","X"))</f>
        <v/>
      </c>
      <c r="AP316" s="121">
        <f>IF(I316="","",IF(I316&lt;=$AP$1,"O","X"))</f>
        <v/>
      </c>
      <c r="AQ316" s="121">
        <f>IF(O316="","",IF(O316&lt;=$AQ$1,"O","X"))</f>
        <v/>
      </c>
      <c r="AR316" s="121">
        <f>IF(M316="","",IF(M316&lt;=$AR$1,"O","X"))</f>
        <v/>
      </c>
      <c r="AS316" s="121" t="inlineStr">
        <is>
          <t>X</t>
        </is>
      </c>
      <c r="AT316" s="121">
        <f>IF(OR(F316="",AI316=""),"",IF(AND((F316&lt;=85),(AI316&gt;=15)),"O","X"))</f>
        <v/>
      </c>
      <c r="AU316" s="121">
        <f>IF(C316="","",IF(C316&gt;=$AU$1,"O","X"))</f>
        <v/>
      </c>
      <c r="AV316" s="121">
        <f>IF(AO316="","",IF(AND(AO316="O",AP316="O",AR316="O",AT316="O",AU316="O"),"후보","X"))</f>
        <v/>
      </c>
    </row>
    <row r="317" ht="12" customFormat="1" customHeight="1" s="37">
      <c r="A317" s="75" t="inlineStr">
        <is>
          <t>신풍동 월명</t>
        </is>
      </c>
      <c r="B317" s="76" t="inlineStr">
        <is>
          <t>79.05.</t>
        </is>
      </c>
      <c r="C317" s="130" t="n">
        <v>240</v>
      </c>
      <c r="D317" s="131" t="n">
        <v>70.7</v>
      </c>
      <c r="E317" s="132" t="n">
        <v>21</v>
      </c>
      <c r="F317" s="131" t="n">
        <v>70.7</v>
      </c>
      <c r="G317" s="17" t="n">
        <v>21</v>
      </c>
      <c r="H317" s="133" t="n">
        <v>30</v>
      </c>
      <c r="I317" s="134" t="n"/>
      <c r="J317" s="134" t="n"/>
      <c r="K317" s="134" t="n"/>
      <c r="L317" s="134" t="n"/>
      <c r="M317" s="135">
        <f>I317-K317</f>
        <v/>
      </c>
      <c r="N317" s="4">
        <f>IF(ISERROR(K317/I317),"",K317/I317)</f>
        <v/>
      </c>
      <c r="O317" s="136">
        <f>I317/E317</f>
        <v/>
      </c>
      <c r="P317" s="136">
        <f>K317/E317</f>
        <v/>
      </c>
      <c r="Q317" s="121" t="n">
        <v>2</v>
      </c>
      <c r="R317" s="121" t="n">
        <v>1</v>
      </c>
      <c r="S317" s="121" t="inlineStr">
        <is>
          <t>계</t>
        </is>
      </c>
      <c r="T317" s="5" t="n">
        <v>70</v>
      </c>
      <c r="U317" s="9" t="n"/>
      <c r="W317" s="131">
        <f>D317</f>
        <v/>
      </c>
      <c r="X317" s="132">
        <f>E317</f>
        <v/>
      </c>
      <c r="Y317" s="137">
        <f>H317</f>
        <v/>
      </c>
      <c r="Z317" s="135">
        <f>I317</f>
        <v/>
      </c>
      <c r="AA317" s="135">
        <f>K317</f>
        <v/>
      </c>
      <c r="AB317" s="135">
        <f>M317</f>
        <v/>
      </c>
      <c r="AC317" s="4">
        <f>N317</f>
        <v/>
      </c>
      <c r="AD317" s="136">
        <f>O317</f>
        <v/>
      </c>
      <c r="AE317" s="121">
        <f>S317</f>
        <v/>
      </c>
      <c r="AF317" s="121">
        <f>Q317&amp;"/"&amp;R317</f>
        <v/>
      </c>
      <c r="AH317" s="20">
        <f>IF(A317="","",A317)</f>
        <v/>
      </c>
      <c r="AI317" s="132">
        <f>IF(E317="","",E317)</f>
        <v/>
      </c>
      <c r="AJ317" s="121">
        <f>IF(AI317="","",$AJ$2)</f>
        <v/>
      </c>
      <c r="AK317" s="121" t="inlineStr">
        <is>
          <t>A</t>
        </is>
      </c>
      <c r="AL317" s="121" t="inlineStr">
        <is>
          <t>A+</t>
        </is>
      </c>
      <c r="AM317" s="121" t="inlineStr">
        <is>
          <t>B+</t>
        </is>
      </c>
      <c r="AN317" s="121">
        <f>IF(AI317="","",$AN$2)</f>
        <v/>
      </c>
      <c r="AO317" s="121">
        <f>IF(N317="","",IF(N317&gt;=$AO$1/100,"O","X"))</f>
        <v/>
      </c>
      <c r="AP317" s="121">
        <f>IF(I317="","",IF(I317&lt;=$AP$1,"O","X"))</f>
        <v/>
      </c>
      <c r="AQ317" s="121">
        <f>IF(O317="","",IF(O317&lt;=$AQ$1,"O","X"))</f>
        <v/>
      </c>
      <c r="AR317" s="121">
        <f>IF(M317="","",IF(M317&lt;=$AR$1,"O","X"))</f>
        <v/>
      </c>
      <c r="AS317" s="121" t="inlineStr">
        <is>
          <t>X</t>
        </is>
      </c>
      <c r="AT317" s="121">
        <f>IF(OR(F317="",AI317=""),"",IF(AND((F317&lt;=85),(AI317&gt;=15)),"O","X"))</f>
        <v/>
      </c>
      <c r="AU317" s="121">
        <f>IF(C317="","",IF(C317&gt;=$AU$1,"O","X"))</f>
        <v/>
      </c>
      <c r="AV317" s="121">
        <f>IF(AO317="","",IF(AND(AO317="O",AP317="O",AR317="O",AT317="O",AU317="O"),"후보","X"))</f>
        <v/>
      </c>
    </row>
    <row r="318" ht="12" customFormat="1" customHeight="1" s="37">
      <c r="A318" s="75" t="inlineStr">
        <is>
          <t>신풍동 월명</t>
        </is>
      </c>
      <c r="B318" s="76" t="inlineStr">
        <is>
          <t>79.05.</t>
        </is>
      </c>
      <c r="C318" s="130" t="n">
        <v>240</v>
      </c>
      <c r="D318" s="131" t="n">
        <v>76.09999999999999</v>
      </c>
      <c r="E318" s="132" t="n">
        <v>23</v>
      </c>
      <c r="F318" s="131" t="n">
        <v>76.09999999999999</v>
      </c>
      <c r="G318" s="17" t="n">
        <v>23</v>
      </c>
      <c r="H318" s="133" t="n">
        <v>60</v>
      </c>
      <c r="I318" s="134" t="n"/>
      <c r="J318" s="134" t="n"/>
      <c r="K318" s="134" t="n"/>
      <c r="L318" s="134" t="n"/>
      <c r="M318" s="135">
        <f>I318-K318</f>
        <v/>
      </c>
      <c r="N318" s="4">
        <f>IF(ISERROR(K318/I318),"",K318/I318)</f>
        <v/>
      </c>
      <c r="O318" s="136">
        <f>I318/E318</f>
        <v/>
      </c>
      <c r="P318" s="136">
        <f>K318/E318</f>
        <v/>
      </c>
      <c r="Q318" s="121" t="n">
        <v>3</v>
      </c>
      <c r="R318" s="121" t="n">
        <v>1</v>
      </c>
      <c r="S318" s="121" t="inlineStr">
        <is>
          <t>복</t>
        </is>
      </c>
      <c r="T318" s="5" t="n">
        <v>76</v>
      </c>
      <c r="U318" s="9" t="n"/>
      <c r="W318" s="131">
        <f>D318</f>
        <v/>
      </c>
      <c r="X318" s="132">
        <f>E318</f>
        <v/>
      </c>
      <c r="Y318" s="137">
        <f>H318</f>
        <v/>
      </c>
      <c r="Z318" s="135">
        <f>I318</f>
        <v/>
      </c>
      <c r="AA318" s="135">
        <f>K318</f>
        <v/>
      </c>
      <c r="AB318" s="135">
        <f>M318</f>
        <v/>
      </c>
      <c r="AC318" s="4">
        <f>N318</f>
        <v/>
      </c>
      <c r="AD318" s="136">
        <f>O318</f>
        <v/>
      </c>
      <c r="AE318" s="121">
        <f>S318</f>
        <v/>
      </c>
      <c r="AF318" s="121">
        <f>Q318&amp;"/"&amp;R318</f>
        <v/>
      </c>
      <c r="AH318" s="20">
        <f>IF(A318="","",A318)</f>
        <v/>
      </c>
      <c r="AI318" s="132">
        <f>IF(E318="","",E318)</f>
        <v/>
      </c>
      <c r="AJ318" s="121">
        <f>IF(AI318="","",$AJ$2)</f>
        <v/>
      </c>
      <c r="AK318" s="121" t="inlineStr">
        <is>
          <t>A</t>
        </is>
      </c>
      <c r="AL318" s="121" t="inlineStr">
        <is>
          <t>A+</t>
        </is>
      </c>
      <c r="AM318" s="121" t="inlineStr">
        <is>
          <t>B+</t>
        </is>
      </c>
      <c r="AN318" s="121">
        <f>IF(AI318="","",$AN$2)</f>
        <v/>
      </c>
      <c r="AO318" s="121">
        <f>IF(N318="","",IF(N318&gt;=$AO$1/100,"O","X"))</f>
        <v/>
      </c>
      <c r="AP318" s="121">
        <f>IF(I318="","",IF(I318&lt;=$AP$1,"O","X"))</f>
        <v/>
      </c>
      <c r="AQ318" s="121">
        <f>IF(O318="","",IF(O318&lt;=$AQ$1,"O","X"))</f>
        <v/>
      </c>
      <c r="AR318" s="121">
        <f>IF(M318="","",IF(M318&lt;=$AR$1,"O","X"))</f>
        <v/>
      </c>
      <c r="AS318" s="121" t="inlineStr">
        <is>
          <t>X</t>
        </is>
      </c>
      <c r="AT318" s="121">
        <f>IF(OR(F318="",AI318=""),"",IF(AND((F318&lt;=85),(AI318&gt;=15)),"O","X"))</f>
        <v/>
      </c>
      <c r="AU318" s="121">
        <f>IF(C318="","",IF(C318&gt;=$AU$1,"O","X"))</f>
        <v/>
      </c>
      <c r="AV318" s="121">
        <f>IF(AO318="","",IF(AND(AO318="O",AP318="O",AR318="O",AT318="O",AU318="O"),"후보","X"))</f>
        <v/>
      </c>
    </row>
    <row r="319" ht="12" customFormat="1" customHeight="1" s="37">
      <c r="A319" s="75" t="inlineStr">
        <is>
          <t>신풍동 월명</t>
        </is>
      </c>
      <c r="B319" s="76" t="inlineStr">
        <is>
          <t>79.05.</t>
        </is>
      </c>
      <c r="C319" s="130" t="n">
        <v>240</v>
      </c>
      <c r="D319" s="131" t="n">
        <v>78.5</v>
      </c>
      <c r="E319" s="132" t="n">
        <v>24</v>
      </c>
      <c r="F319" s="131" t="n">
        <v>78.5</v>
      </c>
      <c r="G319" s="17" t="n">
        <v>24</v>
      </c>
      <c r="H319" s="133" t="n">
        <v>60</v>
      </c>
      <c r="I319" s="134" t="n"/>
      <c r="J319" s="134" t="n"/>
      <c r="K319" s="134" t="n"/>
      <c r="L319" s="134" t="n"/>
      <c r="M319" s="135">
        <f>I319-K319</f>
        <v/>
      </c>
      <c r="N319" s="4">
        <f>IF(ISERROR(K319/I319),"",K319/I319)</f>
        <v/>
      </c>
      <c r="O319" s="136">
        <f>I319/E319</f>
        <v/>
      </c>
      <c r="P319" s="136">
        <f>K319/E319</f>
        <v/>
      </c>
      <c r="Q319" s="121" t="n">
        <v>2</v>
      </c>
      <c r="R319" s="121" t="n">
        <v>1</v>
      </c>
      <c r="S319" s="121" t="inlineStr">
        <is>
          <t>계</t>
        </is>
      </c>
      <c r="T319" s="5" t="n">
        <v>78</v>
      </c>
      <c r="U319" s="9" t="n"/>
      <c r="W319" s="131">
        <f>D319</f>
        <v/>
      </c>
      <c r="X319" s="132">
        <f>E319</f>
        <v/>
      </c>
      <c r="Y319" s="137">
        <f>H319</f>
        <v/>
      </c>
      <c r="Z319" s="135">
        <f>I319</f>
        <v/>
      </c>
      <c r="AA319" s="135">
        <f>K319</f>
        <v/>
      </c>
      <c r="AB319" s="135">
        <f>M319</f>
        <v/>
      </c>
      <c r="AC319" s="4">
        <f>N319</f>
        <v/>
      </c>
      <c r="AD319" s="136">
        <f>O319</f>
        <v/>
      </c>
      <c r="AE319" s="121">
        <f>S319</f>
        <v/>
      </c>
      <c r="AF319" s="121">
        <f>Q319&amp;"/"&amp;R319</f>
        <v/>
      </c>
      <c r="AH319" s="20">
        <f>IF(A319="","",A319)</f>
        <v/>
      </c>
      <c r="AI319" s="132">
        <f>IF(E319="","",E319)</f>
        <v/>
      </c>
      <c r="AJ319" s="121">
        <f>IF(AI319="","",$AJ$2)</f>
        <v/>
      </c>
      <c r="AK319" s="121" t="inlineStr">
        <is>
          <t>A</t>
        </is>
      </c>
      <c r="AL319" s="121" t="inlineStr">
        <is>
          <t>A+</t>
        </is>
      </c>
      <c r="AM319" s="121" t="inlineStr">
        <is>
          <t>B+</t>
        </is>
      </c>
      <c r="AN319" s="121">
        <f>IF(AI319="","",$AN$2)</f>
        <v/>
      </c>
      <c r="AO319" s="121">
        <f>IF(N319="","",IF(N319&gt;=$AO$1/100,"O","X"))</f>
        <v/>
      </c>
      <c r="AP319" s="121">
        <f>IF(I319="","",IF(I319&lt;=$AP$1,"O","X"))</f>
        <v/>
      </c>
      <c r="AQ319" s="121">
        <f>IF(O319="","",IF(O319&lt;=$AQ$1,"O","X"))</f>
        <v/>
      </c>
      <c r="AR319" s="121">
        <f>IF(M319="","",IF(M319&lt;=$AR$1,"O","X"))</f>
        <v/>
      </c>
      <c r="AS319" s="121" t="inlineStr">
        <is>
          <t>X</t>
        </is>
      </c>
      <c r="AT319" s="121">
        <f>IF(OR(F319="",AI319=""),"",IF(AND((F319&lt;=85),(AI319&gt;=15)),"O","X"))</f>
        <v/>
      </c>
      <c r="AU319" s="121">
        <f>IF(C319="","",IF(C319&gt;=$AU$1,"O","X"))</f>
        <v/>
      </c>
      <c r="AV319" s="121">
        <f>IF(AO319="","",IF(AND(AO319="O",AP319="O",AR319="O",AT319="O",AU319="O"),"후보","X"))</f>
        <v/>
      </c>
    </row>
    <row r="320" ht="12" customFormat="1" customHeight="1" s="37">
      <c r="A320" s="75" t="inlineStr">
        <is>
          <t>신풍동 월명</t>
        </is>
      </c>
      <c r="B320" s="76" t="inlineStr">
        <is>
          <t>79.05.</t>
        </is>
      </c>
      <c r="C320" s="130" t="n">
        <v>240</v>
      </c>
      <c r="D320" s="131" t="n">
        <v>81.2</v>
      </c>
      <c r="E320" s="132" t="n">
        <v>25</v>
      </c>
      <c r="F320" s="131" t="n">
        <v>81.2</v>
      </c>
      <c r="G320" s="17" t="n">
        <v>25</v>
      </c>
      <c r="H320" s="133" t="n">
        <v>40</v>
      </c>
      <c r="I320" s="134" t="n"/>
      <c r="J320" s="134" t="n"/>
      <c r="K320" s="134" t="n"/>
      <c r="L320" s="134" t="n"/>
      <c r="M320" s="135">
        <f>I320-K320</f>
        <v/>
      </c>
      <c r="N320" s="4">
        <f>IF(ISERROR(K320/I320),"",K320/I320)</f>
        <v/>
      </c>
      <c r="O320" s="136">
        <f>I320/E320</f>
        <v/>
      </c>
      <c r="P320" s="136">
        <f>K320/E320</f>
        <v/>
      </c>
      <c r="Q320" s="121" t="n">
        <v>3</v>
      </c>
      <c r="R320" s="121" t="n">
        <v>1</v>
      </c>
      <c r="S320" s="121" t="inlineStr">
        <is>
          <t>계</t>
        </is>
      </c>
      <c r="T320" s="5" t="n">
        <v>81</v>
      </c>
      <c r="U320" s="9" t="n"/>
      <c r="W320" s="131">
        <f>D320</f>
        <v/>
      </c>
      <c r="X320" s="132">
        <f>E320</f>
        <v/>
      </c>
      <c r="Y320" s="137">
        <f>H320</f>
        <v/>
      </c>
      <c r="Z320" s="135">
        <f>I320</f>
        <v/>
      </c>
      <c r="AA320" s="135">
        <f>K320</f>
        <v/>
      </c>
      <c r="AB320" s="135">
        <f>M320</f>
        <v/>
      </c>
      <c r="AC320" s="4">
        <f>N320</f>
        <v/>
      </c>
      <c r="AD320" s="136">
        <f>O320</f>
        <v/>
      </c>
      <c r="AE320" s="121">
        <f>S320</f>
        <v/>
      </c>
      <c r="AF320" s="121">
        <f>Q320&amp;"/"&amp;R320</f>
        <v/>
      </c>
      <c r="AH320" s="20">
        <f>IF(A320="","",A320)</f>
        <v/>
      </c>
      <c r="AI320" s="132">
        <f>IF(E320="","",E320)</f>
        <v/>
      </c>
      <c r="AJ320" s="121">
        <f>IF(AI320="","",$AJ$2)</f>
        <v/>
      </c>
      <c r="AK320" s="121" t="inlineStr">
        <is>
          <t>A</t>
        </is>
      </c>
      <c r="AL320" s="121" t="inlineStr">
        <is>
          <t>A+</t>
        </is>
      </c>
      <c r="AM320" s="121" t="inlineStr">
        <is>
          <t>B+</t>
        </is>
      </c>
      <c r="AN320" s="121">
        <f>IF(AI320="","",$AN$2)</f>
        <v/>
      </c>
      <c r="AO320" s="121">
        <f>IF(N320="","",IF(N320&gt;=$AO$1/100,"O","X"))</f>
        <v/>
      </c>
      <c r="AP320" s="121">
        <f>IF(I320="","",IF(I320&lt;=$AP$1,"O","X"))</f>
        <v/>
      </c>
      <c r="AQ320" s="121">
        <f>IF(O320="","",IF(O320&lt;=$AQ$1,"O","X"))</f>
        <v/>
      </c>
      <c r="AR320" s="121">
        <f>IF(M320="","",IF(M320&lt;=$AR$1,"O","X"))</f>
        <v/>
      </c>
      <c r="AS320" s="121" t="inlineStr">
        <is>
          <t>X</t>
        </is>
      </c>
      <c r="AT320" s="121">
        <f>IF(OR(F320="",AI320=""),"",IF(AND((F320&lt;=85),(AI320&gt;=15)),"O","X"))</f>
        <v/>
      </c>
      <c r="AU320" s="121">
        <f>IF(C320="","",IF(C320&gt;=$AU$1,"O","X"))</f>
        <v/>
      </c>
      <c r="AV320" s="121">
        <f>IF(AO320="","",IF(AND(AO320="O",AP320="O",AR320="O",AT320="O",AU320="O"),"후보","X"))</f>
        <v/>
      </c>
    </row>
    <row r="321" ht="12" customFormat="1" customHeight="1" s="37">
      <c r="A321" s="75" t="inlineStr">
        <is>
          <t>신풍동 월명</t>
        </is>
      </c>
      <c r="B321" s="76" t="inlineStr">
        <is>
          <t>79.05.</t>
        </is>
      </c>
      <c r="C321" s="130" t="n">
        <v>240</v>
      </c>
      <c r="D321" s="131" t="n">
        <v>83.59999999999999</v>
      </c>
      <c r="E321" s="132" t="n">
        <v>25</v>
      </c>
      <c r="F321" s="131" t="n">
        <v>83.59999999999999</v>
      </c>
      <c r="G321" s="17" t="n">
        <v>25</v>
      </c>
      <c r="H321" s="133" t="n">
        <v>20</v>
      </c>
      <c r="I321" s="134" t="n"/>
      <c r="J321" s="134" t="n"/>
      <c r="K321" s="134" t="n"/>
      <c r="L321" s="134" t="n"/>
      <c r="M321" s="135">
        <f>I321-K321</f>
        <v/>
      </c>
      <c r="N321" s="4">
        <f>IF(ISERROR(K321/I321),"",K321/I321)</f>
        <v/>
      </c>
      <c r="O321" s="136">
        <f>I321/E321</f>
        <v/>
      </c>
      <c r="P321" s="136">
        <f>K321/E321</f>
        <v/>
      </c>
      <c r="Q321" s="121" t="n">
        <v>3</v>
      </c>
      <c r="R321" s="121" t="n">
        <v>1</v>
      </c>
      <c r="S321" s="121" t="inlineStr">
        <is>
          <t>계</t>
        </is>
      </c>
      <c r="T321" s="5" t="n">
        <v>83</v>
      </c>
      <c r="U321" s="9" t="n"/>
      <c r="W321" s="131">
        <f>D321</f>
        <v/>
      </c>
      <c r="X321" s="132">
        <f>E321</f>
        <v/>
      </c>
      <c r="Y321" s="137">
        <f>H321</f>
        <v/>
      </c>
      <c r="Z321" s="135">
        <f>I321</f>
        <v/>
      </c>
      <c r="AA321" s="135">
        <f>K321</f>
        <v/>
      </c>
      <c r="AB321" s="135">
        <f>M321</f>
        <v/>
      </c>
      <c r="AC321" s="4">
        <f>N321</f>
        <v/>
      </c>
      <c r="AD321" s="136">
        <f>O321</f>
        <v/>
      </c>
      <c r="AE321" s="121">
        <f>S321</f>
        <v/>
      </c>
      <c r="AF321" s="121">
        <f>Q321&amp;"/"&amp;R321</f>
        <v/>
      </c>
      <c r="AH321" s="20">
        <f>IF(A321="","",A321)</f>
        <v/>
      </c>
      <c r="AI321" s="132">
        <f>IF(E321="","",E321)</f>
        <v/>
      </c>
      <c r="AJ321" s="121">
        <f>IF(AI321="","",$AJ$2)</f>
        <v/>
      </c>
      <c r="AK321" s="121" t="inlineStr">
        <is>
          <t>A</t>
        </is>
      </c>
      <c r="AL321" s="121" t="inlineStr">
        <is>
          <t>A+</t>
        </is>
      </c>
      <c r="AM321" s="121" t="inlineStr">
        <is>
          <t>B+</t>
        </is>
      </c>
      <c r="AN321" s="121">
        <f>IF(AI321="","",$AN$2)</f>
        <v/>
      </c>
      <c r="AO321" s="121">
        <f>IF(N321="","",IF(N321&gt;=$AO$1/100,"O","X"))</f>
        <v/>
      </c>
      <c r="AP321" s="121">
        <f>IF(I321="","",IF(I321&lt;=$AP$1,"O","X"))</f>
        <v/>
      </c>
      <c r="AQ321" s="121">
        <f>IF(O321="","",IF(O321&lt;=$AQ$1,"O","X"))</f>
        <v/>
      </c>
      <c r="AR321" s="121">
        <f>IF(M321="","",IF(M321&lt;=$AR$1,"O","X"))</f>
        <v/>
      </c>
      <c r="AS321" s="121" t="inlineStr">
        <is>
          <t>X</t>
        </is>
      </c>
      <c r="AT321" s="121">
        <f>IF(OR(F321="",AI321=""),"",IF(AND((F321&lt;=85),(AI321&gt;=15)),"O","X"))</f>
        <v/>
      </c>
      <c r="AU321" s="121">
        <f>IF(C321="","",IF(C321&gt;=$AU$1,"O","X"))</f>
        <v/>
      </c>
      <c r="AV321" s="121">
        <f>IF(AO321="","",IF(AND(AO321="O",AP321="O",AR321="O",AT321="O",AU321="O"),"후보","X"))</f>
        <v/>
      </c>
    </row>
    <row r="322" ht="12" customFormat="1" customHeight="1" s="37">
      <c r="A322" s="75" t="inlineStr">
        <is>
          <t>오식도동 한성필하우스</t>
        </is>
      </c>
      <c r="B322" s="76" t="inlineStr">
        <is>
          <t>12.08.</t>
        </is>
      </c>
      <c r="C322" s="130" t="n">
        <v>892</v>
      </c>
      <c r="D322" s="131" t="n">
        <v>50.2</v>
      </c>
      <c r="E322" s="132" t="n">
        <v>15</v>
      </c>
      <c r="F322" s="131" t="n">
        <v>35.4</v>
      </c>
      <c r="G322" s="17" t="n">
        <v>11</v>
      </c>
      <c r="H322" s="133" t="n">
        <v>4</v>
      </c>
      <c r="I322" s="134" t="n">
        <v>7500</v>
      </c>
      <c r="J322" s="134" t="inlineStr">
        <is>
          <t>5</t>
        </is>
      </c>
      <c r="K322" s="134" t="n"/>
      <c r="L322" s="134" t="n"/>
      <c r="M322" s="135">
        <f>I322-K322</f>
        <v/>
      </c>
      <c r="N322" s="4">
        <f>IF(ISERROR(K322/I322),"",K322/I322)</f>
        <v/>
      </c>
      <c r="O322" s="136">
        <f>I322/E322</f>
        <v/>
      </c>
      <c r="P322" s="136">
        <f>K322/E322</f>
        <v/>
      </c>
      <c r="Q322" s="121" t="n">
        <v>2</v>
      </c>
      <c r="R322" s="121" t="n">
        <v>1</v>
      </c>
      <c r="S322" s="121" t="inlineStr">
        <is>
          <t>계</t>
        </is>
      </c>
      <c r="T322" s="5" t="n">
        <v>50</v>
      </c>
      <c r="U322" s="9" t="n"/>
      <c r="W322" s="131">
        <f>D322</f>
        <v/>
      </c>
      <c r="X322" s="132">
        <f>E322</f>
        <v/>
      </c>
      <c r="Y322" s="137">
        <f>H322</f>
        <v/>
      </c>
      <c r="Z322" s="135">
        <f>I322</f>
        <v/>
      </c>
      <c r="AA322" s="135">
        <f>K322</f>
        <v/>
      </c>
      <c r="AB322" s="135">
        <f>M322</f>
        <v/>
      </c>
      <c r="AC322" s="4">
        <f>N322</f>
        <v/>
      </c>
      <c r="AD322" s="136">
        <f>O322</f>
        <v/>
      </c>
      <c r="AE322" s="121">
        <f>S322</f>
        <v/>
      </c>
      <c r="AF322" s="121">
        <f>Q322&amp;"/"&amp;R322</f>
        <v/>
      </c>
      <c r="AH322" s="20">
        <f>IF(A322="","",A322)</f>
        <v/>
      </c>
      <c r="AI322" s="132">
        <f>IF(E322="","",E322)</f>
        <v/>
      </c>
      <c r="AJ322" s="121">
        <f>IF(AI322="","",$AJ$2)</f>
        <v/>
      </c>
      <c r="AK322" s="121" t="inlineStr">
        <is>
          <t>A</t>
        </is>
      </c>
      <c r="AL322" s="121" t="inlineStr">
        <is>
          <t>A+</t>
        </is>
      </c>
      <c r="AM322" s="121" t="inlineStr">
        <is>
          <t>B+</t>
        </is>
      </c>
      <c r="AN322" s="121">
        <f>IF(AI322="","",$AN$2)</f>
        <v/>
      </c>
      <c r="AO322" s="121">
        <f>IF(N322="","",IF(N322&gt;=$AO$1/100,"O","X"))</f>
        <v/>
      </c>
      <c r="AP322" s="121">
        <f>IF(I322="","",IF(I322&lt;=$AP$1,"O","X"))</f>
        <v/>
      </c>
      <c r="AQ322" s="121">
        <f>IF(O322="","",IF(O322&lt;=$AQ$1,"O","X"))</f>
        <v/>
      </c>
      <c r="AR322" s="121">
        <f>IF(M322="","",IF(M322&lt;=$AR$1,"O","X"))</f>
        <v/>
      </c>
      <c r="AS322" s="121" t="inlineStr">
        <is>
          <t>X</t>
        </is>
      </c>
      <c r="AT322" s="121">
        <f>IF(OR(F322="",AI322=""),"",IF(AND((F322&lt;=85),(AI322&gt;=15)),"O","X"))</f>
        <v/>
      </c>
      <c r="AU322" s="121">
        <f>IF(C322="","",IF(C322&gt;=$AU$1,"O","X"))</f>
        <v/>
      </c>
      <c r="AV322" s="121">
        <f>IF(AO322="","",IF(AND(AO322="O",AP322="O",AR322="O",AT322="O",AU322="O"),"후보","X"))</f>
        <v/>
      </c>
    </row>
    <row r="323" ht="12" customFormat="1" customHeight="1" s="37">
      <c r="A323" s="75" t="inlineStr">
        <is>
          <t>오식도동 한성필하우스</t>
        </is>
      </c>
      <c r="B323" s="76" t="inlineStr">
        <is>
          <t>12.08.</t>
        </is>
      </c>
      <c r="C323" s="130" t="n">
        <v>892</v>
      </c>
      <c r="D323" s="131" t="n">
        <v>82.59999999999999</v>
      </c>
      <c r="E323" s="132" t="n">
        <v>25</v>
      </c>
      <c r="F323" s="131" t="n">
        <v>60</v>
      </c>
      <c r="G323" s="17" t="n">
        <v>18</v>
      </c>
      <c r="H323" s="133" t="n">
        <v>17</v>
      </c>
      <c r="I323" s="134" t="n">
        <v>12800</v>
      </c>
      <c r="J323" s="134" t="inlineStr">
        <is>
          <t>20</t>
        </is>
      </c>
      <c r="K323" s="134" t="n"/>
      <c r="L323" s="134" t="n"/>
      <c r="M323" s="135">
        <f>I323-K323</f>
        <v/>
      </c>
      <c r="N323" s="4">
        <f>IF(ISERROR(K323/I323),"",K323/I323)</f>
        <v/>
      </c>
      <c r="O323" s="136">
        <f>I323/E323</f>
        <v/>
      </c>
      <c r="P323" s="136">
        <f>K323/E323</f>
        <v/>
      </c>
      <c r="Q323" s="121" t="n">
        <v>3</v>
      </c>
      <c r="R323" s="121" t="n">
        <v>2</v>
      </c>
      <c r="S323" s="121" t="inlineStr">
        <is>
          <t>계</t>
        </is>
      </c>
      <c r="T323" s="5" t="inlineStr">
        <is>
          <t>82B</t>
        </is>
      </c>
      <c r="U323" s="9" t="n"/>
      <c r="W323" s="131">
        <f>D323</f>
        <v/>
      </c>
      <c r="X323" s="132">
        <f>E323</f>
        <v/>
      </c>
      <c r="Y323" s="137">
        <f>H323</f>
        <v/>
      </c>
      <c r="Z323" s="135">
        <f>I323</f>
        <v/>
      </c>
      <c r="AA323" s="135">
        <f>K323</f>
        <v/>
      </c>
      <c r="AB323" s="135">
        <f>M323</f>
        <v/>
      </c>
      <c r="AC323" s="4">
        <f>N323</f>
        <v/>
      </c>
      <c r="AD323" s="136">
        <f>O323</f>
        <v/>
      </c>
      <c r="AE323" s="121">
        <f>S323</f>
        <v/>
      </c>
      <c r="AF323" s="121">
        <f>Q323&amp;"/"&amp;R323</f>
        <v/>
      </c>
      <c r="AH323" s="20">
        <f>IF(A323="","",A323)</f>
        <v/>
      </c>
      <c r="AI323" s="132">
        <f>IF(E323="","",E323)</f>
        <v/>
      </c>
      <c r="AJ323" s="121">
        <f>IF(AI323="","",$AJ$2)</f>
        <v/>
      </c>
      <c r="AK323" s="121" t="inlineStr">
        <is>
          <t>A</t>
        </is>
      </c>
      <c r="AL323" s="121" t="inlineStr">
        <is>
          <t>A+</t>
        </is>
      </c>
      <c r="AM323" s="121" t="inlineStr">
        <is>
          <t>B+</t>
        </is>
      </c>
      <c r="AN323" s="121">
        <f>IF(AI323="","",$AN$2)</f>
        <v/>
      </c>
      <c r="AO323" s="121">
        <f>IF(N323="","",IF(N323&gt;=$AO$1/100,"O","X"))</f>
        <v/>
      </c>
      <c r="AP323" s="121">
        <f>IF(I323="","",IF(I323&lt;=$AP$1,"O","X"))</f>
        <v/>
      </c>
      <c r="AQ323" s="121">
        <f>IF(O323="","",IF(O323&lt;=$AQ$1,"O","X"))</f>
        <v/>
      </c>
      <c r="AR323" s="121">
        <f>IF(M323="","",IF(M323&lt;=$AR$1,"O","X"))</f>
        <v/>
      </c>
      <c r="AS323" s="121" t="inlineStr">
        <is>
          <t>X</t>
        </is>
      </c>
      <c r="AT323" s="121">
        <f>IF(OR(F323="",AI323=""),"",IF(AND((F323&lt;=85),(AI323&gt;=15)),"O","X"))</f>
        <v/>
      </c>
      <c r="AU323" s="121">
        <f>IF(C323="","",IF(C323&gt;=$AU$1,"O","X"))</f>
        <v/>
      </c>
      <c r="AV323" s="121">
        <f>IF(AO323="","",IF(AND(AO323="O",AP323="O",AR323="O",AT323="O",AU323="O"),"후보","X"))</f>
        <v/>
      </c>
    </row>
    <row r="324" ht="12" customFormat="1" customHeight="1" s="37">
      <c r="A324" s="75" t="inlineStr">
        <is>
          <t>오식도동 한성필하우스</t>
        </is>
      </c>
      <c r="B324" s="76" t="inlineStr">
        <is>
          <t>12.08.</t>
        </is>
      </c>
      <c r="C324" s="130" t="n">
        <v>892</v>
      </c>
      <c r="D324" s="131" t="n">
        <v>83.8</v>
      </c>
      <c r="E324" s="132" t="n">
        <v>25</v>
      </c>
      <c r="F324" s="131" t="n">
        <v>60</v>
      </c>
      <c r="G324" s="17" t="n">
        <v>18</v>
      </c>
      <c r="H324" s="133" t="n">
        <v>51</v>
      </c>
      <c r="I324" s="134" t="n">
        <v>12700</v>
      </c>
      <c r="J324" s="134" t="inlineStr">
        <is>
          <t>22</t>
        </is>
      </c>
      <c r="K324" s="134" t="n"/>
      <c r="L324" s="134" t="n"/>
      <c r="M324" s="135">
        <f>I324-K324</f>
        <v/>
      </c>
      <c r="N324" s="4">
        <f>IF(ISERROR(K324/I324),"",K324/I324)</f>
        <v/>
      </c>
      <c r="O324" s="136">
        <f>I324/E324</f>
        <v/>
      </c>
      <c r="P324" s="136">
        <f>K324/E324</f>
        <v/>
      </c>
      <c r="Q324" s="121" t="n">
        <v>3</v>
      </c>
      <c r="R324" s="121" t="n">
        <v>2</v>
      </c>
      <c r="S324" s="121" t="inlineStr">
        <is>
          <t>계</t>
        </is>
      </c>
      <c r="T324" s="5" t="inlineStr">
        <is>
          <t>83C</t>
        </is>
      </c>
      <c r="U324" s="9" t="n"/>
      <c r="W324" s="131">
        <f>D324</f>
        <v/>
      </c>
      <c r="X324" s="132">
        <f>E324</f>
        <v/>
      </c>
      <c r="Y324" s="137">
        <f>H324</f>
        <v/>
      </c>
      <c r="Z324" s="135">
        <f>I324</f>
        <v/>
      </c>
      <c r="AA324" s="135">
        <f>K324</f>
        <v/>
      </c>
      <c r="AB324" s="135">
        <f>M324</f>
        <v/>
      </c>
      <c r="AC324" s="4">
        <f>N324</f>
        <v/>
      </c>
      <c r="AD324" s="136">
        <f>O324</f>
        <v/>
      </c>
      <c r="AE324" s="121">
        <f>S324</f>
        <v/>
      </c>
      <c r="AF324" s="121">
        <f>Q324&amp;"/"&amp;R324</f>
        <v/>
      </c>
      <c r="AH324" s="20">
        <f>IF(A324="","",A324)</f>
        <v/>
      </c>
      <c r="AI324" s="132">
        <f>IF(E324="","",E324)</f>
        <v/>
      </c>
      <c r="AJ324" s="121">
        <f>IF(AI324="","",$AJ$2)</f>
        <v/>
      </c>
      <c r="AK324" s="121" t="inlineStr">
        <is>
          <t>A</t>
        </is>
      </c>
      <c r="AL324" s="121" t="inlineStr">
        <is>
          <t>A+</t>
        </is>
      </c>
      <c r="AM324" s="121" t="inlineStr">
        <is>
          <t>B+</t>
        </is>
      </c>
      <c r="AN324" s="121">
        <f>IF(AI324="","",$AN$2)</f>
        <v/>
      </c>
      <c r="AO324" s="121">
        <f>IF(N324="","",IF(N324&gt;=$AO$1/100,"O","X"))</f>
        <v/>
      </c>
      <c r="AP324" s="121">
        <f>IF(I324="","",IF(I324&lt;=$AP$1,"O","X"))</f>
        <v/>
      </c>
      <c r="AQ324" s="121">
        <f>IF(O324="","",IF(O324&lt;=$AQ$1,"O","X"))</f>
        <v/>
      </c>
      <c r="AR324" s="121">
        <f>IF(M324="","",IF(M324&lt;=$AR$1,"O","X"))</f>
        <v/>
      </c>
      <c r="AS324" s="121" t="inlineStr">
        <is>
          <t>X</t>
        </is>
      </c>
      <c r="AT324" s="121">
        <f>IF(OR(F324="",AI324=""),"",IF(AND((F324&lt;=85),(AI324&gt;=15)),"O","X"))</f>
        <v/>
      </c>
      <c r="AU324" s="121">
        <f>IF(C324="","",IF(C324&gt;=$AU$1,"O","X"))</f>
        <v/>
      </c>
      <c r="AV324" s="121">
        <f>IF(AO324="","",IF(AND(AO324="O",AP324="O",AR324="O",AT324="O",AU324="O"),"후보","X"))</f>
        <v/>
      </c>
    </row>
    <row r="325" ht="12" customFormat="1" customHeight="1" s="37">
      <c r="A325" s="75" t="inlineStr">
        <is>
          <t>오식도동 한성필하우스</t>
        </is>
      </c>
      <c r="B325" s="76" t="inlineStr">
        <is>
          <t>12.08.</t>
        </is>
      </c>
      <c r="C325" s="130" t="n">
        <v>892</v>
      </c>
      <c r="D325" s="131" t="n">
        <v>84.40000000000001</v>
      </c>
      <c r="E325" s="132" t="n">
        <v>26</v>
      </c>
      <c r="F325" s="131" t="n">
        <v>59.9</v>
      </c>
      <c r="G325" s="17" t="n">
        <v>18</v>
      </c>
      <c r="H325" s="133" t="n">
        <v>465</v>
      </c>
      <c r="I325" s="134" t="n">
        <v>11700</v>
      </c>
      <c r="J325" s="134" t="inlineStr">
        <is>
          <t>6</t>
        </is>
      </c>
      <c r="K325" s="134" t="n">
        <v>10000</v>
      </c>
      <c r="L325" s="134" t="inlineStr">
        <is>
          <t>12</t>
        </is>
      </c>
      <c r="M325" s="135">
        <f>I325-K325</f>
        <v/>
      </c>
      <c r="N325" s="4">
        <f>IF(ISERROR(K325/I325),"",K325/I325)</f>
        <v/>
      </c>
      <c r="O325" s="136">
        <f>I325/E325</f>
        <v/>
      </c>
      <c r="P325" s="136">
        <f>K325/E325</f>
        <v/>
      </c>
      <c r="Q325" s="121" t="n">
        <v>3</v>
      </c>
      <c r="R325" s="121" t="n">
        <v>2</v>
      </c>
      <c r="S325" s="121" t="inlineStr">
        <is>
          <t>계</t>
        </is>
      </c>
      <c r="T325" s="5" t="inlineStr">
        <is>
          <t>84A</t>
        </is>
      </c>
      <c r="U325" s="9" t="n"/>
      <c r="W325" s="131">
        <f>D325</f>
        <v/>
      </c>
      <c r="X325" s="132">
        <f>E325</f>
        <v/>
      </c>
      <c r="Y325" s="137">
        <f>H325</f>
        <v/>
      </c>
      <c r="Z325" s="135">
        <f>I325</f>
        <v/>
      </c>
      <c r="AA325" s="135">
        <f>K325</f>
        <v/>
      </c>
      <c r="AB325" s="135">
        <f>M325</f>
        <v/>
      </c>
      <c r="AC325" s="4">
        <f>N325</f>
        <v/>
      </c>
      <c r="AD325" s="136">
        <f>O325</f>
        <v/>
      </c>
      <c r="AE325" s="121">
        <f>S325</f>
        <v/>
      </c>
      <c r="AF325" s="121">
        <f>Q325&amp;"/"&amp;R325</f>
        <v/>
      </c>
      <c r="AH325" s="20">
        <f>IF(A325="","",A325)</f>
        <v/>
      </c>
      <c r="AI325" s="132">
        <f>IF(E325="","",E325)</f>
        <v/>
      </c>
      <c r="AJ325" s="121">
        <f>IF(AI325="","",$AJ$2)</f>
        <v/>
      </c>
      <c r="AK325" s="121" t="inlineStr">
        <is>
          <t>A</t>
        </is>
      </c>
      <c r="AL325" s="121" t="inlineStr">
        <is>
          <t>A+</t>
        </is>
      </c>
      <c r="AM325" s="121" t="inlineStr">
        <is>
          <t>B+</t>
        </is>
      </c>
      <c r="AN325" s="121">
        <f>IF(AI325="","",$AN$2)</f>
        <v/>
      </c>
      <c r="AO325" s="121">
        <f>IF(N325="","",IF(N325&gt;=$AO$1/100,"O","X"))</f>
        <v/>
      </c>
      <c r="AP325" s="121">
        <f>IF(I325="","",IF(I325&lt;=$AP$1,"O","X"))</f>
        <v/>
      </c>
      <c r="AQ325" s="121">
        <f>IF(O325="","",IF(O325&lt;=$AQ$1,"O","X"))</f>
        <v/>
      </c>
      <c r="AR325" s="121">
        <f>IF(M325="","",IF(M325&lt;=$AR$1,"O","X"))</f>
        <v/>
      </c>
      <c r="AS325" s="121" t="inlineStr">
        <is>
          <t>X</t>
        </is>
      </c>
      <c r="AT325" s="121">
        <f>IF(OR(F325="",AI325=""),"",IF(AND((F325&lt;=85),(AI325&gt;=15)),"O","X"))</f>
        <v/>
      </c>
      <c r="AU325" s="121">
        <f>IF(C325="","",IF(C325&gt;=$AU$1,"O","X"))</f>
        <v/>
      </c>
      <c r="AV325" s="121">
        <f>IF(AO325="","",IF(AND(AO325="O",AP325="O",AR325="O",AT325="O",AU325="O"),"후보","X"))</f>
        <v/>
      </c>
    </row>
    <row r="326" ht="12" customFormat="1" customHeight="1" s="37">
      <c r="A326" s="75" t="inlineStr">
        <is>
          <t>옥산면 힐스테이트은파</t>
        </is>
      </c>
      <c r="B326" s="76" t="inlineStr">
        <is>
          <t>15.09.</t>
        </is>
      </c>
      <c r="C326" s="130" t="n">
        <v>449</v>
      </c>
      <c r="D326" s="131" t="n">
        <v>110.9</v>
      </c>
      <c r="E326" s="132" t="n">
        <v>34</v>
      </c>
      <c r="F326" s="131" t="n">
        <v>85</v>
      </c>
      <c r="G326" s="17" t="n">
        <v>26</v>
      </c>
      <c r="H326" s="133" t="n">
        <v>449</v>
      </c>
      <c r="I326" s="134" t="n">
        <v>27000</v>
      </c>
      <c r="J326" s="134" t="inlineStr">
        <is>
          <t>11</t>
        </is>
      </c>
      <c r="K326" s="134" t="n">
        <v>23000</v>
      </c>
      <c r="L326" s="134" t="inlineStr">
        <is>
          <t>16</t>
        </is>
      </c>
      <c r="M326" s="135">
        <f>I326-K326</f>
        <v/>
      </c>
      <c r="N326" s="4">
        <f>IF(ISERROR(K326/I326),"",K326/I326)</f>
        <v/>
      </c>
      <c r="O326" s="136">
        <f>I326/E326</f>
        <v/>
      </c>
      <c r="P326" s="136">
        <f>K326/E326</f>
        <v/>
      </c>
      <c r="Q326" s="121" t="n">
        <v>3</v>
      </c>
      <c r="R326" s="121" t="n">
        <v>2</v>
      </c>
      <c r="S326" s="121" t="inlineStr">
        <is>
          <t>계</t>
        </is>
      </c>
      <c r="T326" s="5" t="n">
        <v>110</v>
      </c>
      <c r="U326" s="9" t="n"/>
      <c r="W326" s="131">
        <f>D326</f>
        <v/>
      </c>
      <c r="X326" s="132">
        <f>E326</f>
        <v/>
      </c>
      <c r="Y326" s="137">
        <f>H326</f>
        <v/>
      </c>
      <c r="Z326" s="135">
        <f>I326</f>
        <v/>
      </c>
      <c r="AA326" s="135">
        <f>K326</f>
        <v/>
      </c>
      <c r="AB326" s="135">
        <f>M326</f>
        <v/>
      </c>
      <c r="AC326" s="4">
        <f>N326</f>
        <v/>
      </c>
      <c r="AD326" s="136">
        <f>O326</f>
        <v/>
      </c>
      <c r="AE326" s="121">
        <f>S326</f>
        <v/>
      </c>
      <c r="AF326" s="121">
        <f>Q326&amp;"/"&amp;R326</f>
        <v/>
      </c>
      <c r="AH326" s="20">
        <f>IF(A326="","",A326)</f>
        <v/>
      </c>
      <c r="AI326" s="132">
        <f>IF(E326="","",E326)</f>
        <v/>
      </c>
      <c r="AJ326" s="121">
        <f>IF(AI326="","",$AJ$2)</f>
        <v/>
      </c>
      <c r="AK326" s="121" t="inlineStr">
        <is>
          <t>A</t>
        </is>
      </c>
      <c r="AL326" s="121" t="inlineStr">
        <is>
          <t>A+</t>
        </is>
      </c>
      <c r="AM326" s="121" t="inlineStr">
        <is>
          <t>B+</t>
        </is>
      </c>
      <c r="AN326" s="121">
        <f>IF(AI326="","",$AN$2)</f>
        <v/>
      </c>
      <c r="AO326" s="121">
        <f>IF(N326="","",IF(N326&gt;=$AO$1/100,"O","X"))</f>
        <v/>
      </c>
      <c r="AP326" s="121">
        <f>IF(I326="","",IF(I326&lt;=$AP$1,"O","X"))</f>
        <v/>
      </c>
      <c r="AQ326" s="121">
        <f>IF(O326="","",IF(O326&lt;=$AQ$1,"O","X"))</f>
        <v/>
      </c>
      <c r="AR326" s="121">
        <f>IF(M326="","",IF(M326&lt;=$AR$1,"O","X"))</f>
        <v/>
      </c>
      <c r="AS326" s="121" t="inlineStr">
        <is>
          <t>X</t>
        </is>
      </c>
      <c r="AT326" s="121">
        <f>IF(OR(F326="",AI326=""),"",IF(AND((F326&lt;=85),(AI326&gt;=15)),"O","X"))</f>
        <v/>
      </c>
      <c r="AU326" s="121">
        <f>IF(C326="","",IF(C326&gt;=$AU$1,"O","X"))</f>
        <v/>
      </c>
      <c r="AV326" s="121">
        <f>IF(AO326="","",IF(AND(AO326="O",AP326="O",AR326="O",AT326="O",AU326="O"),"후보","X"))</f>
        <v/>
      </c>
    </row>
    <row r="327" ht="12" customFormat="1" customHeight="1" s="37">
      <c r="A327" s="75" t="inlineStr">
        <is>
          <t>옥산면 군산대광로제비앙</t>
        </is>
      </c>
      <c r="B327" s="76" t="inlineStr">
        <is>
          <t>17.12.</t>
        </is>
      </c>
      <c r="C327" s="130" t="n">
        <v>469</v>
      </c>
      <c r="D327" s="131" t="n">
        <v>109.8</v>
      </c>
      <c r="E327" s="132" t="n">
        <v>33</v>
      </c>
      <c r="F327" s="131" t="n">
        <v>85</v>
      </c>
      <c r="G327" s="17" t="n">
        <v>26</v>
      </c>
      <c r="H327" s="133" t="n">
        <v>380</v>
      </c>
      <c r="I327" s="134" t="n">
        <v>31000</v>
      </c>
      <c r="J327" s="134" t="inlineStr">
        <is>
          <t>19</t>
        </is>
      </c>
      <c r="K327" s="134" t="n">
        <v>26000</v>
      </c>
      <c r="L327" s="134" t="inlineStr">
        <is>
          <t>20</t>
        </is>
      </c>
      <c r="M327" s="135">
        <f>I327-K327</f>
        <v/>
      </c>
      <c r="N327" s="4">
        <f>IF(ISERROR(K327/I327),"",K327/I327)</f>
        <v/>
      </c>
      <c r="O327" s="136">
        <f>I327/E327</f>
        <v/>
      </c>
      <c r="P327" s="136">
        <f>K327/E327</f>
        <v/>
      </c>
      <c r="Q327" s="121" t="n">
        <v>3</v>
      </c>
      <c r="R327" s="121" t="n">
        <v>2</v>
      </c>
      <c r="S327" s="121" t="inlineStr">
        <is>
          <t>계</t>
        </is>
      </c>
      <c r="T327" s="5" t="inlineStr">
        <is>
          <t>109A</t>
        </is>
      </c>
      <c r="U327" s="9" t="n"/>
      <c r="W327" s="131">
        <f>D327</f>
        <v/>
      </c>
      <c r="X327" s="132">
        <f>E327</f>
        <v/>
      </c>
      <c r="Y327" s="137">
        <f>H327</f>
        <v/>
      </c>
      <c r="Z327" s="135">
        <f>I327</f>
        <v/>
      </c>
      <c r="AA327" s="135">
        <f>K327</f>
        <v/>
      </c>
      <c r="AB327" s="135">
        <f>M327</f>
        <v/>
      </c>
      <c r="AC327" s="4">
        <f>N327</f>
        <v/>
      </c>
      <c r="AD327" s="136">
        <f>O327</f>
        <v/>
      </c>
      <c r="AE327" s="121">
        <f>S327</f>
        <v/>
      </c>
      <c r="AF327" s="121">
        <f>Q327&amp;"/"&amp;R327</f>
        <v/>
      </c>
      <c r="AH327" s="20">
        <f>IF(A327="","",A327)</f>
        <v/>
      </c>
      <c r="AI327" s="132">
        <f>IF(E327="","",E327)</f>
        <v/>
      </c>
      <c r="AJ327" s="121">
        <f>IF(AI327="","",$AJ$2)</f>
        <v/>
      </c>
      <c r="AK327" s="121" t="inlineStr">
        <is>
          <t>A</t>
        </is>
      </c>
      <c r="AL327" s="121" t="inlineStr">
        <is>
          <t>A+</t>
        </is>
      </c>
      <c r="AM327" s="121" t="inlineStr">
        <is>
          <t>B+</t>
        </is>
      </c>
      <c r="AN327" s="121">
        <f>IF(AI327="","",$AN$2)</f>
        <v/>
      </c>
      <c r="AO327" s="121">
        <f>IF(N327="","",IF(N327&gt;=$AO$1/100,"O","X"))</f>
        <v/>
      </c>
      <c r="AP327" s="121">
        <f>IF(I327="","",IF(I327&lt;=$AP$1,"O","X"))</f>
        <v/>
      </c>
      <c r="AQ327" s="121">
        <f>IF(O327="","",IF(O327&lt;=$AQ$1,"O","X"))</f>
        <v/>
      </c>
      <c r="AR327" s="121">
        <f>IF(M327="","",IF(M327&lt;=$AR$1,"O","X"))</f>
        <v/>
      </c>
      <c r="AS327" s="121" t="inlineStr">
        <is>
          <t>X</t>
        </is>
      </c>
      <c r="AT327" s="121">
        <f>IF(OR(F327="",AI327=""),"",IF(AND((F327&lt;=85),(AI327&gt;=15)),"O","X"))</f>
        <v/>
      </c>
      <c r="AU327" s="121">
        <f>IF(C327="","",IF(C327&gt;=$AU$1,"O","X"))</f>
        <v/>
      </c>
      <c r="AV327" s="121">
        <f>IF(AO327="","",IF(AND(AO327="O",AP327="O",AR327="O",AT327="O",AU327="O"),"후보","X"))</f>
        <v/>
      </c>
    </row>
    <row r="328" ht="12" customFormat="1" customHeight="1" s="37">
      <c r="A328" s="75" t="inlineStr">
        <is>
          <t>옥산면 군산대광로제비앙</t>
        </is>
      </c>
      <c r="B328" s="76" t="inlineStr">
        <is>
          <t>17.12.</t>
        </is>
      </c>
      <c r="C328" s="130" t="n">
        <v>469</v>
      </c>
      <c r="D328" s="131" t="n">
        <v>111.4</v>
      </c>
      <c r="E328" s="132" t="n">
        <v>34</v>
      </c>
      <c r="F328" s="131" t="n">
        <v>85</v>
      </c>
      <c r="G328" s="17" t="n">
        <v>26</v>
      </c>
      <c r="H328" s="133" t="n">
        <v>46</v>
      </c>
      <c r="I328" s="134" t="n">
        <v>31000</v>
      </c>
      <c r="J328" s="134" t="inlineStr">
        <is>
          <t>8</t>
        </is>
      </c>
      <c r="K328" s="134" t="n">
        <v>26000</v>
      </c>
      <c r="L328" s="134" t="inlineStr">
        <is>
          <t>10</t>
        </is>
      </c>
      <c r="M328" s="135">
        <f>I328-K328</f>
        <v/>
      </c>
      <c r="N328" s="4">
        <f>IF(ISERROR(K328/I328),"",K328/I328)</f>
        <v/>
      </c>
      <c r="O328" s="136">
        <f>I328/E328</f>
        <v/>
      </c>
      <c r="P328" s="136">
        <f>K328/E328</f>
        <v/>
      </c>
      <c r="Q328" s="121" t="n">
        <v>3</v>
      </c>
      <c r="R328" s="121" t="n">
        <v>2</v>
      </c>
      <c r="S328" s="121" t="inlineStr">
        <is>
          <t>계</t>
        </is>
      </c>
      <c r="T328" s="5" t="inlineStr">
        <is>
          <t>111B</t>
        </is>
      </c>
      <c r="U328" s="9" t="n"/>
      <c r="W328" s="131">
        <f>D328</f>
        <v/>
      </c>
      <c r="X328" s="132">
        <f>E328</f>
        <v/>
      </c>
      <c r="Y328" s="137">
        <f>H328</f>
        <v/>
      </c>
      <c r="Z328" s="135">
        <f>I328</f>
        <v/>
      </c>
      <c r="AA328" s="135">
        <f>K328</f>
        <v/>
      </c>
      <c r="AB328" s="135">
        <f>M328</f>
        <v/>
      </c>
      <c r="AC328" s="4">
        <f>N328</f>
        <v/>
      </c>
      <c r="AD328" s="136">
        <f>O328</f>
        <v/>
      </c>
      <c r="AE328" s="121">
        <f>S328</f>
        <v/>
      </c>
      <c r="AF328" s="121">
        <f>Q328&amp;"/"&amp;R328</f>
        <v/>
      </c>
      <c r="AH328" s="20">
        <f>IF(A328="","",A328)</f>
        <v/>
      </c>
      <c r="AI328" s="132">
        <f>IF(E328="","",E328)</f>
        <v/>
      </c>
      <c r="AJ328" s="121">
        <f>IF(AI328="","",$AJ$2)</f>
        <v/>
      </c>
      <c r="AK328" s="121" t="inlineStr">
        <is>
          <t>A</t>
        </is>
      </c>
      <c r="AL328" s="121" t="inlineStr">
        <is>
          <t>A+</t>
        </is>
      </c>
      <c r="AM328" s="121" t="inlineStr">
        <is>
          <t>B+</t>
        </is>
      </c>
      <c r="AN328" s="121">
        <f>IF(AI328="","",$AN$2)</f>
        <v/>
      </c>
      <c r="AO328" s="121">
        <f>IF(N328="","",IF(N328&gt;=$AO$1/100,"O","X"))</f>
        <v/>
      </c>
      <c r="AP328" s="121">
        <f>IF(I328="","",IF(I328&lt;=$AP$1,"O","X"))</f>
        <v/>
      </c>
      <c r="AQ328" s="121">
        <f>IF(O328="","",IF(O328&lt;=$AQ$1,"O","X"))</f>
        <v/>
      </c>
      <c r="AR328" s="121">
        <f>IF(M328="","",IF(M328&lt;=$AR$1,"O","X"))</f>
        <v/>
      </c>
      <c r="AS328" s="121" t="inlineStr">
        <is>
          <t>X</t>
        </is>
      </c>
      <c r="AT328" s="121">
        <f>IF(OR(F328="",AI328=""),"",IF(AND((F328&lt;=85),(AI328&gt;=15)),"O","X"))</f>
        <v/>
      </c>
      <c r="AU328" s="121">
        <f>IF(C328="","",IF(C328&gt;=$AU$1,"O","X"))</f>
        <v/>
      </c>
      <c r="AV328" s="121">
        <f>IF(AO328="","",IF(AND(AO328="O",AP328="O",AR328="O",AT328="O",AU328="O"),"후보","X"))</f>
        <v/>
      </c>
    </row>
    <row r="329" ht="12" customFormat="1" customHeight="1" s="37">
      <c r="A329" s="75" t="inlineStr">
        <is>
          <t>옥산면 군산대광로제비앙</t>
        </is>
      </c>
      <c r="B329" s="76" t="inlineStr">
        <is>
          <t>17.12.</t>
        </is>
      </c>
      <c r="C329" s="130" t="n">
        <v>469</v>
      </c>
      <c r="D329" s="131" t="n">
        <v>111.6</v>
      </c>
      <c r="E329" s="132" t="n">
        <v>34</v>
      </c>
      <c r="F329" s="131" t="n">
        <v>85</v>
      </c>
      <c r="G329" s="17" t="n">
        <v>26</v>
      </c>
      <c r="H329" s="133" t="n">
        <v>43</v>
      </c>
      <c r="I329" s="134" t="n"/>
      <c r="J329" s="134" t="n"/>
      <c r="K329" s="134" t="n"/>
      <c r="L329" s="134" t="n"/>
      <c r="M329" s="135">
        <f>I329-K329</f>
        <v/>
      </c>
      <c r="N329" s="4">
        <f>IF(ISERROR(K329/I329),"",K329/I329)</f>
        <v/>
      </c>
      <c r="O329" s="136">
        <f>I329/E329</f>
        <v/>
      </c>
      <c r="P329" s="136">
        <f>K329/E329</f>
        <v/>
      </c>
      <c r="Q329" s="121" t="n">
        <v>3</v>
      </c>
      <c r="R329" s="121" t="n">
        <v>2</v>
      </c>
      <c r="S329" s="121" t="inlineStr">
        <is>
          <t>계</t>
        </is>
      </c>
      <c r="T329" s="5" t="inlineStr">
        <is>
          <t>111C</t>
        </is>
      </c>
      <c r="U329" s="9" t="n"/>
      <c r="W329" s="131">
        <f>D329</f>
        <v/>
      </c>
      <c r="X329" s="132">
        <f>E329</f>
        <v/>
      </c>
      <c r="Y329" s="137">
        <f>H329</f>
        <v/>
      </c>
      <c r="Z329" s="135">
        <f>I329</f>
        <v/>
      </c>
      <c r="AA329" s="135">
        <f>K329</f>
        <v/>
      </c>
      <c r="AB329" s="135">
        <f>M329</f>
        <v/>
      </c>
      <c r="AC329" s="4">
        <f>N329</f>
        <v/>
      </c>
      <c r="AD329" s="136">
        <f>O329</f>
        <v/>
      </c>
      <c r="AE329" s="121">
        <f>S329</f>
        <v/>
      </c>
      <c r="AF329" s="121">
        <f>Q329&amp;"/"&amp;R329</f>
        <v/>
      </c>
      <c r="AH329" s="20">
        <f>IF(A329="","",A329)</f>
        <v/>
      </c>
      <c r="AI329" s="132">
        <f>IF(E329="","",E329)</f>
        <v/>
      </c>
      <c r="AJ329" s="121">
        <f>IF(AI329="","",$AJ$2)</f>
        <v/>
      </c>
      <c r="AK329" s="121" t="inlineStr">
        <is>
          <t>A</t>
        </is>
      </c>
      <c r="AL329" s="121" t="inlineStr">
        <is>
          <t>A+</t>
        </is>
      </c>
      <c r="AM329" s="121" t="inlineStr">
        <is>
          <t>B+</t>
        </is>
      </c>
      <c r="AN329" s="121">
        <f>IF(AI329="","",$AN$2)</f>
        <v/>
      </c>
      <c r="AO329" s="121">
        <f>IF(N329="","",IF(N329&gt;=$AO$1/100,"O","X"))</f>
        <v/>
      </c>
      <c r="AP329" s="121">
        <f>IF(I329="","",IF(I329&lt;=$AP$1,"O","X"))</f>
        <v/>
      </c>
      <c r="AQ329" s="121">
        <f>IF(O329="","",IF(O329&lt;=$AQ$1,"O","X"))</f>
        <v/>
      </c>
      <c r="AR329" s="121">
        <f>IF(M329="","",IF(M329&lt;=$AR$1,"O","X"))</f>
        <v/>
      </c>
      <c r="AS329" s="121" t="inlineStr">
        <is>
          <t>X</t>
        </is>
      </c>
      <c r="AT329" s="121">
        <f>IF(OR(F329="",AI329=""),"",IF(AND((F329&lt;=85),(AI329&gt;=15)),"O","X"))</f>
        <v/>
      </c>
      <c r="AU329" s="121">
        <f>IF(C329="","",IF(C329&gt;=$AU$1,"O","X"))</f>
        <v/>
      </c>
      <c r="AV329" s="121">
        <f>IF(AO329="","",IF(AND(AO329="O",AP329="O",AR329="O",AT329="O",AU329="O"),"후보","X"))</f>
        <v/>
      </c>
    </row>
    <row r="330" ht="12" customFormat="1" customHeight="1" s="37">
      <c r="A330" s="75" t="inlineStr">
        <is>
          <t>월명동 클래시움</t>
        </is>
      </c>
      <c r="B330" s="76" t="inlineStr">
        <is>
          <t>04.05.</t>
        </is>
      </c>
      <c r="C330" s="130" t="n">
        <v>210</v>
      </c>
      <c r="D330" s="131" t="n">
        <v>126.8</v>
      </c>
      <c r="E330" s="132" t="n">
        <v>38</v>
      </c>
      <c r="F330" s="131" t="n">
        <v>101.7</v>
      </c>
      <c r="G330" s="17" t="n">
        <v>31</v>
      </c>
      <c r="H330" s="133" t="n">
        <v>120</v>
      </c>
      <c r="I330" s="134" t="n"/>
      <c r="J330" s="134" t="n"/>
      <c r="K330" s="134" t="n"/>
      <c r="L330" s="134" t="n"/>
      <c r="M330" s="135">
        <f>I330-K330</f>
        <v/>
      </c>
      <c r="N330" s="4">
        <f>IF(ISERROR(K330/I330),"",K330/I330)</f>
        <v/>
      </c>
      <c r="O330" s="136">
        <f>I330/E330</f>
        <v/>
      </c>
      <c r="P330" s="136">
        <f>K330/E330</f>
        <v/>
      </c>
      <c r="Q330" s="121" t="n">
        <v>3</v>
      </c>
      <c r="R330" s="121" t="n">
        <v>2</v>
      </c>
      <c r="S330" s="121" t="inlineStr">
        <is>
          <t>계</t>
        </is>
      </c>
      <c r="T330" s="5" t="n">
        <v>126</v>
      </c>
      <c r="U330" s="9" t="n"/>
      <c r="W330" s="131">
        <f>D330</f>
        <v/>
      </c>
      <c r="X330" s="132">
        <f>E330</f>
        <v/>
      </c>
      <c r="Y330" s="137">
        <f>H330</f>
        <v/>
      </c>
      <c r="Z330" s="135">
        <f>I330</f>
        <v/>
      </c>
      <c r="AA330" s="135">
        <f>K330</f>
        <v/>
      </c>
      <c r="AB330" s="135">
        <f>M330</f>
        <v/>
      </c>
      <c r="AC330" s="4">
        <f>N330</f>
        <v/>
      </c>
      <c r="AD330" s="136">
        <f>O330</f>
        <v/>
      </c>
      <c r="AE330" s="121">
        <f>S330</f>
        <v/>
      </c>
      <c r="AF330" s="121">
        <f>Q330&amp;"/"&amp;R330</f>
        <v/>
      </c>
      <c r="AH330" s="20">
        <f>IF(A330="","",A330)</f>
        <v/>
      </c>
      <c r="AI330" s="132">
        <f>IF(E330="","",E330)</f>
        <v/>
      </c>
      <c r="AJ330" s="121">
        <f>IF(AI330="","",$AJ$2)</f>
        <v/>
      </c>
      <c r="AK330" s="121" t="inlineStr">
        <is>
          <t>A</t>
        </is>
      </c>
      <c r="AL330" s="121" t="inlineStr">
        <is>
          <t>A+</t>
        </is>
      </c>
      <c r="AM330" s="121" t="inlineStr">
        <is>
          <t>B+</t>
        </is>
      </c>
      <c r="AN330" s="121">
        <f>IF(AI330="","",$AN$2)</f>
        <v/>
      </c>
      <c r="AO330" s="121">
        <f>IF(N330="","",IF(N330&gt;=$AO$1/100,"O","X"))</f>
        <v/>
      </c>
      <c r="AP330" s="121">
        <f>IF(I330="","",IF(I330&lt;=$AP$1,"O","X"))</f>
        <v/>
      </c>
      <c r="AQ330" s="121">
        <f>IF(O330="","",IF(O330&lt;=$AQ$1,"O","X"))</f>
        <v/>
      </c>
      <c r="AR330" s="121">
        <f>IF(M330="","",IF(M330&lt;=$AR$1,"O","X"))</f>
        <v/>
      </c>
      <c r="AS330" s="121" t="inlineStr">
        <is>
          <t>X</t>
        </is>
      </c>
      <c r="AT330" s="121">
        <f>IF(OR(F330="",AI330=""),"",IF(AND((F330&lt;=85),(AI330&gt;=15)),"O","X"))</f>
        <v/>
      </c>
      <c r="AU330" s="121">
        <f>IF(C330="","",IF(C330&gt;=$AU$1,"O","X"))</f>
        <v/>
      </c>
      <c r="AV330" s="121">
        <f>IF(AO330="","",IF(AND(AO330="O",AP330="O",AR330="O",AT330="O",AU330="O"),"후보","X"))</f>
        <v/>
      </c>
    </row>
    <row r="331" ht="12" customFormat="1" customHeight="1" s="37">
      <c r="A331" s="75" t="inlineStr">
        <is>
          <t>월명동 클래시움</t>
        </is>
      </c>
      <c r="B331" s="76" t="inlineStr">
        <is>
          <t>04.05.</t>
        </is>
      </c>
      <c r="C331" s="130" t="n">
        <v>210</v>
      </c>
      <c r="D331" s="131" t="n">
        <v>165</v>
      </c>
      <c r="E331" s="132" t="n">
        <v>50</v>
      </c>
      <c r="F331" s="131" t="n">
        <v>142.1</v>
      </c>
      <c r="G331" s="17" t="n">
        <v>43</v>
      </c>
      <c r="H331" s="133" t="n">
        <v>30</v>
      </c>
      <c r="I331" s="134" t="n"/>
      <c r="J331" s="134" t="n"/>
      <c r="K331" s="134" t="n"/>
      <c r="L331" s="134" t="n"/>
      <c r="M331" s="135">
        <f>I331-K331</f>
        <v/>
      </c>
      <c r="N331" s="4">
        <f>IF(ISERROR(K331/I331),"",K331/I331)</f>
        <v/>
      </c>
      <c r="O331" s="136">
        <f>I331/E331</f>
        <v/>
      </c>
      <c r="P331" s="136">
        <f>K331/E331</f>
        <v/>
      </c>
      <c r="Q331" s="121" t="n">
        <v>4</v>
      </c>
      <c r="R331" s="121" t="n">
        <v>2</v>
      </c>
      <c r="S331" s="121" t="inlineStr">
        <is>
          <t>계</t>
        </is>
      </c>
      <c r="T331" s="5" t="n">
        <v>164</v>
      </c>
      <c r="U331" s="9" t="n"/>
      <c r="W331" s="131">
        <f>D331</f>
        <v/>
      </c>
      <c r="X331" s="132">
        <f>E331</f>
        <v/>
      </c>
      <c r="Y331" s="137">
        <f>H331</f>
        <v/>
      </c>
      <c r="Z331" s="135">
        <f>I331</f>
        <v/>
      </c>
      <c r="AA331" s="135">
        <f>K331</f>
        <v/>
      </c>
      <c r="AB331" s="135">
        <f>M331</f>
        <v/>
      </c>
      <c r="AC331" s="4">
        <f>N331</f>
        <v/>
      </c>
      <c r="AD331" s="136">
        <f>O331</f>
        <v/>
      </c>
      <c r="AE331" s="121">
        <f>S331</f>
        <v/>
      </c>
      <c r="AF331" s="121">
        <f>Q331&amp;"/"&amp;R331</f>
        <v/>
      </c>
      <c r="AH331" s="20">
        <f>IF(A331="","",A331)</f>
        <v/>
      </c>
      <c r="AI331" s="132">
        <f>IF(E331="","",E331)</f>
        <v/>
      </c>
      <c r="AJ331" s="121">
        <f>IF(AI331="","",$AJ$2)</f>
        <v/>
      </c>
      <c r="AK331" s="121" t="inlineStr">
        <is>
          <t>A</t>
        </is>
      </c>
      <c r="AL331" s="121" t="inlineStr">
        <is>
          <t>A+</t>
        </is>
      </c>
      <c r="AM331" s="121" t="inlineStr">
        <is>
          <t>B+</t>
        </is>
      </c>
      <c r="AN331" s="121">
        <f>IF(AI331="","",$AN$2)</f>
        <v/>
      </c>
      <c r="AO331" s="121">
        <f>IF(N331="","",IF(N331&gt;=$AO$1/100,"O","X"))</f>
        <v/>
      </c>
      <c r="AP331" s="121">
        <f>IF(I331="","",IF(I331&lt;=$AP$1,"O","X"))</f>
        <v/>
      </c>
      <c r="AQ331" s="121">
        <f>IF(O331="","",IF(O331&lt;=$AQ$1,"O","X"))</f>
        <v/>
      </c>
      <c r="AR331" s="121">
        <f>IF(M331="","",IF(M331&lt;=$AR$1,"O","X"))</f>
        <v/>
      </c>
      <c r="AS331" s="121" t="inlineStr">
        <is>
          <t>X</t>
        </is>
      </c>
      <c r="AT331" s="121">
        <f>IF(OR(F331="",AI331=""),"",IF(AND((F331&lt;=85),(AI331&gt;=15)),"O","X"))</f>
        <v/>
      </c>
      <c r="AU331" s="121">
        <f>IF(C331="","",IF(C331&gt;=$AU$1,"O","X"))</f>
        <v/>
      </c>
      <c r="AV331" s="121">
        <f>IF(AO331="","",IF(AND(AO331="O",AP331="O",AR331="O",AT331="O",AU331="O"),"후보","X"))</f>
        <v/>
      </c>
    </row>
    <row r="332" ht="12" customFormat="1" customHeight="1" s="37">
      <c r="A332" s="75" t="inlineStr">
        <is>
          <t>월명동 클래시움</t>
        </is>
      </c>
      <c r="B332" s="76" t="inlineStr">
        <is>
          <t>04.05.</t>
        </is>
      </c>
      <c r="C332" s="130" t="n">
        <v>210</v>
      </c>
      <c r="D332" s="131" t="n">
        <v>189.9</v>
      </c>
      <c r="E332" s="132" t="n">
        <v>57</v>
      </c>
      <c r="F332" s="131" t="n">
        <v>166.5</v>
      </c>
      <c r="G332" s="17" t="n">
        <v>50</v>
      </c>
      <c r="H332" s="133" t="n">
        <v>45</v>
      </c>
      <c r="I332" s="134" t="n"/>
      <c r="J332" s="134" t="n"/>
      <c r="K332" s="134" t="n"/>
      <c r="L332" s="134" t="n"/>
      <c r="M332" s="135">
        <f>I332-K332</f>
        <v/>
      </c>
      <c r="N332" s="4">
        <f>IF(ISERROR(K332/I332),"",K332/I332)</f>
        <v/>
      </c>
      <c r="O332" s="136">
        <f>I332/E332</f>
        <v/>
      </c>
      <c r="P332" s="136">
        <f>K332/E332</f>
        <v/>
      </c>
      <c r="Q332" s="121" t="n">
        <v>4</v>
      </c>
      <c r="R332" s="121" t="n">
        <v>2</v>
      </c>
      <c r="S332" s="121" t="inlineStr">
        <is>
          <t>계</t>
        </is>
      </c>
      <c r="T332" s="5" t="n">
        <v>189</v>
      </c>
      <c r="U332" s="9" t="n"/>
      <c r="W332" s="131">
        <f>D332</f>
        <v/>
      </c>
      <c r="X332" s="132">
        <f>E332</f>
        <v/>
      </c>
      <c r="Y332" s="137">
        <f>H332</f>
        <v/>
      </c>
      <c r="Z332" s="135">
        <f>I332</f>
        <v/>
      </c>
      <c r="AA332" s="135">
        <f>K332</f>
        <v/>
      </c>
      <c r="AB332" s="135">
        <f>M332</f>
        <v/>
      </c>
      <c r="AC332" s="4">
        <f>N332</f>
        <v/>
      </c>
      <c r="AD332" s="136">
        <f>O332</f>
        <v/>
      </c>
      <c r="AE332" s="121">
        <f>S332</f>
        <v/>
      </c>
      <c r="AF332" s="121">
        <f>Q332&amp;"/"&amp;R332</f>
        <v/>
      </c>
      <c r="AH332" s="20">
        <f>IF(A332="","",A332)</f>
        <v/>
      </c>
      <c r="AI332" s="132">
        <f>IF(E332="","",E332)</f>
        <v/>
      </c>
      <c r="AJ332" s="121">
        <f>IF(AI332="","",$AJ$2)</f>
        <v/>
      </c>
      <c r="AK332" s="121" t="inlineStr">
        <is>
          <t>A</t>
        </is>
      </c>
      <c r="AL332" s="121" t="inlineStr">
        <is>
          <t>A+</t>
        </is>
      </c>
      <c r="AM332" s="121" t="inlineStr">
        <is>
          <t>B+</t>
        </is>
      </c>
      <c r="AN332" s="121">
        <f>IF(AI332="","",$AN$2)</f>
        <v/>
      </c>
      <c r="AO332" s="121">
        <f>IF(N332="","",IF(N332&gt;=$AO$1/100,"O","X"))</f>
        <v/>
      </c>
      <c r="AP332" s="121">
        <f>IF(I332="","",IF(I332&lt;=$AP$1,"O","X"))</f>
        <v/>
      </c>
      <c r="AQ332" s="121">
        <f>IF(O332="","",IF(O332&lt;=$AQ$1,"O","X"))</f>
        <v/>
      </c>
      <c r="AR332" s="121">
        <f>IF(M332="","",IF(M332&lt;=$AR$1,"O","X"))</f>
        <v/>
      </c>
      <c r="AS332" s="121" t="inlineStr">
        <is>
          <t>X</t>
        </is>
      </c>
      <c r="AT332" s="121">
        <f>IF(OR(F332="",AI332=""),"",IF(AND((F332&lt;=85),(AI332&gt;=15)),"O","X"))</f>
        <v/>
      </c>
      <c r="AU332" s="121">
        <f>IF(C332="","",IF(C332&gt;=$AU$1,"O","X"))</f>
        <v/>
      </c>
      <c r="AV332" s="121">
        <f>IF(AO332="","",IF(AND(AO332="O",AP332="O",AR332="O",AT332="O",AU332="O"),"후보","X"))</f>
        <v/>
      </c>
    </row>
    <row r="333" ht="12" customFormat="1" customHeight="1" s="37">
      <c r="A333" s="75" t="inlineStr">
        <is>
          <t>월명동 클래시움</t>
        </is>
      </c>
      <c r="B333" s="76" t="inlineStr">
        <is>
          <t>04.05.</t>
        </is>
      </c>
      <c r="C333" s="130" t="n">
        <v>210</v>
      </c>
      <c r="D333" s="131" t="n">
        <v>193.8</v>
      </c>
      <c r="E333" s="132" t="n">
        <v>59</v>
      </c>
      <c r="F333" s="131" t="n">
        <v>170.4</v>
      </c>
      <c r="G333" s="17" t="n">
        <v>52</v>
      </c>
      <c r="H333" s="133" t="n">
        <v>15</v>
      </c>
      <c r="I333" s="134" t="n"/>
      <c r="J333" s="134" t="n"/>
      <c r="K333" s="134" t="n"/>
      <c r="L333" s="134" t="n"/>
      <c r="M333" s="135">
        <f>I333-K333</f>
        <v/>
      </c>
      <c r="N333" s="4">
        <f>IF(ISERROR(K333/I333),"",K333/I333)</f>
        <v/>
      </c>
      <c r="O333" s="136">
        <f>I333/E333</f>
        <v/>
      </c>
      <c r="P333" s="136">
        <f>K333/E333</f>
        <v/>
      </c>
      <c r="Q333" s="121" t="n">
        <v>4</v>
      </c>
      <c r="R333" s="121" t="n">
        <v>2</v>
      </c>
      <c r="S333" s="121" t="inlineStr">
        <is>
          <t>계</t>
        </is>
      </c>
      <c r="T333" s="5" t="n">
        <v>193</v>
      </c>
      <c r="U333" s="9" t="n"/>
      <c r="W333" s="131">
        <f>D333</f>
        <v/>
      </c>
      <c r="X333" s="132">
        <f>E333</f>
        <v/>
      </c>
      <c r="Y333" s="137">
        <f>H333</f>
        <v/>
      </c>
      <c r="Z333" s="135">
        <f>I333</f>
        <v/>
      </c>
      <c r="AA333" s="135">
        <f>K333</f>
        <v/>
      </c>
      <c r="AB333" s="135">
        <f>M333</f>
        <v/>
      </c>
      <c r="AC333" s="4">
        <f>N333</f>
        <v/>
      </c>
      <c r="AD333" s="136">
        <f>O333</f>
        <v/>
      </c>
      <c r="AE333" s="121">
        <f>S333</f>
        <v/>
      </c>
      <c r="AF333" s="121">
        <f>Q333&amp;"/"&amp;R333</f>
        <v/>
      </c>
      <c r="AH333" s="20">
        <f>IF(A333="","",A333)</f>
        <v/>
      </c>
      <c r="AI333" s="132">
        <f>IF(E333="","",E333)</f>
        <v/>
      </c>
      <c r="AJ333" s="121">
        <f>IF(AI333="","",$AJ$2)</f>
        <v/>
      </c>
      <c r="AK333" s="121" t="inlineStr">
        <is>
          <t>A</t>
        </is>
      </c>
      <c r="AL333" s="121" t="inlineStr">
        <is>
          <t>A+</t>
        </is>
      </c>
      <c r="AM333" s="121" t="inlineStr">
        <is>
          <t>B+</t>
        </is>
      </c>
      <c r="AN333" s="121">
        <f>IF(AI333="","",$AN$2)</f>
        <v/>
      </c>
      <c r="AO333" s="121">
        <f>IF(N333="","",IF(N333&gt;=$AO$1/100,"O","X"))</f>
        <v/>
      </c>
      <c r="AP333" s="121">
        <f>IF(I333="","",IF(I333&lt;=$AP$1,"O","X"))</f>
        <v/>
      </c>
      <c r="AQ333" s="121">
        <f>IF(O333="","",IF(O333&lt;=$AQ$1,"O","X"))</f>
        <v/>
      </c>
      <c r="AR333" s="121">
        <f>IF(M333="","",IF(M333&lt;=$AR$1,"O","X"))</f>
        <v/>
      </c>
      <c r="AS333" s="121" t="inlineStr">
        <is>
          <t>X</t>
        </is>
      </c>
      <c r="AT333" s="121">
        <f>IF(OR(F333="",AI333=""),"",IF(AND((F333&lt;=85),(AI333&gt;=15)),"O","X"))</f>
        <v/>
      </c>
      <c r="AU333" s="121">
        <f>IF(C333="","",IF(C333&gt;=$AU$1,"O","X"))</f>
        <v/>
      </c>
      <c r="AV333" s="121">
        <f>IF(AO333="","",IF(AND(AO333="O",AP333="O",AR333="O",AT333="O",AU333="O"),"후보","X"))</f>
        <v/>
      </c>
    </row>
    <row r="334" ht="12" customFormat="1" customHeight="1" s="37">
      <c r="A334" s="75" t="inlineStr">
        <is>
          <t>장재동 현대세솔</t>
        </is>
      </c>
      <c r="B334" s="76" t="inlineStr">
        <is>
          <t>02.03.</t>
        </is>
      </c>
      <c r="C334" s="130" t="n">
        <v>547</v>
      </c>
      <c r="D334" s="131" t="n">
        <v>76.5</v>
      </c>
      <c r="E334" s="132" t="n">
        <v>23</v>
      </c>
      <c r="F334" s="131" t="n">
        <v>59.7</v>
      </c>
      <c r="G334" s="17" t="n">
        <v>18</v>
      </c>
      <c r="H334" s="133" t="n">
        <v>48</v>
      </c>
      <c r="I334" s="134" t="n"/>
      <c r="J334" s="134" t="n"/>
      <c r="K334" s="134" t="n"/>
      <c r="L334" s="134" t="n"/>
      <c r="M334" s="135">
        <f>I334-K334</f>
        <v/>
      </c>
      <c r="N334" s="4">
        <f>IF(ISERROR(K334/I334),"",K334/I334)</f>
        <v/>
      </c>
      <c r="O334" s="136">
        <f>I334/E334</f>
        <v/>
      </c>
      <c r="P334" s="136">
        <f>K334/E334</f>
        <v/>
      </c>
      <c r="Q334" s="121" t="n">
        <v>2</v>
      </c>
      <c r="R334" s="121" t="n">
        <v>1</v>
      </c>
      <c r="S334" s="121" t="inlineStr">
        <is>
          <t>계</t>
        </is>
      </c>
      <c r="T334" s="5" t="n">
        <v>76</v>
      </c>
      <c r="U334" s="9" t="n"/>
      <c r="W334" s="131">
        <f>D334</f>
        <v/>
      </c>
      <c r="X334" s="132">
        <f>E334</f>
        <v/>
      </c>
      <c r="Y334" s="137">
        <f>H334</f>
        <v/>
      </c>
      <c r="Z334" s="135">
        <f>I334</f>
        <v/>
      </c>
      <c r="AA334" s="135">
        <f>K334</f>
        <v/>
      </c>
      <c r="AB334" s="135">
        <f>M334</f>
        <v/>
      </c>
      <c r="AC334" s="4">
        <f>N334</f>
        <v/>
      </c>
      <c r="AD334" s="136">
        <f>O334</f>
        <v/>
      </c>
      <c r="AE334" s="121">
        <f>S334</f>
        <v/>
      </c>
      <c r="AF334" s="121">
        <f>Q334&amp;"/"&amp;R334</f>
        <v/>
      </c>
      <c r="AH334" s="20">
        <f>IF(A334="","",A334)</f>
        <v/>
      </c>
      <c r="AI334" s="132">
        <f>IF(E334="","",E334)</f>
        <v/>
      </c>
      <c r="AJ334" s="121">
        <f>IF(AI334="","",$AJ$2)</f>
        <v/>
      </c>
      <c r="AK334" s="121" t="inlineStr">
        <is>
          <t>A</t>
        </is>
      </c>
      <c r="AL334" s="121" t="inlineStr">
        <is>
          <t>A+</t>
        </is>
      </c>
      <c r="AM334" s="121" t="inlineStr">
        <is>
          <t>B+</t>
        </is>
      </c>
      <c r="AN334" s="121">
        <f>IF(AI334="","",$AN$2)</f>
        <v/>
      </c>
      <c r="AO334" s="121">
        <f>IF(N334="","",IF(N334&gt;=$AO$1/100,"O","X"))</f>
        <v/>
      </c>
      <c r="AP334" s="121">
        <f>IF(I334="","",IF(I334&lt;=$AP$1,"O","X"))</f>
        <v/>
      </c>
      <c r="AQ334" s="121">
        <f>IF(O334="","",IF(O334&lt;=$AQ$1,"O","X"))</f>
        <v/>
      </c>
      <c r="AR334" s="121">
        <f>IF(M334="","",IF(M334&lt;=$AR$1,"O","X"))</f>
        <v/>
      </c>
      <c r="AS334" s="121" t="inlineStr">
        <is>
          <t>X</t>
        </is>
      </c>
      <c r="AT334" s="121">
        <f>IF(OR(F334="",AI334=""),"",IF(AND((F334&lt;=85),(AI334&gt;=15)),"O","X"))</f>
        <v/>
      </c>
      <c r="AU334" s="121">
        <f>IF(C334="","",IF(C334&gt;=$AU$1,"O","X"))</f>
        <v/>
      </c>
      <c r="AV334" s="121">
        <f>IF(AO334="","",IF(AND(AO334="O",AP334="O",AR334="O",AT334="O",AU334="O"),"후보","X"))</f>
        <v/>
      </c>
    </row>
    <row r="335" ht="12" customFormat="1" customHeight="1" s="37">
      <c r="A335" s="75" t="inlineStr">
        <is>
          <t>장재동 현대세솔</t>
        </is>
      </c>
      <c r="B335" s="76" t="inlineStr">
        <is>
          <t>02.03.</t>
        </is>
      </c>
      <c r="C335" s="130" t="n">
        <v>547</v>
      </c>
      <c r="D335" s="131" t="n">
        <v>82.5</v>
      </c>
      <c r="E335" s="132" t="n">
        <v>25</v>
      </c>
      <c r="F335" s="131" t="n">
        <v>60</v>
      </c>
      <c r="G335" s="17" t="n">
        <v>18</v>
      </c>
      <c r="H335" s="133" t="n">
        <v>259</v>
      </c>
      <c r="I335" s="134" t="n">
        <v>9500</v>
      </c>
      <c r="J335" s="134" t="inlineStr">
        <is>
          <t>5</t>
        </is>
      </c>
      <c r="K335" s="134" t="n"/>
      <c r="L335" s="134" t="n"/>
      <c r="M335" s="135">
        <f>I335-K335</f>
        <v/>
      </c>
      <c r="N335" s="4">
        <f>IF(ISERROR(K335/I335),"",K335/I335)</f>
        <v/>
      </c>
      <c r="O335" s="136">
        <f>I335/E335</f>
        <v/>
      </c>
      <c r="P335" s="136">
        <f>K335/E335</f>
        <v/>
      </c>
      <c r="Q335" s="121" t="n">
        <v>2</v>
      </c>
      <c r="R335" s="121" t="n">
        <v>1</v>
      </c>
      <c r="S335" s="121" t="inlineStr">
        <is>
          <t>계</t>
        </is>
      </c>
      <c r="T335" s="5" t="n">
        <v>82</v>
      </c>
      <c r="U335" s="9" t="n"/>
      <c r="W335" s="131">
        <f>D335</f>
        <v/>
      </c>
      <c r="X335" s="132">
        <f>E335</f>
        <v/>
      </c>
      <c r="Y335" s="137">
        <f>H335</f>
        <v/>
      </c>
      <c r="Z335" s="135">
        <f>I335</f>
        <v/>
      </c>
      <c r="AA335" s="135">
        <f>K335</f>
        <v/>
      </c>
      <c r="AB335" s="135">
        <f>M335</f>
        <v/>
      </c>
      <c r="AC335" s="4">
        <f>N335</f>
        <v/>
      </c>
      <c r="AD335" s="136">
        <f>O335</f>
        <v/>
      </c>
      <c r="AE335" s="121">
        <f>S335</f>
        <v/>
      </c>
      <c r="AF335" s="121">
        <f>Q335&amp;"/"&amp;R335</f>
        <v/>
      </c>
      <c r="AH335" s="20">
        <f>IF(A335="","",A335)</f>
        <v/>
      </c>
      <c r="AI335" s="132">
        <f>IF(E335="","",E335)</f>
        <v/>
      </c>
      <c r="AJ335" s="121">
        <f>IF(AI335="","",$AJ$2)</f>
        <v/>
      </c>
      <c r="AK335" s="121" t="inlineStr">
        <is>
          <t>A</t>
        </is>
      </c>
      <c r="AL335" s="121" t="inlineStr">
        <is>
          <t>A+</t>
        </is>
      </c>
      <c r="AM335" s="121" t="inlineStr">
        <is>
          <t>B+</t>
        </is>
      </c>
      <c r="AN335" s="121">
        <f>IF(AI335="","",$AN$2)</f>
        <v/>
      </c>
      <c r="AO335" s="121">
        <f>IF(N335="","",IF(N335&gt;=$AO$1/100,"O","X"))</f>
        <v/>
      </c>
      <c r="AP335" s="121">
        <f>IF(I335="","",IF(I335&lt;=$AP$1,"O","X"))</f>
        <v/>
      </c>
      <c r="AQ335" s="121">
        <f>IF(O335="","",IF(O335&lt;=$AQ$1,"O","X"))</f>
        <v/>
      </c>
      <c r="AR335" s="121">
        <f>IF(M335="","",IF(M335&lt;=$AR$1,"O","X"))</f>
        <v/>
      </c>
      <c r="AS335" s="121" t="inlineStr">
        <is>
          <t>X</t>
        </is>
      </c>
      <c r="AT335" s="121">
        <f>IF(OR(F335="",AI335=""),"",IF(AND((F335&lt;=85),(AI335&gt;=15)),"O","X"))</f>
        <v/>
      </c>
      <c r="AU335" s="121">
        <f>IF(C335="","",IF(C335&gt;=$AU$1,"O","X"))</f>
        <v/>
      </c>
      <c r="AV335" s="121">
        <f>IF(AO335="","",IF(AND(AO335="O",AP335="O",AR335="O",AT335="O",AU335="O"),"후보","X"))</f>
        <v/>
      </c>
    </row>
    <row r="336" ht="12" customFormat="1" customHeight="1" s="37">
      <c r="A336" s="75" t="inlineStr">
        <is>
          <t>장재동 현대세솔</t>
        </is>
      </c>
      <c r="B336" s="76" t="inlineStr">
        <is>
          <t>02.03.</t>
        </is>
      </c>
      <c r="C336" s="130" t="n">
        <v>547</v>
      </c>
      <c r="D336" s="131" t="n">
        <v>103.1</v>
      </c>
      <c r="E336" s="132" t="n">
        <v>31</v>
      </c>
      <c r="F336" s="131" t="n">
        <v>85</v>
      </c>
      <c r="G336" s="17" t="n">
        <v>26</v>
      </c>
      <c r="H336" s="133" t="n">
        <v>210</v>
      </c>
      <c r="I336" s="134" t="n">
        <v>16500</v>
      </c>
      <c r="J336" s="134" t="inlineStr">
        <is>
          <t>13</t>
        </is>
      </c>
      <c r="K336" s="134" t="n">
        <v>15000</v>
      </c>
      <c r="L336" s="134" t="inlineStr">
        <is>
          <t>13</t>
        </is>
      </c>
      <c r="M336" s="135">
        <f>I336-K336</f>
        <v/>
      </c>
      <c r="N336" s="4">
        <f>IF(ISERROR(K336/I336),"",K336/I336)</f>
        <v/>
      </c>
      <c r="O336" s="136">
        <f>I336/E336</f>
        <v/>
      </c>
      <c r="P336" s="136">
        <f>K336/E336</f>
        <v/>
      </c>
      <c r="Q336" s="121" t="n">
        <v>3</v>
      </c>
      <c r="R336" s="121" t="n">
        <v>2</v>
      </c>
      <c r="S336" s="121" t="inlineStr">
        <is>
          <t>복</t>
        </is>
      </c>
      <c r="T336" s="5" t="inlineStr">
        <is>
          <t>103A</t>
        </is>
      </c>
      <c r="U336" s="9" t="n"/>
      <c r="W336" s="131">
        <f>D336</f>
        <v/>
      </c>
      <c r="X336" s="132">
        <f>E336</f>
        <v/>
      </c>
      <c r="Y336" s="137">
        <f>H336</f>
        <v/>
      </c>
      <c r="Z336" s="135">
        <f>I336</f>
        <v/>
      </c>
      <c r="AA336" s="135">
        <f>K336</f>
        <v/>
      </c>
      <c r="AB336" s="135">
        <f>M336</f>
        <v/>
      </c>
      <c r="AC336" s="4">
        <f>N336</f>
        <v/>
      </c>
      <c r="AD336" s="136">
        <f>O336</f>
        <v/>
      </c>
      <c r="AE336" s="121">
        <f>S336</f>
        <v/>
      </c>
      <c r="AF336" s="121">
        <f>Q336&amp;"/"&amp;R336</f>
        <v/>
      </c>
      <c r="AH336" s="20">
        <f>IF(A336="","",A336)</f>
        <v/>
      </c>
      <c r="AI336" s="132">
        <f>IF(E336="","",E336)</f>
        <v/>
      </c>
      <c r="AJ336" s="121">
        <f>IF(AI336="","",$AJ$2)</f>
        <v/>
      </c>
      <c r="AK336" s="121" t="inlineStr">
        <is>
          <t>A</t>
        </is>
      </c>
      <c r="AL336" s="121" t="inlineStr">
        <is>
          <t>A+</t>
        </is>
      </c>
      <c r="AM336" s="121" t="inlineStr">
        <is>
          <t>B+</t>
        </is>
      </c>
      <c r="AN336" s="121">
        <f>IF(AI336="","",$AN$2)</f>
        <v/>
      </c>
      <c r="AO336" s="121">
        <f>IF(N336="","",IF(N336&gt;=$AO$1/100,"O","X"))</f>
        <v/>
      </c>
      <c r="AP336" s="121">
        <f>IF(I336="","",IF(I336&lt;=$AP$1,"O","X"))</f>
        <v/>
      </c>
      <c r="AQ336" s="121">
        <f>IF(O336="","",IF(O336&lt;=$AQ$1,"O","X"))</f>
        <v/>
      </c>
      <c r="AR336" s="121">
        <f>IF(M336="","",IF(M336&lt;=$AR$1,"O","X"))</f>
        <v/>
      </c>
      <c r="AS336" s="121" t="inlineStr">
        <is>
          <t>X</t>
        </is>
      </c>
      <c r="AT336" s="121">
        <f>IF(OR(F336="",AI336=""),"",IF(AND((F336&lt;=85),(AI336&gt;=15)),"O","X"))</f>
        <v/>
      </c>
      <c r="AU336" s="121">
        <f>IF(C336="","",IF(C336&gt;=$AU$1,"O","X"))</f>
        <v/>
      </c>
      <c r="AV336" s="121">
        <f>IF(AO336="","",IF(AND(AO336="O",AP336="O",AR336="O",AT336="O",AU336="O"),"후보","X"))</f>
        <v/>
      </c>
    </row>
    <row r="337" ht="12" customFormat="1" customHeight="1" s="37">
      <c r="A337" s="75" t="inlineStr">
        <is>
          <t>장재동 현대세솔</t>
        </is>
      </c>
      <c r="B337" s="76" t="inlineStr">
        <is>
          <t>02.03.</t>
        </is>
      </c>
      <c r="C337" s="130" t="n">
        <v>547</v>
      </c>
      <c r="D337" s="131" t="n">
        <v>103.1</v>
      </c>
      <c r="E337" s="132" t="n">
        <v>31</v>
      </c>
      <c r="F337" s="131" t="n">
        <v>85</v>
      </c>
      <c r="G337" s="17" t="n">
        <v>26</v>
      </c>
      <c r="H337" s="133" t="n">
        <v>30</v>
      </c>
      <c r="I337" s="134" t="n">
        <v>16500</v>
      </c>
      <c r="J337" s="134" t="inlineStr">
        <is>
          <t>13</t>
        </is>
      </c>
      <c r="K337" s="134" t="n">
        <v>15000</v>
      </c>
      <c r="L337" s="134" t="inlineStr">
        <is>
          <t>13</t>
        </is>
      </c>
      <c r="M337" s="135">
        <f>I337-K337</f>
        <v/>
      </c>
      <c r="N337" s="4">
        <f>IF(ISERROR(K337/I337),"",K337/I337)</f>
        <v/>
      </c>
      <c r="O337" s="136">
        <f>I337/E337</f>
        <v/>
      </c>
      <c r="P337" s="136">
        <f>K337/E337</f>
        <v/>
      </c>
      <c r="Q337" s="121" t="n">
        <v>3</v>
      </c>
      <c r="R337" s="121" t="n">
        <v>2</v>
      </c>
      <c r="S337" s="121" t="inlineStr">
        <is>
          <t>계</t>
        </is>
      </c>
      <c r="T337" s="5" t="inlineStr">
        <is>
          <t>103B</t>
        </is>
      </c>
      <c r="U337" s="9" t="n"/>
      <c r="W337" s="131">
        <f>D337</f>
        <v/>
      </c>
      <c r="X337" s="132">
        <f>E337</f>
        <v/>
      </c>
      <c r="Y337" s="137">
        <f>H337</f>
        <v/>
      </c>
      <c r="Z337" s="135">
        <f>I337</f>
        <v/>
      </c>
      <c r="AA337" s="135">
        <f>K337</f>
        <v/>
      </c>
      <c r="AB337" s="135">
        <f>M337</f>
        <v/>
      </c>
      <c r="AC337" s="4">
        <f>N337</f>
        <v/>
      </c>
      <c r="AD337" s="136">
        <f>O337</f>
        <v/>
      </c>
      <c r="AE337" s="121">
        <f>S337</f>
        <v/>
      </c>
      <c r="AF337" s="121">
        <f>Q337&amp;"/"&amp;R337</f>
        <v/>
      </c>
      <c r="AH337" s="20">
        <f>IF(A337="","",A337)</f>
        <v/>
      </c>
      <c r="AI337" s="132">
        <f>IF(E337="","",E337)</f>
        <v/>
      </c>
      <c r="AJ337" s="121">
        <f>IF(AI337="","",$AJ$2)</f>
        <v/>
      </c>
      <c r="AK337" s="121" t="inlineStr">
        <is>
          <t>A</t>
        </is>
      </c>
      <c r="AL337" s="121" t="inlineStr">
        <is>
          <t>A+</t>
        </is>
      </c>
      <c r="AM337" s="121" t="inlineStr">
        <is>
          <t>B+</t>
        </is>
      </c>
      <c r="AN337" s="121">
        <f>IF(AI337="","",$AN$2)</f>
        <v/>
      </c>
      <c r="AO337" s="121">
        <f>IF(N337="","",IF(N337&gt;=$AO$1/100,"O","X"))</f>
        <v/>
      </c>
      <c r="AP337" s="121">
        <f>IF(I337="","",IF(I337&lt;=$AP$1,"O","X"))</f>
        <v/>
      </c>
      <c r="AQ337" s="121">
        <f>IF(O337="","",IF(O337&lt;=$AQ$1,"O","X"))</f>
        <v/>
      </c>
      <c r="AR337" s="121">
        <f>IF(M337="","",IF(M337&lt;=$AR$1,"O","X"))</f>
        <v/>
      </c>
      <c r="AS337" s="121" t="inlineStr">
        <is>
          <t>X</t>
        </is>
      </c>
      <c r="AT337" s="121">
        <f>IF(OR(F337="",AI337=""),"",IF(AND((F337&lt;=85),(AI337&gt;=15)),"O","X"))</f>
        <v/>
      </c>
      <c r="AU337" s="121">
        <f>IF(C337="","",IF(C337&gt;=$AU$1,"O","X"))</f>
        <v/>
      </c>
      <c r="AV337" s="121">
        <f>IF(AO337="","",IF(AND(AO337="O",AP337="O",AR337="O",AT337="O",AU337="O"),"후보","X"))</f>
        <v/>
      </c>
    </row>
    <row r="338" ht="12" customFormat="1" customHeight="1" s="37">
      <c r="A338" s="75" t="inlineStr">
        <is>
          <t>조촌동 군산디오션시티푸르지오</t>
        </is>
      </c>
      <c r="B338" s="76" t="inlineStr">
        <is>
          <t>18.03.</t>
        </is>
      </c>
      <c r="C338" s="130" t="n">
        <v>1400</v>
      </c>
      <c r="D338" s="131" t="n">
        <v>82</v>
      </c>
      <c r="E338" s="132" t="n">
        <v>25</v>
      </c>
      <c r="F338" s="131" t="n">
        <v>60</v>
      </c>
      <c r="G338" s="17" t="n">
        <v>18</v>
      </c>
      <c r="H338" s="133" t="n">
        <v>189</v>
      </c>
      <c r="I338" s="134" t="n">
        <v>32500</v>
      </c>
      <c r="J338" s="134" t="inlineStr">
        <is>
          <t>23</t>
        </is>
      </c>
      <c r="K338" s="134" t="n">
        <v>25000</v>
      </c>
      <c r="L338" s="134" t="inlineStr">
        <is>
          <t>23</t>
        </is>
      </c>
      <c r="M338" s="135">
        <f>I338-K338</f>
        <v/>
      </c>
      <c r="N338" s="4">
        <f>IF(ISERROR(K338/I338),"",K338/I338)</f>
        <v/>
      </c>
      <c r="O338" s="136">
        <f>I338/E338</f>
        <v/>
      </c>
      <c r="P338" s="136">
        <f>K338/E338</f>
        <v/>
      </c>
      <c r="Q338" s="121" t="n">
        <v>3</v>
      </c>
      <c r="R338" s="121" t="n">
        <v>2</v>
      </c>
      <c r="S338" s="121" t="inlineStr">
        <is>
          <t>계</t>
        </is>
      </c>
      <c r="T338" s="5" t="inlineStr">
        <is>
          <t>81A</t>
        </is>
      </c>
      <c r="U338" s="9" t="n"/>
      <c r="W338" s="131">
        <f>D338</f>
        <v/>
      </c>
      <c r="X338" s="132">
        <f>E338</f>
        <v/>
      </c>
      <c r="Y338" s="137">
        <f>H338</f>
        <v/>
      </c>
      <c r="Z338" s="135">
        <f>I338</f>
        <v/>
      </c>
      <c r="AA338" s="135">
        <f>K338</f>
        <v/>
      </c>
      <c r="AB338" s="135">
        <f>M338</f>
        <v/>
      </c>
      <c r="AC338" s="4">
        <f>N338</f>
        <v/>
      </c>
      <c r="AD338" s="136">
        <f>O338</f>
        <v/>
      </c>
      <c r="AE338" s="121">
        <f>S338</f>
        <v/>
      </c>
      <c r="AF338" s="121">
        <f>Q338&amp;"/"&amp;R338</f>
        <v/>
      </c>
      <c r="AH338" s="20">
        <f>IF(A338="","",A338)</f>
        <v/>
      </c>
      <c r="AI338" s="132">
        <f>IF(E338="","",E338)</f>
        <v/>
      </c>
      <c r="AJ338" s="121">
        <f>IF(AI338="","",$AJ$2)</f>
        <v/>
      </c>
      <c r="AK338" s="121" t="inlineStr">
        <is>
          <t>A</t>
        </is>
      </c>
      <c r="AL338" s="121" t="inlineStr">
        <is>
          <t>A+</t>
        </is>
      </c>
      <c r="AM338" s="121" t="inlineStr">
        <is>
          <t>B+</t>
        </is>
      </c>
      <c r="AN338" s="121">
        <f>IF(AI338="","",$AN$2)</f>
        <v/>
      </c>
      <c r="AO338" s="121">
        <f>IF(N338="","",IF(N338&gt;=$AO$1/100,"O","X"))</f>
        <v/>
      </c>
      <c r="AP338" s="121">
        <f>IF(I338="","",IF(I338&lt;=$AP$1,"O","X"))</f>
        <v/>
      </c>
      <c r="AQ338" s="121">
        <f>IF(O338="","",IF(O338&lt;=$AQ$1,"O","X"))</f>
        <v/>
      </c>
      <c r="AR338" s="121">
        <f>IF(M338="","",IF(M338&lt;=$AR$1,"O","X"))</f>
        <v/>
      </c>
      <c r="AS338" s="121" t="inlineStr">
        <is>
          <t>X</t>
        </is>
      </c>
      <c r="AT338" s="121">
        <f>IF(OR(F338="",AI338=""),"",IF(AND((F338&lt;=85),(AI338&gt;=15)),"O","X"))</f>
        <v/>
      </c>
      <c r="AU338" s="121">
        <f>IF(C338="","",IF(C338&gt;=$AU$1,"O","X"))</f>
        <v/>
      </c>
      <c r="AV338" s="121">
        <f>IF(AO338="","",IF(AND(AO338="O",AP338="O",AR338="O",AT338="O",AU338="O"),"후보","X"))</f>
        <v/>
      </c>
    </row>
    <row r="339" ht="12" customFormat="1" customHeight="1" s="37">
      <c r="A339" s="75" t="inlineStr">
        <is>
          <t>조촌동 군산디오션시티푸르지오</t>
        </is>
      </c>
      <c r="B339" s="76" t="inlineStr">
        <is>
          <t>18.03.</t>
        </is>
      </c>
      <c r="C339" s="130" t="n">
        <v>1400</v>
      </c>
      <c r="D339" s="131" t="n">
        <v>82.40000000000001</v>
      </c>
      <c r="E339" s="132" t="n">
        <v>25</v>
      </c>
      <c r="F339" s="131" t="n">
        <v>59.2</v>
      </c>
      <c r="G339" s="17" t="n">
        <v>18</v>
      </c>
      <c r="H339" s="133" t="n">
        <v>55</v>
      </c>
      <c r="I339" s="134" t="n">
        <v>32000</v>
      </c>
      <c r="J339" s="134" t="inlineStr">
        <is>
          <t>17</t>
        </is>
      </c>
      <c r="K339" s="134" t="n">
        <v>27000</v>
      </c>
      <c r="L339" s="134" t="inlineStr">
        <is>
          <t>26</t>
        </is>
      </c>
      <c r="M339" s="135">
        <f>I339-K339</f>
        <v/>
      </c>
      <c r="N339" s="4">
        <f>IF(ISERROR(K339/I339),"",K339/I339)</f>
        <v/>
      </c>
      <c r="O339" s="136">
        <f>I339/E339</f>
        <v/>
      </c>
      <c r="P339" s="136">
        <f>K339/E339</f>
        <v/>
      </c>
      <c r="Q339" s="121" t="n">
        <v>3</v>
      </c>
      <c r="R339" s="121" t="n">
        <v>2</v>
      </c>
      <c r="S339" s="121" t="inlineStr">
        <is>
          <t>계</t>
        </is>
      </c>
      <c r="T339" s="5" t="inlineStr">
        <is>
          <t>82B</t>
        </is>
      </c>
      <c r="U339" s="9" t="n"/>
      <c r="W339" s="131">
        <f>D339</f>
        <v/>
      </c>
      <c r="X339" s="132">
        <f>E339</f>
        <v/>
      </c>
      <c r="Y339" s="137">
        <f>H339</f>
        <v/>
      </c>
      <c r="Z339" s="135">
        <f>I339</f>
        <v/>
      </c>
      <c r="AA339" s="135">
        <f>K339</f>
        <v/>
      </c>
      <c r="AB339" s="135">
        <f>M339</f>
        <v/>
      </c>
      <c r="AC339" s="4">
        <f>N339</f>
        <v/>
      </c>
      <c r="AD339" s="136">
        <f>O339</f>
        <v/>
      </c>
      <c r="AE339" s="121">
        <f>S339</f>
        <v/>
      </c>
      <c r="AF339" s="121">
        <f>Q339&amp;"/"&amp;R339</f>
        <v/>
      </c>
      <c r="AH339" s="20">
        <f>IF(A339="","",A339)</f>
        <v/>
      </c>
      <c r="AI339" s="132">
        <f>IF(E339="","",E339)</f>
        <v/>
      </c>
      <c r="AJ339" s="121">
        <f>IF(AI339="","",$AJ$2)</f>
        <v/>
      </c>
      <c r="AK339" s="121" t="inlineStr">
        <is>
          <t>A</t>
        </is>
      </c>
      <c r="AL339" s="121" t="inlineStr">
        <is>
          <t>A+</t>
        </is>
      </c>
      <c r="AM339" s="121" t="inlineStr">
        <is>
          <t>B+</t>
        </is>
      </c>
      <c r="AN339" s="121">
        <f>IF(AI339="","",$AN$2)</f>
        <v/>
      </c>
      <c r="AO339" s="121">
        <f>IF(N339="","",IF(N339&gt;=$AO$1/100,"O","X"))</f>
        <v/>
      </c>
      <c r="AP339" s="121">
        <f>IF(I339="","",IF(I339&lt;=$AP$1,"O","X"))</f>
        <v/>
      </c>
      <c r="AQ339" s="121">
        <f>IF(O339="","",IF(O339&lt;=$AQ$1,"O","X"))</f>
        <v/>
      </c>
      <c r="AR339" s="121">
        <f>IF(M339="","",IF(M339&lt;=$AR$1,"O","X"))</f>
        <v/>
      </c>
      <c r="AS339" s="121" t="inlineStr">
        <is>
          <t>X</t>
        </is>
      </c>
      <c r="AT339" s="121">
        <f>IF(OR(F339="",AI339=""),"",IF(AND((F339&lt;=85),(AI339&gt;=15)),"O","X"))</f>
        <v/>
      </c>
      <c r="AU339" s="121">
        <f>IF(C339="","",IF(C339&gt;=$AU$1,"O","X"))</f>
        <v/>
      </c>
      <c r="AV339" s="121">
        <f>IF(AO339="","",IF(AND(AO339="O",AP339="O",AR339="O",AT339="O",AU339="O"),"후보","X"))</f>
        <v/>
      </c>
    </row>
    <row r="340" ht="12" customFormat="1" customHeight="1" s="37">
      <c r="A340" s="75" t="inlineStr">
        <is>
          <t>조촌동 군산디오션시티푸르지오</t>
        </is>
      </c>
      <c r="B340" s="76" t="inlineStr">
        <is>
          <t>18.03.</t>
        </is>
      </c>
      <c r="C340" s="130" t="n">
        <v>1400</v>
      </c>
      <c r="D340" s="131" t="n">
        <v>101.7</v>
      </c>
      <c r="E340" s="132" t="n">
        <v>31</v>
      </c>
      <c r="F340" s="131" t="n">
        <v>74.90000000000001</v>
      </c>
      <c r="G340" s="17" t="n">
        <v>23</v>
      </c>
      <c r="H340" s="133" t="n">
        <v>279</v>
      </c>
      <c r="I340" s="134" t="n">
        <v>39800</v>
      </c>
      <c r="J340" s="134" t="inlineStr">
        <is>
          <t>9</t>
        </is>
      </c>
      <c r="K340" s="134" t="n">
        <v>32500</v>
      </c>
      <c r="L340" s="134" t="inlineStr">
        <is>
          <t>22</t>
        </is>
      </c>
      <c r="M340" s="135">
        <f>I340-K340</f>
        <v/>
      </c>
      <c r="N340" s="4">
        <f>IF(ISERROR(K340/I340),"",K340/I340)</f>
        <v/>
      </c>
      <c r="O340" s="136">
        <f>I340/E340</f>
        <v/>
      </c>
      <c r="P340" s="136">
        <f>K340/E340</f>
        <v/>
      </c>
      <c r="Q340" s="121" t="n">
        <v>3</v>
      </c>
      <c r="R340" s="121" t="n">
        <v>2</v>
      </c>
      <c r="S340" s="121" t="inlineStr">
        <is>
          <t>계</t>
        </is>
      </c>
      <c r="T340" s="5" t="inlineStr">
        <is>
          <t>101A</t>
        </is>
      </c>
      <c r="U340" s="9" t="n"/>
      <c r="W340" s="131">
        <f>D340</f>
        <v/>
      </c>
      <c r="X340" s="132">
        <f>E340</f>
        <v/>
      </c>
      <c r="Y340" s="137">
        <f>H340</f>
        <v/>
      </c>
      <c r="Z340" s="135">
        <f>I340</f>
        <v/>
      </c>
      <c r="AA340" s="135">
        <f>K340</f>
        <v/>
      </c>
      <c r="AB340" s="135">
        <f>M340</f>
        <v/>
      </c>
      <c r="AC340" s="4">
        <f>N340</f>
        <v/>
      </c>
      <c r="AD340" s="136">
        <f>O340</f>
        <v/>
      </c>
      <c r="AE340" s="121">
        <f>S340</f>
        <v/>
      </c>
      <c r="AF340" s="121">
        <f>Q340&amp;"/"&amp;R340</f>
        <v/>
      </c>
      <c r="AH340" s="20">
        <f>IF(A340="","",A340)</f>
        <v/>
      </c>
      <c r="AI340" s="132">
        <f>IF(E340="","",E340)</f>
        <v/>
      </c>
      <c r="AJ340" s="121">
        <f>IF(AI340="","",$AJ$2)</f>
        <v/>
      </c>
      <c r="AK340" s="121" t="inlineStr">
        <is>
          <t>A</t>
        </is>
      </c>
      <c r="AL340" s="121" t="inlineStr">
        <is>
          <t>A+</t>
        </is>
      </c>
      <c r="AM340" s="121" t="inlineStr">
        <is>
          <t>B+</t>
        </is>
      </c>
      <c r="AN340" s="121">
        <f>IF(AI340="","",$AN$2)</f>
        <v/>
      </c>
      <c r="AO340" s="121">
        <f>IF(N340="","",IF(N340&gt;=$AO$1/100,"O","X"))</f>
        <v/>
      </c>
      <c r="AP340" s="121">
        <f>IF(I340="","",IF(I340&lt;=$AP$1,"O","X"))</f>
        <v/>
      </c>
      <c r="AQ340" s="121">
        <f>IF(O340="","",IF(O340&lt;=$AQ$1,"O","X"))</f>
        <v/>
      </c>
      <c r="AR340" s="121">
        <f>IF(M340="","",IF(M340&lt;=$AR$1,"O","X"))</f>
        <v/>
      </c>
      <c r="AS340" s="121" t="inlineStr">
        <is>
          <t>X</t>
        </is>
      </c>
      <c r="AT340" s="121">
        <f>IF(OR(F340="",AI340=""),"",IF(AND((F340&lt;=85),(AI340&gt;=15)),"O","X"))</f>
        <v/>
      </c>
      <c r="AU340" s="121">
        <f>IF(C340="","",IF(C340&gt;=$AU$1,"O","X"))</f>
        <v/>
      </c>
      <c r="AV340" s="121">
        <f>IF(AO340="","",IF(AND(AO340="O",AP340="O",AR340="O",AT340="O",AU340="O"),"후보","X"))</f>
        <v/>
      </c>
    </row>
    <row r="341" ht="12" customFormat="1" customHeight="1" s="37">
      <c r="A341" s="75" t="inlineStr">
        <is>
          <t>조촌동 군산디오션시티푸르지오</t>
        </is>
      </c>
      <c r="B341" s="76" t="inlineStr">
        <is>
          <t>18.03.</t>
        </is>
      </c>
      <c r="C341" s="130" t="n">
        <v>1400</v>
      </c>
      <c r="D341" s="131" t="n">
        <v>102.3</v>
      </c>
      <c r="E341" s="132" t="n">
        <v>31</v>
      </c>
      <c r="F341" s="131" t="n">
        <v>74.8</v>
      </c>
      <c r="G341" s="17" t="n">
        <v>23</v>
      </c>
      <c r="H341" s="133" t="n">
        <v>113</v>
      </c>
      <c r="I341" s="134" t="n">
        <v>40000</v>
      </c>
      <c r="J341" s="134" t="inlineStr">
        <is>
          <t>24</t>
        </is>
      </c>
      <c r="K341" s="134" t="n">
        <v>29000</v>
      </c>
      <c r="L341" s="134" t="inlineStr">
        <is>
          <t>19</t>
        </is>
      </c>
      <c r="M341" s="135">
        <f>I341-K341</f>
        <v/>
      </c>
      <c r="N341" s="4">
        <f>IF(ISERROR(K341/I341),"",K341/I341)</f>
        <v/>
      </c>
      <c r="O341" s="136">
        <f>I341/E341</f>
        <v/>
      </c>
      <c r="P341" s="136">
        <f>K341/E341</f>
        <v/>
      </c>
      <c r="Q341" s="121" t="n">
        <v>3</v>
      </c>
      <c r="R341" s="121" t="n">
        <v>2</v>
      </c>
      <c r="S341" s="121" t="inlineStr">
        <is>
          <t>계</t>
        </is>
      </c>
      <c r="T341" s="5" t="inlineStr">
        <is>
          <t>102C</t>
        </is>
      </c>
      <c r="U341" s="9" t="n"/>
      <c r="W341" s="131">
        <f>D341</f>
        <v/>
      </c>
      <c r="X341" s="132">
        <f>E341</f>
        <v/>
      </c>
      <c r="Y341" s="137">
        <f>H341</f>
        <v/>
      </c>
      <c r="Z341" s="135">
        <f>I341</f>
        <v/>
      </c>
      <c r="AA341" s="135">
        <f>K341</f>
        <v/>
      </c>
      <c r="AB341" s="135">
        <f>M341</f>
        <v/>
      </c>
      <c r="AC341" s="4">
        <f>N341</f>
        <v/>
      </c>
      <c r="AD341" s="136">
        <f>O341</f>
        <v/>
      </c>
      <c r="AE341" s="121">
        <f>S341</f>
        <v/>
      </c>
      <c r="AF341" s="121">
        <f>Q341&amp;"/"&amp;R341</f>
        <v/>
      </c>
      <c r="AH341" s="20">
        <f>IF(A341="","",A341)</f>
        <v/>
      </c>
      <c r="AI341" s="132">
        <f>IF(E341="","",E341)</f>
        <v/>
      </c>
      <c r="AJ341" s="121">
        <f>IF(AI341="","",$AJ$2)</f>
        <v/>
      </c>
      <c r="AK341" s="121" t="inlineStr">
        <is>
          <t>A</t>
        </is>
      </c>
      <c r="AL341" s="121" t="inlineStr">
        <is>
          <t>A+</t>
        </is>
      </c>
      <c r="AM341" s="121" t="inlineStr">
        <is>
          <t>B+</t>
        </is>
      </c>
      <c r="AN341" s="121">
        <f>IF(AI341="","",$AN$2)</f>
        <v/>
      </c>
      <c r="AO341" s="121">
        <f>IF(N341="","",IF(N341&gt;=$AO$1/100,"O","X"))</f>
        <v/>
      </c>
      <c r="AP341" s="121">
        <f>IF(I341="","",IF(I341&lt;=$AP$1,"O","X"))</f>
        <v/>
      </c>
      <c r="AQ341" s="121">
        <f>IF(O341="","",IF(O341&lt;=$AQ$1,"O","X"))</f>
        <v/>
      </c>
      <c r="AR341" s="121">
        <f>IF(M341="","",IF(M341&lt;=$AR$1,"O","X"))</f>
        <v/>
      </c>
      <c r="AS341" s="121" t="inlineStr">
        <is>
          <t>X</t>
        </is>
      </c>
      <c r="AT341" s="121">
        <f>IF(OR(F341="",AI341=""),"",IF(AND((F341&lt;=85),(AI341&gt;=15)),"O","X"))</f>
        <v/>
      </c>
      <c r="AU341" s="121">
        <f>IF(C341="","",IF(C341&gt;=$AU$1,"O","X"))</f>
        <v/>
      </c>
      <c r="AV341" s="121">
        <f>IF(AO341="","",IF(AND(AO341="O",AP341="O",AR341="O",AT341="O",AU341="O"),"후보","X"))</f>
        <v/>
      </c>
    </row>
    <row r="342" ht="12" customFormat="1" customHeight="1" s="37">
      <c r="A342" s="75" t="inlineStr">
        <is>
          <t>조촌동 군산디오션시티푸르지오</t>
        </is>
      </c>
      <c r="B342" s="76" t="inlineStr">
        <is>
          <t>18.03.</t>
        </is>
      </c>
      <c r="C342" s="130" t="n">
        <v>1400</v>
      </c>
      <c r="D342" s="131" t="n">
        <v>102.3</v>
      </c>
      <c r="E342" s="132" t="n">
        <v>31</v>
      </c>
      <c r="F342" s="131" t="n">
        <v>74.8</v>
      </c>
      <c r="G342" s="17" t="n">
        <v>23</v>
      </c>
      <c r="H342" s="133" t="n">
        <v>110</v>
      </c>
      <c r="I342" s="134" t="n">
        <v>40000</v>
      </c>
      <c r="J342" s="134" t="inlineStr">
        <is>
          <t>24</t>
        </is>
      </c>
      <c r="K342" s="134" t="n">
        <v>29000</v>
      </c>
      <c r="L342" s="134" t="inlineStr">
        <is>
          <t>19</t>
        </is>
      </c>
      <c r="M342" s="135">
        <f>I342-K342</f>
        <v/>
      </c>
      <c r="N342" s="4">
        <f>IF(ISERROR(K342/I342),"",K342/I342)</f>
        <v/>
      </c>
      <c r="O342" s="136">
        <f>I342/E342</f>
        <v/>
      </c>
      <c r="P342" s="136">
        <f>K342/E342</f>
        <v/>
      </c>
      <c r="Q342" s="121" t="n">
        <v>3</v>
      </c>
      <c r="R342" s="121" t="n">
        <v>2</v>
      </c>
      <c r="S342" s="121" t="inlineStr">
        <is>
          <t>계</t>
        </is>
      </c>
      <c r="T342" s="5" t="inlineStr">
        <is>
          <t>102B</t>
        </is>
      </c>
      <c r="U342" s="9" t="n"/>
      <c r="W342" s="131">
        <f>D342</f>
        <v/>
      </c>
      <c r="X342" s="132">
        <f>E342</f>
        <v/>
      </c>
      <c r="Y342" s="137">
        <f>H342</f>
        <v/>
      </c>
      <c r="Z342" s="135">
        <f>I342</f>
        <v/>
      </c>
      <c r="AA342" s="135">
        <f>K342</f>
        <v/>
      </c>
      <c r="AB342" s="135">
        <f>M342</f>
        <v/>
      </c>
      <c r="AC342" s="4">
        <f>N342</f>
        <v/>
      </c>
      <c r="AD342" s="136">
        <f>O342</f>
        <v/>
      </c>
      <c r="AE342" s="121">
        <f>S342</f>
        <v/>
      </c>
      <c r="AF342" s="121">
        <f>Q342&amp;"/"&amp;R342</f>
        <v/>
      </c>
      <c r="AH342" s="20">
        <f>IF(A342="","",A342)</f>
        <v/>
      </c>
      <c r="AI342" s="132">
        <f>IF(E342="","",E342)</f>
        <v/>
      </c>
      <c r="AJ342" s="121">
        <f>IF(AI342="","",$AJ$2)</f>
        <v/>
      </c>
      <c r="AK342" s="121" t="inlineStr">
        <is>
          <t>A</t>
        </is>
      </c>
      <c r="AL342" s="121" t="inlineStr">
        <is>
          <t>A+</t>
        </is>
      </c>
      <c r="AM342" s="121" t="inlineStr">
        <is>
          <t>B+</t>
        </is>
      </c>
      <c r="AN342" s="121">
        <f>IF(AI342="","",$AN$2)</f>
        <v/>
      </c>
      <c r="AO342" s="121">
        <f>IF(N342="","",IF(N342&gt;=$AO$1/100,"O","X"))</f>
        <v/>
      </c>
      <c r="AP342" s="121">
        <f>IF(I342="","",IF(I342&lt;=$AP$1,"O","X"))</f>
        <v/>
      </c>
      <c r="AQ342" s="121">
        <f>IF(O342="","",IF(O342&lt;=$AQ$1,"O","X"))</f>
        <v/>
      </c>
      <c r="AR342" s="121">
        <f>IF(M342="","",IF(M342&lt;=$AR$1,"O","X"))</f>
        <v/>
      </c>
      <c r="AS342" s="121" t="inlineStr">
        <is>
          <t>X</t>
        </is>
      </c>
      <c r="AT342" s="121">
        <f>IF(OR(F342="",AI342=""),"",IF(AND((F342&lt;=85),(AI342&gt;=15)),"O","X"))</f>
        <v/>
      </c>
      <c r="AU342" s="121">
        <f>IF(C342="","",IF(C342&gt;=$AU$1,"O","X"))</f>
        <v/>
      </c>
      <c r="AV342" s="121">
        <f>IF(AO342="","",IF(AND(AO342="O",AP342="O",AR342="O",AT342="O",AU342="O"),"후보","X"))</f>
        <v/>
      </c>
    </row>
    <row r="343" ht="12" customFormat="1" customHeight="1" s="37">
      <c r="A343" s="75" t="inlineStr">
        <is>
          <t>조촌동 군산디오션시티푸르지오</t>
        </is>
      </c>
      <c r="B343" s="76" t="inlineStr">
        <is>
          <t>18.03.</t>
        </is>
      </c>
      <c r="C343" s="130" t="n">
        <v>1400</v>
      </c>
      <c r="D343" s="131" t="n">
        <v>114.5</v>
      </c>
      <c r="E343" s="132" t="n">
        <v>35</v>
      </c>
      <c r="F343" s="131" t="n">
        <v>84.7</v>
      </c>
      <c r="G343" s="17" t="n">
        <v>26</v>
      </c>
      <c r="H343" s="133" t="n">
        <v>215</v>
      </c>
      <c r="I343" s="134" t="n">
        <v>49000</v>
      </c>
      <c r="J343" s="134" t="inlineStr">
        <is>
          <t>15</t>
        </is>
      </c>
      <c r="K343" s="134" t="n">
        <v>33000</v>
      </c>
      <c r="L343" s="134" t="inlineStr">
        <is>
          <t>23</t>
        </is>
      </c>
      <c r="M343" s="135">
        <f>I343-K343</f>
        <v/>
      </c>
      <c r="N343" s="4">
        <f>IF(ISERROR(K343/I343),"",K343/I343)</f>
        <v/>
      </c>
      <c r="O343" s="136">
        <f>I343/E343</f>
        <v/>
      </c>
      <c r="P343" s="136">
        <f>K343/E343</f>
        <v/>
      </c>
      <c r="Q343" s="121" t="n">
        <v>3</v>
      </c>
      <c r="R343" s="121" t="n">
        <v>2</v>
      </c>
      <c r="S343" s="121" t="inlineStr">
        <is>
          <t>계</t>
        </is>
      </c>
      <c r="T343" s="5" t="inlineStr">
        <is>
          <t>114A</t>
        </is>
      </c>
      <c r="U343" s="9" t="n"/>
      <c r="W343" s="131">
        <f>D343</f>
        <v/>
      </c>
      <c r="X343" s="132">
        <f>E343</f>
        <v/>
      </c>
      <c r="Y343" s="137">
        <f>H343</f>
        <v/>
      </c>
      <c r="Z343" s="135">
        <f>I343</f>
        <v/>
      </c>
      <c r="AA343" s="135">
        <f>K343</f>
        <v/>
      </c>
      <c r="AB343" s="135">
        <f>M343</f>
        <v/>
      </c>
      <c r="AC343" s="4">
        <f>N343</f>
        <v/>
      </c>
      <c r="AD343" s="136">
        <f>O343</f>
        <v/>
      </c>
      <c r="AE343" s="121">
        <f>S343</f>
        <v/>
      </c>
      <c r="AF343" s="121">
        <f>Q343&amp;"/"&amp;R343</f>
        <v/>
      </c>
      <c r="AH343" s="20">
        <f>IF(A343="","",A343)</f>
        <v/>
      </c>
      <c r="AI343" s="132">
        <f>IF(E343="","",E343)</f>
        <v/>
      </c>
      <c r="AJ343" s="121">
        <f>IF(AI343="","",$AJ$2)</f>
        <v/>
      </c>
      <c r="AK343" s="121" t="inlineStr">
        <is>
          <t>A</t>
        </is>
      </c>
      <c r="AL343" s="121" t="inlineStr">
        <is>
          <t>A+</t>
        </is>
      </c>
      <c r="AM343" s="121" t="inlineStr">
        <is>
          <t>B+</t>
        </is>
      </c>
      <c r="AN343" s="121">
        <f>IF(AI343="","",$AN$2)</f>
        <v/>
      </c>
      <c r="AO343" s="121">
        <f>IF(N343="","",IF(N343&gt;=$AO$1/100,"O","X"))</f>
        <v/>
      </c>
      <c r="AP343" s="121">
        <f>IF(I343="","",IF(I343&lt;=$AP$1,"O","X"))</f>
        <v/>
      </c>
      <c r="AQ343" s="121">
        <f>IF(O343="","",IF(O343&lt;=$AQ$1,"O","X"))</f>
        <v/>
      </c>
      <c r="AR343" s="121">
        <f>IF(M343="","",IF(M343&lt;=$AR$1,"O","X"))</f>
        <v/>
      </c>
      <c r="AS343" s="121" t="inlineStr">
        <is>
          <t>X</t>
        </is>
      </c>
      <c r="AT343" s="121">
        <f>IF(OR(F343="",AI343=""),"",IF(AND((F343&lt;=85),(AI343&gt;=15)),"O","X"))</f>
        <v/>
      </c>
      <c r="AU343" s="121">
        <f>IF(C343="","",IF(C343&gt;=$AU$1,"O","X"))</f>
        <v/>
      </c>
      <c r="AV343" s="121">
        <f>IF(AO343="","",IF(AND(AO343="O",AP343="O",AR343="O",AT343="O",AU343="O"),"후보","X"))</f>
        <v/>
      </c>
    </row>
    <row r="344" ht="12" customFormat="1" customHeight="1" s="37">
      <c r="A344" s="75" t="inlineStr">
        <is>
          <t>조촌동 군산디오션시티푸르지오</t>
        </is>
      </c>
      <c r="B344" s="76" t="inlineStr">
        <is>
          <t>18.03.</t>
        </is>
      </c>
      <c r="C344" s="130" t="n">
        <v>1400</v>
      </c>
      <c r="D344" s="131" t="n">
        <v>114.3</v>
      </c>
      <c r="E344" s="132" t="n">
        <v>35</v>
      </c>
      <c r="F344" s="131" t="n">
        <v>84.59999999999999</v>
      </c>
      <c r="G344" s="17" t="n">
        <v>26</v>
      </c>
      <c r="H344" s="133" t="n">
        <v>128</v>
      </c>
      <c r="I344" s="134" t="n">
        <v>49000</v>
      </c>
      <c r="J344" s="134" t="inlineStr">
        <is>
          <t>6</t>
        </is>
      </c>
      <c r="K344" s="134" t="n">
        <v>31000</v>
      </c>
      <c r="L344" s="134" t="inlineStr">
        <is>
          <t>8</t>
        </is>
      </c>
      <c r="M344" s="135">
        <f>I344-K344</f>
        <v/>
      </c>
      <c r="N344" s="4">
        <f>IF(ISERROR(K344/I344),"",K344/I344)</f>
        <v/>
      </c>
      <c r="O344" s="136">
        <f>I344/E344</f>
        <v/>
      </c>
      <c r="P344" s="136">
        <f>K344/E344</f>
        <v/>
      </c>
      <c r="Q344" s="121" t="n">
        <v>3</v>
      </c>
      <c r="R344" s="121" t="n">
        <v>2</v>
      </c>
      <c r="S344" s="121" t="inlineStr">
        <is>
          <t>계</t>
        </is>
      </c>
      <c r="T344" s="5" t="n">
        <v>114</v>
      </c>
      <c r="U344" s="9" t="n"/>
      <c r="W344" s="131">
        <f>D344</f>
        <v/>
      </c>
      <c r="X344" s="132">
        <f>E344</f>
        <v/>
      </c>
      <c r="Y344" s="137">
        <f>H344</f>
        <v/>
      </c>
      <c r="Z344" s="135">
        <f>I344</f>
        <v/>
      </c>
      <c r="AA344" s="135">
        <f>K344</f>
        <v/>
      </c>
      <c r="AB344" s="135">
        <f>M344</f>
        <v/>
      </c>
      <c r="AC344" s="4">
        <f>N344</f>
        <v/>
      </c>
      <c r="AD344" s="136">
        <f>O344</f>
        <v/>
      </c>
      <c r="AE344" s="121">
        <f>S344</f>
        <v/>
      </c>
      <c r="AF344" s="121">
        <f>Q344&amp;"/"&amp;R344</f>
        <v/>
      </c>
      <c r="AH344" s="20">
        <f>IF(A344="","",A344)</f>
        <v/>
      </c>
      <c r="AI344" s="132">
        <f>IF(E344="","",E344)</f>
        <v/>
      </c>
      <c r="AJ344" s="121">
        <f>IF(AI344="","",$AJ$2)</f>
        <v/>
      </c>
      <c r="AK344" s="121" t="inlineStr">
        <is>
          <t>A</t>
        </is>
      </c>
      <c r="AL344" s="121" t="inlineStr">
        <is>
          <t>A+</t>
        </is>
      </c>
      <c r="AM344" s="121" t="inlineStr">
        <is>
          <t>B+</t>
        </is>
      </c>
      <c r="AN344" s="121">
        <f>IF(AI344="","",$AN$2)</f>
        <v/>
      </c>
      <c r="AO344" s="121">
        <f>IF(N344="","",IF(N344&gt;=$AO$1/100,"O","X"))</f>
        <v/>
      </c>
      <c r="AP344" s="121">
        <f>IF(I344="","",IF(I344&lt;=$AP$1,"O","X"))</f>
        <v/>
      </c>
      <c r="AQ344" s="121">
        <f>IF(O344="","",IF(O344&lt;=$AQ$1,"O","X"))</f>
        <v/>
      </c>
      <c r="AR344" s="121">
        <f>IF(M344="","",IF(M344&lt;=$AR$1,"O","X"))</f>
        <v/>
      </c>
      <c r="AS344" s="121" t="inlineStr">
        <is>
          <t>X</t>
        </is>
      </c>
      <c r="AT344" s="121">
        <f>IF(OR(F344="",AI344=""),"",IF(AND((F344&lt;=85),(AI344&gt;=15)),"O","X"))</f>
        <v/>
      </c>
      <c r="AU344" s="121">
        <f>IF(C344="","",IF(C344&gt;=$AU$1,"O","X"))</f>
        <v/>
      </c>
      <c r="AV344" s="121">
        <f>IF(AO344="","",IF(AND(AO344="O",AP344="O",AR344="O",AT344="O",AU344="O"),"후보","X"))</f>
        <v/>
      </c>
    </row>
    <row r="345" ht="12" customFormat="1" customHeight="1" s="37">
      <c r="A345" s="75" t="inlineStr">
        <is>
          <t>조촌동 군산디오션시티푸르지오</t>
        </is>
      </c>
      <c r="B345" s="76" t="inlineStr">
        <is>
          <t>18.03.</t>
        </is>
      </c>
      <c r="C345" s="130" t="n">
        <v>1400</v>
      </c>
      <c r="D345" s="131" t="n">
        <v>115.4</v>
      </c>
      <c r="E345" s="132" t="n">
        <v>35</v>
      </c>
      <c r="F345" s="131" t="n">
        <v>84.59999999999999</v>
      </c>
      <c r="G345" s="17" t="n">
        <v>26</v>
      </c>
      <c r="H345" s="133" t="n">
        <v>135</v>
      </c>
      <c r="I345" s="134" t="n"/>
      <c r="J345" s="134" t="n"/>
      <c r="K345" s="134" t="n"/>
      <c r="L345" s="134" t="n"/>
      <c r="M345" s="135">
        <f>I345-K345</f>
        <v/>
      </c>
      <c r="N345" s="4">
        <f>IF(ISERROR(K345/I345),"",K345/I345)</f>
        <v/>
      </c>
      <c r="O345" s="136">
        <f>I345/E345</f>
        <v/>
      </c>
      <c r="P345" s="136">
        <f>K345/E345</f>
        <v/>
      </c>
      <c r="Q345" s="121" t="n">
        <v>3</v>
      </c>
      <c r="R345" s="121" t="n">
        <v>2</v>
      </c>
      <c r="S345" s="121" t="inlineStr">
        <is>
          <t>계</t>
        </is>
      </c>
      <c r="T345" s="5" t="inlineStr">
        <is>
          <t>115B</t>
        </is>
      </c>
      <c r="U345" s="9" t="n"/>
      <c r="W345" s="131">
        <f>D345</f>
        <v/>
      </c>
      <c r="X345" s="132">
        <f>E345</f>
        <v/>
      </c>
      <c r="Y345" s="137">
        <f>H345</f>
        <v/>
      </c>
      <c r="Z345" s="135">
        <f>I345</f>
        <v/>
      </c>
      <c r="AA345" s="135">
        <f>K345</f>
        <v/>
      </c>
      <c r="AB345" s="135">
        <f>M345</f>
        <v/>
      </c>
      <c r="AC345" s="4">
        <f>N345</f>
        <v/>
      </c>
      <c r="AD345" s="136">
        <f>O345</f>
        <v/>
      </c>
      <c r="AE345" s="121">
        <f>S345</f>
        <v/>
      </c>
      <c r="AF345" s="121">
        <f>Q345&amp;"/"&amp;R345</f>
        <v/>
      </c>
      <c r="AH345" s="20">
        <f>IF(A345="","",A345)</f>
        <v/>
      </c>
      <c r="AI345" s="132">
        <f>IF(E345="","",E345)</f>
        <v/>
      </c>
      <c r="AJ345" s="121">
        <f>IF(AI345="","",$AJ$2)</f>
        <v/>
      </c>
      <c r="AK345" s="121" t="inlineStr">
        <is>
          <t>A</t>
        </is>
      </c>
      <c r="AL345" s="121" t="inlineStr">
        <is>
          <t>A+</t>
        </is>
      </c>
      <c r="AM345" s="121" t="inlineStr">
        <is>
          <t>B+</t>
        </is>
      </c>
      <c r="AN345" s="121">
        <f>IF(AI345="","",$AN$2)</f>
        <v/>
      </c>
      <c r="AO345" s="121">
        <f>IF(N345="","",IF(N345&gt;=$AO$1/100,"O","X"))</f>
        <v/>
      </c>
      <c r="AP345" s="121">
        <f>IF(I345="","",IF(I345&lt;=$AP$1,"O","X"))</f>
        <v/>
      </c>
      <c r="AQ345" s="121">
        <f>IF(O345="","",IF(O345&lt;=$AQ$1,"O","X"))</f>
        <v/>
      </c>
      <c r="AR345" s="121">
        <f>IF(M345="","",IF(M345&lt;=$AR$1,"O","X"))</f>
        <v/>
      </c>
      <c r="AS345" s="121" t="inlineStr">
        <is>
          <t>X</t>
        </is>
      </c>
      <c r="AT345" s="121">
        <f>IF(OR(F345="",AI345=""),"",IF(AND((F345&lt;=85),(AI345&gt;=15)),"O","X"))</f>
        <v/>
      </c>
      <c r="AU345" s="121">
        <f>IF(C345="","",IF(C345&gt;=$AU$1,"O","X"))</f>
        <v/>
      </c>
      <c r="AV345" s="121">
        <f>IF(AO345="","",IF(AND(AO345="O",AP345="O",AR345="O",AT345="O",AU345="O"),"후보","X"))</f>
        <v/>
      </c>
    </row>
    <row r="346" ht="12" customFormat="1" customHeight="1" s="37">
      <c r="A346" s="75" t="inlineStr">
        <is>
          <t>조촌동 군산디오션시티푸르지오</t>
        </is>
      </c>
      <c r="B346" s="76" t="inlineStr">
        <is>
          <t>18.03.</t>
        </is>
      </c>
      <c r="C346" s="130" t="n">
        <v>1400</v>
      </c>
      <c r="D346" s="131" t="n">
        <v>115.6</v>
      </c>
      <c r="E346" s="132" t="n">
        <v>35</v>
      </c>
      <c r="F346" s="131" t="n">
        <v>84</v>
      </c>
      <c r="G346" s="17" t="n">
        <v>25</v>
      </c>
      <c r="H346" s="133" t="n">
        <v>127</v>
      </c>
      <c r="I346" s="134" t="n">
        <v>48000</v>
      </c>
      <c r="J346" s="134" t="inlineStr">
        <is>
          <t>12</t>
        </is>
      </c>
      <c r="K346" s="134" t="n">
        <v>31000</v>
      </c>
      <c r="L346" s="134" t="inlineStr">
        <is>
          <t>8</t>
        </is>
      </c>
      <c r="M346" s="135">
        <f>I346-K346</f>
        <v/>
      </c>
      <c r="N346" s="4">
        <f>IF(ISERROR(K346/I346),"",K346/I346)</f>
        <v/>
      </c>
      <c r="O346" s="136">
        <f>I346/E346</f>
        <v/>
      </c>
      <c r="P346" s="136">
        <f>K346/E346</f>
        <v/>
      </c>
      <c r="Q346" s="121" t="n">
        <v>3</v>
      </c>
      <c r="R346" s="121" t="n">
        <v>2</v>
      </c>
      <c r="S346" s="121" t="inlineStr">
        <is>
          <t>계</t>
        </is>
      </c>
      <c r="T346" s="5" t="inlineStr">
        <is>
          <t>115C</t>
        </is>
      </c>
      <c r="U346" s="9" t="n"/>
      <c r="W346" s="131">
        <f>D346</f>
        <v/>
      </c>
      <c r="X346" s="132">
        <f>E346</f>
        <v/>
      </c>
      <c r="Y346" s="137">
        <f>H346</f>
        <v/>
      </c>
      <c r="Z346" s="135">
        <f>I346</f>
        <v/>
      </c>
      <c r="AA346" s="135">
        <f>K346</f>
        <v/>
      </c>
      <c r="AB346" s="135">
        <f>M346</f>
        <v/>
      </c>
      <c r="AC346" s="4">
        <f>N346</f>
        <v/>
      </c>
      <c r="AD346" s="136">
        <f>O346</f>
        <v/>
      </c>
      <c r="AE346" s="121">
        <f>S346</f>
        <v/>
      </c>
      <c r="AF346" s="121">
        <f>Q346&amp;"/"&amp;R346</f>
        <v/>
      </c>
      <c r="AH346" s="20">
        <f>IF(A346="","",A346)</f>
        <v/>
      </c>
      <c r="AI346" s="132">
        <f>IF(E346="","",E346)</f>
        <v/>
      </c>
      <c r="AJ346" s="121">
        <f>IF(AI346="","",$AJ$2)</f>
        <v/>
      </c>
      <c r="AK346" s="121" t="inlineStr">
        <is>
          <t>A</t>
        </is>
      </c>
      <c r="AL346" s="121" t="inlineStr">
        <is>
          <t>A+</t>
        </is>
      </c>
      <c r="AM346" s="121" t="inlineStr">
        <is>
          <t>B+</t>
        </is>
      </c>
      <c r="AN346" s="121">
        <f>IF(AI346="","",$AN$2)</f>
        <v/>
      </c>
      <c r="AO346" s="121">
        <f>IF(N346="","",IF(N346&gt;=$AO$1/100,"O","X"))</f>
        <v/>
      </c>
      <c r="AP346" s="121">
        <f>IF(I346="","",IF(I346&lt;=$AP$1,"O","X"))</f>
        <v/>
      </c>
      <c r="AQ346" s="121">
        <f>IF(O346="","",IF(O346&lt;=$AQ$1,"O","X"))</f>
        <v/>
      </c>
      <c r="AR346" s="121">
        <f>IF(M346="","",IF(M346&lt;=$AR$1,"O","X"))</f>
        <v/>
      </c>
      <c r="AS346" s="121" t="inlineStr">
        <is>
          <t>X</t>
        </is>
      </c>
      <c r="AT346" s="121">
        <f>IF(OR(F346="",AI346=""),"",IF(AND((F346&lt;=85),(AI346&gt;=15)),"O","X"))</f>
        <v/>
      </c>
      <c r="AU346" s="121">
        <f>IF(C346="","",IF(C346&gt;=$AU$1,"O","X"))</f>
        <v/>
      </c>
      <c r="AV346" s="121">
        <f>IF(AO346="","",IF(AND(AO346="O",AP346="O",AR346="O",AT346="O",AU346="O"),"후보","X"))</f>
        <v/>
      </c>
    </row>
    <row r="347" ht="12" customFormat="1" customHeight="1" s="37">
      <c r="A347" s="75" t="inlineStr">
        <is>
          <t>조촌동 군산디오션시티푸르지오</t>
        </is>
      </c>
      <c r="B347" s="76" t="inlineStr">
        <is>
          <t>18.03.</t>
        </is>
      </c>
      <c r="C347" s="130" t="n">
        <v>1400</v>
      </c>
      <c r="D347" s="131" t="n">
        <v>134.7</v>
      </c>
      <c r="E347" s="132" t="n">
        <v>41</v>
      </c>
      <c r="F347" s="131" t="n">
        <v>99.5</v>
      </c>
      <c r="G347" s="17" t="n">
        <v>30</v>
      </c>
      <c r="H347" s="133" t="n">
        <v>49</v>
      </c>
      <c r="I347" s="134" t="n">
        <v>69000</v>
      </c>
      <c r="J347" s="134" t="inlineStr">
        <is>
          <t>9</t>
        </is>
      </c>
      <c r="K347" s="134" t="n">
        <v>34000</v>
      </c>
      <c r="L347" s="134" t="inlineStr">
        <is>
          <t>6</t>
        </is>
      </c>
      <c r="M347" s="135">
        <f>I347-K347</f>
        <v/>
      </c>
      <c r="N347" s="4">
        <f>IF(ISERROR(K347/I347),"",K347/I347)</f>
        <v/>
      </c>
      <c r="O347" s="136">
        <f>I347/E347</f>
        <v/>
      </c>
      <c r="P347" s="136">
        <f>K347/E347</f>
        <v/>
      </c>
      <c r="Q347" s="121" t="n">
        <v>4</v>
      </c>
      <c r="R347" s="121" t="n">
        <v>2</v>
      </c>
      <c r="S347" s="121" t="inlineStr">
        <is>
          <t>계</t>
        </is>
      </c>
      <c r="T347" s="5" t="n">
        <v>134</v>
      </c>
      <c r="U347" s="9" t="n"/>
      <c r="W347" s="131">
        <f>D347</f>
        <v/>
      </c>
      <c r="X347" s="132">
        <f>E347</f>
        <v/>
      </c>
      <c r="Y347" s="137">
        <f>H347</f>
        <v/>
      </c>
      <c r="Z347" s="135">
        <f>I347</f>
        <v/>
      </c>
      <c r="AA347" s="135">
        <f>K347</f>
        <v/>
      </c>
      <c r="AB347" s="135">
        <f>M347</f>
        <v/>
      </c>
      <c r="AC347" s="4">
        <f>N347</f>
        <v/>
      </c>
      <c r="AD347" s="136">
        <f>O347</f>
        <v/>
      </c>
      <c r="AE347" s="121">
        <f>S347</f>
        <v/>
      </c>
      <c r="AF347" s="121">
        <f>Q347&amp;"/"&amp;R347</f>
        <v/>
      </c>
      <c r="AH347" s="20">
        <f>IF(A347="","",A347)</f>
        <v/>
      </c>
      <c r="AI347" s="132">
        <f>IF(E347="","",E347)</f>
        <v/>
      </c>
      <c r="AJ347" s="121">
        <f>IF(AI347="","",$AJ$2)</f>
        <v/>
      </c>
      <c r="AK347" s="121" t="inlineStr">
        <is>
          <t>A</t>
        </is>
      </c>
      <c r="AL347" s="121" t="inlineStr">
        <is>
          <t>A+</t>
        </is>
      </c>
      <c r="AM347" s="121" t="inlineStr">
        <is>
          <t>B+</t>
        </is>
      </c>
      <c r="AN347" s="121">
        <f>IF(AI347="","",$AN$2)</f>
        <v/>
      </c>
      <c r="AO347" s="121">
        <f>IF(N347="","",IF(N347&gt;=$AO$1/100,"O","X"))</f>
        <v/>
      </c>
      <c r="AP347" s="121">
        <f>IF(I347="","",IF(I347&lt;=$AP$1,"O","X"))</f>
        <v/>
      </c>
      <c r="AQ347" s="121">
        <f>IF(O347="","",IF(O347&lt;=$AQ$1,"O","X"))</f>
        <v/>
      </c>
      <c r="AR347" s="121">
        <f>IF(M347="","",IF(M347&lt;=$AR$1,"O","X"))</f>
        <v/>
      </c>
      <c r="AS347" s="121" t="inlineStr">
        <is>
          <t>X</t>
        </is>
      </c>
      <c r="AT347" s="121">
        <f>IF(OR(F347="",AI347=""),"",IF(AND((F347&lt;=85),(AI347&gt;=15)),"O","X"))</f>
        <v/>
      </c>
      <c r="AU347" s="121">
        <f>IF(C347="","",IF(C347&gt;=$AU$1,"O","X"))</f>
        <v/>
      </c>
      <c r="AV347" s="121">
        <f>IF(AO347="","",IF(AND(AO347="O",AP347="O",AR347="O",AT347="O",AU347="O"),"후보","X"))</f>
        <v/>
      </c>
    </row>
    <row r="348" ht="12" customFormat="1" customHeight="1" s="37">
      <c r="A348" s="75" t="inlineStr">
        <is>
          <t>조촌동 타워써미트</t>
        </is>
      </c>
      <c r="B348" s="76" t="inlineStr">
        <is>
          <t>12.06.</t>
        </is>
      </c>
      <c r="C348" s="130" t="n">
        <v>770</v>
      </c>
      <c r="D348" s="131" t="n">
        <v>79.09999999999999</v>
      </c>
      <c r="E348" s="132" t="n">
        <v>24</v>
      </c>
      <c r="F348" s="131" t="n">
        <v>59.9</v>
      </c>
      <c r="G348" s="17" t="n">
        <v>18</v>
      </c>
      <c r="H348" s="133" t="n">
        <v>129</v>
      </c>
      <c r="I348" s="134" t="n">
        <v>20000</v>
      </c>
      <c r="J348" s="134" t="inlineStr">
        <is>
          <t>15</t>
        </is>
      </c>
      <c r="K348" s="134" t="n">
        <v>19000</v>
      </c>
      <c r="L348" s="134" t="inlineStr">
        <is>
          <t>15</t>
        </is>
      </c>
      <c r="M348" s="135">
        <f>I348-K348</f>
        <v/>
      </c>
      <c r="N348" s="4">
        <f>IF(ISERROR(K348/I348),"",K348/I348)</f>
        <v/>
      </c>
      <c r="O348" s="136">
        <f>I348/E348</f>
        <v/>
      </c>
      <c r="P348" s="136">
        <f>K348/E348</f>
        <v/>
      </c>
      <c r="Q348" s="121" t="n">
        <v>3</v>
      </c>
      <c r="R348" s="121" t="n">
        <v>1</v>
      </c>
      <c r="S348" s="121" t="inlineStr">
        <is>
          <t>계</t>
        </is>
      </c>
      <c r="T348" s="5" t="n">
        <v>79</v>
      </c>
      <c r="U348" s="9" t="n"/>
      <c r="W348" s="131">
        <f>D348</f>
        <v/>
      </c>
      <c r="X348" s="132">
        <f>E348</f>
        <v/>
      </c>
      <c r="Y348" s="137">
        <f>H348</f>
        <v/>
      </c>
      <c r="Z348" s="135">
        <f>I348</f>
        <v/>
      </c>
      <c r="AA348" s="135">
        <f>K348</f>
        <v/>
      </c>
      <c r="AB348" s="135">
        <f>M348</f>
        <v/>
      </c>
      <c r="AC348" s="4">
        <f>N348</f>
        <v/>
      </c>
      <c r="AD348" s="136">
        <f>O348</f>
        <v/>
      </c>
      <c r="AE348" s="121">
        <f>S348</f>
        <v/>
      </c>
      <c r="AF348" s="121">
        <f>Q348&amp;"/"&amp;R348</f>
        <v/>
      </c>
      <c r="AH348" s="20">
        <f>IF(A348="","",A348)</f>
        <v/>
      </c>
      <c r="AI348" s="132">
        <f>IF(E348="","",E348)</f>
        <v/>
      </c>
      <c r="AJ348" s="121">
        <f>IF(AI348="","",$AJ$2)</f>
        <v/>
      </c>
      <c r="AK348" s="121" t="inlineStr">
        <is>
          <t>A</t>
        </is>
      </c>
      <c r="AL348" s="121" t="inlineStr">
        <is>
          <t>A+</t>
        </is>
      </c>
      <c r="AM348" s="121" t="inlineStr">
        <is>
          <t>B+</t>
        </is>
      </c>
      <c r="AN348" s="121">
        <f>IF(AI348="","",$AN$2)</f>
        <v/>
      </c>
      <c r="AO348" s="121">
        <f>IF(N348="","",IF(N348&gt;=$AO$1/100,"O","X"))</f>
        <v/>
      </c>
      <c r="AP348" s="121">
        <f>IF(I348="","",IF(I348&lt;=$AP$1,"O","X"))</f>
        <v/>
      </c>
      <c r="AQ348" s="121">
        <f>IF(O348="","",IF(O348&lt;=$AQ$1,"O","X"))</f>
        <v/>
      </c>
      <c r="AR348" s="121">
        <f>IF(M348="","",IF(M348&lt;=$AR$1,"O","X"))</f>
        <v/>
      </c>
      <c r="AS348" s="121" t="inlineStr">
        <is>
          <t>X</t>
        </is>
      </c>
      <c r="AT348" s="121">
        <f>IF(OR(F348="",AI348=""),"",IF(AND((F348&lt;=85),(AI348&gt;=15)),"O","X"))</f>
        <v/>
      </c>
      <c r="AU348" s="121">
        <f>IF(C348="","",IF(C348&gt;=$AU$1,"O","X"))</f>
        <v/>
      </c>
      <c r="AV348" s="121">
        <f>IF(AO348="","",IF(AND(AO348="O",AP348="O",AR348="O",AT348="O",AU348="O"),"후보","X"))</f>
        <v/>
      </c>
    </row>
    <row r="349" ht="12" customFormat="1" customHeight="1" s="37">
      <c r="A349" s="75" t="inlineStr">
        <is>
          <t>조촌동 타워써미트</t>
        </is>
      </c>
      <c r="B349" s="76" t="inlineStr">
        <is>
          <t>12.06.</t>
        </is>
      </c>
      <c r="C349" s="130" t="n">
        <v>770</v>
      </c>
      <c r="D349" s="131" t="n">
        <v>112.1</v>
      </c>
      <c r="E349" s="132" t="n">
        <v>34</v>
      </c>
      <c r="F349" s="131" t="n">
        <v>85</v>
      </c>
      <c r="G349" s="17" t="n">
        <v>26</v>
      </c>
      <c r="H349" s="133" t="n">
        <v>277</v>
      </c>
      <c r="I349" s="134" t="n">
        <v>26000</v>
      </c>
      <c r="J349" s="134" t="inlineStr">
        <is>
          <t>23</t>
        </is>
      </c>
      <c r="K349" s="134" t="n">
        <v>23000</v>
      </c>
      <c r="L349" s="134" t="inlineStr">
        <is>
          <t>12</t>
        </is>
      </c>
      <c r="M349" s="135">
        <f>I349-K349</f>
        <v/>
      </c>
      <c r="N349" s="4">
        <f>IF(ISERROR(K349/I349),"",K349/I349)</f>
        <v/>
      </c>
      <c r="O349" s="136">
        <f>I349/E349</f>
        <v/>
      </c>
      <c r="P349" s="136">
        <f>K349/E349</f>
        <v/>
      </c>
      <c r="Q349" s="121" t="n">
        <v>3</v>
      </c>
      <c r="R349" s="121" t="n">
        <v>2</v>
      </c>
      <c r="S349" s="121" t="inlineStr">
        <is>
          <t>계</t>
        </is>
      </c>
      <c r="T349" s="5" t="inlineStr">
        <is>
          <t>112B</t>
        </is>
      </c>
      <c r="U349" s="9" t="n"/>
      <c r="W349" s="131">
        <f>D349</f>
        <v/>
      </c>
      <c r="X349" s="132">
        <f>E349</f>
        <v/>
      </c>
      <c r="Y349" s="137">
        <f>H349</f>
        <v/>
      </c>
      <c r="Z349" s="135">
        <f>I349</f>
        <v/>
      </c>
      <c r="AA349" s="135">
        <f>K349</f>
        <v/>
      </c>
      <c r="AB349" s="135">
        <f>M349</f>
        <v/>
      </c>
      <c r="AC349" s="4">
        <f>N349</f>
        <v/>
      </c>
      <c r="AD349" s="136">
        <f>O349</f>
        <v/>
      </c>
      <c r="AE349" s="121">
        <f>S349</f>
        <v/>
      </c>
      <c r="AF349" s="121">
        <f>Q349&amp;"/"&amp;R349</f>
        <v/>
      </c>
      <c r="AH349" s="20">
        <f>IF(A349="","",A349)</f>
        <v/>
      </c>
      <c r="AI349" s="132">
        <f>IF(E349="","",E349)</f>
        <v/>
      </c>
      <c r="AJ349" s="121">
        <f>IF(AI349="","",$AJ$2)</f>
        <v/>
      </c>
      <c r="AK349" s="121" t="inlineStr">
        <is>
          <t>A</t>
        </is>
      </c>
      <c r="AL349" s="121" t="inlineStr">
        <is>
          <t>A+</t>
        </is>
      </c>
      <c r="AM349" s="121" t="inlineStr">
        <is>
          <t>B+</t>
        </is>
      </c>
      <c r="AN349" s="121">
        <f>IF(AI349="","",$AN$2)</f>
        <v/>
      </c>
      <c r="AO349" s="121">
        <f>IF(N349="","",IF(N349&gt;=$AO$1/100,"O","X"))</f>
        <v/>
      </c>
      <c r="AP349" s="121">
        <f>IF(I349="","",IF(I349&lt;=$AP$1,"O","X"))</f>
        <v/>
      </c>
      <c r="AQ349" s="121">
        <f>IF(O349="","",IF(O349&lt;=$AQ$1,"O","X"))</f>
        <v/>
      </c>
      <c r="AR349" s="121">
        <f>IF(M349="","",IF(M349&lt;=$AR$1,"O","X"))</f>
        <v/>
      </c>
      <c r="AS349" s="121" t="inlineStr">
        <is>
          <t>X</t>
        </is>
      </c>
      <c r="AT349" s="121">
        <f>IF(OR(F349="",AI349=""),"",IF(AND((F349&lt;=85),(AI349&gt;=15)),"O","X"))</f>
        <v/>
      </c>
      <c r="AU349" s="121">
        <f>IF(C349="","",IF(C349&gt;=$AU$1,"O","X"))</f>
        <v/>
      </c>
      <c r="AV349" s="121">
        <f>IF(AO349="","",IF(AND(AO349="O",AP349="O",AR349="O",AT349="O",AU349="O"),"후보","X"))</f>
        <v/>
      </c>
    </row>
    <row r="350" ht="12" customFormat="1" customHeight="1" s="37">
      <c r="A350" s="75" t="inlineStr">
        <is>
          <t>조촌동 타워써미트</t>
        </is>
      </c>
      <c r="B350" s="76" t="inlineStr">
        <is>
          <t>12.06.</t>
        </is>
      </c>
      <c r="C350" s="130" t="n">
        <v>770</v>
      </c>
      <c r="D350" s="131" t="n">
        <v>112</v>
      </c>
      <c r="E350" s="132" t="n">
        <v>34</v>
      </c>
      <c r="F350" s="131" t="n">
        <v>84.90000000000001</v>
      </c>
      <c r="G350" s="17" t="n">
        <v>26</v>
      </c>
      <c r="H350" s="133" t="n">
        <v>191</v>
      </c>
      <c r="I350" s="134" t="n">
        <v>27000</v>
      </c>
      <c r="J350" s="134" t="inlineStr">
        <is>
          <t>20</t>
        </is>
      </c>
      <c r="K350" s="134" t="n">
        <v>21500</v>
      </c>
      <c r="L350" s="134" t="inlineStr">
        <is>
          <t>9</t>
        </is>
      </c>
      <c r="M350" s="135">
        <f>I350-K350</f>
        <v/>
      </c>
      <c r="N350" s="4">
        <f>IF(ISERROR(K350/I350),"",K350/I350)</f>
        <v/>
      </c>
      <c r="O350" s="136">
        <f>I350/E350</f>
        <v/>
      </c>
      <c r="P350" s="136">
        <f>K350/E350</f>
        <v/>
      </c>
      <c r="Q350" s="121" t="n">
        <v>3</v>
      </c>
      <c r="R350" s="121" t="n">
        <v>2</v>
      </c>
      <c r="S350" s="121" t="inlineStr">
        <is>
          <t>계</t>
        </is>
      </c>
      <c r="T350" s="5" t="inlineStr">
        <is>
          <t>112A</t>
        </is>
      </c>
      <c r="U350" s="9" t="n"/>
      <c r="W350" s="131">
        <f>D350</f>
        <v/>
      </c>
      <c r="X350" s="132">
        <f>E350</f>
        <v/>
      </c>
      <c r="Y350" s="137">
        <f>H350</f>
        <v/>
      </c>
      <c r="Z350" s="135">
        <f>I350</f>
        <v/>
      </c>
      <c r="AA350" s="135">
        <f>K350</f>
        <v/>
      </c>
      <c r="AB350" s="135">
        <f>M350</f>
        <v/>
      </c>
      <c r="AC350" s="4">
        <f>N350</f>
        <v/>
      </c>
      <c r="AD350" s="136">
        <f>O350</f>
        <v/>
      </c>
      <c r="AE350" s="121">
        <f>S350</f>
        <v/>
      </c>
      <c r="AF350" s="121">
        <f>Q350&amp;"/"&amp;R350</f>
        <v/>
      </c>
      <c r="AH350" s="20">
        <f>IF(A350="","",A350)</f>
        <v/>
      </c>
      <c r="AI350" s="132">
        <f>IF(E350="","",E350)</f>
        <v/>
      </c>
      <c r="AJ350" s="121">
        <f>IF(AI350="","",$AJ$2)</f>
        <v/>
      </c>
      <c r="AK350" s="121" t="inlineStr">
        <is>
          <t>A</t>
        </is>
      </c>
      <c r="AL350" s="121" t="inlineStr">
        <is>
          <t>A+</t>
        </is>
      </c>
      <c r="AM350" s="121" t="inlineStr">
        <is>
          <t>B+</t>
        </is>
      </c>
      <c r="AN350" s="121">
        <f>IF(AI350="","",$AN$2)</f>
        <v/>
      </c>
      <c r="AO350" s="121">
        <f>IF(N350="","",IF(N350&gt;=$AO$1/100,"O","X"))</f>
        <v/>
      </c>
      <c r="AP350" s="121">
        <f>IF(I350="","",IF(I350&lt;=$AP$1,"O","X"))</f>
        <v/>
      </c>
      <c r="AQ350" s="121">
        <f>IF(O350="","",IF(O350&lt;=$AQ$1,"O","X"))</f>
        <v/>
      </c>
      <c r="AR350" s="121">
        <f>IF(M350="","",IF(M350&lt;=$AR$1,"O","X"))</f>
        <v/>
      </c>
      <c r="AS350" s="121" t="inlineStr">
        <is>
          <t>X</t>
        </is>
      </c>
      <c r="AT350" s="121">
        <f>IF(OR(F350="",AI350=""),"",IF(AND((F350&lt;=85),(AI350&gt;=15)),"O","X"))</f>
        <v/>
      </c>
      <c r="AU350" s="121">
        <f>IF(C350="","",IF(C350&gt;=$AU$1,"O","X"))</f>
        <v/>
      </c>
      <c r="AV350" s="121">
        <f>IF(AO350="","",IF(AND(AO350="O",AP350="O",AR350="O",AT350="O",AU350="O"),"후보","X"))</f>
        <v/>
      </c>
    </row>
    <row r="351" ht="12" customFormat="1" customHeight="1" s="37">
      <c r="A351" s="75" t="inlineStr">
        <is>
          <t>조촌동 타워써미트</t>
        </is>
      </c>
      <c r="B351" s="76" t="inlineStr">
        <is>
          <t>12.06.</t>
        </is>
      </c>
      <c r="C351" s="130" t="n">
        <v>770</v>
      </c>
      <c r="D351" s="131" t="n">
        <v>112.1</v>
      </c>
      <c r="E351" s="132" t="n">
        <v>34</v>
      </c>
      <c r="F351" s="131" t="n">
        <v>85</v>
      </c>
      <c r="G351" s="17" t="n">
        <v>26</v>
      </c>
      <c r="H351" s="133" t="n">
        <v>173</v>
      </c>
      <c r="I351" s="134" t="n">
        <v>26000</v>
      </c>
      <c r="J351" s="134" t="inlineStr">
        <is>
          <t>23</t>
        </is>
      </c>
      <c r="K351" s="134" t="n">
        <v>23000</v>
      </c>
      <c r="L351" s="134" t="inlineStr">
        <is>
          <t>12</t>
        </is>
      </c>
      <c r="M351" s="135">
        <f>I351-K351</f>
        <v/>
      </c>
      <c r="N351" s="4">
        <f>IF(ISERROR(K351/I351),"",K351/I351)</f>
        <v/>
      </c>
      <c r="O351" s="136">
        <f>I351/E351</f>
        <v/>
      </c>
      <c r="P351" s="136">
        <f>K351/E351</f>
        <v/>
      </c>
      <c r="Q351" s="121" t="n">
        <v>3</v>
      </c>
      <c r="R351" s="121" t="n">
        <v>2</v>
      </c>
      <c r="S351" s="121" t="inlineStr">
        <is>
          <t>계</t>
        </is>
      </c>
      <c r="T351" s="5" t="inlineStr">
        <is>
          <t>112C</t>
        </is>
      </c>
      <c r="U351" s="9" t="n"/>
      <c r="W351" s="131">
        <f>D351</f>
        <v/>
      </c>
      <c r="X351" s="132">
        <f>E351</f>
        <v/>
      </c>
      <c r="Y351" s="137">
        <f>H351</f>
        <v/>
      </c>
      <c r="Z351" s="135">
        <f>I351</f>
        <v/>
      </c>
      <c r="AA351" s="135">
        <f>K351</f>
        <v/>
      </c>
      <c r="AB351" s="135">
        <f>M351</f>
        <v/>
      </c>
      <c r="AC351" s="4">
        <f>N351</f>
        <v/>
      </c>
      <c r="AD351" s="136">
        <f>O351</f>
        <v/>
      </c>
      <c r="AE351" s="121">
        <f>S351</f>
        <v/>
      </c>
      <c r="AF351" s="121">
        <f>Q351&amp;"/"&amp;R351</f>
        <v/>
      </c>
      <c r="AH351" s="20">
        <f>IF(A351="","",A351)</f>
        <v/>
      </c>
      <c r="AI351" s="132">
        <f>IF(E351="","",E351)</f>
        <v/>
      </c>
      <c r="AJ351" s="121">
        <f>IF(AI351="","",$AJ$2)</f>
        <v/>
      </c>
      <c r="AK351" s="121" t="inlineStr">
        <is>
          <t>A</t>
        </is>
      </c>
      <c r="AL351" s="121" t="inlineStr">
        <is>
          <t>A+</t>
        </is>
      </c>
      <c r="AM351" s="121" t="inlineStr">
        <is>
          <t>B+</t>
        </is>
      </c>
      <c r="AN351" s="121">
        <f>IF(AI351="","",$AN$2)</f>
        <v/>
      </c>
      <c r="AO351" s="121">
        <f>IF(N351="","",IF(N351&gt;=$AO$1/100,"O","X"))</f>
        <v/>
      </c>
      <c r="AP351" s="121">
        <f>IF(I351="","",IF(I351&lt;=$AP$1,"O","X"))</f>
        <v/>
      </c>
      <c r="AQ351" s="121">
        <f>IF(O351="","",IF(O351&lt;=$AQ$1,"O","X"))</f>
        <v/>
      </c>
      <c r="AR351" s="121">
        <f>IF(M351="","",IF(M351&lt;=$AR$1,"O","X"))</f>
        <v/>
      </c>
      <c r="AS351" s="121" t="inlineStr">
        <is>
          <t>X</t>
        </is>
      </c>
      <c r="AT351" s="121">
        <f>IF(OR(F351="",AI351=""),"",IF(AND((F351&lt;=85),(AI351&gt;=15)),"O","X"))</f>
        <v/>
      </c>
      <c r="AU351" s="121">
        <f>IF(C351="","",IF(C351&gt;=$AU$1,"O","X"))</f>
        <v/>
      </c>
      <c r="AV351" s="121">
        <f>IF(AO351="","",IF(AND(AO351="O",AP351="O",AR351="O",AT351="O",AU351="O"),"후보","X"))</f>
        <v/>
      </c>
    </row>
    <row r="352" ht="12" customFormat="1" customHeight="1" s="37">
      <c r="A352" s="75" t="inlineStr">
        <is>
          <t>조촌동 삼성</t>
        </is>
      </c>
      <c r="B352" s="76" t="inlineStr">
        <is>
          <t>92.10.</t>
        </is>
      </c>
      <c r="C352" s="130" t="n">
        <v>306</v>
      </c>
      <c r="D352" s="131" t="n">
        <v>92.3</v>
      </c>
      <c r="E352" s="132" t="n">
        <v>28</v>
      </c>
      <c r="F352" s="131" t="n">
        <v>73.8</v>
      </c>
      <c r="G352" s="17" t="n">
        <v>22</v>
      </c>
      <c r="H352" s="133" t="n">
        <v>72</v>
      </c>
      <c r="I352" s="134" t="n">
        <v>14500</v>
      </c>
      <c r="J352" s="134" t="inlineStr">
        <is>
          <t>12</t>
        </is>
      </c>
      <c r="K352" s="134" t="n">
        <v>12000</v>
      </c>
      <c r="L352" s="134" t="inlineStr">
        <is>
          <t>10</t>
        </is>
      </c>
      <c r="M352" s="135">
        <f>I352-K352</f>
        <v/>
      </c>
      <c r="N352" s="4">
        <f>IF(ISERROR(K352/I352),"",K352/I352)</f>
        <v/>
      </c>
      <c r="O352" s="136">
        <f>I352/E352</f>
        <v/>
      </c>
      <c r="P352" s="136">
        <f>K352/E352</f>
        <v/>
      </c>
      <c r="Q352" s="121" t="n">
        <v>3</v>
      </c>
      <c r="R352" s="121" t="n">
        <v>1</v>
      </c>
      <c r="S352" s="121" t="inlineStr">
        <is>
          <t>계</t>
        </is>
      </c>
      <c r="T352" s="5" t="n">
        <v>92</v>
      </c>
      <c r="U352" s="9" t="n"/>
      <c r="W352" s="131">
        <f>D352</f>
        <v/>
      </c>
      <c r="X352" s="132">
        <f>E352</f>
        <v/>
      </c>
      <c r="Y352" s="137">
        <f>H352</f>
        <v/>
      </c>
      <c r="Z352" s="135">
        <f>I352</f>
        <v/>
      </c>
      <c r="AA352" s="135">
        <f>K352</f>
        <v/>
      </c>
      <c r="AB352" s="135">
        <f>M352</f>
        <v/>
      </c>
      <c r="AC352" s="4">
        <f>N352</f>
        <v/>
      </c>
      <c r="AD352" s="136">
        <f>O352</f>
        <v/>
      </c>
      <c r="AE352" s="121">
        <f>S352</f>
        <v/>
      </c>
      <c r="AF352" s="121">
        <f>Q352&amp;"/"&amp;R352</f>
        <v/>
      </c>
      <c r="AH352" s="20">
        <f>IF(A352="","",A352)</f>
        <v/>
      </c>
      <c r="AI352" s="132">
        <f>IF(E352="","",E352)</f>
        <v/>
      </c>
      <c r="AJ352" s="121">
        <f>IF(AI352="","",$AJ$2)</f>
        <v/>
      </c>
      <c r="AK352" s="121" t="inlineStr">
        <is>
          <t>A</t>
        </is>
      </c>
      <c r="AL352" s="121" t="inlineStr">
        <is>
          <t>A+</t>
        </is>
      </c>
      <c r="AM352" s="121" t="inlineStr">
        <is>
          <t>B+</t>
        </is>
      </c>
      <c r="AN352" s="121">
        <f>IF(AI352="","",$AN$2)</f>
        <v/>
      </c>
      <c r="AO352" s="121">
        <f>IF(N352="","",IF(N352&gt;=$AO$1/100,"O","X"))</f>
        <v/>
      </c>
      <c r="AP352" s="121">
        <f>IF(I352="","",IF(I352&lt;=$AP$1,"O","X"))</f>
        <v/>
      </c>
      <c r="AQ352" s="121">
        <f>IF(O352="","",IF(O352&lt;=$AQ$1,"O","X"))</f>
        <v/>
      </c>
      <c r="AR352" s="121">
        <f>IF(M352="","",IF(M352&lt;=$AR$1,"O","X"))</f>
        <v/>
      </c>
      <c r="AS352" s="121" t="inlineStr">
        <is>
          <t>X</t>
        </is>
      </c>
      <c r="AT352" s="121">
        <f>IF(OR(F352="",AI352=""),"",IF(AND((F352&lt;=85),(AI352&gt;=15)),"O","X"))</f>
        <v/>
      </c>
      <c r="AU352" s="121">
        <f>IF(C352="","",IF(C352&gt;=$AU$1,"O","X"))</f>
        <v/>
      </c>
      <c r="AV352" s="121">
        <f>IF(AO352="","",IF(AND(AO352="O",AP352="O",AR352="O",AT352="O",AU352="O"),"후보","X"))</f>
        <v/>
      </c>
    </row>
    <row r="353" ht="12" customFormat="1" customHeight="1" s="37">
      <c r="A353" s="75" t="inlineStr">
        <is>
          <t>조촌동 삼성</t>
        </is>
      </c>
      <c r="B353" s="76" t="inlineStr">
        <is>
          <t>92.10.</t>
        </is>
      </c>
      <c r="C353" s="130" t="n">
        <v>306</v>
      </c>
      <c r="D353" s="131" t="n">
        <v>92.2</v>
      </c>
      <c r="E353" s="132" t="n">
        <v>28</v>
      </c>
      <c r="F353" s="131" t="n">
        <v>73.5</v>
      </c>
      <c r="G353" s="17" t="n">
        <v>22</v>
      </c>
      <c r="H353" s="133" t="n">
        <v>72</v>
      </c>
      <c r="I353" s="134" t="n">
        <v>15000</v>
      </c>
      <c r="J353" s="134" t="inlineStr">
        <is>
          <t>6</t>
        </is>
      </c>
      <c r="K353" s="134" t="n"/>
      <c r="L353" s="134" t="n"/>
      <c r="M353" s="135">
        <f>I353-K353</f>
        <v/>
      </c>
      <c r="N353" s="4">
        <f>IF(ISERROR(K353/I353),"",K353/I353)</f>
        <v/>
      </c>
      <c r="O353" s="136">
        <f>I353/E353</f>
        <v/>
      </c>
      <c r="P353" s="136">
        <f>K353/E353</f>
        <v/>
      </c>
      <c r="Q353" s="121" t="n">
        <v>3</v>
      </c>
      <c r="R353" s="121" t="n">
        <v>1</v>
      </c>
      <c r="S353" s="121" t="inlineStr">
        <is>
          <t>계</t>
        </is>
      </c>
      <c r="T353" s="5" t="inlineStr">
        <is>
          <t>92S</t>
        </is>
      </c>
      <c r="U353" s="9" t="n"/>
      <c r="W353" s="131">
        <f>D353</f>
        <v/>
      </c>
      <c r="X353" s="132">
        <f>E353</f>
        <v/>
      </c>
      <c r="Y353" s="137">
        <f>H353</f>
        <v/>
      </c>
      <c r="Z353" s="135">
        <f>I353</f>
        <v/>
      </c>
      <c r="AA353" s="135">
        <f>K353</f>
        <v/>
      </c>
      <c r="AB353" s="135">
        <f>M353</f>
        <v/>
      </c>
      <c r="AC353" s="4">
        <f>N353</f>
        <v/>
      </c>
      <c r="AD353" s="136">
        <f>O353</f>
        <v/>
      </c>
      <c r="AE353" s="121">
        <f>S353</f>
        <v/>
      </c>
      <c r="AF353" s="121">
        <f>Q353&amp;"/"&amp;R353</f>
        <v/>
      </c>
      <c r="AH353" s="20">
        <f>IF(A353="","",A353)</f>
        <v/>
      </c>
      <c r="AI353" s="132">
        <f>IF(E353="","",E353)</f>
        <v/>
      </c>
      <c r="AJ353" s="121">
        <f>IF(AI353="","",$AJ$2)</f>
        <v/>
      </c>
      <c r="AK353" s="121" t="inlineStr">
        <is>
          <t>A</t>
        </is>
      </c>
      <c r="AL353" s="121" t="inlineStr">
        <is>
          <t>A+</t>
        </is>
      </c>
      <c r="AM353" s="121" t="inlineStr">
        <is>
          <t>B+</t>
        </is>
      </c>
      <c r="AN353" s="121">
        <f>IF(AI353="","",$AN$2)</f>
        <v/>
      </c>
      <c r="AO353" s="121">
        <f>IF(N353="","",IF(N353&gt;=$AO$1/100,"O","X"))</f>
        <v/>
      </c>
      <c r="AP353" s="121">
        <f>IF(I353="","",IF(I353&lt;=$AP$1,"O","X"))</f>
        <v/>
      </c>
      <c r="AQ353" s="121">
        <f>IF(O353="","",IF(O353&lt;=$AQ$1,"O","X"))</f>
        <v/>
      </c>
      <c r="AR353" s="121">
        <f>IF(M353="","",IF(M353&lt;=$AR$1,"O","X"))</f>
        <v/>
      </c>
      <c r="AS353" s="121" t="inlineStr">
        <is>
          <t>X</t>
        </is>
      </c>
      <c r="AT353" s="121">
        <f>IF(OR(F353="",AI353=""),"",IF(AND((F353&lt;=85),(AI353&gt;=15)),"O","X"))</f>
        <v/>
      </c>
      <c r="AU353" s="121">
        <f>IF(C353="","",IF(C353&gt;=$AU$1,"O","X"))</f>
        <v/>
      </c>
      <c r="AV353" s="121">
        <f>IF(AO353="","",IF(AND(AO353="O",AP353="O",AR353="O",AT353="O",AU353="O"),"후보","X"))</f>
        <v/>
      </c>
    </row>
    <row r="354" ht="12" customFormat="1" customHeight="1" s="37">
      <c r="A354" s="75" t="inlineStr">
        <is>
          <t>조촌동 삼성</t>
        </is>
      </c>
      <c r="B354" s="76" t="inlineStr">
        <is>
          <t>92.10.</t>
        </is>
      </c>
      <c r="C354" s="130" t="n">
        <v>306</v>
      </c>
      <c r="D354" s="131" t="n">
        <v>104.6</v>
      </c>
      <c r="E354" s="132" t="n">
        <v>32</v>
      </c>
      <c r="F354" s="131" t="n">
        <v>85</v>
      </c>
      <c r="G354" s="17" t="n">
        <v>26</v>
      </c>
      <c r="H354" s="133" t="n">
        <v>132</v>
      </c>
      <c r="I354" s="134" t="n">
        <v>16500</v>
      </c>
      <c r="J354" s="134" t="inlineStr">
        <is>
          <t>11</t>
        </is>
      </c>
      <c r="K354" s="134" t="n"/>
      <c r="L354" s="134" t="n"/>
      <c r="M354" s="135">
        <f>I354-K354</f>
        <v/>
      </c>
      <c r="N354" s="4">
        <f>IF(ISERROR(K354/I354),"",K354/I354)</f>
        <v/>
      </c>
      <c r="O354" s="136">
        <f>I354/E354</f>
        <v/>
      </c>
      <c r="P354" s="136">
        <f>K354/E354</f>
        <v/>
      </c>
      <c r="Q354" s="121" t="n">
        <v>3</v>
      </c>
      <c r="R354" s="121" t="n">
        <v>2</v>
      </c>
      <c r="S354" s="121" t="inlineStr">
        <is>
          <t>계</t>
        </is>
      </c>
      <c r="T354" s="5" t="n">
        <v>104</v>
      </c>
      <c r="U354" s="9" t="n"/>
      <c r="W354" s="131">
        <f>D354</f>
        <v/>
      </c>
      <c r="X354" s="132">
        <f>E354</f>
        <v/>
      </c>
      <c r="Y354" s="137">
        <f>H354</f>
        <v/>
      </c>
      <c r="Z354" s="135">
        <f>I354</f>
        <v/>
      </c>
      <c r="AA354" s="135">
        <f>K354</f>
        <v/>
      </c>
      <c r="AB354" s="135">
        <f>M354</f>
        <v/>
      </c>
      <c r="AC354" s="4">
        <f>N354</f>
        <v/>
      </c>
      <c r="AD354" s="136">
        <f>O354</f>
        <v/>
      </c>
      <c r="AE354" s="121">
        <f>S354</f>
        <v/>
      </c>
      <c r="AF354" s="121">
        <f>Q354&amp;"/"&amp;R354</f>
        <v/>
      </c>
      <c r="AH354" s="20">
        <f>IF(A354="","",A354)</f>
        <v/>
      </c>
      <c r="AI354" s="132">
        <f>IF(E354="","",E354)</f>
        <v/>
      </c>
      <c r="AJ354" s="121">
        <f>IF(AI354="","",$AJ$2)</f>
        <v/>
      </c>
      <c r="AK354" s="121" t="inlineStr">
        <is>
          <t>A</t>
        </is>
      </c>
      <c r="AL354" s="121" t="inlineStr">
        <is>
          <t>A+</t>
        </is>
      </c>
      <c r="AM354" s="121" t="inlineStr">
        <is>
          <t>B+</t>
        </is>
      </c>
      <c r="AN354" s="121">
        <f>IF(AI354="","",$AN$2)</f>
        <v/>
      </c>
      <c r="AO354" s="121">
        <f>IF(N354="","",IF(N354&gt;=$AO$1/100,"O","X"))</f>
        <v/>
      </c>
      <c r="AP354" s="121">
        <f>IF(I354="","",IF(I354&lt;=$AP$1,"O","X"))</f>
        <v/>
      </c>
      <c r="AQ354" s="121">
        <f>IF(O354="","",IF(O354&lt;=$AQ$1,"O","X"))</f>
        <v/>
      </c>
      <c r="AR354" s="121">
        <f>IF(M354="","",IF(M354&lt;=$AR$1,"O","X"))</f>
        <v/>
      </c>
      <c r="AS354" s="121" t="inlineStr">
        <is>
          <t>X</t>
        </is>
      </c>
      <c r="AT354" s="121">
        <f>IF(OR(F354="",AI354=""),"",IF(AND((F354&lt;=85),(AI354&gt;=15)),"O","X"))</f>
        <v/>
      </c>
      <c r="AU354" s="121">
        <f>IF(C354="","",IF(C354&gt;=$AU$1,"O","X"))</f>
        <v/>
      </c>
      <c r="AV354" s="121">
        <f>IF(AO354="","",IF(AND(AO354="O",AP354="O",AR354="O",AT354="O",AU354="O"),"후보","X"))</f>
        <v/>
      </c>
    </row>
    <row r="355" ht="12" customFormat="1" customHeight="1" s="37">
      <c r="A355" s="75" t="inlineStr">
        <is>
          <t>조촌동 삼성</t>
        </is>
      </c>
      <c r="B355" s="76" t="inlineStr">
        <is>
          <t>92.10.</t>
        </is>
      </c>
      <c r="C355" s="130" t="n">
        <v>306</v>
      </c>
      <c r="D355" s="131" t="n">
        <v>104.5</v>
      </c>
      <c r="E355" s="132" t="n">
        <v>32</v>
      </c>
      <c r="F355" s="131" t="n">
        <v>84.90000000000001</v>
      </c>
      <c r="G355" s="17" t="n">
        <v>26</v>
      </c>
      <c r="H355" s="133" t="n">
        <v>30</v>
      </c>
      <c r="I355" s="134" t="n">
        <v>16500</v>
      </c>
      <c r="J355" s="134" t="inlineStr">
        <is>
          <t>10</t>
        </is>
      </c>
      <c r="K355" s="134" t="n"/>
      <c r="L355" s="134" t="n"/>
      <c r="M355" s="135">
        <f>I355-K355</f>
        <v/>
      </c>
      <c r="N355" s="4">
        <f>IF(ISERROR(K355/I355),"",K355/I355)</f>
        <v/>
      </c>
      <c r="O355" s="136">
        <f>I355/E355</f>
        <v/>
      </c>
      <c r="P355" s="136">
        <f>K355/E355</f>
        <v/>
      </c>
      <c r="Q355" s="121" t="n">
        <v>3</v>
      </c>
      <c r="R355" s="121" t="n">
        <v>2</v>
      </c>
      <c r="S355" s="121" t="inlineStr">
        <is>
          <t>계</t>
        </is>
      </c>
      <c r="T355" s="5" t="inlineStr">
        <is>
          <t>104S</t>
        </is>
      </c>
      <c r="U355" s="9" t="n"/>
      <c r="W355" s="131">
        <f>D355</f>
        <v/>
      </c>
      <c r="X355" s="132">
        <f>E355</f>
        <v/>
      </c>
      <c r="Y355" s="137">
        <f>H355</f>
        <v/>
      </c>
      <c r="Z355" s="135">
        <f>I355</f>
        <v/>
      </c>
      <c r="AA355" s="135">
        <f>K355</f>
        <v/>
      </c>
      <c r="AB355" s="135">
        <f>M355</f>
        <v/>
      </c>
      <c r="AC355" s="4">
        <f>N355</f>
        <v/>
      </c>
      <c r="AD355" s="136">
        <f>O355</f>
        <v/>
      </c>
      <c r="AE355" s="121">
        <f>S355</f>
        <v/>
      </c>
      <c r="AF355" s="121">
        <f>Q355&amp;"/"&amp;R355</f>
        <v/>
      </c>
      <c r="AH355" s="20">
        <f>IF(A355="","",A355)</f>
        <v/>
      </c>
      <c r="AI355" s="132">
        <f>IF(E355="","",E355)</f>
        <v/>
      </c>
      <c r="AJ355" s="121">
        <f>IF(AI355="","",$AJ$2)</f>
        <v/>
      </c>
      <c r="AK355" s="121" t="inlineStr">
        <is>
          <t>A</t>
        </is>
      </c>
      <c r="AL355" s="121" t="inlineStr">
        <is>
          <t>A+</t>
        </is>
      </c>
      <c r="AM355" s="121" t="inlineStr">
        <is>
          <t>B+</t>
        </is>
      </c>
      <c r="AN355" s="121">
        <f>IF(AI355="","",$AN$2)</f>
        <v/>
      </c>
      <c r="AO355" s="121">
        <f>IF(N355="","",IF(N355&gt;=$AO$1/100,"O","X"))</f>
        <v/>
      </c>
      <c r="AP355" s="121">
        <f>IF(I355="","",IF(I355&lt;=$AP$1,"O","X"))</f>
        <v/>
      </c>
      <c r="AQ355" s="121">
        <f>IF(O355="","",IF(O355&lt;=$AQ$1,"O","X"))</f>
        <v/>
      </c>
      <c r="AR355" s="121">
        <f>IF(M355="","",IF(M355&lt;=$AR$1,"O","X"))</f>
        <v/>
      </c>
      <c r="AS355" s="121" t="inlineStr">
        <is>
          <t>X</t>
        </is>
      </c>
      <c r="AT355" s="121">
        <f>IF(OR(F355="",AI355=""),"",IF(AND((F355&lt;=85),(AI355&gt;=15)),"O","X"))</f>
        <v/>
      </c>
      <c r="AU355" s="121">
        <f>IF(C355="","",IF(C355&gt;=$AU$1,"O","X"))</f>
        <v/>
      </c>
      <c r="AV355" s="121">
        <f>IF(AO355="","",IF(AND(AO355="O",AP355="O",AR355="O",AT355="O",AU355="O"),"후보","X"))</f>
        <v/>
      </c>
    </row>
    <row r="356" ht="12" customFormat="1" customHeight="1" s="37">
      <c r="A356" s="75" t="inlineStr">
        <is>
          <t>조촌동 부향하나로</t>
        </is>
      </c>
      <c r="B356" s="76" t="inlineStr">
        <is>
          <t>96.09.</t>
        </is>
      </c>
      <c r="C356" s="130" t="n">
        <v>402</v>
      </c>
      <c r="D356" s="131" t="n">
        <v>53.7</v>
      </c>
      <c r="E356" s="132" t="n">
        <v>16</v>
      </c>
      <c r="F356" s="131" t="n">
        <v>40</v>
      </c>
      <c r="G356" s="17" t="n">
        <v>12</v>
      </c>
      <c r="H356" s="133" t="n">
        <v>402</v>
      </c>
      <c r="I356" s="134" t="n"/>
      <c r="J356" s="134" t="n"/>
      <c r="K356" s="134" t="n"/>
      <c r="L356" s="134" t="n"/>
      <c r="M356" s="135">
        <f>I356-K356</f>
        <v/>
      </c>
      <c r="N356" s="4">
        <f>IF(ISERROR(K356/I356),"",K356/I356)</f>
        <v/>
      </c>
      <c r="O356" s="136">
        <f>I356/E356</f>
        <v/>
      </c>
      <c r="P356" s="136">
        <f>K356/E356</f>
        <v/>
      </c>
      <c r="Q356" s="121" t="n">
        <v>2</v>
      </c>
      <c r="R356" s="121" t="n">
        <v>1</v>
      </c>
      <c r="S356" s="121" t="inlineStr">
        <is>
          <t>계</t>
        </is>
      </c>
      <c r="T356" s="5" t="n">
        <v>53</v>
      </c>
      <c r="U356" s="9" t="n"/>
      <c r="W356" s="131">
        <f>D356</f>
        <v/>
      </c>
      <c r="X356" s="132">
        <f>E356</f>
        <v/>
      </c>
      <c r="Y356" s="137">
        <f>H356</f>
        <v/>
      </c>
      <c r="Z356" s="135">
        <f>I356</f>
        <v/>
      </c>
      <c r="AA356" s="135">
        <f>K356</f>
        <v/>
      </c>
      <c r="AB356" s="135">
        <f>M356</f>
        <v/>
      </c>
      <c r="AC356" s="4">
        <f>N356</f>
        <v/>
      </c>
      <c r="AD356" s="136">
        <f>O356</f>
        <v/>
      </c>
      <c r="AE356" s="121">
        <f>S356</f>
        <v/>
      </c>
      <c r="AF356" s="121">
        <f>Q356&amp;"/"&amp;R356</f>
        <v/>
      </c>
      <c r="AH356" s="20">
        <f>IF(A356="","",A356)</f>
        <v/>
      </c>
      <c r="AI356" s="132">
        <f>IF(E356="","",E356)</f>
        <v/>
      </c>
      <c r="AJ356" s="121">
        <f>IF(AI356="","",$AJ$2)</f>
        <v/>
      </c>
      <c r="AK356" s="121" t="inlineStr">
        <is>
          <t>A</t>
        </is>
      </c>
      <c r="AL356" s="121" t="inlineStr">
        <is>
          <t>A+</t>
        </is>
      </c>
      <c r="AM356" s="121" t="inlineStr">
        <is>
          <t>B+</t>
        </is>
      </c>
      <c r="AN356" s="121">
        <f>IF(AI356="","",$AN$2)</f>
        <v/>
      </c>
      <c r="AO356" s="121">
        <f>IF(N356="","",IF(N356&gt;=$AO$1/100,"O","X"))</f>
        <v/>
      </c>
      <c r="AP356" s="121">
        <f>IF(I356="","",IF(I356&lt;=$AP$1,"O","X"))</f>
        <v/>
      </c>
      <c r="AQ356" s="121">
        <f>IF(O356="","",IF(O356&lt;=$AQ$1,"O","X"))</f>
        <v/>
      </c>
      <c r="AR356" s="121">
        <f>IF(M356="","",IF(M356&lt;=$AR$1,"O","X"))</f>
        <v/>
      </c>
      <c r="AS356" s="121" t="inlineStr">
        <is>
          <t>X</t>
        </is>
      </c>
      <c r="AT356" s="121">
        <f>IF(OR(F356="",AI356=""),"",IF(AND((F356&lt;=85),(AI356&gt;=15)),"O","X"))</f>
        <v/>
      </c>
      <c r="AU356" s="121">
        <f>IF(C356="","",IF(C356&gt;=$AU$1,"O","X"))</f>
        <v/>
      </c>
      <c r="AV356" s="121">
        <f>IF(AO356="","",IF(AND(AO356="O",AP356="O",AR356="O",AT356="O",AU356="O"),"후보","X"))</f>
        <v/>
      </c>
    </row>
    <row r="357" ht="24" customFormat="1" customHeight="1" s="37">
      <c r="A357" s="75" t="inlineStr">
        <is>
          <t>조촌동 e편한세상군산디오션시티</t>
        </is>
      </c>
      <c r="B357" s="76" t="inlineStr">
        <is>
          <t>18.11.</t>
        </is>
      </c>
      <c r="C357" s="130" t="n">
        <v>854</v>
      </c>
      <c r="D357" s="131" t="n">
        <v>80.5</v>
      </c>
      <c r="E357" s="132" t="n">
        <v>24</v>
      </c>
      <c r="F357" s="131" t="n">
        <v>59.9</v>
      </c>
      <c r="G357" s="17" t="n">
        <v>18</v>
      </c>
      <c r="H357" s="133" t="n">
        <v>174</v>
      </c>
      <c r="I357" s="134" t="n">
        <v>32000</v>
      </c>
      <c r="J357" s="134" t="inlineStr">
        <is>
          <t>8</t>
        </is>
      </c>
      <c r="K357" s="134" t="n">
        <v>26000</v>
      </c>
      <c r="L357" s="134" t="inlineStr">
        <is>
          <t>17</t>
        </is>
      </c>
      <c r="M357" s="135">
        <f>I357-K357</f>
        <v/>
      </c>
      <c r="N357" s="4">
        <f>IF(ISERROR(K357/I357),"",K357/I357)</f>
        <v/>
      </c>
      <c r="O357" s="136">
        <f>I357/E357</f>
        <v/>
      </c>
      <c r="P357" s="136">
        <f>K357/E357</f>
        <v/>
      </c>
      <c r="Q357" s="121" t="n">
        <v>3</v>
      </c>
      <c r="R357" s="121" t="n">
        <v>2</v>
      </c>
      <c r="S357" s="121" t="inlineStr">
        <is>
          <t>계</t>
        </is>
      </c>
      <c r="T357" s="5" t="n">
        <v>80</v>
      </c>
      <c r="U357" s="9" t="n"/>
      <c r="W357" s="131">
        <f>D357</f>
        <v/>
      </c>
      <c r="X357" s="132">
        <f>E357</f>
        <v/>
      </c>
      <c r="Y357" s="137">
        <f>H357</f>
        <v/>
      </c>
      <c r="Z357" s="135">
        <f>I357</f>
        <v/>
      </c>
      <c r="AA357" s="135">
        <f>K357</f>
        <v/>
      </c>
      <c r="AB357" s="135">
        <f>M357</f>
        <v/>
      </c>
      <c r="AC357" s="4">
        <f>N357</f>
        <v/>
      </c>
      <c r="AD357" s="136">
        <f>O357</f>
        <v/>
      </c>
      <c r="AE357" s="121">
        <f>S357</f>
        <v/>
      </c>
      <c r="AF357" s="121">
        <f>Q357&amp;"/"&amp;R357</f>
        <v/>
      </c>
      <c r="AH357" s="20">
        <f>IF(A357="","",A357)</f>
        <v/>
      </c>
      <c r="AI357" s="132">
        <f>IF(E357="","",E357)</f>
        <v/>
      </c>
      <c r="AJ357" s="121">
        <f>IF(AI357="","",$AJ$2)</f>
        <v/>
      </c>
      <c r="AK357" s="121" t="inlineStr">
        <is>
          <t>A</t>
        </is>
      </c>
      <c r="AL357" s="121" t="inlineStr">
        <is>
          <t>A+</t>
        </is>
      </c>
      <c r="AM357" s="121" t="inlineStr">
        <is>
          <t>B+</t>
        </is>
      </c>
      <c r="AN357" s="121">
        <f>IF(AI357="","",$AN$2)</f>
        <v/>
      </c>
      <c r="AO357" s="121">
        <f>IF(N357="","",IF(N357&gt;=$AO$1/100,"O","X"))</f>
        <v/>
      </c>
      <c r="AP357" s="121">
        <f>IF(I357="","",IF(I357&lt;=$AP$1,"O","X"))</f>
        <v/>
      </c>
      <c r="AQ357" s="121">
        <f>IF(O357="","",IF(O357&lt;=$AQ$1,"O","X"))</f>
        <v/>
      </c>
      <c r="AR357" s="121">
        <f>IF(M357="","",IF(M357&lt;=$AR$1,"O","X"))</f>
        <v/>
      </c>
      <c r="AS357" s="121" t="inlineStr">
        <is>
          <t>X</t>
        </is>
      </c>
      <c r="AT357" s="121">
        <f>IF(OR(F357="",AI357=""),"",IF(AND((F357&lt;=85),(AI357&gt;=15)),"O","X"))</f>
        <v/>
      </c>
      <c r="AU357" s="121">
        <f>IF(C357="","",IF(C357&gt;=$AU$1,"O","X"))</f>
        <v/>
      </c>
      <c r="AV357" s="121">
        <f>IF(AO357="","",IF(AND(AO357="O",AP357="O",AR357="O",AT357="O",AU357="O"),"후보","X"))</f>
        <v/>
      </c>
    </row>
    <row r="358" ht="24" customFormat="1" customHeight="1" s="37">
      <c r="A358" s="75" t="inlineStr">
        <is>
          <t>조촌동 e편한세상군산디오션시티</t>
        </is>
      </c>
      <c r="B358" s="76" t="inlineStr">
        <is>
          <t>18.11.</t>
        </is>
      </c>
      <c r="C358" s="130" t="n">
        <v>854</v>
      </c>
      <c r="D358" s="131" t="n">
        <v>100.4</v>
      </c>
      <c r="E358" s="132" t="n">
        <v>30</v>
      </c>
      <c r="F358" s="131" t="n">
        <v>75</v>
      </c>
      <c r="G358" s="17" t="n">
        <v>23</v>
      </c>
      <c r="H358" s="133" t="n">
        <v>174</v>
      </c>
      <c r="I358" s="134" t="n">
        <v>38500</v>
      </c>
      <c r="J358" s="134" t="inlineStr">
        <is>
          <t>6</t>
        </is>
      </c>
      <c r="K358" s="134" t="n">
        <v>28000</v>
      </c>
      <c r="L358" s="134" t="inlineStr">
        <is>
          <t>10</t>
        </is>
      </c>
      <c r="M358" s="135">
        <f>I358-K358</f>
        <v/>
      </c>
      <c r="N358" s="4">
        <f>IF(ISERROR(K358/I358),"",K358/I358)</f>
        <v/>
      </c>
      <c r="O358" s="136">
        <f>I358/E358</f>
        <v/>
      </c>
      <c r="P358" s="136">
        <f>K358/E358</f>
        <v/>
      </c>
      <c r="Q358" s="121" t="n">
        <v>3</v>
      </c>
      <c r="R358" s="121" t="n">
        <v>2</v>
      </c>
      <c r="S358" s="121" t="inlineStr">
        <is>
          <t>계</t>
        </is>
      </c>
      <c r="T358" s="5" t="inlineStr">
        <is>
          <t>100B</t>
        </is>
      </c>
      <c r="U358" s="9" t="n"/>
      <c r="W358" s="131">
        <f>D358</f>
        <v/>
      </c>
      <c r="X358" s="132">
        <f>E358</f>
        <v/>
      </c>
      <c r="Y358" s="137">
        <f>H358</f>
        <v/>
      </c>
      <c r="Z358" s="135">
        <f>I358</f>
        <v/>
      </c>
      <c r="AA358" s="135">
        <f>K358</f>
        <v/>
      </c>
      <c r="AB358" s="135">
        <f>M358</f>
        <v/>
      </c>
      <c r="AC358" s="4">
        <f>N358</f>
        <v/>
      </c>
      <c r="AD358" s="136">
        <f>O358</f>
        <v/>
      </c>
      <c r="AE358" s="121">
        <f>S358</f>
        <v/>
      </c>
      <c r="AF358" s="121">
        <f>Q358&amp;"/"&amp;R358</f>
        <v/>
      </c>
      <c r="AH358" s="20">
        <f>IF(A358="","",A358)</f>
        <v/>
      </c>
      <c r="AI358" s="132">
        <f>IF(E358="","",E358)</f>
        <v/>
      </c>
      <c r="AJ358" s="121">
        <f>IF(AI358="","",$AJ$2)</f>
        <v/>
      </c>
      <c r="AK358" s="121" t="inlineStr">
        <is>
          <t>A</t>
        </is>
      </c>
      <c r="AL358" s="121" t="inlineStr">
        <is>
          <t>A+</t>
        </is>
      </c>
      <c r="AM358" s="121" t="inlineStr">
        <is>
          <t>B+</t>
        </is>
      </c>
      <c r="AN358" s="121">
        <f>IF(AI358="","",$AN$2)</f>
        <v/>
      </c>
      <c r="AO358" s="121">
        <f>IF(N358="","",IF(N358&gt;=$AO$1/100,"O","X"))</f>
        <v/>
      </c>
      <c r="AP358" s="121">
        <f>IF(I358="","",IF(I358&lt;=$AP$1,"O","X"))</f>
        <v/>
      </c>
      <c r="AQ358" s="121">
        <f>IF(O358="","",IF(O358&lt;=$AQ$1,"O","X"))</f>
        <v/>
      </c>
      <c r="AR358" s="121">
        <f>IF(M358="","",IF(M358&lt;=$AR$1,"O","X"))</f>
        <v/>
      </c>
      <c r="AS358" s="121" t="inlineStr">
        <is>
          <t>X</t>
        </is>
      </c>
      <c r="AT358" s="121">
        <f>IF(OR(F358="",AI358=""),"",IF(AND((F358&lt;=85),(AI358&gt;=15)),"O","X"))</f>
        <v/>
      </c>
      <c r="AU358" s="121">
        <f>IF(C358="","",IF(C358&gt;=$AU$1,"O","X"))</f>
        <v/>
      </c>
      <c r="AV358" s="121">
        <f>IF(AO358="","",IF(AND(AO358="O",AP358="O",AR358="O",AT358="O",AU358="O"),"후보","X"))</f>
        <v/>
      </c>
    </row>
    <row r="359" ht="24" customFormat="1" customHeight="1" s="37">
      <c r="A359" s="75" t="inlineStr">
        <is>
          <t>조촌동 e편한세상군산디오션시티</t>
        </is>
      </c>
      <c r="B359" s="76" t="inlineStr">
        <is>
          <t>18.11.</t>
        </is>
      </c>
      <c r="C359" s="130" t="n">
        <v>854</v>
      </c>
      <c r="D359" s="131" t="n">
        <v>100.1</v>
      </c>
      <c r="E359" s="132" t="n">
        <v>30</v>
      </c>
      <c r="F359" s="131" t="n">
        <v>75</v>
      </c>
      <c r="G359" s="17" t="n">
        <v>23</v>
      </c>
      <c r="H359" s="133" t="n">
        <v>84</v>
      </c>
      <c r="I359" s="134" t="n">
        <v>43500</v>
      </c>
      <c r="J359" s="134" t="inlineStr">
        <is>
          <t>27</t>
        </is>
      </c>
      <c r="K359" s="134" t="n">
        <v>30000</v>
      </c>
      <c r="L359" s="134" t="inlineStr">
        <is>
          <t>10</t>
        </is>
      </c>
      <c r="M359" s="135">
        <f>I359-K359</f>
        <v/>
      </c>
      <c r="N359" s="4">
        <f>IF(ISERROR(K359/I359),"",K359/I359)</f>
        <v/>
      </c>
      <c r="O359" s="136">
        <f>I359/E359</f>
        <v/>
      </c>
      <c r="P359" s="136">
        <f>K359/E359</f>
        <v/>
      </c>
      <c r="Q359" s="121" t="n">
        <v>3</v>
      </c>
      <c r="R359" s="121" t="n">
        <v>2</v>
      </c>
      <c r="S359" s="121" t="inlineStr">
        <is>
          <t>계</t>
        </is>
      </c>
      <c r="T359" s="5" t="inlineStr">
        <is>
          <t>100A</t>
        </is>
      </c>
      <c r="U359" s="9" t="n"/>
      <c r="W359" s="131">
        <f>D359</f>
        <v/>
      </c>
      <c r="X359" s="132">
        <f>E359</f>
        <v/>
      </c>
      <c r="Y359" s="137">
        <f>H359</f>
        <v/>
      </c>
      <c r="Z359" s="135">
        <f>I359</f>
        <v/>
      </c>
      <c r="AA359" s="135">
        <f>K359</f>
        <v/>
      </c>
      <c r="AB359" s="135">
        <f>M359</f>
        <v/>
      </c>
      <c r="AC359" s="4">
        <f>N359</f>
        <v/>
      </c>
      <c r="AD359" s="136">
        <f>O359</f>
        <v/>
      </c>
      <c r="AE359" s="121">
        <f>S359</f>
        <v/>
      </c>
      <c r="AF359" s="121">
        <f>Q359&amp;"/"&amp;R359</f>
        <v/>
      </c>
      <c r="AH359" s="20">
        <f>IF(A359="","",A359)</f>
        <v/>
      </c>
      <c r="AI359" s="132">
        <f>IF(E359="","",E359)</f>
        <v/>
      </c>
      <c r="AJ359" s="121">
        <f>IF(AI359="","",$AJ$2)</f>
        <v/>
      </c>
      <c r="AK359" s="121" t="inlineStr">
        <is>
          <t>A</t>
        </is>
      </c>
      <c r="AL359" s="121" t="inlineStr">
        <is>
          <t>A+</t>
        </is>
      </c>
      <c r="AM359" s="121" t="inlineStr">
        <is>
          <t>B+</t>
        </is>
      </c>
      <c r="AN359" s="121">
        <f>IF(AI359="","",$AN$2)</f>
        <v/>
      </c>
      <c r="AO359" s="121">
        <f>IF(N359="","",IF(N359&gt;=$AO$1/100,"O","X"))</f>
        <v/>
      </c>
      <c r="AP359" s="121">
        <f>IF(I359="","",IF(I359&lt;=$AP$1,"O","X"))</f>
        <v/>
      </c>
      <c r="AQ359" s="121">
        <f>IF(O359="","",IF(O359&lt;=$AQ$1,"O","X"))</f>
        <v/>
      </c>
      <c r="AR359" s="121">
        <f>IF(M359="","",IF(M359&lt;=$AR$1,"O","X"))</f>
        <v/>
      </c>
      <c r="AS359" s="121" t="inlineStr">
        <is>
          <t>X</t>
        </is>
      </c>
      <c r="AT359" s="121">
        <f>IF(OR(F359="",AI359=""),"",IF(AND((F359&lt;=85),(AI359&gt;=15)),"O","X"))</f>
        <v/>
      </c>
      <c r="AU359" s="121">
        <f>IF(C359="","",IF(C359&gt;=$AU$1,"O","X"))</f>
        <v/>
      </c>
      <c r="AV359" s="121">
        <f>IF(AO359="","",IF(AND(AO359="O",AP359="O",AR359="O",AT359="O",AU359="O"),"후보","X"))</f>
        <v/>
      </c>
    </row>
    <row r="360" ht="24" customFormat="1" customHeight="1" s="37">
      <c r="A360" s="75" t="inlineStr">
        <is>
          <t>조촌동 e편한세상군산디오션시티</t>
        </is>
      </c>
      <c r="B360" s="76" t="inlineStr">
        <is>
          <t>18.11.</t>
        </is>
      </c>
      <c r="C360" s="130" t="n">
        <v>854</v>
      </c>
      <c r="D360" s="131" t="n">
        <v>113.2</v>
      </c>
      <c r="E360" s="132" t="n">
        <v>34</v>
      </c>
      <c r="F360" s="131" t="n">
        <v>85</v>
      </c>
      <c r="G360" s="17" t="n">
        <v>26</v>
      </c>
      <c r="H360" s="133" t="n">
        <v>253</v>
      </c>
      <c r="I360" s="134" t="n">
        <v>48000</v>
      </c>
      <c r="J360" s="134" t="inlineStr">
        <is>
          <t>17</t>
        </is>
      </c>
      <c r="K360" s="134" t="n">
        <v>33000</v>
      </c>
      <c r="L360" s="134" t="inlineStr">
        <is>
          <t>27</t>
        </is>
      </c>
      <c r="M360" s="135">
        <f>I360-K360</f>
        <v/>
      </c>
      <c r="N360" s="4">
        <f>IF(ISERROR(K360/I360),"",K360/I360)</f>
        <v/>
      </c>
      <c r="O360" s="136">
        <f>I360/E360</f>
        <v/>
      </c>
      <c r="P360" s="136">
        <f>K360/E360</f>
        <v/>
      </c>
      <c r="Q360" s="121" t="n">
        <v>3</v>
      </c>
      <c r="R360" s="121" t="n">
        <v>2</v>
      </c>
      <c r="S360" s="121" t="inlineStr">
        <is>
          <t>계</t>
        </is>
      </c>
      <c r="T360" s="5" t="inlineStr">
        <is>
          <t>113A</t>
        </is>
      </c>
      <c r="U360" s="9" t="n"/>
      <c r="W360" s="131">
        <f>D360</f>
        <v/>
      </c>
      <c r="X360" s="132">
        <f>E360</f>
        <v/>
      </c>
      <c r="Y360" s="137">
        <f>H360</f>
        <v/>
      </c>
      <c r="Z360" s="135">
        <f>I360</f>
        <v/>
      </c>
      <c r="AA360" s="135">
        <f>K360</f>
        <v/>
      </c>
      <c r="AB360" s="135">
        <f>M360</f>
        <v/>
      </c>
      <c r="AC360" s="4">
        <f>N360</f>
        <v/>
      </c>
      <c r="AD360" s="136">
        <f>O360</f>
        <v/>
      </c>
      <c r="AE360" s="121">
        <f>S360</f>
        <v/>
      </c>
      <c r="AF360" s="121">
        <f>Q360&amp;"/"&amp;R360</f>
        <v/>
      </c>
      <c r="AH360" s="20">
        <f>IF(A360="","",A360)</f>
        <v/>
      </c>
      <c r="AI360" s="132">
        <f>IF(E360="","",E360)</f>
        <v/>
      </c>
      <c r="AJ360" s="121">
        <f>IF(AI360="","",$AJ$2)</f>
        <v/>
      </c>
      <c r="AK360" s="121" t="inlineStr">
        <is>
          <t>A</t>
        </is>
      </c>
      <c r="AL360" s="121" t="inlineStr">
        <is>
          <t>A+</t>
        </is>
      </c>
      <c r="AM360" s="121" t="inlineStr">
        <is>
          <t>B+</t>
        </is>
      </c>
      <c r="AN360" s="121">
        <f>IF(AI360="","",$AN$2)</f>
        <v/>
      </c>
      <c r="AO360" s="121">
        <f>IF(N360="","",IF(N360&gt;=$AO$1/100,"O","X"))</f>
        <v/>
      </c>
      <c r="AP360" s="121">
        <f>IF(I360="","",IF(I360&lt;=$AP$1,"O","X"))</f>
        <v/>
      </c>
      <c r="AQ360" s="121">
        <f>IF(O360="","",IF(O360&lt;=$AQ$1,"O","X"))</f>
        <v/>
      </c>
      <c r="AR360" s="121">
        <f>IF(M360="","",IF(M360&lt;=$AR$1,"O","X"))</f>
        <v/>
      </c>
      <c r="AS360" s="121" t="inlineStr">
        <is>
          <t>X</t>
        </is>
      </c>
      <c r="AT360" s="121">
        <f>IF(OR(F360="",AI360=""),"",IF(AND((F360&lt;=85),(AI360&gt;=15)),"O","X"))</f>
        <v/>
      </c>
      <c r="AU360" s="121">
        <f>IF(C360="","",IF(C360&gt;=$AU$1,"O","X"))</f>
        <v/>
      </c>
      <c r="AV360" s="121">
        <f>IF(AO360="","",IF(AND(AO360="O",AP360="O",AR360="O",AT360="O",AU360="O"),"후보","X"))</f>
        <v/>
      </c>
    </row>
    <row r="361" ht="24" customFormat="1" customHeight="1" s="37">
      <c r="A361" s="75" t="inlineStr">
        <is>
          <t>조촌동 e편한세상군산디오션시티</t>
        </is>
      </c>
      <c r="B361" s="76" t="inlineStr">
        <is>
          <t>18.11.</t>
        </is>
      </c>
      <c r="C361" s="130" t="n">
        <v>854</v>
      </c>
      <c r="D361" s="131" t="n">
        <v>113.9</v>
      </c>
      <c r="E361" s="132" t="n">
        <v>34</v>
      </c>
      <c r="F361" s="131" t="n">
        <v>84.8</v>
      </c>
      <c r="G361" s="17" t="n">
        <v>26</v>
      </c>
      <c r="H361" s="133" t="n">
        <v>82</v>
      </c>
      <c r="I361" s="134" t="n">
        <v>47000</v>
      </c>
      <c r="J361" s="134" t="inlineStr">
        <is>
          <t>19</t>
        </is>
      </c>
      <c r="K361" s="134" t="n">
        <v>32000</v>
      </c>
      <c r="L361" s="134" t="inlineStr">
        <is>
          <t>23</t>
        </is>
      </c>
      <c r="M361" s="135">
        <f>I361-K361</f>
        <v/>
      </c>
      <c r="N361" s="4">
        <f>IF(ISERROR(K361/I361),"",K361/I361)</f>
        <v/>
      </c>
      <c r="O361" s="136">
        <f>I361/E361</f>
        <v/>
      </c>
      <c r="P361" s="136">
        <f>K361/E361</f>
        <v/>
      </c>
      <c r="Q361" s="121" t="n">
        <v>3</v>
      </c>
      <c r="R361" s="121" t="n">
        <v>2</v>
      </c>
      <c r="S361" s="121" t="inlineStr">
        <is>
          <t>계</t>
        </is>
      </c>
      <c r="T361" s="5" t="inlineStr">
        <is>
          <t>113B</t>
        </is>
      </c>
      <c r="U361" s="9" t="n"/>
      <c r="W361" s="131">
        <f>D361</f>
        <v/>
      </c>
      <c r="X361" s="132">
        <f>E361</f>
        <v/>
      </c>
      <c r="Y361" s="137">
        <f>H361</f>
        <v/>
      </c>
      <c r="Z361" s="135">
        <f>I361</f>
        <v/>
      </c>
      <c r="AA361" s="135">
        <f>K361</f>
        <v/>
      </c>
      <c r="AB361" s="135">
        <f>M361</f>
        <v/>
      </c>
      <c r="AC361" s="4">
        <f>N361</f>
        <v/>
      </c>
      <c r="AD361" s="136">
        <f>O361</f>
        <v/>
      </c>
      <c r="AE361" s="121">
        <f>S361</f>
        <v/>
      </c>
      <c r="AF361" s="121">
        <f>Q361&amp;"/"&amp;R361</f>
        <v/>
      </c>
      <c r="AH361" s="20">
        <f>IF(A361="","",A361)</f>
        <v/>
      </c>
      <c r="AI361" s="132">
        <f>IF(E361="","",E361)</f>
        <v/>
      </c>
      <c r="AJ361" s="121">
        <f>IF(AI361="","",$AJ$2)</f>
        <v/>
      </c>
      <c r="AK361" s="121" t="inlineStr">
        <is>
          <t>A</t>
        </is>
      </c>
      <c r="AL361" s="121" t="inlineStr">
        <is>
          <t>A+</t>
        </is>
      </c>
      <c r="AM361" s="121" t="inlineStr">
        <is>
          <t>B+</t>
        </is>
      </c>
      <c r="AN361" s="121">
        <f>IF(AI361="","",$AN$2)</f>
        <v/>
      </c>
      <c r="AO361" s="121">
        <f>IF(N361="","",IF(N361&gt;=$AO$1/100,"O","X"))</f>
        <v/>
      </c>
      <c r="AP361" s="121">
        <f>IF(I361="","",IF(I361&lt;=$AP$1,"O","X"))</f>
        <v/>
      </c>
      <c r="AQ361" s="121">
        <f>IF(O361="","",IF(O361&lt;=$AQ$1,"O","X"))</f>
        <v/>
      </c>
      <c r="AR361" s="121">
        <f>IF(M361="","",IF(M361&lt;=$AR$1,"O","X"))</f>
        <v/>
      </c>
      <c r="AS361" s="121" t="inlineStr">
        <is>
          <t>X</t>
        </is>
      </c>
      <c r="AT361" s="121">
        <f>IF(OR(F361="",AI361=""),"",IF(AND((F361&lt;=85),(AI361&gt;=15)),"O","X"))</f>
        <v/>
      </c>
      <c r="AU361" s="121">
        <f>IF(C361="","",IF(C361&gt;=$AU$1,"O","X"))</f>
        <v/>
      </c>
      <c r="AV361" s="121">
        <f>IF(AO361="","",IF(AND(AO361="O",AP361="O",AR361="O",AT361="O",AU361="O"),"후보","X"))</f>
        <v/>
      </c>
    </row>
    <row r="362" ht="24" customFormat="1" customHeight="1" s="37">
      <c r="A362" s="75" t="inlineStr">
        <is>
          <t>조촌동 e편한세상군산디오션시티</t>
        </is>
      </c>
      <c r="B362" s="76" t="inlineStr">
        <is>
          <t>18.11.</t>
        </is>
      </c>
      <c r="C362" s="130" t="n">
        <v>854</v>
      </c>
      <c r="D362" s="131" t="n">
        <v>140.3</v>
      </c>
      <c r="E362" s="132" t="n">
        <v>42</v>
      </c>
      <c r="F362" s="131" t="n">
        <v>106.4</v>
      </c>
      <c r="G362" s="17" t="n">
        <v>32</v>
      </c>
      <c r="H362" s="133" t="n">
        <v>87</v>
      </c>
      <c r="I362" s="134" t="n"/>
      <c r="J362" s="134" t="n"/>
      <c r="K362" s="134" t="n"/>
      <c r="L362" s="134" t="n"/>
      <c r="M362" s="135">
        <f>I362-K362</f>
        <v/>
      </c>
      <c r="N362" s="4">
        <f>IF(ISERROR(K362/I362),"",K362/I362)</f>
        <v/>
      </c>
      <c r="O362" s="136">
        <f>I362/E362</f>
        <v/>
      </c>
      <c r="P362" s="136">
        <f>K362/E362</f>
        <v/>
      </c>
      <c r="Q362" s="121" t="n">
        <v>4</v>
      </c>
      <c r="R362" s="121" t="n">
        <v>2</v>
      </c>
      <c r="S362" s="121" t="inlineStr">
        <is>
          <t>계</t>
        </is>
      </c>
      <c r="T362" s="5" t="n">
        <v>140</v>
      </c>
      <c r="U362" s="9" t="n"/>
      <c r="W362" s="131">
        <f>D362</f>
        <v/>
      </c>
      <c r="X362" s="132">
        <f>E362</f>
        <v/>
      </c>
      <c r="Y362" s="137">
        <f>H362</f>
        <v/>
      </c>
      <c r="Z362" s="135">
        <f>I362</f>
        <v/>
      </c>
      <c r="AA362" s="135">
        <f>K362</f>
        <v/>
      </c>
      <c r="AB362" s="135">
        <f>M362</f>
        <v/>
      </c>
      <c r="AC362" s="4">
        <f>N362</f>
        <v/>
      </c>
      <c r="AD362" s="136">
        <f>O362</f>
        <v/>
      </c>
      <c r="AE362" s="121">
        <f>S362</f>
        <v/>
      </c>
      <c r="AF362" s="121">
        <f>Q362&amp;"/"&amp;R362</f>
        <v/>
      </c>
      <c r="AH362" s="20">
        <f>IF(A362="","",A362)</f>
        <v/>
      </c>
      <c r="AI362" s="132">
        <f>IF(E362="","",E362)</f>
        <v/>
      </c>
      <c r="AJ362" s="121">
        <f>IF(AI362="","",$AJ$2)</f>
        <v/>
      </c>
      <c r="AK362" s="121" t="inlineStr">
        <is>
          <t>A</t>
        </is>
      </c>
      <c r="AL362" s="121" t="inlineStr">
        <is>
          <t>A+</t>
        </is>
      </c>
      <c r="AM362" s="121" t="inlineStr">
        <is>
          <t>B+</t>
        </is>
      </c>
      <c r="AN362" s="121">
        <f>IF(AI362="","",$AN$2)</f>
        <v/>
      </c>
      <c r="AO362" s="121">
        <f>IF(N362="","",IF(N362&gt;=$AO$1/100,"O","X"))</f>
        <v/>
      </c>
      <c r="AP362" s="121">
        <f>IF(I362="","",IF(I362&lt;=$AP$1,"O","X"))</f>
        <v/>
      </c>
      <c r="AQ362" s="121">
        <f>IF(O362="","",IF(O362&lt;=$AQ$1,"O","X"))</f>
        <v/>
      </c>
      <c r="AR362" s="121">
        <f>IF(M362="","",IF(M362&lt;=$AR$1,"O","X"))</f>
        <v/>
      </c>
      <c r="AS362" s="121" t="inlineStr">
        <is>
          <t>X</t>
        </is>
      </c>
      <c r="AT362" s="121">
        <f>IF(OR(F362="",AI362=""),"",IF(AND((F362&lt;=85),(AI362&gt;=15)),"O","X"))</f>
        <v/>
      </c>
      <c r="AU362" s="121">
        <f>IF(C362="","",IF(C362&gt;=$AU$1,"O","X"))</f>
        <v/>
      </c>
      <c r="AV362" s="121">
        <f>IF(AO362="","",IF(AND(AO362="O",AP362="O",AR362="O",AT362="O",AU362="O"),"후보","X"))</f>
        <v/>
      </c>
    </row>
    <row r="363" ht="12" customFormat="1" customHeight="1" s="37">
      <c r="A363" s="75" t="inlineStr">
        <is>
          <t>조촌동 시영</t>
        </is>
      </c>
      <c r="B363" s="76" t="inlineStr">
        <is>
          <t>93.12.</t>
        </is>
      </c>
      <c r="C363" s="130" t="n">
        <v>270</v>
      </c>
      <c r="D363" s="131" t="n">
        <v>66.59999999999999</v>
      </c>
      <c r="E363" s="132" t="n">
        <v>20</v>
      </c>
      <c r="F363" s="131" t="n">
        <v>49.1</v>
      </c>
      <c r="G363" s="17" t="n">
        <v>15</v>
      </c>
      <c r="H363" s="133" t="n">
        <v>150</v>
      </c>
      <c r="I363" s="134" t="n"/>
      <c r="J363" s="134" t="n"/>
      <c r="K363" s="134" t="n"/>
      <c r="L363" s="134" t="n"/>
      <c r="M363" s="135">
        <f>I363-K363</f>
        <v/>
      </c>
      <c r="N363" s="4">
        <f>IF(ISERROR(K363/I363),"",K363/I363)</f>
        <v/>
      </c>
      <c r="O363" s="136">
        <f>I363/E363</f>
        <v/>
      </c>
      <c r="P363" s="136">
        <f>K363/E363</f>
        <v/>
      </c>
      <c r="Q363" s="121" t="n">
        <v>2</v>
      </c>
      <c r="R363" s="121" t="n">
        <v>1</v>
      </c>
      <c r="S363" s="121" t="inlineStr">
        <is>
          <t>복</t>
        </is>
      </c>
      <c r="T363" s="5" t="n">
        <v>66</v>
      </c>
      <c r="U363" s="9" t="n"/>
      <c r="W363" s="131">
        <f>D363</f>
        <v/>
      </c>
      <c r="X363" s="132">
        <f>E363</f>
        <v/>
      </c>
      <c r="Y363" s="137">
        <f>H363</f>
        <v/>
      </c>
      <c r="Z363" s="135">
        <f>I363</f>
        <v/>
      </c>
      <c r="AA363" s="135">
        <f>K363</f>
        <v/>
      </c>
      <c r="AB363" s="135">
        <f>M363</f>
        <v/>
      </c>
      <c r="AC363" s="4">
        <f>N363</f>
        <v/>
      </c>
      <c r="AD363" s="136">
        <f>O363</f>
        <v/>
      </c>
      <c r="AE363" s="121">
        <f>S363</f>
        <v/>
      </c>
      <c r="AF363" s="121">
        <f>Q363&amp;"/"&amp;R363</f>
        <v/>
      </c>
      <c r="AH363" s="20">
        <f>IF(A363="","",A363)</f>
        <v/>
      </c>
      <c r="AI363" s="132">
        <f>IF(E363="","",E363)</f>
        <v/>
      </c>
      <c r="AJ363" s="121">
        <f>IF(AI363="","",$AJ$2)</f>
        <v/>
      </c>
      <c r="AK363" s="121" t="inlineStr">
        <is>
          <t>A</t>
        </is>
      </c>
      <c r="AL363" s="121" t="inlineStr">
        <is>
          <t>A+</t>
        </is>
      </c>
      <c r="AM363" s="121" t="inlineStr">
        <is>
          <t>B+</t>
        </is>
      </c>
      <c r="AN363" s="121">
        <f>IF(AI363="","",$AN$2)</f>
        <v/>
      </c>
      <c r="AO363" s="121">
        <f>IF(N363="","",IF(N363&gt;=$AO$1/100,"O","X"))</f>
        <v/>
      </c>
      <c r="AP363" s="121">
        <f>IF(I363="","",IF(I363&lt;=$AP$1,"O","X"))</f>
        <v/>
      </c>
      <c r="AQ363" s="121">
        <f>IF(O363="","",IF(O363&lt;=$AQ$1,"O","X"))</f>
        <v/>
      </c>
      <c r="AR363" s="121">
        <f>IF(M363="","",IF(M363&lt;=$AR$1,"O","X"))</f>
        <v/>
      </c>
      <c r="AS363" s="121" t="inlineStr">
        <is>
          <t>X</t>
        </is>
      </c>
      <c r="AT363" s="121">
        <f>IF(OR(F363="",AI363=""),"",IF(AND((F363&lt;=85),(AI363&gt;=15)),"O","X"))</f>
        <v/>
      </c>
      <c r="AU363" s="121">
        <f>IF(C363="","",IF(C363&gt;=$AU$1,"O","X"))</f>
        <v/>
      </c>
      <c r="AV363" s="121">
        <f>IF(AO363="","",IF(AND(AO363="O",AP363="O",AR363="O",AT363="O",AU363="O"),"후보","X"))</f>
        <v/>
      </c>
    </row>
    <row r="364" ht="12" customFormat="1" customHeight="1" s="37">
      <c r="A364" s="75" t="inlineStr">
        <is>
          <t>조촌동 시영</t>
        </is>
      </c>
      <c r="B364" s="76" t="inlineStr">
        <is>
          <t>93.12.</t>
        </is>
      </c>
      <c r="C364" s="130" t="n">
        <v>270</v>
      </c>
      <c r="D364" s="131" t="n">
        <v>79.40000000000001</v>
      </c>
      <c r="E364" s="132" t="n">
        <v>24</v>
      </c>
      <c r="F364" s="131" t="n">
        <v>59.4</v>
      </c>
      <c r="G364" s="17" t="n">
        <v>18</v>
      </c>
      <c r="H364" s="133" t="n">
        <v>120</v>
      </c>
      <c r="I364" s="134" t="n"/>
      <c r="J364" s="134" t="n"/>
      <c r="K364" s="134" t="n"/>
      <c r="L364" s="134" t="n"/>
      <c r="M364" s="135">
        <f>I364-K364</f>
        <v/>
      </c>
      <c r="N364" s="4">
        <f>IF(ISERROR(K364/I364),"",K364/I364)</f>
        <v/>
      </c>
      <c r="O364" s="136">
        <f>I364/E364</f>
        <v/>
      </c>
      <c r="P364" s="136">
        <f>K364/E364</f>
        <v/>
      </c>
      <c r="Q364" s="121" t="n">
        <v>3</v>
      </c>
      <c r="R364" s="121" t="n">
        <v>1</v>
      </c>
      <c r="S364" s="121" t="inlineStr">
        <is>
          <t>복</t>
        </is>
      </c>
      <c r="T364" s="5" t="n">
        <v>79</v>
      </c>
      <c r="U364" s="9" t="n"/>
      <c r="W364" s="131">
        <f>D364</f>
        <v/>
      </c>
      <c r="X364" s="132">
        <f>E364</f>
        <v/>
      </c>
      <c r="Y364" s="137">
        <f>H364</f>
        <v/>
      </c>
      <c r="Z364" s="135">
        <f>I364</f>
        <v/>
      </c>
      <c r="AA364" s="135">
        <f>K364</f>
        <v/>
      </c>
      <c r="AB364" s="135">
        <f>M364</f>
        <v/>
      </c>
      <c r="AC364" s="4">
        <f>N364</f>
        <v/>
      </c>
      <c r="AD364" s="136">
        <f>O364</f>
        <v/>
      </c>
      <c r="AE364" s="121">
        <f>S364</f>
        <v/>
      </c>
      <c r="AF364" s="121">
        <f>Q364&amp;"/"&amp;R364</f>
        <v/>
      </c>
      <c r="AH364" s="20">
        <f>IF(A364="","",A364)</f>
        <v/>
      </c>
      <c r="AI364" s="132">
        <f>IF(E364="","",E364)</f>
        <v/>
      </c>
      <c r="AJ364" s="121">
        <f>IF(AI364="","",$AJ$2)</f>
        <v/>
      </c>
      <c r="AK364" s="121" t="inlineStr">
        <is>
          <t>A</t>
        </is>
      </c>
      <c r="AL364" s="121" t="inlineStr">
        <is>
          <t>A+</t>
        </is>
      </c>
      <c r="AM364" s="121" t="inlineStr">
        <is>
          <t>B+</t>
        </is>
      </c>
      <c r="AN364" s="121">
        <f>IF(AI364="","",$AN$2)</f>
        <v/>
      </c>
      <c r="AO364" s="121">
        <f>IF(N364="","",IF(N364&gt;=$AO$1/100,"O","X"))</f>
        <v/>
      </c>
      <c r="AP364" s="121">
        <f>IF(I364="","",IF(I364&lt;=$AP$1,"O","X"))</f>
        <v/>
      </c>
      <c r="AQ364" s="121">
        <f>IF(O364="","",IF(O364&lt;=$AQ$1,"O","X"))</f>
        <v/>
      </c>
      <c r="AR364" s="121">
        <f>IF(M364="","",IF(M364&lt;=$AR$1,"O","X"))</f>
        <v/>
      </c>
      <c r="AS364" s="121" t="inlineStr">
        <is>
          <t>X</t>
        </is>
      </c>
      <c r="AT364" s="121">
        <f>IF(OR(F364="",AI364=""),"",IF(AND((F364&lt;=85),(AI364&gt;=15)),"O","X"))</f>
        <v/>
      </c>
      <c r="AU364" s="121">
        <f>IF(C364="","",IF(C364&gt;=$AU$1,"O","X"))</f>
        <v/>
      </c>
      <c r="AV364" s="121">
        <f>IF(AO364="","",IF(AND(AO364="O",AP364="O",AR364="O",AT364="O",AU364="O"),"후보","X"))</f>
        <v/>
      </c>
    </row>
    <row r="365" ht="12" customFormat="1" customHeight="1" s="37">
      <c r="A365" s="75" t="inlineStr">
        <is>
          <t>조촌동 더샵디오션시티2차</t>
        </is>
      </c>
      <c r="B365" s="76" t="inlineStr">
        <is>
          <t>23.07.</t>
        </is>
      </c>
      <c r="C365" s="130" t="n">
        <v>771</v>
      </c>
      <c r="D365" s="131" t="n">
        <v>109.6</v>
      </c>
      <c r="E365" s="132" t="n">
        <v>33</v>
      </c>
      <c r="F365" s="131" t="n">
        <v>85</v>
      </c>
      <c r="G365" s="17" t="n">
        <v>26</v>
      </c>
      <c r="H365" s="133" t="n">
        <v>442</v>
      </c>
      <c r="I365" s="134" t="n"/>
      <c r="J365" s="134" t="n"/>
      <c r="K365" s="134" t="n"/>
      <c r="L365" s="134" t="n"/>
      <c r="M365" s="135">
        <f>I365-K365</f>
        <v/>
      </c>
      <c r="N365" s="4">
        <f>IF(ISERROR(K365/I365),"",K365/I365)</f>
        <v/>
      </c>
      <c r="O365" s="136">
        <f>I365/E365</f>
        <v/>
      </c>
      <c r="P365" s="136">
        <f>K365/E365</f>
        <v/>
      </c>
      <c r="Q365" s="121" t="n">
        <v>3</v>
      </c>
      <c r="R365" s="121" t="n">
        <v>2</v>
      </c>
      <c r="S365" s="121" t="inlineStr">
        <is>
          <t>계</t>
        </is>
      </c>
      <c r="T365" s="5" t="inlineStr">
        <is>
          <t>109A</t>
        </is>
      </c>
      <c r="U365" s="9" t="n"/>
      <c r="W365" s="131">
        <f>D365</f>
        <v/>
      </c>
      <c r="X365" s="132">
        <f>E365</f>
        <v/>
      </c>
      <c r="Y365" s="137">
        <f>H365</f>
        <v/>
      </c>
      <c r="Z365" s="135">
        <f>I365</f>
        <v/>
      </c>
      <c r="AA365" s="135">
        <f>K365</f>
        <v/>
      </c>
      <c r="AB365" s="135">
        <f>M365</f>
        <v/>
      </c>
      <c r="AC365" s="4">
        <f>N365</f>
        <v/>
      </c>
      <c r="AD365" s="136">
        <f>O365</f>
        <v/>
      </c>
      <c r="AE365" s="121">
        <f>S365</f>
        <v/>
      </c>
      <c r="AF365" s="121">
        <f>Q365&amp;"/"&amp;R365</f>
        <v/>
      </c>
      <c r="AH365" s="20">
        <f>IF(A365="","",A365)</f>
        <v/>
      </c>
      <c r="AI365" s="132">
        <f>IF(E365="","",E365)</f>
        <v/>
      </c>
      <c r="AJ365" s="121">
        <f>IF(AI365="","",$AJ$2)</f>
        <v/>
      </c>
      <c r="AK365" s="121" t="inlineStr">
        <is>
          <t>A</t>
        </is>
      </c>
      <c r="AL365" s="121" t="inlineStr">
        <is>
          <t>A+</t>
        </is>
      </c>
      <c r="AM365" s="121" t="inlineStr">
        <is>
          <t>B+</t>
        </is>
      </c>
      <c r="AN365" s="121">
        <f>IF(AI365="","",$AN$2)</f>
        <v/>
      </c>
      <c r="AO365" s="121">
        <f>IF(N365="","",IF(N365&gt;=$AO$1/100,"O","X"))</f>
        <v/>
      </c>
      <c r="AP365" s="121">
        <f>IF(I365="","",IF(I365&lt;=$AP$1,"O","X"))</f>
        <v/>
      </c>
      <c r="AQ365" s="121">
        <f>IF(O365="","",IF(O365&lt;=$AQ$1,"O","X"))</f>
        <v/>
      </c>
      <c r="AR365" s="121">
        <f>IF(M365="","",IF(M365&lt;=$AR$1,"O","X"))</f>
        <v/>
      </c>
      <c r="AS365" s="121" t="inlineStr">
        <is>
          <t>X</t>
        </is>
      </c>
      <c r="AT365" s="121">
        <f>IF(OR(F365="",AI365=""),"",IF(AND((F365&lt;=85),(AI365&gt;=15)),"O","X"))</f>
        <v/>
      </c>
      <c r="AU365" s="121">
        <f>IF(C365="","",IF(C365&gt;=$AU$1,"O","X"))</f>
        <v/>
      </c>
      <c r="AV365" s="121">
        <f>IF(AO365="","",IF(AND(AO365="O",AP365="O",AR365="O",AT365="O",AU365="O"),"후보","X"))</f>
        <v/>
      </c>
    </row>
    <row r="366" ht="12" customFormat="1" customHeight="1" s="37">
      <c r="A366" s="75" t="inlineStr">
        <is>
          <t>조촌동 더샵디오션시티2차</t>
        </is>
      </c>
      <c r="B366" s="76" t="inlineStr">
        <is>
          <t>23.07.</t>
        </is>
      </c>
      <c r="C366" s="130" t="n">
        <v>771</v>
      </c>
      <c r="D366" s="131" t="n">
        <v>109.7</v>
      </c>
      <c r="E366" s="132" t="n">
        <v>33</v>
      </c>
      <c r="F366" s="131" t="n">
        <v>85</v>
      </c>
      <c r="G366" s="17" t="n">
        <v>26</v>
      </c>
      <c r="H366" s="133" t="n">
        <v>111</v>
      </c>
      <c r="I366" s="134" t="n"/>
      <c r="J366" s="134" t="n"/>
      <c r="K366" s="134" t="n"/>
      <c r="L366" s="134" t="n"/>
      <c r="M366" s="135">
        <f>I366-K366</f>
        <v/>
      </c>
      <c r="N366" s="4">
        <f>IF(ISERROR(K366/I366),"",K366/I366)</f>
        <v/>
      </c>
      <c r="O366" s="136">
        <f>I366/E366</f>
        <v/>
      </c>
      <c r="P366" s="136">
        <f>K366/E366</f>
        <v/>
      </c>
      <c r="Q366" s="121" t="n">
        <v>3</v>
      </c>
      <c r="R366" s="121" t="n">
        <v>2</v>
      </c>
      <c r="S366" s="121" t="inlineStr">
        <is>
          <t>계</t>
        </is>
      </c>
      <c r="T366" s="5" t="inlineStr">
        <is>
          <t>109B</t>
        </is>
      </c>
      <c r="U366" s="9" t="n"/>
      <c r="W366" s="131">
        <f>D366</f>
        <v/>
      </c>
      <c r="X366" s="132">
        <f>E366</f>
        <v/>
      </c>
      <c r="Y366" s="137">
        <f>H366</f>
        <v/>
      </c>
      <c r="Z366" s="135">
        <f>I366</f>
        <v/>
      </c>
      <c r="AA366" s="135">
        <f>K366</f>
        <v/>
      </c>
      <c r="AB366" s="135">
        <f>M366</f>
        <v/>
      </c>
      <c r="AC366" s="4">
        <f>N366</f>
        <v/>
      </c>
      <c r="AD366" s="136">
        <f>O366</f>
        <v/>
      </c>
      <c r="AE366" s="121">
        <f>S366</f>
        <v/>
      </c>
      <c r="AF366" s="121">
        <f>Q366&amp;"/"&amp;R366</f>
        <v/>
      </c>
      <c r="AH366" s="20">
        <f>IF(A366="","",A366)</f>
        <v/>
      </c>
      <c r="AI366" s="132">
        <f>IF(E366="","",E366)</f>
        <v/>
      </c>
      <c r="AJ366" s="121">
        <f>IF(AI366="","",$AJ$2)</f>
        <v/>
      </c>
      <c r="AK366" s="121" t="inlineStr">
        <is>
          <t>A</t>
        </is>
      </c>
      <c r="AL366" s="121" t="inlineStr">
        <is>
          <t>A+</t>
        </is>
      </c>
      <c r="AM366" s="121" t="inlineStr">
        <is>
          <t>B+</t>
        </is>
      </c>
      <c r="AN366" s="121">
        <f>IF(AI366="","",$AN$2)</f>
        <v/>
      </c>
      <c r="AO366" s="121">
        <f>IF(N366="","",IF(N366&gt;=$AO$1/100,"O","X"))</f>
        <v/>
      </c>
      <c r="AP366" s="121">
        <f>IF(I366="","",IF(I366&lt;=$AP$1,"O","X"))</f>
        <v/>
      </c>
      <c r="AQ366" s="121">
        <f>IF(O366="","",IF(O366&lt;=$AQ$1,"O","X"))</f>
        <v/>
      </c>
      <c r="AR366" s="121">
        <f>IF(M366="","",IF(M366&lt;=$AR$1,"O","X"))</f>
        <v/>
      </c>
      <c r="AS366" s="121" t="inlineStr">
        <is>
          <t>X</t>
        </is>
      </c>
      <c r="AT366" s="121">
        <f>IF(OR(F366="",AI366=""),"",IF(AND((F366&lt;=85),(AI366&gt;=15)),"O","X"))</f>
        <v/>
      </c>
      <c r="AU366" s="121">
        <f>IF(C366="","",IF(C366&gt;=$AU$1,"O","X"))</f>
        <v/>
      </c>
      <c r="AV366" s="121">
        <f>IF(AO366="","",IF(AND(AO366="O",AP366="O",AR366="O",AT366="O",AU366="O"),"후보","X"))</f>
        <v/>
      </c>
    </row>
    <row r="367" ht="12" customFormat="1" customHeight="1" s="37">
      <c r="A367" s="75" t="inlineStr">
        <is>
          <t>조촌동 더샵디오션시티2차</t>
        </is>
      </c>
      <c r="B367" s="76" t="inlineStr">
        <is>
          <t>23.07.</t>
        </is>
      </c>
      <c r="C367" s="130" t="n">
        <v>771</v>
      </c>
      <c r="D367" s="131" t="n">
        <v>109.7</v>
      </c>
      <c r="E367" s="132" t="n">
        <v>33</v>
      </c>
      <c r="F367" s="131" t="n">
        <v>85</v>
      </c>
      <c r="G367" s="17" t="n">
        <v>26</v>
      </c>
      <c r="H367" s="133" t="n">
        <v>36</v>
      </c>
      <c r="I367" s="134" t="n"/>
      <c r="J367" s="134" t="n"/>
      <c r="K367" s="134" t="n"/>
      <c r="L367" s="134" t="n"/>
      <c r="M367" s="135">
        <f>I367-K367</f>
        <v/>
      </c>
      <c r="N367" s="4">
        <f>IF(ISERROR(K367/I367),"",K367/I367)</f>
        <v/>
      </c>
      <c r="O367" s="136">
        <f>I367/E367</f>
        <v/>
      </c>
      <c r="P367" s="136">
        <f>K367/E367</f>
        <v/>
      </c>
      <c r="Q367" s="121" t="n">
        <v>3</v>
      </c>
      <c r="R367" s="121" t="n">
        <v>2</v>
      </c>
      <c r="S367" s="121" t="inlineStr">
        <is>
          <t>계</t>
        </is>
      </c>
      <c r="T367" s="5" t="inlineStr">
        <is>
          <t>109C</t>
        </is>
      </c>
      <c r="U367" s="9" t="n"/>
      <c r="W367" s="131">
        <f>D367</f>
        <v/>
      </c>
      <c r="X367" s="132">
        <f>E367</f>
        <v/>
      </c>
      <c r="Y367" s="137">
        <f>H367</f>
        <v/>
      </c>
      <c r="Z367" s="135">
        <f>I367</f>
        <v/>
      </c>
      <c r="AA367" s="135">
        <f>K367</f>
        <v/>
      </c>
      <c r="AB367" s="135">
        <f>M367</f>
        <v/>
      </c>
      <c r="AC367" s="4">
        <f>N367</f>
        <v/>
      </c>
      <c r="AD367" s="136">
        <f>O367</f>
        <v/>
      </c>
      <c r="AE367" s="121">
        <f>S367</f>
        <v/>
      </c>
      <c r="AF367" s="121">
        <f>Q367&amp;"/"&amp;R367</f>
        <v/>
      </c>
      <c r="AH367" s="20">
        <f>IF(A367="","",A367)</f>
        <v/>
      </c>
      <c r="AI367" s="132">
        <f>IF(E367="","",E367)</f>
        <v/>
      </c>
      <c r="AJ367" s="121">
        <f>IF(AI367="","",$AJ$2)</f>
        <v/>
      </c>
      <c r="AK367" s="121" t="inlineStr">
        <is>
          <t>A</t>
        </is>
      </c>
      <c r="AL367" s="121" t="inlineStr">
        <is>
          <t>A+</t>
        </is>
      </c>
      <c r="AM367" s="121" t="inlineStr">
        <is>
          <t>B+</t>
        </is>
      </c>
      <c r="AN367" s="121">
        <f>IF(AI367="","",$AN$2)</f>
        <v/>
      </c>
      <c r="AO367" s="121">
        <f>IF(N367="","",IF(N367&gt;=$AO$1/100,"O","X"))</f>
        <v/>
      </c>
      <c r="AP367" s="121">
        <f>IF(I367="","",IF(I367&lt;=$AP$1,"O","X"))</f>
        <v/>
      </c>
      <c r="AQ367" s="121">
        <f>IF(O367="","",IF(O367&lt;=$AQ$1,"O","X"))</f>
        <v/>
      </c>
      <c r="AR367" s="121">
        <f>IF(M367="","",IF(M367&lt;=$AR$1,"O","X"))</f>
        <v/>
      </c>
      <c r="AS367" s="121" t="inlineStr">
        <is>
          <t>X</t>
        </is>
      </c>
      <c r="AT367" s="121">
        <f>IF(OR(F367="",AI367=""),"",IF(AND((F367&lt;=85),(AI367&gt;=15)),"O","X"))</f>
        <v/>
      </c>
      <c r="AU367" s="121">
        <f>IF(C367="","",IF(C367&gt;=$AU$1,"O","X"))</f>
        <v/>
      </c>
      <c r="AV367" s="121">
        <f>IF(AO367="","",IF(AND(AO367="O",AP367="O",AR367="O",AT367="O",AU367="O"),"후보","X"))</f>
        <v/>
      </c>
    </row>
    <row r="368" ht="12" customFormat="1" customHeight="1" s="37">
      <c r="A368" s="75" t="inlineStr">
        <is>
          <t>조촌동 더샵디오션시티2차</t>
        </is>
      </c>
      <c r="B368" s="76" t="inlineStr">
        <is>
          <t>23.07.</t>
        </is>
      </c>
      <c r="C368" s="130" t="n">
        <v>771</v>
      </c>
      <c r="D368" s="131" t="n">
        <v>135.4</v>
      </c>
      <c r="E368" s="132" t="n">
        <v>41</v>
      </c>
      <c r="F368" s="131" t="n">
        <v>107</v>
      </c>
      <c r="G368" s="17" t="n">
        <v>32</v>
      </c>
      <c r="H368" s="133" t="n">
        <v>125</v>
      </c>
      <c r="I368" s="134" t="n"/>
      <c r="J368" s="134" t="n"/>
      <c r="K368" s="134" t="n"/>
      <c r="L368" s="134" t="n"/>
      <c r="M368" s="135">
        <f>I368-K368</f>
        <v/>
      </c>
      <c r="N368" s="4">
        <f>IF(ISERROR(K368/I368),"",K368/I368)</f>
        <v/>
      </c>
      <c r="O368" s="136">
        <f>I368/E368</f>
        <v/>
      </c>
      <c r="P368" s="136">
        <f>K368/E368</f>
        <v/>
      </c>
      <c r="Q368" s="121" t="n">
        <v>4</v>
      </c>
      <c r="R368" s="121" t="n">
        <v>2</v>
      </c>
      <c r="S368" s="121" t="inlineStr">
        <is>
          <t>계</t>
        </is>
      </c>
      <c r="T368" s="5" t="n">
        <v>135</v>
      </c>
      <c r="U368" s="9" t="n"/>
      <c r="W368" s="131">
        <f>D368</f>
        <v/>
      </c>
      <c r="X368" s="132">
        <f>E368</f>
        <v/>
      </c>
      <c r="Y368" s="137">
        <f>H368</f>
        <v/>
      </c>
      <c r="Z368" s="135">
        <f>I368</f>
        <v/>
      </c>
      <c r="AA368" s="135">
        <f>K368</f>
        <v/>
      </c>
      <c r="AB368" s="135">
        <f>M368</f>
        <v/>
      </c>
      <c r="AC368" s="4">
        <f>N368</f>
        <v/>
      </c>
      <c r="AD368" s="136">
        <f>O368</f>
        <v/>
      </c>
      <c r="AE368" s="121">
        <f>S368</f>
        <v/>
      </c>
      <c r="AF368" s="121">
        <f>Q368&amp;"/"&amp;R368</f>
        <v/>
      </c>
      <c r="AH368" s="20">
        <f>IF(A368="","",A368)</f>
        <v/>
      </c>
      <c r="AI368" s="132">
        <f>IF(E368="","",E368)</f>
        <v/>
      </c>
      <c r="AJ368" s="121">
        <f>IF(AI368="","",$AJ$2)</f>
        <v/>
      </c>
      <c r="AK368" s="121" t="inlineStr">
        <is>
          <t>A</t>
        </is>
      </c>
      <c r="AL368" s="121" t="inlineStr">
        <is>
          <t>A+</t>
        </is>
      </c>
      <c r="AM368" s="121" t="inlineStr">
        <is>
          <t>B+</t>
        </is>
      </c>
      <c r="AN368" s="121">
        <f>IF(AI368="","",$AN$2)</f>
        <v/>
      </c>
      <c r="AO368" s="121">
        <f>IF(N368="","",IF(N368&gt;=$AO$1/100,"O","X"))</f>
        <v/>
      </c>
      <c r="AP368" s="121">
        <f>IF(I368="","",IF(I368&lt;=$AP$1,"O","X"))</f>
        <v/>
      </c>
      <c r="AQ368" s="121">
        <f>IF(O368="","",IF(O368&lt;=$AQ$1,"O","X"))</f>
        <v/>
      </c>
      <c r="AR368" s="121">
        <f>IF(M368="","",IF(M368&lt;=$AR$1,"O","X"))</f>
        <v/>
      </c>
      <c r="AS368" s="121" t="inlineStr">
        <is>
          <t>X</t>
        </is>
      </c>
      <c r="AT368" s="121">
        <f>IF(OR(F368="",AI368=""),"",IF(AND((F368&lt;=85),(AI368&gt;=15)),"O","X"))</f>
        <v/>
      </c>
      <c r="AU368" s="121">
        <f>IF(C368="","",IF(C368&gt;=$AU$1,"O","X"))</f>
        <v/>
      </c>
      <c r="AV368" s="121">
        <f>IF(AO368="","",IF(AND(AO368="O",AP368="O",AR368="O",AT368="O",AU368="O"),"후보","X"))</f>
        <v/>
      </c>
    </row>
    <row r="369" ht="12" customFormat="1" customHeight="1" s="37">
      <c r="A369" s="75" t="inlineStr">
        <is>
          <t>조촌동 더샵디오션시티2차</t>
        </is>
      </c>
      <c r="B369" s="76" t="inlineStr">
        <is>
          <t>23.07.</t>
        </is>
      </c>
      <c r="C369" s="130" t="n">
        <v>771</v>
      </c>
      <c r="D369" s="131" t="n">
        <v>158</v>
      </c>
      <c r="E369" s="132" t="n">
        <v>48</v>
      </c>
      <c r="F369" s="131" t="n">
        <v>124.9</v>
      </c>
      <c r="G369" s="17" t="n">
        <v>38</v>
      </c>
      <c r="H369" s="133" t="n">
        <v>54</v>
      </c>
      <c r="I369" s="134" t="n"/>
      <c r="J369" s="134" t="n"/>
      <c r="K369" s="134" t="n"/>
      <c r="L369" s="134" t="n"/>
      <c r="M369" s="135">
        <f>I369-K369</f>
        <v/>
      </c>
      <c r="N369" s="4">
        <f>IF(ISERROR(K369/I369),"",K369/I369)</f>
        <v/>
      </c>
      <c r="O369" s="136">
        <f>I369/E369</f>
        <v/>
      </c>
      <c r="P369" s="136">
        <f>K369/E369</f>
        <v/>
      </c>
      <c r="Q369" s="121" t="n">
        <v>4</v>
      </c>
      <c r="R369" s="121" t="n">
        <v>2</v>
      </c>
      <c r="S369" s="121" t="inlineStr">
        <is>
          <t>계</t>
        </is>
      </c>
      <c r="T369" s="5" t="n">
        <v>158</v>
      </c>
      <c r="U369" s="9" t="n"/>
      <c r="W369" s="131">
        <f>D369</f>
        <v/>
      </c>
      <c r="X369" s="132">
        <f>E369</f>
        <v/>
      </c>
      <c r="Y369" s="137">
        <f>H369</f>
        <v/>
      </c>
      <c r="Z369" s="135">
        <f>I369</f>
        <v/>
      </c>
      <c r="AA369" s="135">
        <f>K369</f>
        <v/>
      </c>
      <c r="AB369" s="135">
        <f>M369</f>
        <v/>
      </c>
      <c r="AC369" s="4">
        <f>N369</f>
        <v/>
      </c>
      <c r="AD369" s="136">
        <f>O369</f>
        <v/>
      </c>
      <c r="AE369" s="121">
        <f>S369</f>
        <v/>
      </c>
      <c r="AF369" s="121">
        <f>Q369&amp;"/"&amp;R369</f>
        <v/>
      </c>
      <c r="AH369" s="20">
        <f>IF(A369="","",A369)</f>
        <v/>
      </c>
      <c r="AI369" s="132">
        <f>IF(E369="","",E369)</f>
        <v/>
      </c>
      <c r="AJ369" s="121">
        <f>IF(AI369="","",$AJ$2)</f>
        <v/>
      </c>
      <c r="AK369" s="121" t="inlineStr">
        <is>
          <t>A</t>
        </is>
      </c>
      <c r="AL369" s="121" t="inlineStr">
        <is>
          <t>A+</t>
        </is>
      </c>
      <c r="AM369" s="121" t="inlineStr">
        <is>
          <t>B+</t>
        </is>
      </c>
      <c r="AN369" s="121">
        <f>IF(AI369="","",$AN$2)</f>
        <v/>
      </c>
      <c r="AO369" s="121">
        <f>IF(N369="","",IF(N369&gt;=$AO$1/100,"O","X"))</f>
        <v/>
      </c>
      <c r="AP369" s="121">
        <f>IF(I369="","",IF(I369&lt;=$AP$1,"O","X"))</f>
        <v/>
      </c>
      <c r="AQ369" s="121">
        <f>IF(O369="","",IF(O369&lt;=$AQ$1,"O","X"))</f>
        <v/>
      </c>
      <c r="AR369" s="121">
        <f>IF(M369="","",IF(M369&lt;=$AR$1,"O","X"))</f>
        <v/>
      </c>
      <c r="AS369" s="121" t="inlineStr">
        <is>
          <t>X</t>
        </is>
      </c>
      <c r="AT369" s="121">
        <f>IF(OR(F369="",AI369=""),"",IF(AND((F369&lt;=85),(AI369&gt;=15)),"O","X"))</f>
        <v/>
      </c>
      <c r="AU369" s="121">
        <f>IF(C369="","",IF(C369&gt;=$AU$1,"O","X"))</f>
        <v/>
      </c>
      <c r="AV369" s="121">
        <f>IF(AO369="","",IF(AND(AO369="O",AP369="O",AR369="O",AT369="O",AU369="O"),"후보","X"))</f>
        <v/>
      </c>
    </row>
    <row r="370" ht="12" customFormat="1" customHeight="1" s="37">
      <c r="A370" s="75" t="inlineStr">
        <is>
          <t>조촌동 더샵디오션시티2차</t>
        </is>
      </c>
      <c r="B370" s="76" t="inlineStr">
        <is>
          <t>23.07.</t>
        </is>
      </c>
      <c r="C370" s="130" t="n">
        <v>771</v>
      </c>
      <c r="D370" s="131" t="n">
        <v>184.4</v>
      </c>
      <c r="E370" s="132" t="n">
        <v>56</v>
      </c>
      <c r="F370" s="131" t="n">
        <v>143.1</v>
      </c>
      <c r="G370" s="17" t="n">
        <v>43</v>
      </c>
      <c r="H370" s="133" t="n">
        <v>1</v>
      </c>
      <c r="I370" s="134" t="n"/>
      <c r="J370" s="134" t="n"/>
      <c r="K370" s="134" t="n"/>
      <c r="L370" s="134" t="n"/>
      <c r="M370" s="135">
        <f>I370-K370</f>
        <v/>
      </c>
      <c r="N370" s="4">
        <f>IF(ISERROR(K370/I370),"",K370/I370)</f>
        <v/>
      </c>
      <c r="O370" s="136">
        <f>I370/E370</f>
        <v/>
      </c>
      <c r="P370" s="136">
        <f>K370/E370</f>
        <v/>
      </c>
      <c r="Q370" s="121" t="n">
        <v>4</v>
      </c>
      <c r="R370" s="121" t="n">
        <v>3</v>
      </c>
      <c r="S370" s="121" t="inlineStr">
        <is>
          <t>계</t>
        </is>
      </c>
      <c r="T370" s="5" t="n">
        <v>184</v>
      </c>
      <c r="U370" s="9" t="n"/>
      <c r="W370" s="131">
        <f>D370</f>
        <v/>
      </c>
      <c r="X370" s="132">
        <f>E370</f>
        <v/>
      </c>
      <c r="Y370" s="137">
        <f>H370</f>
        <v/>
      </c>
      <c r="Z370" s="135">
        <f>I370</f>
        <v/>
      </c>
      <c r="AA370" s="135">
        <f>K370</f>
        <v/>
      </c>
      <c r="AB370" s="135">
        <f>M370</f>
        <v/>
      </c>
      <c r="AC370" s="4">
        <f>N370</f>
        <v/>
      </c>
      <c r="AD370" s="136">
        <f>O370</f>
        <v/>
      </c>
      <c r="AE370" s="121">
        <f>S370</f>
        <v/>
      </c>
      <c r="AF370" s="121">
        <f>Q370&amp;"/"&amp;R370</f>
        <v/>
      </c>
      <c r="AH370" s="20">
        <f>IF(A370="","",A370)</f>
        <v/>
      </c>
      <c r="AI370" s="132">
        <f>IF(E370="","",E370)</f>
        <v/>
      </c>
      <c r="AJ370" s="121">
        <f>IF(AI370="","",$AJ$2)</f>
        <v/>
      </c>
      <c r="AK370" s="121" t="inlineStr">
        <is>
          <t>A</t>
        </is>
      </c>
      <c r="AL370" s="121" t="inlineStr">
        <is>
          <t>A+</t>
        </is>
      </c>
      <c r="AM370" s="121" t="inlineStr">
        <is>
          <t>B+</t>
        </is>
      </c>
      <c r="AN370" s="121">
        <f>IF(AI370="","",$AN$2)</f>
        <v/>
      </c>
      <c r="AO370" s="121">
        <f>IF(N370="","",IF(N370&gt;=$AO$1/100,"O","X"))</f>
        <v/>
      </c>
      <c r="AP370" s="121">
        <f>IF(I370="","",IF(I370&lt;=$AP$1,"O","X"))</f>
        <v/>
      </c>
      <c r="AQ370" s="121">
        <f>IF(O370="","",IF(O370&lt;=$AQ$1,"O","X"))</f>
        <v/>
      </c>
      <c r="AR370" s="121">
        <f>IF(M370="","",IF(M370&lt;=$AR$1,"O","X"))</f>
        <v/>
      </c>
      <c r="AS370" s="121" t="inlineStr">
        <is>
          <t>X</t>
        </is>
      </c>
      <c r="AT370" s="121">
        <f>IF(OR(F370="",AI370=""),"",IF(AND((F370&lt;=85),(AI370&gt;=15)),"O","X"))</f>
        <v/>
      </c>
      <c r="AU370" s="121">
        <f>IF(C370="","",IF(C370&gt;=$AU$1,"O","X"))</f>
        <v/>
      </c>
      <c r="AV370" s="121">
        <f>IF(AO370="","",IF(AND(AO370="O",AP370="O",AR370="O",AT370="O",AU370="O"),"후보","X"))</f>
        <v/>
      </c>
    </row>
    <row r="371" ht="12" customFormat="1" customHeight="1" s="37">
      <c r="A371" s="75" t="inlineStr">
        <is>
          <t>조촌동 더샵디오션시티2차</t>
        </is>
      </c>
      <c r="B371" s="76" t="inlineStr">
        <is>
          <t>23.07.</t>
        </is>
      </c>
      <c r="C371" s="130" t="n">
        <v>771</v>
      </c>
      <c r="D371" s="131" t="n">
        <v>197.5</v>
      </c>
      <c r="E371" s="132" t="n">
        <v>60</v>
      </c>
      <c r="F371" s="131" t="n">
        <v>155</v>
      </c>
      <c r="G371" s="17" t="n">
        <v>47</v>
      </c>
      <c r="H371" s="133" t="n">
        <v>2</v>
      </c>
      <c r="I371" s="134" t="n"/>
      <c r="J371" s="134" t="n"/>
      <c r="K371" s="134" t="n"/>
      <c r="L371" s="134" t="n"/>
      <c r="M371" s="135">
        <f>I371-K371</f>
        <v/>
      </c>
      <c r="N371" s="4">
        <f>IF(ISERROR(K371/I371),"",K371/I371)</f>
        <v/>
      </c>
      <c r="O371" s="136">
        <f>I371/E371</f>
        <v/>
      </c>
      <c r="P371" s="136">
        <f>K371/E371</f>
        <v/>
      </c>
      <c r="Q371" s="121" t="n">
        <v>5</v>
      </c>
      <c r="R371" s="121" t="n">
        <v>3</v>
      </c>
      <c r="S371" s="121" t="inlineStr">
        <is>
          <t>계</t>
        </is>
      </c>
      <c r="T371" s="5" t="n">
        <v>197</v>
      </c>
      <c r="U371" s="9" t="n"/>
      <c r="W371" s="131">
        <f>D371</f>
        <v/>
      </c>
      <c r="X371" s="132">
        <f>E371</f>
        <v/>
      </c>
      <c r="Y371" s="137">
        <f>H371</f>
        <v/>
      </c>
      <c r="Z371" s="135">
        <f>I371</f>
        <v/>
      </c>
      <c r="AA371" s="135">
        <f>K371</f>
        <v/>
      </c>
      <c r="AB371" s="135">
        <f>M371</f>
        <v/>
      </c>
      <c r="AC371" s="4">
        <f>N371</f>
        <v/>
      </c>
      <c r="AD371" s="136">
        <f>O371</f>
        <v/>
      </c>
      <c r="AE371" s="121">
        <f>S371</f>
        <v/>
      </c>
      <c r="AF371" s="121">
        <f>Q371&amp;"/"&amp;R371</f>
        <v/>
      </c>
      <c r="AH371" s="20">
        <f>IF(A371="","",A371)</f>
        <v/>
      </c>
      <c r="AI371" s="132">
        <f>IF(E371="","",E371)</f>
        <v/>
      </c>
      <c r="AJ371" s="121">
        <f>IF(AI371="","",$AJ$2)</f>
        <v/>
      </c>
      <c r="AK371" s="121" t="inlineStr">
        <is>
          <t>A</t>
        </is>
      </c>
      <c r="AL371" s="121" t="inlineStr">
        <is>
          <t>A+</t>
        </is>
      </c>
      <c r="AM371" s="121" t="inlineStr">
        <is>
          <t>B+</t>
        </is>
      </c>
      <c r="AN371" s="121">
        <f>IF(AI371="","",$AN$2)</f>
        <v/>
      </c>
      <c r="AO371" s="121">
        <f>IF(N371="","",IF(N371&gt;=$AO$1/100,"O","X"))</f>
        <v/>
      </c>
      <c r="AP371" s="121">
        <f>IF(I371="","",IF(I371&lt;=$AP$1,"O","X"))</f>
        <v/>
      </c>
      <c r="AQ371" s="121">
        <f>IF(O371="","",IF(O371&lt;=$AQ$1,"O","X"))</f>
        <v/>
      </c>
      <c r="AR371" s="121">
        <f>IF(M371="","",IF(M371&lt;=$AR$1,"O","X"))</f>
        <v/>
      </c>
      <c r="AS371" s="121" t="inlineStr">
        <is>
          <t>X</t>
        </is>
      </c>
      <c r="AT371" s="121">
        <f>IF(OR(F371="",AI371=""),"",IF(AND((F371&lt;=85),(AI371&gt;=15)),"O","X"))</f>
        <v/>
      </c>
      <c r="AU371" s="121">
        <f>IF(C371="","",IF(C371&gt;=$AU$1,"O","X"))</f>
        <v/>
      </c>
      <c r="AV371" s="121">
        <f>IF(AO371="","",IF(AND(AO371="O",AP371="O",AR371="O",AT371="O",AU371="O"),"후보","X"))</f>
        <v/>
      </c>
    </row>
    <row r="372" ht="12" customFormat="1" customHeight="1" s="37">
      <c r="A372" s="75" t="inlineStr">
        <is>
          <t>조촌동 동신개나리</t>
        </is>
      </c>
      <c r="B372" s="76" t="inlineStr">
        <is>
          <t>95.12.</t>
        </is>
      </c>
      <c r="C372" s="130" t="n">
        <v>383</v>
      </c>
      <c r="D372" s="131" t="n">
        <v>60.5</v>
      </c>
      <c r="E372" s="132" t="n">
        <v>18</v>
      </c>
      <c r="F372" s="131" t="n">
        <v>47.6</v>
      </c>
      <c r="G372" s="17" t="n">
        <v>14</v>
      </c>
      <c r="H372" s="133" t="n">
        <v>120</v>
      </c>
      <c r="I372" s="134" t="n">
        <v>6500</v>
      </c>
      <c r="J372" s="134" t="inlineStr">
        <is>
          <t>13</t>
        </is>
      </c>
      <c r="K372" s="134" t="n"/>
      <c r="L372" s="134" t="n"/>
      <c r="M372" s="135">
        <f>I372-K372</f>
        <v/>
      </c>
      <c r="N372" s="4">
        <f>IF(ISERROR(K372/I372),"",K372/I372)</f>
        <v/>
      </c>
      <c r="O372" s="136">
        <f>I372/E372</f>
        <v/>
      </c>
      <c r="P372" s="136">
        <f>K372/E372</f>
        <v/>
      </c>
      <c r="Q372" s="121" t="n">
        <v>3</v>
      </c>
      <c r="R372" s="121" t="n">
        <v>1</v>
      </c>
      <c r="S372" s="121" t="inlineStr">
        <is>
          <t>계</t>
        </is>
      </c>
      <c r="T372" s="5" t="n">
        <v>60</v>
      </c>
      <c r="U372" s="9" t="n"/>
      <c r="W372" s="131">
        <f>D372</f>
        <v/>
      </c>
      <c r="X372" s="132">
        <f>E372</f>
        <v/>
      </c>
      <c r="Y372" s="137">
        <f>H372</f>
        <v/>
      </c>
      <c r="Z372" s="135">
        <f>I372</f>
        <v/>
      </c>
      <c r="AA372" s="135">
        <f>K372</f>
        <v/>
      </c>
      <c r="AB372" s="135">
        <f>M372</f>
        <v/>
      </c>
      <c r="AC372" s="4">
        <f>N372</f>
        <v/>
      </c>
      <c r="AD372" s="136">
        <f>O372</f>
        <v/>
      </c>
      <c r="AE372" s="121">
        <f>S372</f>
        <v/>
      </c>
      <c r="AF372" s="121">
        <f>Q372&amp;"/"&amp;R372</f>
        <v/>
      </c>
      <c r="AH372" s="20">
        <f>IF(A372="","",A372)</f>
        <v/>
      </c>
      <c r="AI372" s="132">
        <f>IF(E372="","",E372)</f>
        <v/>
      </c>
      <c r="AJ372" s="121">
        <f>IF(AI372="","",$AJ$2)</f>
        <v/>
      </c>
      <c r="AK372" s="121" t="inlineStr">
        <is>
          <t>A</t>
        </is>
      </c>
      <c r="AL372" s="121" t="inlineStr">
        <is>
          <t>A+</t>
        </is>
      </c>
      <c r="AM372" s="121" t="inlineStr">
        <is>
          <t>B+</t>
        </is>
      </c>
      <c r="AN372" s="121">
        <f>IF(AI372="","",$AN$2)</f>
        <v/>
      </c>
      <c r="AO372" s="121">
        <f>IF(N372="","",IF(N372&gt;=$AO$1/100,"O","X"))</f>
        <v/>
      </c>
      <c r="AP372" s="121">
        <f>IF(I372="","",IF(I372&lt;=$AP$1,"O","X"))</f>
        <v/>
      </c>
      <c r="AQ372" s="121">
        <f>IF(O372="","",IF(O372&lt;=$AQ$1,"O","X"))</f>
        <v/>
      </c>
      <c r="AR372" s="121">
        <f>IF(M372="","",IF(M372&lt;=$AR$1,"O","X"))</f>
        <v/>
      </c>
      <c r="AS372" s="121" t="inlineStr">
        <is>
          <t>X</t>
        </is>
      </c>
      <c r="AT372" s="121">
        <f>IF(OR(F372="",AI372=""),"",IF(AND((F372&lt;=85),(AI372&gt;=15)),"O","X"))</f>
        <v/>
      </c>
      <c r="AU372" s="121">
        <f>IF(C372="","",IF(C372&gt;=$AU$1,"O","X"))</f>
        <v/>
      </c>
      <c r="AV372" s="121">
        <f>IF(AO372="","",IF(AND(AO372="O",AP372="O",AR372="O",AT372="O",AU372="O"),"후보","X"))</f>
        <v/>
      </c>
    </row>
    <row r="373" ht="12" customFormat="1" customHeight="1" s="37">
      <c r="A373" s="75" t="inlineStr">
        <is>
          <t>조촌동 동신개나리</t>
        </is>
      </c>
      <c r="B373" s="76" t="inlineStr">
        <is>
          <t>95.12.</t>
        </is>
      </c>
      <c r="C373" s="130" t="n">
        <v>383</v>
      </c>
      <c r="D373" s="131" t="n">
        <v>76</v>
      </c>
      <c r="E373" s="132" t="n">
        <v>23</v>
      </c>
      <c r="F373" s="131" t="n">
        <v>59.8</v>
      </c>
      <c r="G373" s="17" t="n">
        <v>18</v>
      </c>
      <c r="H373" s="133" t="n">
        <v>263</v>
      </c>
      <c r="I373" s="134" t="n">
        <v>8000</v>
      </c>
      <c r="J373" s="134" t="inlineStr">
        <is>
          <t>12</t>
        </is>
      </c>
      <c r="K373" s="134" t="n">
        <v>7500</v>
      </c>
      <c r="L373" s="134" t="inlineStr">
        <is>
          <t>9</t>
        </is>
      </c>
      <c r="M373" s="135">
        <f>I373-K373</f>
        <v/>
      </c>
      <c r="N373" s="4">
        <f>IF(ISERROR(K373/I373),"",K373/I373)</f>
        <v/>
      </c>
      <c r="O373" s="136">
        <f>I373/E373</f>
        <v/>
      </c>
      <c r="P373" s="136">
        <f>K373/E373</f>
        <v/>
      </c>
      <c r="Q373" s="121" t="n">
        <v>3</v>
      </c>
      <c r="R373" s="121" t="n">
        <v>1</v>
      </c>
      <c r="S373" s="121" t="inlineStr">
        <is>
          <t>계</t>
        </is>
      </c>
      <c r="T373" s="5" t="n">
        <v>76</v>
      </c>
      <c r="U373" s="9" t="n"/>
      <c r="W373" s="131">
        <f>D373</f>
        <v/>
      </c>
      <c r="X373" s="132">
        <f>E373</f>
        <v/>
      </c>
      <c r="Y373" s="137">
        <f>H373</f>
        <v/>
      </c>
      <c r="Z373" s="135">
        <f>I373</f>
        <v/>
      </c>
      <c r="AA373" s="135">
        <f>K373</f>
        <v/>
      </c>
      <c r="AB373" s="135">
        <f>M373</f>
        <v/>
      </c>
      <c r="AC373" s="4">
        <f>N373</f>
        <v/>
      </c>
      <c r="AD373" s="136">
        <f>O373</f>
        <v/>
      </c>
      <c r="AE373" s="121">
        <f>S373</f>
        <v/>
      </c>
      <c r="AF373" s="121">
        <f>Q373&amp;"/"&amp;R373</f>
        <v/>
      </c>
      <c r="AH373" s="20">
        <f>IF(A373="","",A373)</f>
        <v/>
      </c>
      <c r="AI373" s="132">
        <f>IF(E373="","",E373)</f>
        <v/>
      </c>
      <c r="AJ373" s="121">
        <f>IF(AI373="","",$AJ$2)</f>
        <v/>
      </c>
      <c r="AK373" s="121" t="inlineStr">
        <is>
          <t>A</t>
        </is>
      </c>
      <c r="AL373" s="121" t="inlineStr">
        <is>
          <t>A+</t>
        </is>
      </c>
      <c r="AM373" s="121" t="inlineStr">
        <is>
          <t>B+</t>
        </is>
      </c>
      <c r="AN373" s="121">
        <f>IF(AI373="","",$AN$2)</f>
        <v/>
      </c>
      <c r="AO373" s="121">
        <f>IF(N373="","",IF(N373&gt;=$AO$1/100,"O","X"))</f>
        <v/>
      </c>
      <c r="AP373" s="121">
        <f>IF(I373="","",IF(I373&lt;=$AP$1,"O","X"))</f>
        <v/>
      </c>
      <c r="AQ373" s="121">
        <f>IF(O373="","",IF(O373&lt;=$AQ$1,"O","X"))</f>
        <v/>
      </c>
      <c r="AR373" s="121">
        <f>IF(M373="","",IF(M373&lt;=$AR$1,"O","X"))</f>
        <v/>
      </c>
      <c r="AS373" s="121" t="inlineStr">
        <is>
          <t>X</t>
        </is>
      </c>
      <c r="AT373" s="121">
        <f>IF(OR(F373="",AI373=""),"",IF(AND((F373&lt;=85),(AI373&gt;=15)),"O","X"))</f>
        <v/>
      </c>
      <c r="AU373" s="121">
        <f>IF(C373="","",IF(C373&gt;=$AU$1,"O","X"))</f>
        <v/>
      </c>
      <c r="AV373" s="121">
        <f>IF(AO373="","",IF(AND(AO373="O",AP373="O",AR373="O",AT373="O",AU373="O"),"후보","X"))</f>
        <v/>
      </c>
    </row>
    <row r="374" ht="12" customFormat="1" customHeight="1" s="37">
      <c r="A374" s="75" t="inlineStr">
        <is>
          <t>조촌동 센트럴파크</t>
        </is>
      </c>
      <c r="B374" s="76" t="inlineStr">
        <is>
          <t>17.10.</t>
        </is>
      </c>
      <c r="C374" s="130" t="n">
        <v>480</v>
      </c>
      <c r="D374" s="131" t="n">
        <v>110.7</v>
      </c>
      <c r="E374" s="132" t="n">
        <v>33</v>
      </c>
      <c r="F374" s="131" t="n">
        <v>84.90000000000001</v>
      </c>
      <c r="G374" s="17" t="n">
        <v>26</v>
      </c>
      <c r="H374" s="133" t="n">
        <v>251</v>
      </c>
      <c r="I374" s="134" t="n">
        <v>27500</v>
      </c>
      <c r="J374" s="134" t="inlineStr">
        <is>
          <t>31</t>
        </is>
      </c>
      <c r="K374" s="134" t="n">
        <v>23000</v>
      </c>
      <c r="L374" s="134" t="inlineStr">
        <is>
          <t>9</t>
        </is>
      </c>
      <c r="M374" s="135">
        <f>I374-K374</f>
        <v/>
      </c>
      <c r="N374" s="4">
        <f>IF(ISERROR(K374/I374),"",K374/I374)</f>
        <v/>
      </c>
      <c r="O374" s="136">
        <f>I374/E374</f>
        <v/>
      </c>
      <c r="P374" s="136">
        <f>K374/E374</f>
        <v/>
      </c>
      <c r="Q374" s="121" t="n">
        <v>3</v>
      </c>
      <c r="R374" s="121" t="n">
        <v>2</v>
      </c>
      <c r="S374" s="121" t="inlineStr">
        <is>
          <t>계</t>
        </is>
      </c>
      <c r="T374" s="5" t="inlineStr">
        <is>
          <t>110A</t>
        </is>
      </c>
      <c r="U374" s="9" t="n"/>
      <c r="W374" s="131">
        <f>D374</f>
        <v/>
      </c>
      <c r="X374" s="132">
        <f>E374</f>
        <v/>
      </c>
      <c r="Y374" s="137">
        <f>H374</f>
        <v/>
      </c>
      <c r="Z374" s="135">
        <f>I374</f>
        <v/>
      </c>
      <c r="AA374" s="135">
        <f>K374</f>
        <v/>
      </c>
      <c r="AB374" s="135">
        <f>M374</f>
        <v/>
      </c>
      <c r="AC374" s="4">
        <f>N374</f>
        <v/>
      </c>
      <c r="AD374" s="136">
        <f>O374</f>
        <v/>
      </c>
      <c r="AE374" s="121">
        <f>S374</f>
        <v/>
      </c>
      <c r="AF374" s="121">
        <f>Q374&amp;"/"&amp;R374</f>
        <v/>
      </c>
      <c r="AH374" s="20">
        <f>IF(A374="","",A374)</f>
        <v/>
      </c>
      <c r="AI374" s="132">
        <f>IF(E374="","",E374)</f>
        <v/>
      </c>
      <c r="AJ374" s="121">
        <f>IF(AI374="","",$AJ$2)</f>
        <v/>
      </c>
      <c r="AK374" s="121" t="inlineStr">
        <is>
          <t>A</t>
        </is>
      </c>
      <c r="AL374" s="121" t="inlineStr">
        <is>
          <t>A+</t>
        </is>
      </c>
      <c r="AM374" s="121" t="inlineStr">
        <is>
          <t>B+</t>
        </is>
      </c>
      <c r="AN374" s="121">
        <f>IF(AI374="","",$AN$2)</f>
        <v/>
      </c>
      <c r="AO374" s="121">
        <f>IF(N374="","",IF(N374&gt;=$AO$1/100,"O","X"))</f>
        <v/>
      </c>
      <c r="AP374" s="121">
        <f>IF(I374="","",IF(I374&lt;=$AP$1,"O","X"))</f>
        <v/>
      </c>
      <c r="AQ374" s="121">
        <f>IF(O374="","",IF(O374&lt;=$AQ$1,"O","X"))</f>
        <v/>
      </c>
      <c r="AR374" s="121">
        <f>IF(M374="","",IF(M374&lt;=$AR$1,"O","X"))</f>
        <v/>
      </c>
      <c r="AS374" s="121" t="inlineStr">
        <is>
          <t>X</t>
        </is>
      </c>
      <c r="AT374" s="121">
        <f>IF(OR(F374="",AI374=""),"",IF(AND((F374&lt;=85),(AI374&gt;=15)),"O","X"))</f>
        <v/>
      </c>
      <c r="AU374" s="121">
        <f>IF(C374="","",IF(C374&gt;=$AU$1,"O","X"))</f>
        <v/>
      </c>
      <c r="AV374" s="121">
        <f>IF(AO374="","",IF(AND(AO374="O",AP374="O",AR374="O",AT374="O",AU374="O"),"후보","X"))</f>
        <v/>
      </c>
    </row>
    <row r="375" ht="12" customFormat="1" customHeight="1" s="37">
      <c r="A375" s="75" t="inlineStr">
        <is>
          <t>조촌동 센트럴파크</t>
        </is>
      </c>
      <c r="B375" s="76" t="inlineStr">
        <is>
          <t>17.10.</t>
        </is>
      </c>
      <c r="C375" s="130" t="n">
        <v>480</v>
      </c>
      <c r="D375" s="131" t="n">
        <v>110.2</v>
      </c>
      <c r="E375" s="132" t="n">
        <v>33</v>
      </c>
      <c r="F375" s="131" t="n">
        <v>85</v>
      </c>
      <c r="G375" s="17" t="n">
        <v>26</v>
      </c>
      <c r="H375" s="133" t="n">
        <v>229</v>
      </c>
      <c r="I375" s="134" t="n">
        <v>27000</v>
      </c>
      <c r="J375" s="134" t="inlineStr">
        <is>
          <t>6</t>
        </is>
      </c>
      <c r="K375" s="134" t="n">
        <v>23000</v>
      </c>
      <c r="L375" s="134" t="inlineStr">
        <is>
          <t>9</t>
        </is>
      </c>
      <c r="M375" s="135">
        <f>I375-K375</f>
        <v/>
      </c>
      <c r="N375" s="4">
        <f>IF(ISERROR(K375/I375),"",K375/I375)</f>
        <v/>
      </c>
      <c r="O375" s="136">
        <f>I375/E375</f>
        <v/>
      </c>
      <c r="P375" s="136">
        <f>K375/E375</f>
        <v/>
      </c>
      <c r="Q375" s="121" t="n">
        <v>3</v>
      </c>
      <c r="R375" s="121" t="n">
        <v>2</v>
      </c>
      <c r="S375" s="121" t="inlineStr">
        <is>
          <t>계</t>
        </is>
      </c>
      <c r="T375" s="5" t="inlineStr">
        <is>
          <t>110B</t>
        </is>
      </c>
      <c r="U375" s="9" t="n"/>
      <c r="W375" s="131">
        <f>D375</f>
        <v/>
      </c>
      <c r="X375" s="132">
        <f>E375</f>
        <v/>
      </c>
      <c r="Y375" s="137">
        <f>H375</f>
        <v/>
      </c>
      <c r="Z375" s="135">
        <f>I375</f>
        <v/>
      </c>
      <c r="AA375" s="135">
        <f>K375</f>
        <v/>
      </c>
      <c r="AB375" s="135">
        <f>M375</f>
        <v/>
      </c>
      <c r="AC375" s="4">
        <f>N375</f>
        <v/>
      </c>
      <c r="AD375" s="136">
        <f>O375</f>
        <v/>
      </c>
      <c r="AE375" s="121">
        <f>S375</f>
        <v/>
      </c>
      <c r="AF375" s="121">
        <f>Q375&amp;"/"&amp;R375</f>
        <v/>
      </c>
      <c r="AH375" s="20">
        <f>IF(A375="","",A375)</f>
        <v/>
      </c>
      <c r="AI375" s="132">
        <f>IF(E375="","",E375)</f>
        <v/>
      </c>
      <c r="AJ375" s="121">
        <f>IF(AI375="","",$AJ$2)</f>
        <v/>
      </c>
      <c r="AK375" s="121" t="inlineStr">
        <is>
          <t>A</t>
        </is>
      </c>
      <c r="AL375" s="121" t="inlineStr">
        <is>
          <t>A+</t>
        </is>
      </c>
      <c r="AM375" s="121" t="inlineStr">
        <is>
          <t>B+</t>
        </is>
      </c>
      <c r="AN375" s="121">
        <f>IF(AI375="","",$AN$2)</f>
        <v/>
      </c>
      <c r="AO375" s="121">
        <f>IF(N375="","",IF(N375&gt;=$AO$1/100,"O","X"))</f>
        <v/>
      </c>
      <c r="AP375" s="121">
        <f>IF(I375="","",IF(I375&lt;=$AP$1,"O","X"))</f>
        <v/>
      </c>
      <c r="AQ375" s="121">
        <f>IF(O375="","",IF(O375&lt;=$AQ$1,"O","X"))</f>
        <v/>
      </c>
      <c r="AR375" s="121">
        <f>IF(M375="","",IF(M375&lt;=$AR$1,"O","X"))</f>
        <v/>
      </c>
      <c r="AS375" s="121" t="inlineStr">
        <is>
          <t>X</t>
        </is>
      </c>
      <c r="AT375" s="121">
        <f>IF(OR(F375="",AI375=""),"",IF(AND((F375&lt;=85),(AI375&gt;=15)),"O","X"))</f>
        <v/>
      </c>
      <c r="AU375" s="121">
        <f>IF(C375="","",IF(C375&gt;=$AU$1,"O","X"))</f>
        <v/>
      </c>
      <c r="AV375" s="121">
        <f>IF(AO375="","",IF(AND(AO375="O",AP375="O",AR375="O",AT375="O",AU375="O"),"후보","X"))</f>
        <v/>
      </c>
    </row>
    <row r="376" ht="12" customFormat="1" customHeight="1" s="37">
      <c r="A376" s="75" t="inlineStr">
        <is>
          <t>조촌동 현대</t>
        </is>
      </c>
      <c r="B376" s="76" t="inlineStr">
        <is>
          <t>95.09.</t>
        </is>
      </c>
      <c r="C376" s="130" t="n">
        <v>560</v>
      </c>
      <c r="D376" s="131" t="n">
        <v>91.90000000000001</v>
      </c>
      <c r="E376" s="132" t="n">
        <v>28</v>
      </c>
      <c r="F376" s="131" t="n">
        <v>75.09999999999999</v>
      </c>
      <c r="G376" s="17" t="n">
        <v>23</v>
      </c>
      <c r="H376" s="133" t="n">
        <v>112</v>
      </c>
      <c r="I376" s="134" t="n">
        <v>14000</v>
      </c>
      <c r="J376" s="134" t="inlineStr">
        <is>
          <t>5</t>
        </is>
      </c>
      <c r="K376" s="134" t="n">
        <v>13500</v>
      </c>
      <c r="L376" s="134" t="inlineStr">
        <is>
          <t>5</t>
        </is>
      </c>
      <c r="M376" s="135">
        <f>I376-K376</f>
        <v/>
      </c>
      <c r="N376" s="4">
        <f>IF(ISERROR(K376/I376),"",K376/I376)</f>
        <v/>
      </c>
      <c r="O376" s="136">
        <f>I376/E376</f>
        <v/>
      </c>
      <c r="P376" s="136">
        <f>K376/E376</f>
        <v/>
      </c>
      <c r="Q376" s="121" t="n">
        <v>3</v>
      </c>
      <c r="R376" s="121" t="n">
        <v>1</v>
      </c>
      <c r="S376" s="121" t="inlineStr">
        <is>
          <t>계</t>
        </is>
      </c>
      <c r="T376" s="5" t="n">
        <v>91</v>
      </c>
      <c r="U376" s="9" t="n"/>
      <c r="W376" s="131">
        <f>D376</f>
        <v/>
      </c>
      <c r="X376" s="132">
        <f>E376</f>
        <v/>
      </c>
      <c r="Y376" s="137">
        <f>H376</f>
        <v/>
      </c>
      <c r="Z376" s="135">
        <f>I376</f>
        <v/>
      </c>
      <c r="AA376" s="135">
        <f>K376</f>
        <v/>
      </c>
      <c r="AB376" s="135">
        <f>M376</f>
        <v/>
      </c>
      <c r="AC376" s="4">
        <f>N376</f>
        <v/>
      </c>
      <c r="AD376" s="136">
        <f>O376</f>
        <v/>
      </c>
      <c r="AE376" s="121">
        <f>S376</f>
        <v/>
      </c>
      <c r="AF376" s="121">
        <f>Q376&amp;"/"&amp;R376</f>
        <v/>
      </c>
      <c r="AH376" s="20">
        <f>IF(A376="","",A376)</f>
        <v/>
      </c>
      <c r="AI376" s="132">
        <f>IF(E376="","",E376)</f>
        <v/>
      </c>
      <c r="AJ376" s="121">
        <f>IF(AI376="","",$AJ$2)</f>
        <v/>
      </c>
      <c r="AK376" s="121" t="inlineStr">
        <is>
          <t>A</t>
        </is>
      </c>
      <c r="AL376" s="121" t="inlineStr">
        <is>
          <t>A+</t>
        </is>
      </c>
      <c r="AM376" s="121" t="inlineStr">
        <is>
          <t>B+</t>
        </is>
      </c>
      <c r="AN376" s="121">
        <f>IF(AI376="","",$AN$2)</f>
        <v/>
      </c>
      <c r="AO376" s="121">
        <f>IF(N376="","",IF(N376&gt;=$AO$1/100,"O","X"))</f>
        <v/>
      </c>
      <c r="AP376" s="121">
        <f>IF(I376="","",IF(I376&lt;=$AP$1,"O","X"))</f>
        <v/>
      </c>
      <c r="AQ376" s="121">
        <f>IF(O376="","",IF(O376&lt;=$AQ$1,"O","X"))</f>
        <v/>
      </c>
      <c r="AR376" s="121">
        <f>IF(M376="","",IF(M376&lt;=$AR$1,"O","X"))</f>
        <v/>
      </c>
      <c r="AS376" s="121" t="inlineStr">
        <is>
          <t>X</t>
        </is>
      </c>
      <c r="AT376" s="121">
        <f>IF(OR(F376="",AI376=""),"",IF(AND((F376&lt;=85),(AI376&gt;=15)),"O","X"))</f>
        <v/>
      </c>
      <c r="AU376" s="121">
        <f>IF(C376="","",IF(C376&gt;=$AU$1,"O","X"))</f>
        <v/>
      </c>
      <c r="AV376" s="121">
        <f>IF(AO376="","",IF(AND(AO376="O",AP376="O",AR376="O",AT376="O",AU376="O"),"후보","X"))</f>
        <v/>
      </c>
    </row>
    <row r="377" ht="12" customFormat="1" customHeight="1" s="37">
      <c r="A377" s="75" t="inlineStr">
        <is>
          <t>조촌동 현대</t>
        </is>
      </c>
      <c r="B377" s="76" t="inlineStr">
        <is>
          <t>95.09.</t>
        </is>
      </c>
      <c r="C377" s="130" t="n">
        <v>560</v>
      </c>
      <c r="D377" s="131" t="n">
        <v>91.8</v>
      </c>
      <c r="E377" s="132" t="n">
        <v>28</v>
      </c>
      <c r="F377" s="131" t="n">
        <v>75</v>
      </c>
      <c r="G377" s="17" t="n">
        <v>23</v>
      </c>
      <c r="H377" s="133" t="n">
        <v>28</v>
      </c>
      <c r="I377" s="134" t="n"/>
      <c r="J377" s="134" t="n"/>
      <c r="K377" s="134" t="n"/>
      <c r="L377" s="134" t="n"/>
      <c r="M377" s="135">
        <f>I377-K377</f>
        <v/>
      </c>
      <c r="N377" s="4">
        <f>IF(ISERROR(K377/I377),"",K377/I377)</f>
        <v/>
      </c>
      <c r="O377" s="136">
        <f>I377/E377</f>
        <v/>
      </c>
      <c r="P377" s="136">
        <f>K377/E377</f>
        <v/>
      </c>
      <c r="Q377" s="121" t="n">
        <v>3</v>
      </c>
      <c r="R377" s="121" t="n">
        <v>1</v>
      </c>
      <c r="S377" s="121" t="inlineStr">
        <is>
          <t>계</t>
        </is>
      </c>
      <c r="T377" s="5" t="n">
        <v>91</v>
      </c>
      <c r="U377" s="9" t="n"/>
      <c r="W377" s="131">
        <f>D377</f>
        <v/>
      </c>
      <c r="X377" s="132">
        <f>E377</f>
        <v/>
      </c>
      <c r="Y377" s="137">
        <f>H377</f>
        <v/>
      </c>
      <c r="Z377" s="135">
        <f>I377</f>
        <v/>
      </c>
      <c r="AA377" s="135">
        <f>K377</f>
        <v/>
      </c>
      <c r="AB377" s="135">
        <f>M377</f>
        <v/>
      </c>
      <c r="AC377" s="4">
        <f>N377</f>
        <v/>
      </c>
      <c r="AD377" s="136">
        <f>O377</f>
        <v/>
      </c>
      <c r="AE377" s="121">
        <f>S377</f>
        <v/>
      </c>
      <c r="AF377" s="121">
        <f>Q377&amp;"/"&amp;R377</f>
        <v/>
      </c>
      <c r="AH377" s="20">
        <f>IF(A377="","",A377)</f>
        <v/>
      </c>
      <c r="AI377" s="132">
        <f>IF(E377="","",E377)</f>
        <v/>
      </c>
      <c r="AJ377" s="121">
        <f>IF(AI377="","",$AJ$2)</f>
        <v/>
      </c>
      <c r="AK377" s="121" t="inlineStr">
        <is>
          <t>A</t>
        </is>
      </c>
      <c r="AL377" s="121" t="inlineStr">
        <is>
          <t>A+</t>
        </is>
      </c>
      <c r="AM377" s="121" t="inlineStr">
        <is>
          <t>B+</t>
        </is>
      </c>
      <c r="AN377" s="121">
        <f>IF(AI377="","",$AN$2)</f>
        <v/>
      </c>
      <c r="AO377" s="121">
        <f>IF(N377="","",IF(N377&gt;=$AO$1/100,"O","X"))</f>
        <v/>
      </c>
      <c r="AP377" s="121">
        <f>IF(I377="","",IF(I377&lt;=$AP$1,"O","X"))</f>
        <v/>
      </c>
      <c r="AQ377" s="121">
        <f>IF(O377="","",IF(O377&lt;=$AQ$1,"O","X"))</f>
        <v/>
      </c>
      <c r="AR377" s="121">
        <f>IF(M377="","",IF(M377&lt;=$AR$1,"O","X"))</f>
        <v/>
      </c>
      <c r="AS377" s="121" t="inlineStr">
        <is>
          <t>X</t>
        </is>
      </c>
      <c r="AT377" s="121">
        <f>IF(OR(F377="",AI377=""),"",IF(AND((F377&lt;=85),(AI377&gt;=15)),"O","X"))</f>
        <v/>
      </c>
      <c r="AU377" s="121">
        <f>IF(C377="","",IF(C377&gt;=$AU$1,"O","X"))</f>
        <v/>
      </c>
      <c r="AV377" s="121">
        <f>IF(AO377="","",IF(AND(AO377="O",AP377="O",AR377="O",AT377="O",AU377="O"),"후보","X"))</f>
        <v/>
      </c>
    </row>
    <row r="378" ht="12" customFormat="1" customHeight="1" s="37">
      <c r="A378" s="75" t="inlineStr">
        <is>
          <t>조촌동 현대</t>
        </is>
      </c>
      <c r="B378" s="76" t="inlineStr">
        <is>
          <t>95.09.</t>
        </is>
      </c>
      <c r="C378" s="130" t="n">
        <v>560</v>
      </c>
      <c r="D378" s="131" t="n">
        <v>103.9</v>
      </c>
      <c r="E378" s="132" t="n">
        <v>31</v>
      </c>
      <c r="F378" s="131" t="n">
        <v>85</v>
      </c>
      <c r="G378" s="17" t="n">
        <v>26</v>
      </c>
      <c r="H378" s="133" t="n">
        <v>420</v>
      </c>
      <c r="I378" s="134" t="n">
        <v>19000</v>
      </c>
      <c r="J378" s="134" t="inlineStr">
        <is>
          <t>15</t>
        </is>
      </c>
      <c r="K378" s="134" t="n">
        <v>16000</v>
      </c>
      <c r="L378" s="134" t="inlineStr">
        <is>
          <t>13</t>
        </is>
      </c>
      <c r="M378" s="135">
        <f>I378-K378</f>
        <v/>
      </c>
      <c r="N378" s="4">
        <f>IF(ISERROR(K378/I378),"",K378/I378)</f>
        <v/>
      </c>
      <c r="O378" s="136">
        <f>I378/E378</f>
        <v/>
      </c>
      <c r="P378" s="136">
        <f>K378/E378</f>
        <v/>
      </c>
      <c r="Q378" s="121" t="n">
        <v>3</v>
      </c>
      <c r="R378" s="121" t="n">
        <v>2</v>
      </c>
      <c r="S378" s="121" t="inlineStr">
        <is>
          <t>계</t>
        </is>
      </c>
      <c r="T378" s="5" t="n">
        <v>103</v>
      </c>
      <c r="U378" s="9" t="n"/>
      <c r="W378" s="131">
        <f>D378</f>
        <v/>
      </c>
      <c r="X378" s="132">
        <f>E378</f>
        <v/>
      </c>
      <c r="Y378" s="137">
        <f>H378</f>
        <v/>
      </c>
      <c r="Z378" s="135">
        <f>I378</f>
        <v/>
      </c>
      <c r="AA378" s="135">
        <f>K378</f>
        <v/>
      </c>
      <c r="AB378" s="135">
        <f>M378</f>
        <v/>
      </c>
      <c r="AC378" s="4">
        <f>N378</f>
        <v/>
      </c>
      <c r="AD378" s="136">
        <f>O378</f>
        <v/>
      </c>
      <c r="AE378" s="121">
        <f>S378</f>
        <v/>
      </c>
      <c r="AF378" s="121">
        <f>Q378&amp;"/"&amp;R378</f>
        <v/>
      </c>
      <c r="AH378" s="20">
        <f>IF(A378="","",A378)</f>
        <v/>
      </c>
      <c r="AI378" s="132">
        <f>IF(E378="","",E378)</f>
        <v/>
      </c>
      <c r="AJ378" s="121">
        <f>IF(AI378="","",$AJ$2)</f>
        <v/>
      </c>
      <c r="AK378" s="121" t="inlineStr">
        <is>
          <t>A</t>
        </is>
      </c>
      <c r="AL378" s="121" t="inlineStr">
        <is>
          <t>A+</t>
        </is>
      </c>
      <c r="AM378" s="121" t="inlineStr">
        <is>
          <t>B+</t>
        </is>
      </c>
      <c r="AN378" s="121">
        <f>IF(AI378="","",$AN$2)</f>
        <v/>
      </c>
      <c r="AO378" s="121">
        <f>IF(N378="","",IF(N378&gt;=$AO$1/100,"O","X"))</f>
        <v/>
      </c>
      <c r="AP378" s="121">
        <f>IF(I378="","",IF(I378&lt;=$AP$1,"O","X"))</f>
        <v/>
      </c>
      <c r="AQ378" s="121">
        <f>IF(O378="","",IF(O378&lt;=$AQ$1,"O","X"))</f>
        <v/>
      </c>
      <c r="AR378" s="121">
        <f>IF(M378="","",IF(M378&lt;=$AR$1,"O","X"))</f>
        <v/>
      </c>
      <c r="AS378" s="121" t="inlineStr">
        <is>
          <t>X</t>
        </is>
      </c>
      <c r="AT378" s="121">
        <f>IF(OR(F378="",AI378=""),"",IF(AND((F378&lt;=85),(AI378&gt;=15)),"O","X"))</f>
        <v/>
      </c>
      <c r="AU378" s="121">
        <f>IF(C378="","",IF(C378&gt;=$AU$1,"O","X"))</f>
        <v/>
      </c>
      <c r="AV378" s="121">
        <f>IF(AO378="","",IF(AND(AO378="O",AP378="O",AR378="O",AT378="O",AU378="O"),"후보","X"))</f>
        <v/>
      </c>
    </row>
    <row r="379" ht="12" customFormat="1" customHeight="1" s="37">
      <c r="A379" s="75" t="inlineStr">
        <is>
          <t>조촌동 더샵디오션시티</t>
        </is>
      </c>
      <c r="B379" s="76" t="inlineStr">
        <is>
          <t>21.10.</t>
        </is>
      </c>
      <c r="C379" s="130" t="n">
        <v>973</v>
      </c>
      <c r="D379" s="131" t="n">
        <v>79.5</v>
      </c>
      <c r="E379" s="132" t="n">
        <v>24</v>
      </c>
      <c r="F379" s="131" t="n">
        <v>60</v>
      </c>
      <c r="G379" s="17" t="n">
        <v>18</v>
      </c>
      <c r="H379" s="133" t="n">
        <v>171</v>
      </c>
      <c r="I379" s="134" t="n">
        <v>34500</v>
      </c>
      <c r="J379" s="134" t="inlineStr">
        <is>
          <t>7</t>
        </is>
      </c>
      <c r="K379" s="134" t="n">
        <v>27000</v>
      </c>
      <c r="L379" s="134" t="inlineStr">
        <is>
          <t>13</t>
        </is>
      </c>
      <c r="M379" s="135">
        <f>I379-K379</f>
        <v/>
      </c>
      <c r="N379" s="4">
        <f>IF(ISERROR(K379/I379),"",K379/I379)</f>
        <v/>
      </c>
      <c r="O379" s="136">
        <f>I379/E379</f>
        <v/>
      </c>
      <c r="P379" s="136">
        <f>K379/E379</f>
        <v/>
      </c>
      <c r="Q379" s="121" t="n">
        <v>3</v>
      </c>
      <c r="R379" s="121" t="n">
        <v>2</v>
      </c>
      <c r="S379" s="121" t="inlineStr">
        <is>
          <t>계</t>
        </is>
      </c>
      <c r="T379" s="5" t="inlineStr">
        <is>
          <t>79A</t>
        </is>
      </c>
      <c r="U379" s="9" t="n"/>
      <c r="W379" s="131">
        <f>D379</f>
        <v/>
      </c>
      <c r="X379" s="132">
        <f>E379</f>
        <v/>
      </c>
      <c r="Y379" s="137">
        <f>H379</f>
        <v/>
      </c>
      <c r="Z379" s="135">
        <f>I379</f>
        <v/>
      </c>
      <c r="AA379" s="135">
        <f>K379</f>
        <v/>
      </c>
      <c r="AB379" s="135">
        <f>M379</f>
        <v/>
      </c>
      <c r="AC379" s="4">
        <f>N379</f>
        <v/>
      </c>
      <c r="AD379" s="136">
        <f>O379</f>
        <v/>
      </c>
      <c r="AE379" s="121">
        <f>S379</f>
        <v/>
      </c>
      <c r="AF379" s="121">
        <f>Q379&amp;"/"&amp;R379</f>
        <v/>
      </c>
      <c r="AH379" s="20">
        <f>IF(A379="","",A379)</f>
        <v/>
      </c>
      <c r="AI379" s="132">
        <f>IF(E379="","",E379)</f>
        <v/>
      </c>
      <c r="AJ379" s="121">
        <f>IF(AI379="","",$AJ$2)</f>
        <v/>
      </c>
      <c r="AK379" s="121" t="inlineStr">
        <is>
          <t>A</t>
        </is>
      </c>
      <c r="AL379" s="121" t="inlineStr">
        <is>
          <t>A+</t>
        </is>
      </c>
      <c r="AM379" s="121" t="inlineStr">
        <is>
          <t>B+</t>
        </is>
      </c>
      <c r="AN379" s="121">
        <f>IF(AI379="","",$AN$2)</f>
        <v/>
      </c>
      <c r="AO379" s="121">
        <f>IF(N379="","",IF(N379&gt;=$AO$1/100,"O","X"))</f>
        <v/>
      </c>
      <c r="AP379" s="121">
        <f>IF(I379="","",IF(I379&lt;=$AP$1,"O","X"))</f>
        <v/>
      </c>
      <c r="AQ379" s="121">
        <f>IF(O379="","",IF(O379&lt;=$AQ$1,"O","X"))</f>
        <v/>
      </c>
      <c r="AR379" s="121">
        <f>IF(M379="","",IF(M379&lt;=$AR$1,"O","X"))</f>
        <v/>
      </c>
      <c r="AS379" s="121" t="inlineStr">
        <is>
          <t>X</t>
        </is>
      </c>
      <c r="AT379" s="121">
        <f>IF(OR(F379="",AI379=""),"",IF(AND((F379&lt;=85),(AI379&gt;=15)),"O","X"))</f>
        <v/>
      </c>
      <c r="AU379" s="121">
        <f>IF(C379="","",IF(C379&gt;=$AU$1,"O","X"))</f>
        <v/>
      </c>
      <c r="AV379" s="121">
        <f>IF(AO379="","",IF(AND(AO379="O",AP379="O",AR379="O",AT379="O",AU379="O"),"후보","X"))</f>
        <v/>
      </c>
    </row>
    <row r="380" ht="12" customFormat="1" customHeight="1" s="37">
      <c r="A380" s="75" t="inlineStr">
        <is>
          <t>조촌동 더샵디오션시티</t>
        </is>
      </c>
      <c r="B380" s="76" t="inlineStr">
        <is>
          <t>21.10.</t>
        </is>
      </c>
      <c r="C380" s="130" t="n">
        <v>973</v>
      </c>
      <c r="D380" s="131" t="n">
        <v>79.5</v>
      </c>
      <c r="E380" s="132" t="n">
        <v>24</v>
      </c>
      <c r="F380" s="131" t="n">
        <v>60</v>
      </c>
      <c r="G380" s="17" t="n">
        <v>18</v>
      </c>
      <c r="H380" s="133" t="n">
        <v>58</v>
      </c>
      <c r="I380" s="134" t="n">
        <v>34500</v>
      </c>
      <c r="J380" s="134" t="inlineStr">
        <is>
          <t>7</t>
        </is>
      </c>
      <c r="K380" s="134" t="n">
        <v>27000</v>
      </c>
      <c r="L380" s="134" t="inlineStr">
        <is>
          <t>13</t>
        </is>
      </c>
      <c r="M380" s="135">
        <f>I380-K380</f>
        <v/>
      </c>
      <c r="N380" s="4">
        <f>IF(ISERROR(K380/I380),"",K380/I380)</f>
        <v/>
      </c>
      <c r="O380" s="136">
        <f>I380/E380</f>
        <v/>
      </c>
      <c r="P380" s="136">
        <f>K380/E380</f>
        <v/>
      </c>
      <c r="Q380" s="121" t="n">
        <v>3</v>
      </c>
      <c r="R380" s="121" t="n">
        <v>2</v>
      </c>
      <c r="S380" s="121" t="inlineStr">
        <is>
          <t>계</t>
        </is>
      </c>
      <c r="T380" s="5" t="inlineStr">
        <is>
          <t>79B</t>
        </is>
      </c>
      <c r="U380" s="9" t="n"/>
      <c r="W380" s="131">
        <f>D380</f>
        <v/>
      </c>
      <c r="X380" s="132">
        <f>E380</f>
        <v/>
      </c>
      <c r="Y380" s="137">
        <f>H380</f>
        <v/>
      </c>
      <c r="Z380" s="135">
        <f>I380</f>
        <v/>
      </c>
      <c r="AA380" s="135">
        <f>K380</f>
        <v/>
      </c>
      <c r="AB380" s="135">
        <f>M380</f>
        <v/>
      </c>
      <c r="AC380" s="4">
        <f>N380</f>
        <v/>
      </c>
      <c r="AD380" s="136">
        <f>O380</f>
        <v/>
      </c>
      <c r="AE380" s="121">
        <f>S380</f>
        <v/>
      </c>
      <c r="AF380" s="121">
        <f>Q380&amp;"/"&amp;R380</f>
        <v/>
      </c>
      <c r="AH380" s="20">
        <f>IF(A380="","",A380)</f>
        <v/>
      </c>
      <c r="AI380" s="132">
        <f>IF(E380="","",E380)</f>
        <v/>
      </c>
      <c r="AJ380" s="121">
        <f>IF(AI380="","",$AJ$2)</f>
        <v/>
      </c>
      <c r="AK380" s="121" t="inlineStr">
        <is>
          <t>A</t>
        </is>
      </c>
      <c r="AL380" s="121" t="inlineStr">
        <is>
          <t>A+</t>
        </is>
      </c>
      <c r="AM380" s="121" t="inlineStr">
        <is>
          <t>B+</t>
        </is>
      </c>
      <c r="AN380" s="121">
        <f>IF(AI380="","",$AN$2)</f>
        <v/>
      </c>
      <c r="AO380" s="121">
        <f>IF(N380="","",IF(N380&gt;=$AO$1/100,"O","X"))</f>
        <v/>
      </c>
      <c r="AP380" s="121">
        <f>IF(I380="","",IF(I380&lt;=$AP$1,"O","X"))</f>
        <v/>
      </c>
      <c r="AQ380" s="121">
        <f>IF(O380="","",IF(O380&lt;=$AQ$1,"O","X"))</f>
        <v/>
      </c>
      <c r="AR380" s="121">
        <f>IF(M380="","",IF(M380&lt;=$AR$1,"O","X"))</f>
        <v/>
      </c>
      <c r="AS380" s="121" t="inlineStr">
        <is>
          <t>X</t>
        </is>
      </c>
      <c r="AT380" s="121">
        <f>IF(OR(F380="",AI380=""),"",IF(AND((F380&lt;=85),(AI380&gt;=15)),"O","X"))</f>
        <v/>
      </c>
      <c r="AU380" s="121">
        <f>IF(C380="","",IF(C380&gt;=$AU$1,"O","X"))</f>
        <v/>
      </c>
      <c r="AV380" s="121">
        <f>IF(AO380="","",IF(AND(AO380="O",AP380="O",AR380="O",AT380="O",AU380="O"),"후보","X"))</f>
        <v/>
      </c>
    </row>
    <row r="381" ht="12" customFormat="1" customHeight="1" s="37">
      <c r="A381" s="75" t="inlineStr">
        <is>
          <t>조촌동 더샵디오션시티</t>
        </is>
      </c>
      <c r="B381" s="76" t="inlineStr">
        <is>
          <t>21.10.</t>
        </is>
      </c>
      <c r="C381" s="130" t="n">
        <v>973</v>
      </c>
      <c r="D381" s="131" t="n">
        <v>110.7</v>
      </c>
      <c r="E381" s="132" t="n">
        <v>33</v>
      </c>
      <c r="F381" s="131" t="n">
        <v>85</v>
      </c>
      <c r="G381" s="17" t="n">
        <v>26</v>
      </c>
      <c r="H381" s="133" t="n">
        <v>492</v>
      </c>
      <c r="I381" s="134" t="n"/>
      <c r="J381" s="134" t="n"/>
      <c r="K381" s="134" t="n">
        <v>36000</v>
      </c>
      <c r="L381" s="134" t="inlineStr">
        <is>
          <t>13</t>
        </is>
      </c>
      <c r="M381" s="135">
        <f>I381-K381</f>
        <v/>
      </c>
      <c r="N381" s="4">
        <f>IF(ISERROR(K381/I381),"",K381/I381)</f>
        <v/>
      </c>
      <c r="O381" s="136">
        <f>I381/E381</f>
        <v/>
      </c>
      <c r="P381" s="136">
        <f>K381/E381</f>
        <v/>
      </c>
      <c r="Q381" s="121" t="n">
        <v>3</v>
      </c>
      <c r="R381" s="121" t="n">
        <v>2</v>
      </c>
      <c r="S381" s="121" t="inlineStr">
        <is>
          <t>계</t>
        </is>
      </c>
      <c r="T381" s="5" t="inlineStr">
        <is>
          <t>110A</t>
        </is>
      </c>
      <c r="U381" s="9" t="n"/>
      <c r="W381" s="131">
        <f>D381</f>
        <v/>
      </c>
      <c r="X381" s="132">
        <f>E381</f>
        <v/>
      </c>
      <c r="Y381" s="137">
        <f>H381</f>
        <v/>
      </c>
      <c r="Z381" s="135">
        <f>I381</f>
        <v/>
      </c>
      <c r="AA381" s="135">
        <f>K381</f>
        <v/>
      </c>
      <c r="AB381" s="135">
        <f>M381</f>
        <v/>
      </c>
      <c r="AC381" s="4">
        <f>N381</f>
        <v/>
      </c>
      <c r="AD381" s="136">
        <f>O381</f>
        <v/>
      </c>
      <c r="AE381" s="121">
        <f>S381</f>
        <v/>
      </c>
      <c r="AF381" s="121">
        <f>Q381&amp;"/"&amp;R381</f>
        <v/>
      </c>
      <c r="AH381" s="20">
        <f>IF(A381="","",A381)</f>
        <v/>
      </c>
      <c r="AI381" s="132">
        <f>IF(E381="","",E381)</f>
        <v/>
      </c>
      <c r="AJ381" s="121">
        <f>IF(AI381="","",$AJ$2)</f>
        <v/>
      </c>
      <c r="AK381" s="121" t="inlineStr">
        <is>
          <t>A</t>
        </is>
      </c>
      <c r="AL381" s="121" t="inlineStr">
        <is>
          <t>A+</t>
        </is>
      </c>
      <c r="AM381" s="121" t="inlineStr">
        <is>
          <t>B+</t>
        </is>
      </c>
      <c r="AN381" s="121">
        <f>IF(AI381="","",$AN$2)</f>
        <v/>
      </c>
      <c r="AO381" s="121">
        <f>IF(N381="","",IF(N381&gt;=$AO$1/100,"O","X"))</f>
        <v/>
      </c>
      <c r="AP381" s="121">
        <f>IF(I381="","",IF(I381&lt;=$AP$1,"O","X"))</f>
        <v/>
      </c>
      <c r="AQ381" s="121">
        <f>IF(O381="","",IF(O381&lt;=$AQ$1,"O","X"))</f>
        <v/>
      </c>
      <c r="AR381" s="121">
        <f>IF(M381="","",IF(M381&lt;=$AR$1,"O","X"))</f>
        <v/>
      </c>
      <c r="AS381" s="121" t="inlineStr">
        <is>
          <t>X</t>
        </is>
      </c>
      <c r="AT381" s="121">
        <f>IF(OR(F381="",AI381=""),"",IF(AND((F381&lt;=85),(AI381&gt;=15)),"O","X"))</f>
        <v/>
      </c>
      <c r="AU381" s="121">
        <f>IF(C381="","",IF(C381&gt;=$AU$1,"O","X"))</f>
        <v/>
      </c>
      <c r="AV381" s="121">
        <f>IF(AO381="","",IF(AND(AO381="O",AP381="O",AR381="O",AT381="O",AU381="O"),"후보","X"))</f>
        <v/>
      </c>
    </row>
    <row r="382" ht="12" customFormat="1" customHeight="1" s="37">
      <c r="A382" s="75" t="inlineStr">
        <is>
          <t>조촌동 더샵디오션시티</t>
        </is>
      </c>
      <c r="B382" s="76" t="inlineStr">
        <is>
          <t>21.10.</t>
        </is>
      </c>
      <c r="C382" s="130" t="n">
        <v>973</v>
      </c>
      <c r="D382" s="131" t="n">
        <v>111</v>
      </c>
      <c r="E382" s="132" t="n">
        <v>34</v>
      </c>
      <c r="F382" s="131" t="n">
        <v>85</v>
      </c>
      <c r="G382" s="17" t="n">
        <v>26</v>
      </c>
      <c r="H382" s="133" t="n">
        <v>81</v>
      </c>
      <c r="I382" s="134" t="n"/>
      <c r="J382" s="134" t="n"/>
      <c r="K382" s="134" t="n">
        <v>33000</v>
      </c>
      <c r="L382" s="134" t="inlineStr">
        <is>
          <t>9</t>
        </is>
      </c>
      <c r="M382" s="135">
        <f>I382-K382</f>
        <v/>
      </c>
      <c r="N382" s="4">
        <f>IF(ISERROR(K382/I382),"",K382/I382)</f>
        <v/>
      </c>
      <c r="O382" s="136">
        <f>I382/E382</f>
        <v/>
      </c>
      <c r="P382" s="136">
        <f>K382/E382</f>
        <v/>
      </c>
      <c r="Q382" s="121" t="n">
        <v>3</v>
      </c>
      <c r="R382" s="121" t="n">
        <v>2</v>
      </c>
      <c r="S382" s="121" t="inlineStr">
        <is>
          <t>계</t>
        </is>
      </c>
      <c r="T382" s="5" t="inlineStr">
        <is>
          <t>110B</t>
        </is>
      </c>
      <c r="U382" s="9" t="n"/>
      <c r="W382" s="131">
        <f>D382</f>
        <v/>
      </c>
      <c r="X382" s="132">
        <f>E382</f>
        <v/>
      </c>
      <c r="Y382" s="137">
        <f>H382</f>
        <v/>
      </c>
      <c r="Z382" s="135">
        <f>I382</f>
        <v/>
      </c>
      <c r="AA382" s="135">
        <f>K382</f>
        <v/>
      </c>
      <c r="AB382" s="135">
        <f>M382</f>
        <v/>
      </c>
      <c r="AC382" s="4">
        <f>N382</f>
        <v/>
      </c>
      <c r="AD382" s="136">
        <f>O382</f>
        <v/>
      </c>
      <c r="AE382" s="121">
        <f>S382</f>
        <v/>
      </c>
      <c r="AF382" s="121">
        <f>Q382&amp;"/"&amp;R382</f>
        <v/>
      </c>
      <c r="AH382" s="20">
        <f>IF(A382="","",A382)</f>
        <v/>
      </c>
      <c r="AI382" s="132">
        <f>IF(E382="","",E382)</f>
        <v/>
      </c>
      <c r="AJ382" s="121">
        <f>IF(AI382="","",$AJ$2)</f>
        <v/>
      </c>
      <c r="AK382" s="121" t="inlineStr">
        <is>
          <t>A</t>
        </is>
      </c>
      <c r="AL382" s="121" t="inlineStr">
        <is>
          <t>A+</t>
        </is>
      </c>
      <c r="AM382" s="121" t="inlineStr">
        <is>
          <t>B+</t>
        </is>
      </c>
      <c r="AN382" s="121">
        <f>IF(AI382="","",$AN$2)</f>
        <v/>
      </c>
      <c r="AO382" s="121">
        <f>IF(N382="","",IF(N382&gt;=$AO$1/100,"O","X"))</f>
        <v/>
      </c>
      <c r="AP382" s="121">
        <f>IF(I382="","",IF(I382&lt;=$AP$1,"O","X"))</f>
        <v/>
      </c>
      <c r="AQ382" s="121">
        <f>IF(O382="","",IF(O382&lt;=$AQ$1,"O","X"))</f>
        <v/>
      </c>
      <c r="AR382" s="121">
        <f>IF(M382="","",IF(M382&lt;=$AR$1,"O","X"))</f>
        <v/>
      </c>
      <c r="AS382" s="121" t="inlineStr">
        <is>
          <t>X</t>
        </is>
      </c>
      <c r="AT382" s="121">
        <f>IF(OR(F382="",AI382=""),"",IF(AND((F382&lt;=85),(AI382&gt;=15)),"O","X"))</f>
        <v/>
      </c>
      <c r="AU382" s="121">
        <f>IF(C382="","",IF(C382&gt;=$AU$1,"O","X"))</f>
        <v/>
      </c>
      <c r="AV382" s="121">
        <f>IF(AO382="","",IF(AND(AO382="O",AP382="O",AR382="O",AT382="O",AU382="O"),"후보","X"))</f>
        <v/>
      </c>
    </row>
    <row r="383" ht="12" customFormat="1" customHeight="1" s="37">
      <c r="A383" s="75" t="inlineStr">
        <is>
          <t>조촌동 더샵디오션시티</t>
        </is>
      </c>
      <c r="B383" s="76" t="inlineStr">
        <is>
          <t>21.10.</t>
        </is>
      </c>
      <c r="C383" s="130" t="n">
        <v>973</v>
      </c>
      <c r="D383" s="131" t="n">
        <v>134.2</v>
      </c>
      <c r="E383" s="132" t="n">
        <v>41</v>
      </c>
      <c r="F383" s="131" t="n">
        <v>104</v>
      </c>
      <c r="G383" s="17" t="n">
        <v>31</v>
      </c>
      <c r="H383" s="133" t="n">
        <v>112</v>
      </c>
      <c r="I383" s="134" t="n"/>
      <c r="J383" s="134" t="n"/>
      <c r="K383" s="134" t="n">
        <v>43000</v>
      </c>
      <c r="L383" s="134" t="inlineStr">
        <is>
          <t>15</t>
        </is>
      </c>
      <c r="M383" s="135">
        <f>I383-K383</f>
        <v/>
      </c>
      <c r="N383" s="4">
        <f>IF(ISERROR(K383/I383),"",K383/I383)</f>
        <v/>
      </c>
      <c r="O383" s="136">
        <f>I383/E383</f>
        <v/>
      </c>
      <c r="P383" s="136">
        <f>K383/E383</f>
        <v/>
      </c>
      <c r="Q383" s="121" t="n">
        <v>4</v>
      </c>
      <c r="R383" s="121" t="n">
        <v>2</v>
      </c>
      <c r="S383" s="121" t="inlineStr">
        <is>
          <t>계</t>
        </is>
      </c>
      <c r="T383" s="5" t="n">
        <v>134</v>
      </c>
      <c r="U383" s="9" t="n"/>
      <c r="W383" s="131">
        <f>D383</f>
        <v/>
      </c>
      <c r="X383" s="132">
        <f>E383</f>
        <v/>
      </c>
      <c r="Y383" s="137">
        <f>H383</f>
        <v/>
      </c>
      <c r="Z383" s="135">
        <f>I383</f>
        <v/>
      </c>
      <c r="AA383" s="135">
        <f>K383</f>
        <v/>
      </c>
      <c r="AB383" s="135">
        <f>M383</f>
        <v/>
      </c>
      <c r="AC383" s="4">
        <f>N383</f>
        <v/>
      </c>
      <c r="AD383" s="136">
        <f>O383</f>
        <v/>
      </c>
      <c r="AE383" s="121">
        <f>S383</f>
        <v/>
      </c>
      <c r="AF383" s="121">
        <f>Q383&amp;"/"&amp;R383</f>
        <v/>
      </c>
      <c r="AH383" s="20">
        <f>IF(A383="","",A383)</f>
        <v/>
      </c>
      <c r="AI383" s="132">
        <f>IF(E383="","",E383)</f>
        <v/>
      </c>
      <c r="AJ383" s="121">
        <f>IF(AI383="","",$AJ$2)</f>
        <v/>
      </c>
      <c r="AK383" s="121" t="inlineStr">
        <is>
          <t>A</t>
        </is>
      </c>
      <c r="AL383" s="121" t="inlineStr">
        <is>
          <t>A+</t>
        </is>
      </c>
      <c r="AM383" s="121" t="inlineStr">
        <is>
          <t>B+</t>
        </is>
      </c>
      <c r="AN383" s="121">
        <f>IF(AI383="","",$AN$2)</f>
        <v/>
      </c>
      <c r="AO383" s="121">
        <f>IF(N383="","",IF(N383&gt;=$AO$1/100,"O","X"))</f>
        <v/>
      </c>
      <c r="AP383" s="121">
        <f>IF(I383="","",IF(I383&lt;=$AP$1,"O","X"))</f>
        <v/>
      </c>
      <c r="AQ383" s="121">
        <f>IF(O383="","",IF(O383&lt;=$AQ$1,"O","X"))</f>
        <v/>
      </c>
      <c r="AR383" s="121">
        <f>IF(M383="","",IF(M383&lt;=$AR$1,"O","X"))</f>
        <v/>
      </c>
      <c r="AS383" s="121" t="inlineStr">
        <is>
          <t>X</t>
        </is>
      </c>
      <c r="AT383" s="121">
        <f>IF(OR(F383="",AI383=""),"",IF(AND((F383&lt;=85),(AI383&gt;=15)),"O","X"))</f>
        <v/>
      </c>
      <c r="AU383" s="121">
        <f>IF(C383="","",IF(C383&gt;=$AU$1,"O","X"))</f>
        <v/>
      </c>
      <c r="AV383" s="121">
        <f>IF(AO383="","",IF(AND(AO383="O",AP383="O",AR383="O",AT383="O",AU383="O"),"후보","X"))</f>
        <v/>
      </c>
    </row>
    <row r="384" ht="12" customFormat="1" customHeight="1" s="37">
      <c r="A384" s="75" t="inlineStr">
        <is>
          <t>조촌동 더샵디오션시티</t>
        </is>
      </c>
      <c r="B384" s="76" t="inlineStr">
        <is>
          <t>21.10.</t>
        </is>
      </c>
      <c r="C384" s="130" t="n">
        <v>973</v>
      </c>
      <c r="D384" s="131" t="n">
        <v>153.2</v>
      </c>
      <c r="E384" s="132" t="n">
        <v>46</v>
      </c>
      <c r="F384" s="131" t="n">
        <v>119</v>
      </c>
      <c r="G384" s="17" t="n">
        <v>36</v>
      </c>
      <c r="H384" s="133" t="n">
        <v>56</v>
      </c>
      <c r="I384" s="134" t="n"/>
      <c r="J384" s="134" t="n"/>
      <c r="K384" s="134" t="n">
        <v>52000</v>
      </c>
      <c r="L384" s="134" t="inlineStr">
        <is>
          <t>5</t>
        </is>
      </c>
      <c r="M384" s="135">
        <f>I384-K384</f>
        <v/>
      </c>
      <c r="N384" s="4">
        <f>IF(ISERROR(K384/I384),"",K384/I384)</f>
        <v/>
      </c>
      <c r="O384" s="136">
        <f>I384/E384</f>
        <v/>
      </c>
      <c r="P384" s="136">
        <f>K384/E384</f>
        <v/>
      </c>
      <c r="Q384" s="121" t="n">
        <v>4</v>
      </c>
      <c r="R384" s="121" t="n">
        <v>2</v>
      </c>
      <c r="S384" s="121" t="inlineStr">
        <is>
          <t>계</t>
        </is>
      </c>
      <c r="T384" s="5" t="n">
        <v>153</v>
      </c>
      <c r="U384" s="9" t="n"/>
      <c r="W384" s="131">
        <f>D384</f>
        <v/>
      </c>
      <c r="X384" s="132">
        <f>E384</f>
        <v/>
      </c>
      <c r="Y384" s="137">
        <f>H384</f>
        <v/>
      </c>
      <c r="Z384" s="135">
        <f>I384</f>
        <v/>
      </c>
      <c r="AA384" s="135">
        <f>K384</f>
        <v/>
      </c>
      <c r="AB384" s="135">
        <f>M384</f>
        <v/>
      </c>
      <c r="AC384" s="4">
        <f>N384</f>
        <v/>
      </c>
      <c r="AD384" s="136">
        <f>O384</f>
        <v/>
      </c>
      <c r="AE384" s="121">
        <f>S384</f>
        <v/>
      </c>
      <c r="AF384" s="121">
        <f>Q384&amp;"/"&amp;R384</f>
        <v/>
      </c>
      <c r="AH384" s="20">
        <f>IF(A384="","",A384)</f>
        <v/>
      </c>
      <c r="AI384" s="132">
        <f>IF(E384="","",E384)</f>
        <v/>
      </c>
      <c r="AJ384" s="121">
        <f>IF(AI384="","",$AJ$2)</f>
        <v/>
      </c>
      <c r="AK384" s="121" t="inlineStr">
        <is>
          <t>A</t>
        </is>
      </c>
      <c r="AL384" s="121" t="inlineStr">
        <is>
          <t>A+</t>
        </is>
      </c>
      <c r="AM384" s="121" t="inlineStr">
        <is>
          <t>B+</t>
        </is>
      </c>
      <c r="AN384" s="121">
        <f>IF(AI384="","",$AN$2)</f>
        <v/>
      </c>
      <c r="AO384" s="121">
        <f>IF(N384="","",IF(N384&gt;=$AO$1/100,"O","X"))</f>
        <v/>
      </c>
      <c r="AP384" s="121">
        <f>IF(I384="","",IF(I384&lt;=$AP$1,"O","X"))</f>
        <v/>
      </c>
      <c r="AQ384" s="121">
        <f>IF(O384="","",IF(O384&lt;=$AQ$1,"O","X"))</f>
        <v/>
      </c>
      <c r="AR384" s="121">
        <f>IF(M384="","",IF(M384&lt;=$AR$1,"O","X"))</f>
        <v/>
      </c>
      <c r="AS384" s="121" t="inlineStr">
        <is>
          <t>X</t>
        </is>
      </c>
      <c r="AT384" s="121">
        <f>IF(OR(F384="",AI384=""),"",IF(AND((F384&lt;=85),(AI384&gt;=15)),"O","X"))</f>
        <v/>
      </c>
      <c r="AU384" s="121">
        <f>IF(C384="","",IF(C384&gt;=$AU$1,"O","X"))</f>
        <v/>
      </c>
      <c r="AV384" s="121">
        <f>IF(AO384="","",IF(AND(AO384="O",AP384="O",AR384="O",AT384="O",AU384="O"),"후보","X"))</f>
        <v/>
      </c>
    </row>
    <row r="385" ht="12" customFormat="1" customHeight="1" s="37">
      <c r="A385" s="75" t="inlineStr">
        <is>
          <t>조촌동 더샵디오션시티</t>
        </is>
      </c>
      <c r="B385" s="76" t="inlineStr">
        <is>
          <t>21.10.</t>
        </is>
      </c>
      <c r="C385" s="130" t="n">
        <v>973</v>
      </c>
      <c r="D385" s="131" t="n">
        <v>192.2</v>
      </c>
      <c r="E385" s="132" t="n">
        <v>58</v>
      </c>
      <c r="F385" s="131" t="n">
        <v>146</v>
      </c>
      <c r="G385" s="17" t="n">
        <v>44</v>
      </c>
      <c r="H385" s="133" t="n">
        <v>3</v>
      </c>
      <c r="I385" s="134" t="n"/>
      <c r="J385" s="134" t="n"/>
      <c r="K385" s="134" t="n"/>
      <c r="L385" s="134" t="n"/>
      <c r="M385" s="135">
        <f>I385-K385</f>
        <v/>
      </c>
      <c r="N385" s="4">
        <f>IF(ISERROR(K385/I385),"",K385/I385)</f>
        <v/>
      </c>
      <c r="O385" s="136">
        <f>I385/E385</f>
        <v/>
      </c>
      <c r="P385" s="136">
        <f>K385/E385</f>
        <v/>
      </c>
      <c r="Q385" s="121" t="n">
        <v>4</v>
      </c>
      <c r="R385" s="121" t="n">
        <v>3</v>
      </c>
      <c r="S385" s="121" t="inlineStr">
        <is>
          <t>계</t>
        </is>
      </c>
      <c r="T385" s="5" t="n">
        <v>192</v>
      </c>
      <c r="U385" s="9" t="n"/>
      <c r="W385" s="131">
        <f>D385</f>
        <v/>
      </c>
      <c r="X385" s="132">
        <f>E385</f>
        <v/>
      </c>
      <c r="Y385" s="137">
        <f>H385</f>
        <v/>
      </c>
      <c r="Z385" s="135">
        <f>I385</f>
        <v/>
      </c>
      <c r="AA385" s="135">
        <f>K385</f>
        <v/>
      </c>
      <c r="AB385" s="135">
        <f>M385</f>
        <v/>
      </c>
      <c r="AC385" s="4">
        <f>N385</f>
        <v/>
      </c>
      <c r="AD385" s="136">
        <f>O385</f>
        <v/>
      </c>
      <c r="AE385" s="121">
        <f>S385</f>
        <v/>
      </c>
      <c r="AF385" s="121">
        <f>Q385&amp;"/"&amp;R385</f>
        <v/>
      </c>
      <c r="AH385" s="20">
        <f>IF(A385="","",A385)</f>
        <v/>
      </c>
      <c r="AI385" s="132">
        <f>IF(E385="","",E385)</f>
        <v/>
      </c>
      <c r="AJ385" s="121">
        <f>IF(AI385="","",$AJ$2)</f>
        <v/>
      </c>
      <c r="AK385" s="121" t="inlineStr">
        <is>
          <t>A</t>
        </is>
      </c>
      <c r="AL385" s="121" t="inlineStr">
        <is>
          <t>A+</t>
        </is>
      </c>
      <c r="AM385" s="121" t="inlineStr">
        <is>
          <t>B+</t>
        </is>
      </c>
      <c r="AN385" s="121">
        <f>IF(AI385="","",$AN$2)</f>
        <v/>
      </c>
      <c r="AO385" s="121">
        <f>IF(N385="","",IF(N385&gt;=$AO$1/100,"O","X"))</f>
        <v/>
      </c>
      <c r="AP385" s="121">
        <f>IF(I385="","",IF(I385&lt;=$AP$1,"O","X"))</f>
        <v/>
      </c>
      <c r="AQ385" s="121">
        <f>IF(O385="","",IF(O385&lt;=$AQ$1,"O","X"))</f>
        <v/>
      </c>
      <c r="AR385" s="121">
        <f>IF(M385="","",IF(M385&lt;=$AR$1,"O","X"))</f>
        <v/>
      </c>
      <c r="AS385" s="121" t="inlineStr">
        <is>
          <t>X</t>
        </is>
      </c>
      <c r="AT385" s="121">
        <f>IF(OR(F385="",AI385=""),"",IF(AND((F385&lt;=85),(AI385&gt;=15)),"O","X"))</f>
        <v/>
      </c>
      <c r="AU385" s="121">
        <f>IF(C385="","",IF(C385&gt;=$AU$1,"O","X"))</f>
        <v/>
      </c>
      <c r="AV385" s="121">
        <f>IF(AO385="","",IF(AND(AO385="O",AP385="O",AR385="O",AT385="O",AU385="O"),"후보","X"))</f>
        <v/>
      </c>
    </row>
    <row r="386" ht="12" customFormat="1" customHeight="1" s="37">
      <c r="A386" s="75" t="inlineStr">
        <is>
          <t>조촌동 세경</t>
        </is>
      </c>
      <c r="B386" s="76" t="inlineStr">
        <is>
          <t>18.03.</t>
        </is>
      </c>
      <c r="C386" s="130" t="n">
        <v>1400</v>
      </c>
      <c r="D386" s="131" t="n">
        <v>82</v>
      </c>
      <c r="E386" s="132" t="n">
        <v>25</v>
      </c>
      <c r="F386" s="131" t="n">
        <v>60</v>
      </c>
      <c r="G386" s="17" t="n">
        <v>18</v>
      </c>
      <c r="H386" s="133" t="n">
        <v>189</v>
      </c>
      <c r="I386" s="134" t="n"/>
      <c r="J386" s="134" t="n"/>
      <c r="K386" s="134" t="n"/>
      <c r="L386" s="134" t="n"/>
      <c r="M386" s="135">
        <f>I386-K386</f>
        <v/>
      </c>
      <c r="N386" s="4">
        <f>IF(ISERROR(K386/I386),"",K386/I386)</f>
        <v/>
      </c>
      <c r="O386" s="136">
        <f>I386/E386</f>
        <v/>
      </c>
      <c r="P386" s="136">
        <f>K386/E386</f>
        <v/>
      </c>
      <c r="Q386" s="121" t="n">
        <v>3</v>
      </c>
      <c r="R386" s="121" t="n">
        <v>2</v>
      </c>
      <c r="S386" s="121" t="inlineStr">
        <is>
          <t>계</t>
        </is>
      </c>
      <c r="T386" s="5" t="inlineStr">
        <is>
          <t>81A</t>
        </is>
      </c>
      <c r="U386" s="9" t="n"/>
      <c r="W386" s="131">
        <f>D386</f>
        <v/>
      </c>
      <c r="X386" s="132">
        <f>E386</f>
        <v/>
      </c>
      <c r="Y386" s="137">
        <f>H386</f>
        <v/>
      </c>
      <c r="Z386" s="135">
        <f>I386</f>
        <v/>
      </c>
      <c r="AA386" s="135">
        <f>K386</f>
        <v/>
      </c>
      <c r="AB386" s="135">
        <f>M386</f>
        <v/>
      </c>
      <c r="AC386" s="4">
        <f>N386</f>
        <v/>
      </c>
      <c r="AD386" s="136">
        <f>O386</f>
        <v/>
      </c>
      <c r="AE386" s="121">
        <f>S386</f>
        <v/>
      </c>
      <c r="AF386" s="121">
        <f>Q386&amp;"/"&amp;R386</f>
        <v/>
      </c>
      <c r="AH386" s="20">
        <f>IF(A386="","",A386)</f>
        <v/>
      </c>
      <c r="AI386" s="132">
        <f>IF(E386="","",E386)</f>
        <v/>
      </c>
      <c r="AJ386" s="121">
        <f>IF(AI386="","",$AJ$2)</f>
        <v/>
      </c>
      <c r="AK386" s="121" t="inlineStr">
        <is>
          <t>A</t>
        </is>
      </c>
      <c r="AL386" s="121" t="inlineStr">
        <is>
          <t>A+</t>
        </is>
      </c>
      <c r="AM386" s="121" t="inlineStr">
        <is>
          <t>B+</t>
        </is>
      </c>
      <c r="AN386" s="121">
        <f>IF(AI386="","",$AN$2)</f>
        <v/>
      </c>
      <c r="AO386" s="121">
        <f>IF(N386="","",IF(N386&gt;=$AO$1/100,"O","X"))</f>
        <v/>
      </c>
      <c r="AP386" s="121">
        <f>IF(I386="","",IF(I386&lt;=$AP$1,"O","X"))</f>
        <v/>
      </c>
      <c r="AQ386" s="121">
        <f>IF(O386="","",IF(O386&lt;=$AQ$1,"O","X"))</f>
        <v/>
      </c>
      <c r="AR386" s="121">
        <f>IF(M386="","",IF(M386&lt;=$AR$1,"O","X"))</f>
        <v/>
      </c>
      <c r="AS386" s="121" t="inlineStr">
        <is>
          <t>X</t>
        </is>
      </c>
      <c r="AT386" s="121">
        <f>IF(OR(F386="",AI386=""),"",IF(AND((F386&lt;=85),(AI386&gt;=15)),"O","X"))</f>
        <v/>
      </c>
      <c r="AU386" s="121">
        <f>IF(C386="","",IF(C386&gt;=$AU$1,"O","X"))</f>
        <v/>
      </c>
      <c r="AV386" s="121">
        <f>IF(AO386="","",IF(AND(AO386="O",AP386="O",AR386="O",AT386="O",AU386="O"),"후보","X"))</f>
        <v/>
      </c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8" t="n"/>
      <c r="AY387" s="138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8" t="n"/>
      <c r="AY388" s="138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8" t="n"/>
      <c r="AY389" s="138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8" t="n"/>
      <c r="AY390" s="138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8" t="n"/>
      <c r="AY391" s="138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8" t="n"/>
      <c r="AY392" s="138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8" t="n"/>
      <c r="AY393" s="138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8" t="n"/>
      <c r="AY394" s="138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8" t="n"/>
      <c r="AY395" s="138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8" t="n"/>
      <c r="AY396" s="138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8" t="n"/>
      <c r="AY397" s="138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8" t="n"/>
      <c r="AY398" s="138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8" t="n"/>
      <c r="AY399" s="138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8" t="n"/>
      <c r="AY400" s="138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8" t="n"/>
      <c r="AY401" s="138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8" t="n"/>
      <c r="AY402" s="138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8" t="n"/>
      <c r="AY403" s="138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8" t="n"/>
      <c r="AY407" s="138" t="n"/>
      <c r="AZ407" s="138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8" t="n"/>
      <c r="AY412" s="138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8" t="n"/>
      <c r="AY413" s="138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8" t="n"/>
      <c r="AY414" s="138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8" t="n"/>
      <c r="AY415" s="138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8" t="n"/>
      <c r="AY416" s="138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8" t="n"/>
      <c r="AY417" s="138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8" t="n"/>
      <c r="AY418" s="138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8" t="n"/>
      <c r="AY419" s="138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8" t="n"/>
      <c r="AY420" s="138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8" t="n"/>
      <c r="AY421" s="138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8" t="n"/>
      <c r="AY424" s="138" t="n"/>
      <c r="AZ424" s="138" t="n"/>
      <c r="BA424" s="72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8" t="n"/>
      <c r="AY425" s="138" t="n"/>
      <c r="AZ425" s="138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8" t="n"/>
      <c r="AY428" s="138" t="n"/>
      <c r="BA428" s="72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8" t="n"/>
      <c r="AY430" s="138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8" t="n"/>
      <c r="AY431" s="138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8" t="n"/>
      <c r="AY432" s="138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8" t="n"/>
      <c r="AY433" s="138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8" t="n"/>
      <c r="AY434" s="138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8" t="n"/>
      <c r="AY435" s="138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8" t="n"/>
      <c r="AY436" s="138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8" t="n"/>
      <c r="AY437" s="138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8" t="n"/>
      <c r="AY438" s="138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8" t="n"/>
      <c r="AY439" s="138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8" t="n"/>
      <c r="AY440" s="138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8" t="n"/>
      <c r="AY441" s="138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8" t="n"/>
      <c r="AY442" s="138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8" t="n"/>
      <c r="AY443" s="138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8" t="n"/>
      <c r="AY444" s="138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8" t="n"/>
      <c r="AY445" s="138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8" t="n"/>
      <c r="AY446" s="138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8" t="n"/>
      <c r="AY447" s="138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8" t="n"/>
      <c r="AY448" s="138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8" t="n"/>
      <c r="AY449" s="138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8" t="n"/>
      <c r="AY450" s="138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8" t="n"/>
      <c r="AY451" s="138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8" t="n"/>
      <c r="AY452" s="138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8" t="n"/>
      <c r="AY453" s="138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8" t="n"/>
      <c r="AY454" s="138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8" t="n"/>
      <c r="AY455" s="138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8" t="n"/>
      <c r="AY456" s="138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8" t="n"/>
      <c r="AY457" s="138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8" t="n"/>
      <c r="AY458" s="138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8" t="n"/>
      <c r="AY459" s="138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8" t="n"/>
      <c r="AY460" s="138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8" t="n"/>
      <c r="AY461" s="138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8" t="n"/>
      <c r="AY462" s="138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8" t="n"/>
      <c r="AY463" s="138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8" t="n"/>
      <c r="AY466" s="138" t="n"/>
      <c r="AZ466" s="138" t="n"/>
      <c r="BA466" s="72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8" t="n"/>
      <c r="AY471" s="138" t="n"/>
      <c r="BA471" s="72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8" t="n"/>
      <c r="AY473" s="138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8" t="n"/>
      <c r="AY474" s="138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8" t="n"/>
      <c r="AY475" s="138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8" t="n"/>
      <c r="AY476" s="138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8" t="n"/>
      <c r="AY477" s="138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8" t="n"/>
      <c r="AY478" s="138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8" t="n"/>
      <c r="AY479" s="138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8" t="n"/>
      <c r="AY480" s="138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8" t="n"/>
      <c r="AY481" s="138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8" t="n"/>
      <c r="AY482" s="138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8" t="n"/>
      <c r="AY483" s="138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8" t="n"/>
      <c r="AY484" s="138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8" t="n"/>
      <c r="AY485" s="138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8" t="n"/>
      <c r="AY486" s="138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8" t="n"/>
      <c r="AY487" s="138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8" t="n"/>
      <c r="AY488" s="138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8" t="n"/>
      <c r="AY489" s="138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8" t="n"/>
      <c r="AY490" s="138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8" t="n"/>
      <c r="AY491" s="138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8" t="n"/>
      <c r="AY492" s="138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8" t="n"/>
      <c r="AY493" s="138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8" t="n"/>
      <c r="AY494" s="138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8" t="n"/>
      <c r="AY495" s="138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8" t="n"/>
      <c r="AY496" s="138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8" t="n"/>
      <c r="AY497" s="138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8" t="n"/>
      <c r="AY498" s="138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8" t="n"/>
      <c r="AY499" s="138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8" t="n"/>
      <c r="AY500" s="138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8" t="n"/>
      <c r="AY501" s="138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8" t="n"/>
      <c r="AY502" s="138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8" t="n"/>
      <c r="AY503" s="138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8" t="n"/>
      <c r="AY504" s="138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8" t="n"/>
      <c r="AY505" s="138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8" t="n"/>
      <c r="AY506" s="138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8" t="n"/>
      <c r="AY507" s="138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8" t="n"/>
      <c r="AY508" s="138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8" t="n"/>
      <c r="AY509" s="138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8" t="n"/>
      <c r="AY510" s="138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8" t="n"/>
      <c r="AY511" s="138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8" t="n"/>
      <c r="AY512" s="138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8" t="n"/>
      <c r="AY513" s="138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8" t="n"/>
      <c r="AY514" s="138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8" t="n"/>
      <c r="AY515" s="138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8" t="n"/>
      <c r="AY516" s="138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8" t="n"/>
      <c r="AY517" s="138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8" t="n"/>
      <c r="AY518" s="138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8" t="n"/>
      <c r="AY519" s="138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8" t="n"/>
      <c r="AY520" s="138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8" t="n"/>
      <c r="AY521" s="138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8" t="n"/>
      <c r="AY522" s="138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8" t="n"/>
      <c r="AY523" s="138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8" t="n"/>
      <c r="AY524" s="138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8" t="n"/>
      <c r="AY525" s="138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8" t="n"/>
      <c r="AY526" s="138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8" t="n"/>
      <c r="AY527" s="138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8" t="n"/>
      <c r="AY531" s="138" t="n"/>
      <c r="AZ531" s="138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8" t="n"/>
      <c r="AY536" s="138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8" t="n"/>
      <c r="AY537" s="138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8" t="n"/>
      <c r="AY538" s="138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1582" operator="lessThan" dxfId="2">
      <formula>15.1</formula>
    </cfRule>
    <cfRule type="cellIs" priority="121583" operator="lessThan" dxfId="14692">
      <formula>18.1</formula>
    </cfRule>
    <cfRule type="cellIs" priority="121584" operator="lessThan" dxfId="14691">
      <formula>21.1</formula>
    </cfRule>
    <cfRule type="cellIs" priority="121585" operator="lessThan" dxfId="14690">
      <formula>24.1</formula>
    </cfRule>
    <cfRule type="cellIs" priority="121586" operator="lessThan" dxfId="1">
      <formula>30</formula>
    </cfRule>
    <cfRule type="cellIs" priority="121587" operator="lessThan" dxfId="14688">
      <formula>34.1</formula>
    </cfRule>
  </conditionalFormatting>
  <conditionalFormatting sqref="Z3">
    <cfRule type="colorScale" priority="1215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1579" operator="greaterThan" dxfId="13">
      <formula>0.9</formula>
    </cfRule>
    <cfRule type="cellIs" priority="121580" operator="greaterThan" dxfId="12">
      <formula>0.85</formula>
    </cfRule>
  </conditionalFormatting>
  <conditionalFormatting sqref="N2">
    <cfRule type="cellIs" priority="121577" operator="greaterThan" dxfId="13">
      <formula>0.9</formula>
    </cfRule>
    <cfRule type="cellIs" priority="121578" operator="greaterThan" dxfId="12">
      <formula>0.85</formula>
    </cfRule>
  </conditionalFormatting>
  <conditionalFormatting sqref="AV348">
    <cfRule type="expression" priority="701" dxfId="19">
      <formula>AV348="X"</formula>
    </cfRule>
    <cfRule type="expression" priority="702" dxfId="18">
      <formula>AV348="후보"</formula>
    </cfRule>
  </conditionalFormatting>
  <conditionalFormatting sqref="AC34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4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48">
    <cfRule type="expression" priority="693" dxfId="3">
      <formula>AND(IF(OR($Q348=1,$Q348=2),1,0),IF($X348&lt;=20,1,0))</formula>
    </cfRule>
    <cfRule type="expression" priority="694" dxfId="2">
      <formula>AND(IF($Q348=2,1,0),IF($X348&lt;30,1,0))</formula>
    </cfRule>
    <cfRule type="expression" priority="695" dxfId="1">
      <formula>AND(IF($Q348=3,1,0),IF($X348&lt;30,1,0))</formula>
    </cfRule>
    <cfRule type="expression" priority="696" dxfId="0">
      <formula>AND(IF($Q348=3,1,IF($Q348=4,1,0)),IF($F348&lt;=85,1,0))</formula>
    </cfRule>
  </conditionalFormatting>
  <conditionalFormatting sqref="X348">
    <cfRule type="expression" priority="689" dxfId="3">
      <formula>AND(IF(OR($Q348=1,$Q348=2),1,0),IF($X348&lt;=20,1,0))</formula>
    </cfRule>
    <cfRule type="expression" priority="690" dxfId="2">
      <formula>AND(IF($Q348=2,1,0),IF($X348&lt;30,1,0))</formula>
    </cfRule>
    <cfRule type="expression" priority="691" dxfId="1">
      <formula>AND(IF($Q348=3,1,0),IF($X348&lt;30,1,0))</formula>
    </cfRule>
    <cfRule type="expression" priority="692" dxfId="0">
      <formula>AND(IF($Q348=3,1,IF($Q348=4,1,0)),IF($F348&lt;=85,1,0))</formula>
    </cfRule>
  </conditionalFormatting>
  <conditionalFormatting sqref="AI348">
    <cfRule type="expression" priority="685" dxfId="3">
      <formula>AND(IF(OR($Q348=1,$Q348=2),1,0),IF($X348&lt;=20,1,0))</formula>
    </cfRule>
    <cfRule type="expression" priority="686" dxfId="2">
      <formula>AND(IF($Q348=2,1,0),IF($X348&lt;30,1,0))</formula>
    </cfRule>
    <cfRule type="expression" priority="687" dxfId="1">
      <formula>AND(IF($Q348=3,1,0),IF($X348&lt;30,1,0))</formula>
    </cfRule>
    <cfRule type="expression" priority="688" dxfId="0">
      <formula>AND(IF($Q348=3,1,IF($Q348=4,1,0)),IF($F348&lt;=85,1,0))</formula>
    </cfRule>
  </conditionalFormatting>
  <conditionalFormatting sqref="AV349">
    <cfRule type="expression" priority="683" dxfId="19">
      <formula>AV349="X"</formula>
    </cfRule>
    <cfRule type="expression" priority="684" dxfId="18">
      <formula>AV349="후보"</formula>
    </cfRule>
  </conditionalFormatting>
  <conditionalFormatting sqref="AC34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9">
    <cfRule type="expression" priority="675" dxfId="3">
      <formula>AND(IF(OR($Q349=1,$Q349=2),1,0),IF($X349&lt;=20,1,0))</formula>
    </cfRule>
    <cfRule type="expression" priority="676" dxfId="2">
      <formula>AND(IF($Q349=2,1,0),IF($X349&lt;30,1,0))</formula>
    </cfRule>
    <cfRule type="expression" priority="677" dxfId="1">
      <formula>AND(IF($Q349=3,1,0),IF($X349&lt;30,1,0))</formula>
    </cfRule>
    <cfRule type="expression" priority="678" dxfId="0">
      <formula>AND(IF($Q349=3,1,IF($Q349=4,1,0)),IF($F349&lt;=85,1,0))</formula>
    </cfRule>
  </conditionalFormatting>
  <conditionalFormatting sqref="X349">
    <cfRule type="expression" priority="671" dxfId="3">
      <formula>AND(IF(OR($Q349=1,$Q349=2),1,0),IF($X349&lt;=20,1,0))</formula>
    </cfRule>
    <cfRule type="expression" priority="672" dxfId="2">
      <formula>AND(IF($Q349=2,1,0),IF($X349&lt;30,1,0))</formula>
    </cfRule>
    <cfRule type="expression" priority="673" dxfId="1">
      <formula>AND(IF($Q349=3,1,0),IF($X349&lt;30,1,0))</formula>
    </cfRule>
    <cfRule type="expression" priority="674" dxfId="0">
      <formula>AND(IF($Q349=3,1,IF($Q349=4,1,0)),IF($F349&lt;=85,1,0))</formula>
    </cfRule>
  </conditionalFormatting>
  <conditionalFormatting sqref="AI349">
    <cfRule type="expression" priority="667" dxfId="3">
      <formula>AND(IF(OR($Q349=1,$Q349=2),1,0),IF($X349&lt;=20,1,0))</formula>
    </cfRule>
    <cfRule type="expression" priority="668" dxfId="2">
      <formula>AND(IF($Q349=2,1,0),IF($X349&lt;30,1,0))</formula>
    </cfRule>
    <cfRule type="expression" priority="669" dxfId="1">
      <formula>AND(IF($Q349=3,1,0),IF($X349&lt;30,1,0))</formula>
    </cfRule>
    <cfRule type="expression" priority="670" dxfId="0">
      <formula>AND(IF($Q349=3,1,IF($Q349=4,1,0)),IF($F349&lt;=85,1,0))</formula>
    </cfRule>
  </conditionalFormatting>
  <conditionalFormatting sqref="AV350">
    <cfRule type="expression" priority="665" dxfId="19">
      <formula>AV350="X"</formula>
    </cfRule>
    <cfRule type="expression" priority="666" dxfId="18">
      <formula>AV350="후보"</formula>
    </cfRule>
  </conditionalFormatting>
  <conditionalFormatting sqref="AC35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5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50">
    <cfRule type="expression" priority="657" dxfId="3">
      <formula>AND(IF(OR($Q350=1,$Q350=2),1,0),IF($X350&lt;=20,1,0))</formula>
    </cfRule>
    <cfRule type="expression" priority="658" dxfId="2">
      <formula>AND(IF($Q350=2,1,0),IF($X350&lt;30,1,0))</formula>
    </cfRule>
    <cfRule type="expression" priority="659" dxfId="1">
      <formula>AND(IF($Q350=3,1,0),IF($X350&lt;30,1,0))</formula>
    </cfRule>
    <cfRule type="expression" priority="660" dxfId="0">
      <formula>AND(IF($Q350=3,1,IF($Q350=4,1,0)),IF($F350&lt;=85,1,0))</formula>
    </cfRule>
  </conditionalFormatting>
  <conditionalFormatting sqref="X350">
    <cfRule type="expression" priority="653" dxfId="3">
      <formula>AND(IF(OR($Q350=1,$Q350=2),1,0),IF($X350&lt;=20,1,0))</formula>
    </cfRule>
    <cfRule type="expression" priority="654" dxfId="2">
      <formula>AND(IF($Q350=2,1,0),IF($X350&lt;30,1,0))</formula>
    </cfRule>
    <cfRule type="expression" priority="655" dxfId="1">
      <formula>AND(IF($Q350=3,1,0),IF($X350&lt;30,1,0))</formula>
    </cfRule>
    <cfRule type="expression" priority="656" dxfId="0">
      <formula>AND(IF($Q350=3,1,IF($Q350=4,1,0)),IF($F350&lt;=85,1,0))</formula>
    </cfRule>
  </conditionalFormatting>
  <conditionalFormatting sqref="AI350">
    <cfRule type="expression" priority="649" dxfId="3">
      <formula>AND(IF(OR($Q350=1,$Q350=2),1,0),IF($X350&lt;=20,1,0))</formula>
    </cfRule>
    <cfRule type="expression" priority="650" dxfId="2">
      <formula>AND(IF($Q350=2,1,0),IF($X350&lt;30,1,0))</formula>
    </cfRule>
    <cfRule type="expression" priority="651" dxfId="1">
      <formula>AND(IF($Q350=3,1,0),IF($X350&lt;30,1,0))</formula>
    </cfRule>
    <cfRule type="expression" priority="652" dxfId="0">
      <formula>AND(IF($Q350=3,1,IF($Q350=4,1,0)),IF($F350&lt;=85,1,0))</formula>
    </cfRule>
  </conditionalFormatting>
  <conditionalFormatting sqref="AV351">
    <cfRule type="expression" priority="647" dxfId="19">
      <formula>AV351="X"</formula>
    </cfRule>
    <cfRule type="expression" priority="648" dxfId="18">
      <formula>AV351="후보"</formula>
    </cfRule>
  </conditionalFormatting>
  <conditionalFormatting sqref="AC351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5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1">
    <cfRule type="expression" priority="639" dxfId="3">
      <formula>AND(IF(OR($Q351=1,$Q351=2),1,0),IF($X351&lt;=20,1,0))</formula>
    </cfRule>
    <cfRule type="expression" priority="640" dxfId="2">
      <formula>AND(IF($Q351=2,1,0),IF($X351&lt;30,1,0))</formula>
    </cfRule>
    <cfRule type="expression" priority="641" dxfId="1">
      <formula>AND(IF($Q351=3,1,0),IF($X351&lt;30,1,0))</formula>
    </cfRule>
    <cfRule type="expression" priority="642" dxfId="0">
      <formula>AND(IF($Q351=3,1,IF($Q351=4,1,0)),IF($F351&lt;=85,1,0))</formula>
    </cfRule>
  </conditionalFormatting>
  <conditionalFormatting sqref="X351">
    <cfRule type="expression" priority="635" dxfId="3">
      <formula>AND(IF(OR($Q351=1,$Q351=2),1,0),IF($X351&lt;=20,1,0))</formula>
    </cfRule>
    <cfRule type="expression" priority="636" dxfId="2">
      <formula>AND(IF($Q351=2,1,0),IF($X351&lt;30,1,0))</formula>
    </cfRule>
    <cfRule type="expression" priority="637" dxfId="1">
      <formula>AND(IF($Q351=3,1,0),IF($X351&lt;30,1,0))</formula>
    </cfRule>
    <cfRule type="expression" priority="638" dxfId="0">
      <formula>AND(IF($Q351=3,1,IF($Q351=4,1,0)),IF($F351&lt;=85,1,0))</formula>
    </cfRule>
  </conditionalFormatting>
  <conditionalFormatting sqref="AI351">
    <cfRule type="expression" priority="631" dxfId="3">
      <formula>AND(IF(OR($Q351=1,$Q351=2),1,0),IF($X351&lt;=20,1,0))</formula>
    </cfRule>
    <cfRule type="expression" priority="632" dxfId="2">
      <formula>AND(IF($Q351=2,1,0),IF($X351&lt;30,1,0))</formula>
    </cfRule>
    <cfRule type="expression" priority="633" dxfId="1">
      <formula>AND(IF($Q351=3,1,0),IF($X351&lt;30,1,0))</formula>
    </cfRule>
    <cfRule type="expression" priority="634" dxfId="0">
      <formula>AND(IF($Q351=3,1,IF($Q351=4,1,0)),IF($F351&lt;=85,1,0))</formula>
    </cfRule>
  </conditionalFormatting>
  <conditionalFormatting sqref="AV352">
    <cfRule type="expression" priority="629" dxfId="19">
      <formula>AV352="X"</formula>
    </cfRule>
    <cfRule type="expression" priority="630" dxfId="18">
      <formula>AV352="후보"</formula>
    </cfRule>
  </conditionalFormatting>
  <conditionalFormatting sqref="AC35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5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52">
    <cfRule type="expression" priority="621" dxfId="3">
      <formula>AND(IF(OR($Q352=1,$Q352=2),1,0),IF($X352&lt;=20,1,0))</formula>
    </cfRule>
    <cfRule type="expression" priority="622" dxfId="2">
      <formula>AND(IF($Q352=2,1,0),IF($X352&lt;30,1,0))</formula>
    </cfRule>
    <cfRule type="expression" priority="623" dxfId="1">
      <formula>AND(IF($Q352=3,1,0),IF($X352&lt;30,1,0))</formula>
    </cfRule>
    <cfRule type="expression" priority="624" dxfId="0">
      <formula>AND(IF($Q352=3,1,IF($Q352=4,1,0)),IF($F352&lt;=85,1,0))</formula>
    </cfRule>
  </conditionalFormatting>
  <conditionalFormatting sqref="X352">
    <cfRule type="expression" priority="617" dxfId="3">
      <formula>AND(IF(OR($Q352=1,$Q352=2),1,0),IF($X352&lt;=20,1,0))</formula>
    </cfRule>
    <cfRule type="expression" priority="618" dxfId="2">
      <formula>AND(IF($Q352=2,1,0),IF($X352&lt;30,1,0))</formula>
    </cfRule>
    <cfRule type="expression" priority="619" dxfId="1">
      <formula>AND(IF($Q352=3,1,0),IF($X352&lt;30,1,0))</formula>
    </cfRule>
    <cfRule type="expression" priority="620" dxfId="0">
      <formula>AND(IF($Q352=3,1,IF($Q352=4,1,0)),IF($F352&lt;=85,1,0))</formula>
    </cfRule>
  </conditionalFormatting>
  <conditionalFormatting sqref="AI352">
    <cfRule type="expression" priority="613" dxfId="3">
      <formula>AND(IF(OR($Q352=1,$Q352=2),1,0),IF($X352&lt;=20,1,0))</formula>
    </cfRule>
    <cfRule type="expression" priority="614" dxfId="2">
      <formula>AND(IF($Q352=2,1,0),IF($X352&lt;30,1,0))</formula>
    </cfRule>
    <cfRule type="expression" priority="615" dxfId="1">
      <formula>AND(IF($Q352=3,1,0),IF($X352&lt;30,1,0))</formula>
    </cfRule>
    <cfRule type="expression" priority="616" dxfId="0">
      <formula>AND(IF($Q352=3,1,IF($Q352=4,1,0)),IF($F352&lt;=85,1,0))</formula>
    </cfRule>
  </conditionalFormatting>
  <conditionalFormatting sqref="AV353">
    <cfRule type="expression" priority="611" dxfId="19">
      <formula>AV353="X"</formula>
    </cfRule>
    <cfRule type="expression" priority="612" dxfId="18">
      <formula>AV353="후보"</formula>
    </cfRule>
  </conditionalFormatting>
  <conditionalFormatting sqref="AC353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5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53">
    <cfRule type="expression" priority="603" dxfId="3">
      <formula>AND(IF(OR($Q353=1,$Q353=2),1,0),IF($X353&lt;=20,1,0))</formula>
    </cfRule>
    <cfRule type="expression" priority="604" dxfId="2">
      <formula>AND(IF($Q353=2,1,0),IF($X353&lt;30,1,0))</formula>
    </cfRule>
    <cfRule type="expression" priority="605" dxfId="1">
      <formula>AND(IF($Q353=3,1,0),IF($X353&lt;30,1,0))</formula>
    </cfRule>
    <cfRule type="expression" priority="606" dxfId="0">
      <formula>AND(IF($Q353=3,1,IF($Q353=4,1,0)),IF($F353&lt;=85,1,0))</formula>
    </cfRule>
  </conditionalFormatting>
  <conditionalFormatting sqref="X353">
    <cfRule type="expression" priority="599" dxfId="3">
      <formula>AND(IF(OR($Q353=1,$Q353=2),1,0),IF($X353&lt;=20,1,0))</formula>
    </cfRule>
    <cfRule type="expression" priority="600" dxfId="2">
      <formula>AND(IF($Q353=2,1,0),IF($X353&lt;30,1,0))</formula>
    </cfRule>
    <cfRule type="expression" priority="601" dxfId="1">
      <formula>AND(IF($Q353=3,1,0),IF($X353&lt;30,1,0))</formula>
    </cfRule>
    <cfRule type="expression" priority="602" dxfId="0">
      <formula>AND(IF($Q353=3,1,IF($Q353=4,1,0)),IF($F353&lt;=85,1,0))</formula>
    </cfRule>
  </conditionalFormatting>
  <conditionalFormatting sqref="AI353">
    <cfRule type="expression" priority="595" dxfId="3">
      <formula>AND(IF(OR($Q353=1,$Q353=2),1,0),IF($X353&lt;=20,1,0))</formula>
    </cfRule>
    <cfRule type="expression" priority="596" dxfId="2">
      <formula>AND(IF($Q353=2,1,0),IF($X353&lt;30,1,0))</formula>
    </cfRule>
    <cfRule type="expression" priority="597" dxfId="1">
      <formula>AND(IF($Q353=3,1,0),IF($X353&lt;30,1,0))</formula>
    </cfRule>
    <cfRule type="expression" priority="598" dxfId="0">
      <formula>AND(IF($Q353=3,1,IF($Q353=4,1,0)),IF($F353&lt;=85,1,0))</formula>
    </cfRule>
  </conditionalFormatting>
  <conditionalFormatting sqref="AV354">
    <cfRule type="expression" priority="593" dxfId="19">
      <formula>AV354="X"</formula>
    </cfRule>
    <cfRule type="expression" priority="594" dxfId="18">
      <formula>AV354="후보"</formula>
    </cfRule>
  </conditionalFormatting>
  <conditionalFormatting sqref="AC35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5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54">
    <cfRule type="expression" priority="585" dxfId="3">
      <formula>AND(IF(OR($Q354=1,$Q354=2),1,0),IF($X354&lt;=20,1,0))</formula>
    </cfRule>
    <cfRule type="expression" priority="586" dxfId="2">
      <formula>AND(IF($Q354=2,1,0),IF($X354&lt;30,1,0))</formula>
    </cfRule>
    <cfRule type="expression" priority="587" dxfId="1">
      <formula>AND(IF($Q354=3,1,0),IF($X354&lt;30,1,0))</formula>
    </cfRule>
    <cfRule type="expression" priority="588" dxfId="0">
      <formula>AND(IF($Q354=3,1,IF($Q354=4,1,0)),IF($F354&lt;=85,1,0))</formula>
    </cfRule>
  </conditionalFormatting>
  <conditionalFormatting sqref="X354">
    <cfRule type="expression" priority="581" dxfId="3">
      <formula>AND(IF(OR($Q354=1,$Q354=2),1,0),IF($X354&lt;=20,1,0))</formula>
    </cfRule>
    <cfRule type="expression" priority="582" dxfId="2">
      <formula>AND(IF($Q354=2,1,0),IF($X354&lt;30,1,0))</formula>
    </cfRule>
    <cfRule type="expression" priority="583" dxfId="1">
      <formula>AND(IF($Q354=3,1,0),IF($X354&lt;30,1,0))</formula>
    </cfRule>
    <cfRule type="expression" priority="584" dxfId="0">
      <formula>AND(IF($Q354=3,1,IF($Q354=4,1,0)),IF($F354&lt;=85,1,0))</formula>
    </cfRule>
  </conditionalFormatting>
  <conditionalFormatting sqref="AI354">
    <cfRule type="expression" priority="577" dxfId="3">
      <formula>AND(IF(OR($Q354=1,$Q354=2),1,0),IF($X354&lt;=20,1,0))</formula>
    </cfRule>
    <cfRule type="expression" priority="578" dxfId="2">
      <formula>AND(IF($Q354=2,1,0),IF($X354&lt;30,1,0))</formula>
    </cfRule>
    <cfRule type="expression" priority="579" dxfId="1">
      <formula>AND(IF($Q354=3,1,0),IF($X354&lt;30,1,0))</formula>
    </cfRule>
    <cfRule type="expression" priority="580" dxfId="0">
      <formula>AND(IF($Q354=3,1,IF($Q354=4,1,0)),IF($F354&lt;=85,1,0))</formula>
    </cfRule>
  </conditionalFormatting>
  <conditionalFormatting sqref="AV355">
    <cfRule type="expression" priority="575" dxfId="19">
      <formula>AV355="X"</formula>
    </cfRule>
    <cfRule type="expression" priority="576" dxfId="18">
      <formula>AV355="후보"</formula>
    </cfRule>
  </conditionalFormatting>
  <conditionalFormatting sqref="AC35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5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55">
    <cfRule type="expression" priority="567" dxfId="3">
      <formula>AND(IF(OR($Q355=1,$Q355=2),1,0),IF($X355&lt;=20,1,0))</formula>
    </cfRule>
    <cfRule type="expression" priority="568" dxfId="2">
      <formula>AND(IF($Q355=2,1,0),IF($X355&lt;30,1,0))</formula>
    </cfRule>
    <cfRule type="expression" priority="569" dxfId="1">
      <formula>AND(IF($Q355=3,1,0),IF($X355&lt;30,1,0))</formula>
    </cfRule>
    <cfRule type="expression" priority="570" dxfId="0">
      <formula>AND(IF($Q355=3,1,IF($Q355=4,1,0)),IF($F355&lt;=85,1,0))</formula>
    </cfRule>
  </conditionalFormatting>
  <conditionalFormatting sqref="X355">
    <cfRule type="expression" priority="563" dxfId="3">
      <formula>AND(IF(OR($Q355=1,$Q355=2),1,0),IF($X355&lt;=20,1,0))</formula>
    </cfRule>
    <cfRule type="expression" priority="564" dxfId="2">
      <formula>AND(IF($Q355=2,1,0),IF($X355&lt;30,1,0))</formula>
    </cfRule>
    <cfRule type="expression" priority="565" dxfId="1">
      <formula>AND(IF($Q355=3,1,0),IF($X355&lt;30,1,0))</formula>
    </cfRule>
    <cfRule type="expression" priority="566" dxfId="0">
      <formula>AND(IF($Q355=3,1,IF($Q355=4,1,0)),IF($F355&lt;=85,1,0))</formula>
    </cfRule>
  </conditionalFormatting>
  <conditionalFormatting sqref="AI355">
    <cfRule type="expression" priority="559" dxfId="3">
      <formula>AND(IF(OR($Q355=1,$Q355=2),1,0),IF($X355&lt;=20,1,0))</formula>
    </cfRule>
    <cfRule type="expression" priority="560" dxfId="2">
      <formula>AND(IF($Q355=2,1,0),IF($X355&lt;30,1,0))</formula>
    </cfRule>
    <cfRule type="expression" priority="561" dxfId="1">
      <formula>AND(IF($Q355=3,1,0),IF($X355&lt;30,1,0))</formula>
    </cfRule>
    <cfRule type="expression" priority="562" dxfId="0">
      <formula>AND(IF($Q355=3,1,IF($Q355=4,1,0)),IF($F355&lt;=85,1,0))</formula>
    </cfRule>
  </conditionalFormatting>
  <conditionalFormatting sqref="AV356">
    <cfRule type="expression" priority="557" dxfId="19">
      <formula>AV356="X"</formula>
    </cfRule>
    <cfRule type="expression" priority="558" dxfId="18">
      <formula>AV356="후보"</formula>
    </cfRule>
  </conditionalFormatting>
  <conditionalFormatting sqref="AC35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5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56">
    <cfRule type="expression" priority="549" dxfId="3">
      <formula>AND(IF(OR($Q356=1,$Q356=2),1,0),IF($X356&lt;=20,1,0))</formula>
    </cfRule>
    <cfRule type="expression" priority="550" dxfId="2">
      <formula>AND(IF($Q356=2,1,0),IF($X356&lt;30,1,0))</formula>
    </cfRule>
    <cfRule type="expression" priority="551" dxfId="1">
      <formula>AND(IF($Q356=3,1,0),IF($X356&lt;30,1,0))</formula>
    </cfRule>
    <cfRule type="expression" priority="552" dxfId="0">
      <formula>AND(IF($Q356=3,1,IF($Q356=4,1,0)),IF($F356&lt;=85,1,0))</formula>
    </cfRule>
  </conditionalFormatting>
  <conditionalFormatting sqref="X356">
    <cfRule type="expression" priority="545" dxfId="3">
      <formula>AND(IF(OR($Q356=1,$Q356=2),1,0),IF($X356&lt;=20,1,0))</formula>
    </cfRule>
    <cfRule type="expression" priority="546" dxfId="2">
      <formula>AND(IF($Q356=2,1,0),IF($X356&lt;30,1,0))</formula>
    </cfRule>
    <cfRule type="expression" priority="547" dxfId="1">
      <formula>AND(IF($Q356=3,1,0),IF($X356&lt;30,1,0))</formula>
    </cfRule>
    <cfRule type="expression" priority="548" dxfId="0">
      <formula>AND(IF($Q356=3,1,IF($Q356=4,1,0)),IF($F356&lt;=85,1,0))</formula>
    </cfRule>
  </conditionalFormatting>
  <conditionalFormatting sqref="AI356">
    <cfRule type="expression" priority="541" dxfId="3">
      <formula>AND(IF(OR($Q356=1,$Q356=2),1,0),IF($X356&lt;=20,1,0))</formula>
    </cfRule>
    <cfRule type="expression" priority="542" dxfId="2">
      <formula>AND(IF($Q356=2,1,0),IF($X356&lt;30,1,0))</formula>
    </cfRule>
    <cfRule type="expression" priority="543" dxfId="1">
      <formula>AND(IF($Q356=3,1,0),IF($X356&lt;30,1,0))</formula>
    </cfRule>
    <cfRule type="expression" priority="544" dxfId="0">
      <formula>AND(IF($Q356=3,1,IF($Q356=4,1,0)),IF($F356&lt;=85,1,0))</formula>
    </cfRule>
  </conditionalFormatting>
  <conditionalFormatting sqref="AV357">
    <cfRule type="expression" priority="539" dxfId="19">
      <formula>AV357="X"</formula>
    </cfRule>
    <cfRule type="expression" priority="540" dxfId="18">
      <formula>AV357="후보"</formula>
    </cfRule>
  </conditionalFormatting>
  <conditionalFormatting sqref="AC35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7">
    <cfRule type="expression" priority="531" dxfId="3">
      <formula>AND(IF(OR($Q357=1,$Q357=2),1,0),IF($X357&lt;=20,1,0))</formula>
    </cfRule>
    <cfRule type="expression" priority="532" dxfId="2">
      <formula>AND(IF($Q357=2,1,0),IF($X357&lt;30,1,0))</formula>
    </cfRule>
    <cfRule type="expression" priority="533" dxfId="1">
      <formula>AND(IF($Q357=3,1,0),IF($X357&lt;30,1,0))</formula>
    </cfRule>
    <cfRule type="expression" priority="534" dxfId="0">
      <formula>AND(IF($Q357=3,1,IF($Q357=4,1,0)),IF($F357&lt;=85,1,0))</formula>
    </cfRule>
  </conditionalFormatting>
  <conditionalFormatting sqref="X357">
    <cfRule type="expression" priority="527" dxfId="3">
      <formula>AND(IF(OR($Q357=1,$Q357=2),1,0),IF($X357&lt;=20,1,0))</formula>
    </cfRule>
    <cfRule type="expression" priority="528" dxfId="2">
      <formula>AND(IF($Q357=2,1,0),IF($X357&lt;30,1,0))</formula>
    </cfRule>
    <cfRule type="expression" priority="529" dxfId="1">
      <formula>AND(IF($Q357=3,1,0),IF($X357&lt;30,1,0))</formula>
    </cfRule>
    <cfRule type="expression" priority="530" dxfId="0">
      <formula>AND(IF($Q357=3,1,IF($Q357=4,1,0)),IF($F357&lt;=85,1,0))</formula>
    </cfRule>
  </conditionalFormatting>
  <conditionalFormatting sqref="AI357">
    <cfRule type="expression" priority="523" dxfId="3">
      <formula>AND(IF(OR($Q357=1,$Q357=2),1,0),IF($X357&lt;=20,1,0))</formula>
    </cfRule>
    <cfRule type="expression" priority="524" dxfId="2">
      <formula>AND(IF($Q357=2,1,0),IF($X357&lt;30,1,0))</formula>
    </cfRule>
    <cfRule type="expression" priority="525" dxfId="1">
      <formula>AND(IF($Q357=3,1,0),IF($X357&lt;30,1,0))</formula>
    </cfRule>
    <cfRule type="expression" priority="526" dxfId="0">
      <formula>AND(IF($Q357=3,1,IF($Q357=4,1,0)),IF($F357&lt;=85,1,0))</formula>
    </cfRule>
  </conditionalFormatting>
  <conditionalFormatting sqref="AV358">
    <cfRule type="expression" priority="521" dxfId="19">
      <formula>AV358="X"</formula>
    </cfRule>
    <cfRule type="expression" priority="522" dxfId="18">
      <formula>AV358="후보"</formula>
    </cfRule>
  </conditionalFormatting>
  <conditionalFormatting sqref="AC35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5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58">
    <cfRule type="expression" priority="513" dxfId="3">
      <formula>AND(IF(OR($Q358=1,$Q358=2),1,0),IF($X358&lt;=20,1,0))</formula>
    </cfRule>
    <cfRule type="expression" priority="514" dxfId="2">
      <formula>AND(IF($Q358=2,1,0),IF($X358&lt;30,1,0))</formula>
    </cfRule>
    <cfRule type="expression" priority="515" dxfId="1">
      <formula>AND(IF($Q358=3,1,0),IF($X358&lt;30,1,0))</formula>
    </cfRule>
    <cfRule type="expression" priority="516" dxfId="0">
      <formula>AND(IF($Q358=3,1,IF($Q358=4,1,0)),IF($F358&lt;=85,1,0))</formula>
    </cfRule>
  </conditionalFormatting>
  <conditionalFormatting sqref="X358">
    <cfRule type="expression" priority="509" dxfId="3">
      <formula>AND(IF(OR($Q358=1,$Q358=2),1,0),IF($X358&lt;=20,1,0))</formula>
    </cfRule>
    <cfRule type="expression" priority="510" dxfId="2">
      <formula>AND(IF($Q358=2,1,0),IF($X358&lt;30,1,0))</formula>
    </cfRule>
    <cfRule type="expression" priority="511" dxfId="1">
      <formula>AND(IF($Q358=3,1,0),IF($X358&lt;30,1,0))</formula>
    </cfRule>
    <cfRule type="expression" priority="512" dxfId="0">
      <formula>AND(IF($Q358=3,1,IF($Q358=4,1,0)),IF($F358&lt;=85,1,0))</formula>
    </cfRule>
  </conditionalFormatting>
  <conditionalFormatting sqref="AI358">
    <cfRule type="expression" priority="505" dxfId="3">
      <formula>AND(IF(OR($Q358=1,$Q358=2),1,0),IF($X358&lt;=20,1,0))</formula>
    </cfRule>
    <cfRule type="expression" priority="506" dxfId="2">
      <formula>AND(IF($Q358=2,1,0),IF($X358&lt;30,1,0))</formula>
    </cfRule>
    <cfRule type="expression" priority="507" dxfId="1">
      <formula>AND(IF($Q358=3,1,0),IF($X358&lt;30,1,0))</formula>
    </cfRule>
    <cfRule type="expression" priority="508" dxfId="0">
      <formula>AND(IF($Q358=3,1,IF($Q358=4,1,0)),IF($F358&lt;=85,1,0))</formula>
    </cfRule>
  </conditionalFormatting>
  <conditionalFormatting sqref="AV359">
    <cfRule type="expression" priority="503" dxfId="19">
      <formula>AV359="X"</formula>
    </cfRule>
    <cfRule type="expression" priority="504" dxfId="18">
      <formula>AV359="후보"</formula>
    </cfRule>
  </conditionalFormatting>
  <conditionalFormatting sqref="AC35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5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59">
    <cfRule type="expression" priority="495" dxfId="3">
      <formula>AND(IF(OR($Q359=1,$Q359=2),1,0),IF($X359&lt;=20,1,0))</formula>
    </cfRule>
    <cfRule type="expression" priority="496" dxfId="2">
      <formula>AND(IF($Q359=2,1,0),IF($X359&lt;30,1,0))</formula>
    </cfRule>
    <cfRule type="expression" priority="497" dxfId="1">
      <formula>AND(IF($Q359=3,1,0),IF($X359&lt;30,1,0))</formula>
    </cfRule>
    <cfRule type="expression" priority="498" dxfId="0">
      <formula>AND(IF($Q359=3,1,IF($Q359=4,1,0)),IF($F359&lt;=85,1,0))</formula>
    </cfRule>
  </conditionalFormatting>
  <conditionalFormatting sqref="X359">
    <cfRule type="expression" priority="491" dxfId="3">
      <formula>AND(IF(OR($Q359=1,$Q359=2),1,0),IF($X359&lt;=20,1,0))</formula>
    </cfRule>
    <cfRule type="expression" priority="492" dxfId="2">
      <formula>AND(IF($Q359=2,1,0),IF($X359&lt;30,1,0))</formula>
    </cfRule>
    <cfRule type="expression" priority="493" dxfId="1">
      <formula>AND(IF($Q359=3,1,0),IF($X359&lt;30,1,0))</formula>
    </cfRule>
    <cfRule type="expression" priority="494" dxfId="0">
      <formula>AND(IF($Q359=3,1,IF($Q359=4,1,0)),IF($F359&lt;=85,1,0))</formula>
    </cfRule>
  </conditionalFormatting>
  <conditionalFormatting sqref="AI359">
    <cfRule type="expression" priority="487" dxfId="3">
      <formula>AND(IF(OR($Q359=1,$Q359=2),1,0),IF($X359&lt;=20,1,0))</formula>
    </cfRule>
    <cfRule type="expression" priority="488" dxfId="2">
      <formula>AND(IF($Q359=2,1,0),IF($X359&lt;30,1,0))</formula>
    </cfRule>
    <cfRule type="expression" priority="489" dxfId="1">
      <formula>AND(IF($Q359=3,1,0),IF($X359&lt;30,1,0))</formula>
    </cfRule>
    <cfRule type="expression" priority="490" dxfId="0">
      <formula>AND(IF($Q359=3,1,IF($Q359=4,1,0)),IF($F359&lt;=85,1,0))</formula>
    </cfRule>
  </conditionalFormatting>
  <conditionalFormatting sqref="AV360">
    <cfRule type="expression" priority="485" dxfId="19">
      <formula>AV360="X"</formula>
    </cfRule>
    <cfRule type="expression" priority="486" dxfId="18">
      <formula>AV360="후보"</formula>
    </cfRule>
  </conditionalFormatting>
  <conditionalFormatting sqref="AC36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6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60">
    <cfRule type="expression" priority="477" dxfId="3">
      <formula>AND(IF(OR($Q360=1,$Q360=2),1,0),IF($X360&lt;=20,1,0))</formula>
    </cfRule>
    <cfRule type="expression" priority="478" dxfId="2">
      <formula>AND(IF($Q360=2,1,0),IF($X360&lt;30,1,0))</formula>
    </cfRule>
    <cfRule type="expression" priority="479" dxfId="1">
      <formula>AND(IF($Q360=3,1,0),IF($X360&lt;30,1,0))</formula>
    </cfRule>
    <cfRule type="expression" priority="480" dxfId="0">
      <formula>AND(IF($Q360=3,1,IF($Q360=4,1,0)),IF($F360&lt;=85,1,0))</formula>
    </cfRule>
  </conditionalFormatting>
  <conditionalFormatting sqref="X360">
    <cfRule type="expression" priority="473" dxfId="3">
      <formula>AND(IF(OR($Q360=1,$Q360=2),1,0),IF($X360&lt;=20,1,0))</formula>
    </cfRule>
    <cfRule type="expression" priority="474" dxfId="2">
      <formula>AND(IF($Q360=2,1,0),IF($X360&lt;30,1,0))</formula>
    </cfRule>
    <cfRule type="expression" priority="475" dxfId="1">
      <formula>AND(IF($Q360=3,1,0),IF($X360&lt;30,1,0))</formula>
    </cfRule>
    <cfRule type="expression" priority="476" dxfId="0">
      <formula>AND(IF($Q360=3,1,IF($Q360=4,1,0)),IF($F360&lt;=85,1,0))</formula>
    </cfRule>
  </conditionalFormatting>
  <conditionalFormatting sqref="AI360">
    <cfRule type="expression" priority="469" dxfId="3">
      <formula>AND(IF(OR($Q360=1,$Q360=2),1,0),IF($X360&lt;=20,1,0))</formula>
    </cfRule>
    <cfRule type="expression" priority="470" dxfId="2">
      <formula>AND(IF($Q360=2,1,0),IF($X360&lt;30,1,0))</formula>
    </cfRule>
    <cfRule type="expression" priority="471" dxfId="1">
      <formula>AND(IF($Q360=3,1,0),IF($X360&lt;30,1,0))</formula>
    </cfRule>
    <cfRule type="expression" priority="472" dxfId="0">
      <formula>AND(IF($Q360=3,1,IF($Q360=4,1,0)),IF($F360&lt;=85,1,0))</formula>
    </cfRule>
  </conditionalFormatting>
  <conditionalFormatting sqref="AV361">
    <cfRule type="expression" priority="467" dxfId="19">
      <formula>AV361="X"</formula>
    </cfRule>
    <cfRule type="expression" priority="468" dxfId="18">
      <formula>AV361="후보"</formula>
    </cfRule>
  </conditionalFormatting>
  <conditionalFormatting sqref="AC36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6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61">
    <cfRule type="expression" priority="459" dxfId="3">
      <formula>AND(IF(OR($Q361=1,$Q361=2),1,0),IF($X361&lt;=20,1,0))</formula>
    </cfRule>
    <cfRule type="expression" priority="460" dxfId="2">
      <formula>AND(IF($Q361=2,1,0),IF($X361&lt;30,1,0))</formula>
    </cfRule>
    <cfRule type="expression" priority="461" dxfId="1">
      <formula>AND(IF($Q361=3,1,0),IF($X361&lt;30,1,0))</formula>
    </cfRule>
    <cfRule type="expression" priority="462" dxfId="0">
      <formula>AND(IF($Q361=3,1,IF($Q361=4,1,0)),IF($F361&lt;=85,1,0))</formula>
    </cfRule>
  </conditionalFormatting>
  <conditionalFormatting sqref="X361">
    <cfRule type="expression" priority="455" dxfId="3">
      <formula>AND(IF(OR($Q361=1,$Q361=2),1,0),IF($X361&lt;=20,1,0))</formula>
    </cfRule>
    <cfRule type="expression" priority="456" dxfId="2">
      <formula>AND(IF($Q361=2,1,0),IF($X361&lt;30,1,0))</formula>
    </cfRule>
    <cfRule type="expression" priority="457" dxfId="1">
      <formula>AND(IF($Q361=3,1,0),IF($X361&lt;30,1,0))</formula>
    </cfRule>
    <cfRule type="expression" priority="458" dxfId="0">
      <formula>AND(IF($Q361=3,1,IF($Q361=4,1,0)),IF($F361&lt;=85,1,0))</formula>
    </cfRule>
  </conditionalFormatting>
  <conditionalFormatting sqref="AI361">
    <cfRule type="expression" priority="451" dxfId="3">
      <formula>AND(IF(OR($Q361=1,$Q361=2),1,0),IF($X361&lt;=20,1,0))</formula>
    </cfRule>
    <cfRule type="expression" priority="452" dxfId="2">
      <formula>AND(IF($Q361=2,1,0),IF($X361&lt;30,1,0))</formula>
    </cfRule>
    <cfRule type="expression" priority="453" dxfId="1">
      <formula>AND(IF($Q361=3,1,0),IF($X361&lt;30,1,0))</formula>
    </cfRule>
    <cfRule type="expression" priority="454" dxfId="0">
      <formula>AND(IF($Q361=3,1,IF($Q361=4,1,0)),IF($F361&lt;=85,1,0))</formula>
    </cfRule>
  </conditionalFormatting>
  <conditionalFormatting sqref="AV362">
    <cfRule type="expression" priority="449" dxfId="19">
      <formula>AV362="X"</formula>
    </cfRule>
    <cfRule type="expression" priority="450" dxfId="18">
      <formula>AV362="후보"</formula>
    </cfRule>
  </conditionalFormatting>
  <conditionalFormatting sqref="AC36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6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62">
    <cfRule type="expression" priority="441" dxfId="3">
      <formula>AND(IF(OR($Q362=1,$Q362=2),1,0),IF($X362&lt;=20,1,0))</formula>
    </cfRule>
    <cfRule type="expression" priority="442" dxfId="2">
      <formula>AND(IF($Q362=2,1,0),IF($X362&lt;30,1,0))</formula>
    </cfRule>
    <cfRule type="expression" priority="443" dxfId="1">
      <formula>AND(IF($Q362=3,1,0),IF($X362&lt;30,1,0))</formula>
    </cfRule>
    <cfRule type="expression" priority="444" dxfId="0">
      <formula>AND(IF($Q362=3,1,IF($Q362=4,1,0)),IF($F362&lt;=85,1,0))</formula>
    </cfRule>
  </conditionalFormatting>
  <conditionalFormatting sqref="X362">
    <cfRule type="expression" priority="437" dxfId="3">
      <formula>AND(IF(OR($Q362=1,$Q362=2),1,0),IF($X362&lt;=20,1,0))</formula>
    </cfRule>
    <cfRule type="expression" priority="438" dxfId="2">
      <formula>AND(IF($Q362=2,1,0),IF($X362&lt;30,1,0))</formula>
    </cfRule>
    <cfRule type="expression" priority="439" dxfId="1">
      <formula>AND(IF($Q362=3,1,0),IF($X362&lt;30,1,0))</formula>
    </cfRule>
    <cfRule type="expression" priority="440" dxfId="0">
      <formula>AND(IF($Q362=3,1,IF($Q362=4,1,0)),IF($F362&lt;=85,1,0))</formula>
    </cfRule>
  </conditionalFormatting>
  <conditionalFormatting sqref="AI362">
    <cfRule type="expression" priority="433" dxfId="3">
      <formula>AND(IF(OR($Q362=1,$Q362=2),1,0),IF($X362&lt;=20,1,0))</formula>
    </cfRule>
    <cfRule type="expression" priority="434" dxfId="2">
      <formula>AND(IF($Q362=2,1,0),IF($X362&lt;30,1,0))</formula>
    </cfRule>
    <cfRule type="expression" priority="435" dxfId="1">
      <formula>AND(IF($Q362=3,1,0),IF($X362&lt;30,1,0))</formula>
    </cfRule>
    <cfRule type="expression" priority="436" dxfId="0">
      <formula>AND(IF($Q362=3,1,IF($Q362=4,1,0)),IF($F362&lt;=85,1,0))</formula>
    </cfRule>
  </conditionalFormatting>
  <conditionalFormatting sqref="AV363">
    <cfRule type="expression" priority="431" dxfId="19">
      <formula>AV363="X"</formula>
    </cfRule>
    <cfRule type="expression" priority="432" dxfId="18">
      <formula>AV363="후보"</formula>
    </cfRule>
  </conditionalFormatting>
  <conditionalFormatting sqref="AC36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6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63">
    <cfRule type="expression" priority="423" dxfId="3">
      <formula>AND(IF(OR($Q363=1,$Q363=2),1,0),IF($X363&lt;=20,1,0))</formula>
    </cfRule>
    <cfRule type="expression" priority="424" dxfId="2">
      <formula>AND(IF($Q363=2,1,0),IF($X363&lt;30,1,0))</formula>
    </cfRule>
    <cfRule type="expression" priority="425" dxfId="1">
      <formula>AND(IF($Q363=3,1,0),IF($X363&lt;30,1,0))</formula>
    </cfRule>
    <cfRule type="expression" priority="426" dxfId="0">
      <formula>AND(IF($Q363=3,1,IF($Q363=4,1,0)),IF($F363&lt;=85,1,0))</formula>
    </cfRule>
  </conditionalFormatting>
  <conditionalFormatting sqref="X363">
    <cfRule type="expression" priority="419" dxfId="3">
      <formula>AND(IF(OR($Q363=1,$Q363=2),1,0),IF($X363&lt;=20,1,0))</formula>
    </cfRule>
    <cfRule type="expression" priority="420" dxfId="2">
      <formula>AND(IF($Q363=2,1,0),IF($X363&lt;30,1,0))</formula>
    </cfRule>
    <cfRule type="expression" priority="421" dxfId="1">
      <formula>AND(IF($Q363=3,1,0),IF($X363&lt;30,1,0))</formula>
    </cfRule>
    <cfRule type="expression" priority="422" dxfId="0">
      <formula>AND(IF($Q363=3,1,IF($Q363=4,1,0)),IF($F363&lt;=85,1,0))</formula>
    </cfRule>
  </conditionalFormatting>
  <conditionalFormatting sqref="AI363">
    <cfRule type="expression" priority="415" dxfId="3">
      <formula>AND(IF(OR($Q363=1,$Q363=2),1,0),IF($X363&lt;=20,1,0))</formula>
    </cfRule>
    <cfRule type="expression" priority="416" dxfId="2">
      <formula>AND(IF($Q363=2,1,0),IF($X363&lt;30,1,0))</formula>
    </cfRule>
    <cfRule type="expression" priority="417" dxfId="1">
      <formula>AND(IF($Q363=3,1,0),IF($X363&lt;30,1,0))</formula>
    </cfRule>
    <cfRule type="expression" priority="418" dxfId="0">
      <formula>AND(IF($Q363=3,1,IF($Q363=4,1,0)),IF($F363&lt;=85,1,0))</formula>
    </cfRule>
  </conditionalFormatting>
  <conditionalFormatting sqref="AV364">
    <cfRule type="expression" priority="413" dxfId="19">
      <formula>AV364="X"</formula>
    </cfRule>
    <cfRule type="expression" priority="414" dxfId="18">
      <formula>AV364="후보"</formula>
    </cfRule>
  </conditionalFormatting>
  <conditionalFormatting sqref="AC36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4">
    <cfRule type="expression" priority="405" dxfId="3">
      <formula>AND(IF(OR($Q364=1,$Q364=2),1,0),IF($X364&lt;=20,1,0))</formula>
    </cfRule>
    <cfRule type="expression" priority="406" dxfId="2">
      <formula>AND(IF($Q364=2,1,0),IF($X364&lt;30,1,0))</formula>
    </cfRule>
    <cfRule type="expression" priority="407" dxfId="1">
      <formula>AND(IF($Q364=3,1,0),IF($X364&lt;30,1,0))</formula>
    </cfRule>
    <cfRule type="expression" priority="408" dxfId="0">
      <formula>AND(IF($Q364=3,1,IF($Q364=4,1,0)),IF($F364&lt;=85,1,0))</formula>
    </cfRule>
  </conditionalFormatting>
  <conditionalFormatting sqref="X364">
    <cfRule type="expression" priority="401" dxfId="3">
      <formula>AND(IF(OR($Q364=1,$Q364=2),1,0),IF($X364&lt;=20,1,0))</formula>
    </cfRule>
    <cfRule type="expression" priority="402" dxfId="2">
      <formula>AND(IF($Q364=2,1,0),IF($X364&lt;30,1,0))</formula>
    </cfRule>
    <cfRule type="expression" priority="403" dxfId="1">
      <formula>AND(IF($Q364=3,1,0),IF($X364&lt;30,1,0))</formula>
    </cfRule>
    <cfRule type="expression" priority="404" dxfId="0">
      <formula>AND(IF($Q364=3,1,IF($Q364=4,1,0)),IF($F364&lt;=85,1,0))</formula>
    </cfRule>
  </conditionalFormatting>
  <conditionalFormatting sqref="AI364">
    <cfRule type="expression" priority="397" dxfId="3">
      <formula>AND(IF(OR($Q364=1,$Q364=2),1,0),IF($X364&lt;=20,1,0))</formula>
    </cfRule>
    <cfRule type="expression" priority="398" dxfId="2">
      <formula>AND(IF($Q364=2,1,0),IF($X364&lt;30,1,0))</formula>
    </cfRule>
    <cfRule type="expression" priority="399" dxfId="1">
      <formula>AND(IF($Q364=3,1,0),IF($X364&lt;30,1,0))</formula>
    </cfRule>
    <cfRule type="expression" priority="400" dxfId="0">
      <formula>AND(IF($Q364=3,1,IF($Q364=4,1,0)),IF($F364&lt;=85,1,0))</formula>
    </cfRule>
  </conditionalFormatting>
  <conditionalFormatting sqref="AV365">
    <cfRule type="expression" priority="395" dxfId="19">
      <formula>AV365="X"</formula>
    </cfRule>
    <cfRule type="expression" priority="396" dxfId="18">
      <formula>AV365="후보"</formula>
    </cfRule>
  </conditionalFormatting>
  <conditionalFormatting sqref="AC3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6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65">
    <cfRule type="expression" priority="387" dxfId="3">
      <formula>AND(IF(OR($Q365=1,$Q365=2),1,0),IF($X365&lt;=20,1,0))</formula>
    </cfRule>
    <cfRule type="expression" priority="388" dxfId="2">
      <formula>AND(IF($Q365=2,1,0),IF($X365&lt;30,1,0))</formula>
    </cfRule>
    <cfRule type="expression" priority="389" dxfId="1">
      <formula>AND(IF($Q365=3,1,0),IF($X365&lt;30,1,0))</formula>
    </cfRule>
    <cfRule type="expression" priority="390" dxfId="0">
      <formula>AND(IF($Q365=3,1,IF($Q365=4,1,0)),IF($F365&lt;=85,1,0))</formula>
    </cfRule>
  </conditionalFormatting>
  <conditionalFormatting sqref="X365">
    <cfRule type="expression" priority="383" dxfId="3">
      <formula>AND(IF(OR($Q365=1,$Q365=2),1,0),IF($X365&lt;=20,1,0))</formula>
    </cfRule>
    <cfRule type="expression" priority="384" dxfId="2">
      <formula>AND(IF($Q365=2,1,0),IF($X365&lt;30,1,0))</formula>
    </cfRule>
    <cfRule type="expression" priority="385" dxfId="1">
      <formula>AND(IF($Q365=3,1,0),IF($X365&lt;30,1,0))</formula>
    </cfRule>
    <cfRule type="expression" priority="386" dxfId="0">
      <formula>AND(IF($Q365=3,1,IF($Q365=4,1,0)),IF($F365&lt;=85,1,0))</formula>
    </cfRule>
  </conditionalFormatting>
  <conditionalFormatting sqref="AI365">
    <cfRule type="expression" priority="379" dxfId="3">
      <formula>AND(IF(OR($Q365=1,$Q365=2),1,0),IF($X365&lt;=20,1,0))</formula>
    </cfRule>
    <cfRule type="expression" priority="380" dxfId="2">
      <formula>AND(IF($Q365=2,1,0),IF($X365&lt;30,1,0))</formula>
    </cfRule>
    <cfRule type="expression" priority="381" dxfId="1">
      <formula>AND(IF($Q365=3,1,0),IF($X365&lt;30,1,0))</formula>
    </cfRule>
    <cfRule type="expression" priority="382" dxfId="0">
      <formula>AND(IF($Q365=3,1,IF($Q365=4,1,0)),IF($F365&lt;=85,1,0))</formula>
    </cfRule>
  </conditionalFormatting>
  <conditionalFormatting sqref="AV366">
    <cfRule type="expression" priority="377" dxfId="19">
      <formula>AV366="X"</formula>
    </cfRule>
    <cfRule type="expression" priority="378" dxfId="18">
      <formula>AV366="후보"</formula>
    </cfRule>
  </conditionalFormatting>
  <conditionalFormatting sqref="AC3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6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66">
    <cfRule type="expression" priority="369" dxfId="3">
      <formula>AND(IF(OR($Q366=1,$Q366=2),1,0),IF($X366&lt;=20,1,0))</formula>
    </cfRule>
    <cfRule type="expression" priority="370" dxfId="2">
      <formula>AND(IF($Q366=2,1,0),IF($X366&lt;30,1,0))</formula>
    </cfRule>
    <cfRule type="expression" priority="371" dxfId="1">
      <formula>AND(IF($Q366=3,1,0),IF($X366&lt;30,1,0))</formula>
    </cfRule>
    <cfRule type="expression" priority="372" dxfId="0">
      <formula>AND(IF($Q366=3,1,IF($Q366=4,1,0)),IF($F366&lt;=85,1,0))</formula>
    </cfRule>
  </conditionalFormatting>
  <conditionalFormatting sqref="X366">
    <cfRule type="expression" priority="365" dxfId="3">
      <formula>AND(IF(OR($Q366=1,$Q366=2),1,0),IF($X366&lt;=20,1,0))</formula>
    </cfRule>
    <cfRule type="expression" priority="366" dxfId="2">
      <formula>AND(IF($Q366=2,1,0),IF($X366&lt;30,1,0))</formula>
    </cfRule>
    <cfRule type="expression" priority="367" dxfId="1">
      <formula>AND(IF($Q366=3,1,0),IF($X366&lt;30,1,0))</formula>
    </cfRule>
    <cfRule type="expression" priority="368" dxfId="0">
      <formula>AND(IF($Q366=3,1,IF($Q366=4,1,0)),IF($F366&lt;=85,1,0))</formula>
    </cfRule>
  </conditionalFormatting>
  <conditionalFormatting sqref="AI366">
    <cfRule type="expression" priority="361" dxfId="3">
      <formula>AND(IF(OR($Q366=1,$Q366=2),1,0),IF($X366&lt;=20,1,0))</formula>
    </cfRule>
    <cfRule type="expression" priority="362" dxfId="2">
      <formula>AND(IF($Q366=2,1,0),IF($X366&lt;30,1,0))</formula>
    </cfRule>
    <cfRule type="expression" priority="363" dxfId="1">
      <formula>AND(IF($Q366=3,1,0),IF($X366&lt;30,1,0))</formula>
    </cfRule>
    <cfRule type="expression" priority="364" dxfId="0">
      <formula>AND(IF($Q366=3,1,IF($Q366=4,1,0)),IF($F366&lt;=85,1,0))</formula>
    </cfRule>
  </conditionalFormatting>
  <conditionalFormatting sqref="AV367">
    <cfRule type="expression" priority="359" dxfId="19">
      <formula>AV367="X"</formula>
    </cfRule>
    <cfRule type="expression" priority="360" dxfId="18">
      <formula>AV367="후보"</formula>
    </cfRule>
  </conditionalFormatting>
  <conditionalFormatting sqref="AC3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67">
    <cfRule type="expression" priority="351" dxfId="3">
      <formula>AND(IF(OR($Q367=1,$Q367=2),1,0),IF($X367&lt;=20,1,0))</formula>
    </cfRule>
    <cfRule type="expression" priority="352" dxfId="2">
      <formula>AND(IF($Q367=2,1,0),IF($X367&lt;30,1,0))</formula>
    </cfRule>
    <cfRule type="expression" priority="353" dxfId="1">
      <formula>AND(IF($Q367=3,1,0),IF($X367&lt;30,1,0))</formula>
    </cfRule>
    <cfRule type="expression" priority="354" dxfId="0">
      <formula>AND(IF($Q367=3,1,IF($Q367=4,1,0)),IF($F367&lt;=85,1,0))</formula>
    </cfRule>
  </conditionalFormatting>
  <conditionalFormatting sqref="X367">
    <cfRule type="expression" priority="347" dxfId="3">
      <formula>AND(IF(OR($Q367=1,$Q367=2),1,0),IF($X367&lt;=20,1,0))</formula>
    </cfRule>
    <cfRule type="expression" priority="348" dxfId="2">
      <formula>AND(IF($Q367=2,1,0),IF($X367&lt;30,1,0))</formula>
    </cfRule>
    <cfRule type="expression" priority="349" dxfId="1">
      <formula>AND(IF($Q367=3,1,0),IF($X367&lt;30,1,0))</formula>
    </cfRule>
    <cfRule type="expression" priority="350" dxfId="0">
      <formula>AND(IF($Q367=3,1,IF($Q367=4,1,0)),IF($F367&lt;=85,1,0))</formula>
    </cfRule>
  </conditionalFormatting>
  <conditionalFormatting sqref="AI367">
    <cfRule type="expression" priority="343" dxfId="3">
      <formula>AND(IF(OR($Q367=1,$Q367=2),1,0),IF($X367&lt;=20,1,0))</formula>
    </cfRule>
    <cfRule type="expression" priority="344" dxfId="2">
      <formula>AND(IF($Q367=2,1,0),IF($X367&lt;30,1,0))</formula>
    </cfRule>
    <cfRule type="expression" priority="345" dxfId="1">
      <formula>AND(IF($Q367=3,1,0),IF($X367&lt;30,1,0))</formula>
    </cfRule>
    <cfRule type="expression" priority="346" dxfId="0">
      <formula>AND(IF($Q367=3,1,IF($Q367=4,1,0)),IF($F367&lt;=85,1,0))</formula>
    </cfRule>
  </conditionalFormatting>
  <conditionalFormatting sqref="AV368">
    <cfRule type="expression" priority="341" dxfId="19">
      <formula>AV368="X"</formula>
    </cfRule>
    <cfRule type="expression" priority="342" dxfId="18">
      <formula>AV368="후보"</formula>
    </cfRule>
  </conditionalFormatting>
  <conditionalFormatting sqref="AC36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8">
    <cfRule type="expression" priority="333" dxfId="3">
      <formula>AND(IF(OR($Q368=1,$Q368=2),1,0),IF($X368&lt;=20,1,0))</formula>
    </cfRule>
    <cfRule type="expression" priority="334" dxfId="2">
      <formula>AND(IF($Q368=2,1,0),IF($X368&lt;30,1,0))</formula>
    </cfRule>
    <cfRule type="expression" priority="335" dxfId="1">
      <formula>AND(IF($Q368=3,1,0),IF($X368&lt;30,1,0))</formula>
    </cfRule>
    <cfRule type="expression" priority="336" dxfId="0">
      <formula>AND(IF($Q368=3,1,IF($Q368=4,1,0)),IF($F368&lt;=85,1,0))</formula>
    </cfRule>
  </conditionalFormatting>
  <conditionalFormatting sqref="X368">
    <cfRule type="expression" priority="329" dxfId="3">
      <formula>AND(IF(OR($Q368=1,$Q368=2),1,0),IF($X368&lt;=20,1,0))</formula>
    </cfRule>
    <cfRule type="expression" priority="330" dxfId="2">
      <formula>AND(IF($Q368=2,1,0),IF($X368&lt;30,1,0))</formula>
    </cfRule>
    <cfRule type="expression" priority="331" dxfId="1">
      <formula>AND(IF($Q368=3,1,0),IF($X368&lt;30,1,0))</formula>
    </cfRule>
    <cfRule type="expression" priority="332" dxfId="0">
      <formula>AND(IF($Q368=3,1,IF($Q368=4,1,0)),IF($F368&lt;=85,1,0))</formula>
    </cfRule>
  </conditionalFormatting>
  <conditionalFormatting sqref="AI368">
    <cfRule type="expression" priority="325" dxfId="3">
      <formula>AND(IF(OR($Q368=1,$Q368=2),1,0),IF($X368&lt;=20,1,0))</formula>
    </cfRule>
    <cfRule type="expression" priority="326" dxfId="2">
      <formula>AND(IF($Q368=2,1,0),IF($X368&lt;30,1,0))</formula>
    </cfRule>
    <cfRule type="expression" priority="327" dxfId="1">
      <formula>AND(IF($Q368=3,1,0),IF($X368&lt;30,1,0))</formula>
    </cfRule>
    <cfRule type="expression" priority="328" dxfId="0">
      <formula>AND(IF($Q368=3,1,IF($Q368=4,1,0)),IF($F368&lt;=85,1,0))</formula>
    </cfRule>
  </conditionalFormatting>
  <conditionalFormatting sqref="AV369">
    <cfRule type="expression" priority="323" dxfId="19">
      <formula>AV369="X"</formula>
    </cfRule>
    <cfRule type="expression" priority="324" dxfId="18">
      <formula>AV369="후보"</formula>
    </cfRule>
  </conditionalFormatting>
  <conditionalFormatting sqref="AC36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69">
    <cfRule type="expression" priority="315" dxfId="3">
      <formula>AND(IF(OR($Q369=1,$Q369=2),1,0),IF($X369&lt;=20,1,0))</formula>
    </cfRule>
    <cfRule type="expression" priority="316" dxfId="2">
      <formula>AND(IF($Q369=2,1,0),IF($X369&lt;30,1,0))</formula>
    </cfRule>
    <cfRule type="expression" priority="317" dxfId="1">
      <formula>AND(IF($Q369=3,1,0),IF($X369&lt;30,1,0))</formula>
    </cfRule>
    <cfRule type="expression" priority="318" dxfId="0">
      <formula>AND(IF($Q369=3,1,IF($Q369=4,1,0)),IF($F369&lt;=85,1,0))</formula>
    </cfRule>
  </conditionalFormatting>
  <conditionalFormatting sqref="X369">
    <cfRule type="expression" priority="311" dxfId="3">
      <formula>AND(IF(OR($Q369=1,$Q369=2),1,0),IF($X369&lt;=20,1,0))</formula>
    </cfRule>
    <cfRule type="expression" priority="312" dxfId="2">
      <formula>AND(IF($Q369=2,1,0),IF($X369&lt;30,1,0))</formula>
    </cfRule>
    <cfRule type="expression" priority="313" dxfId="1">
      <formula>AND(IF($Q369=3,1,0),IF($X369&lt;30,1,0))</formula>
    </cfRule>
    <cfRule type="expression" priority="314" dxfId="0">
      <formula>AND(IF($Q369=3,1,IF($Q369=4,1,0)),IF($F369&lt;=85,1,0))</formula>
    </cfRule>
  </conditionalFormatting>
  <conditionalFormatting sqref="AI369">
    <cfRule type="expression" priority="307" dxfId="3">
      <formula>AND(IF(OR($Q369=1,$Q369=2),1,0),IF($X369&lt;=20,1,0))</formula>
    </cfRule>
    <cfRule type="expression" priority="308" dxfId="2">
      <formula>AND(IF($Q369=2,1,0),IF($X369&lt;30,1,0))</formula>
    </cfRule>
    <cfRule type="expression" priority="309" dxfId="1">
      <formula>AND(IF($Q369=3,1,0),IF($X369&lt;30,1,0))</formula>
    </cfRule>
    <cfRule type="expression" priority="310" dxfId="0">
      <formula>AND(IF($Q369=3,1,IF($Q369=4,1,0)),IF($F369&lt;=85,1,0))</formula>
    </cfRule>
  </conditionalFormatting>
  <conditionalFormatting sqref="AV370">
    <cfRule type="expression" priority="305" dxfId="19">
      <formula>AV370="X"</formula>
    </cfRule>
    <cfRule type="expression" priority="306" dxfId="18">
      <formula>AV370="후보"</formula>
    </cfRule>
  </conditionalFormatting>
  <conditionalFormatting sqref="AC37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7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70">
    <cfRule type="expression" priority="297" dxfId="3">
      <formula>AND(IF(OR($Q370=1,$Q370=2),1,0),IF($X370&lt;=20,1,0))</formula>
    </cfRule>
    <cfRule type="expression" priority="298" dxfId="2">
      <formula>AND(IF($Q370=2,1,0),IF($X370&lt;30,1,0))</formula>
    </cfRule>
    <cfRule type="expression" priority="299" dxfId="1">
      <formula>AND(IF($Q370=3,1,0),IF($X370&lt;30,1,0))</formula>
    </cfRule>
    <cfRule type="expression" priority="300" dxfId="0">
      <formula>AND(IF($Q370=3,1,IF($Q370=4,1,0)),IF($F370&lt;=85,1,0))</formula>
    </cfRule>
  </conditionalFormatting>
  <conditionalFormatting sqref="X370">
    <cfRule type="expression" priority="293" dxfId="3">
      <formula>AND(IF(OR($Q370=1,$Q370=2),1,0),IF($X370&lt;=20,1,0))</formula>
    </cfRule>
    <cfRule type="expression" priority="294" dxfId="2">
      <formula>AND(IF($Q370=2,1,0),IF($X370&lt;30,1,0))</formula>
    </cfRule>
    <cfRule type="expression" priority="295" dxfId="1">
      <formula>AND(IF($Q370=3,1,0),IF($X370&lt;30,1,0))</formula>
    </cfRule>
    <cfRule type="expression" priority="296" dxfId="0">
      <formula>AND(IF($Q370=3,1,IF($Q370=4,1,0)),IF($F370&lt;=85,1,0))</formula>
    </cfRule>
  </conditionalFormatting>
  <conditionalFormatting sqref="AI370">
    <cfRule type="expression" priority="289" dxfId="3">
      <formula>AND(IF(OR($Q370=1,$Q370=2),1,0),IF($X370&lt;=20,1,0))</formula>
    </cfRule>
    <cfRule type="expression" priority="290" dxfId="2">
      <formula>AND(IF($Q370=2,1,0),IF($X370&lt;30,1,0))</formula>
    </cfRule>
    <cfRule type="expression" priority="291" dxfId="1">
      <formula>AND(IF($Q370=3,1,0),IF($X370&lt;30,1,0))</formula>
    </cfRule>
    <cfRule type="expression" priority="292" dxfId="0">
      <formula>AND(IF($Q370=3,1,IF($Q370=4,1,0)),IF($F370&lt;=85,1,0))</formula>
    </cfRule>
  </conditionalFormatting>
  <conditionalFormatting sqref="AV371">
    <cfRule type="expression" priority="287" dxfId="19">
      <formula>AV371="X"</formula>
    </cfRule>
    <cfRule type="expression" priority="288" dxfId="18">
      <formula>AV371="후보"</formula>
    </cfRule>
  </conditionalFormatting>
  <conditionalFormatting sqref="AC37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7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71">
    <cfRule type="expression" priority="279" dxfId="3">
      <formula>AND(IF(OR($Q371=1,$Q371=2),1,0),IF($X371&lt;=20,1,0))</formula>
    </cfRule>
    <cfRule type="expression" priority="280" dxfId="2">
      <formula>AND(IF($Q371=2,1,0),IF($X371&lt;30,1,0))</formula>
    </cfRule>
    <cfRule type="expression" priority="281" dxfId="1">
      <formula>AND(IF($Q371=3,1,0),IF($X371&lt;30,1,0))</formula>
    </cfRule>
    <cfRule type="expression" priority="282" dxfId="0">
      <formula>AND(IF($Q371=3,1,IF($Q371=4,1,0)),IF($F371&lt;=85,1,0))</formula>
    </cfRule>
  </conditionalFormatting>
  <conditionalFormatting sqref="X371">
    <cfRule type="expression" priority="275" dxfId="3">
      <formula>AND(IF(OR($Q371=1,$Q371=2),1,0),IF($X371&lt;=20,1,0))</formula>
    </cfRule>
    <cfRule type="expression" priority="276" dxfId="2">
      <formula>AND(IF($Q371=2,1,0),IF($X371&lt;30,1,0))</formula>
    </cfRule>
    <cfRule type="expression" priority="277" dxfId="1">
      <formula>AND(IF($Q371=3,1,0),IF($X371&lt;30,1,0))</formula>
    </cfRule>
    <cfRule type="expression" priority="278" dxfId="0">
      <formula>AND(IF($Q371=3,1,IF($Q371=4,1,0)),IF($F371&lt;=85,1,0))</formula>
    </cfRule>
  </conditionalFormatting>
  <conditionalFormatting sqref="AI371">
    <cfRule type="expression" priority="271" dxfId="3">
      <formula>AND(IF(OR($Q371=1,$Q371=2),1,0),IF($X371&lt;=20,1,0))</formula>
    </cfRule>
    <cfRule type="expression" priority="272" dxfId="2">
      <formula>AND(IF($Q371=2,1,0),IF($X371&lt;30,1,0))</formula>
    </cfRule>
    <cfRule type="expression" priority="273" dxfId="1">
      <formula>AND(IF($Q371=3,1,0),IF($X371&lt;30,1,0))</formula>
    </cfRule>
    <cfRule type="expression" priority="274" dxfId="0">
      <formula>AND(IF($Q371=3,1,IF($Q371=4,1,0)),IF($F371&lt;=85,1,0))</formula>
    </cfRule>
  </conditionalFormatting>
  <conditionalFormatting sqref="AV372">
    <cfRule type="expression" priority="269" dxfId="19">
      <formula>AV372="X"</formula>
    </cfRule>
    <cfRule type="expression" priority="270" dxfId="18">
      <formula>AV372="후보"</formula>
    </cfRule>
  </conditionalFormatting>
  <conditionalFormatting sqref="AC37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2">
    <cfRule type="expression" priority="261" dxfId="3">
      <formula>AND(IF(OR($Q372=1,$Q372=2),1,0),IF($X372&lt;=20,1,0))</formula>
    </cfRule>
    <cfRule type="expression" priority="262" dxfId="2">
      <formula>AND(IF($Q372=2,1,0),IF($X372&lt;30,1,0))</formula>
    </cfRule>
    <cfRule type="expression" priority="263" dxfId="1">
      <formula>AND(IF($Q372=3,1,0),IF($X372&lt;30,1,0))</formula>
    </cfRule>
    <cfRule type="expression" priority="264" dxfId="0">
      <formula>AND(IF($Q372=3,1,IF($Q372=4,1,0)),IF($F372&lt;=85,1,0))</formula>
    </cfRule>
  </conditionalFormatting>
  <conditionalFormatting sqref="X372">
    <cfRule type="expression" priority="257" dxfId="3">
      <formula>AND(IF(OR($Q372=1,$Q372=2),1,0),IF($X372&lt;=20,1,0))</formula>
    </cfRule>
    <cfRule type="expression" priority="258" dxfId="2">
      <formula>AND(IF($Q372=2,1,0),IF($X372&lt;30,1,0))</formula>
    </cfRule>
    <cfRule type="expression" priority="259" dxfId="1">
      <formula>AND(IF($Q372=3,1,0),IF($X372&lt;30,1,0))</formula>
    </cfRule>
    <cfRule type="expression" priority="260" dxfId="0">
      <formula>AND(IF($Q372=3,1,IF($Q372=4,1,0)),IF($F372&lt;=85,1,0))</formula>
    </cfRule>
  </conditionalFormatting>
  <conditionalFormatting sqref="AI372">
    <cfRule type="expression" priority="253" dxfId="3">
      <formula>AND(IF(OR($Q372=1,$Q372=2),1,0),IF($X372&lt;=20,1,0))</formula>
    </cfRule>
    <cfRule type="expression" priority="254" dxfId="2">
      <formula>AND(IF($Q372=2,1,0),IF($X372&lt;30,1,0))</formula>
    </cfRule>
    <cfRule type="expression" priority="255" dxfId="1">
      <formula>AND(IF($Q372=3,1,0),IF($X372&lt;30,1,0))</formula>
    </cfRule>
    <cfRule type="expression" priority="256" dxfId="0">
      <formula>AND(IF($Q372=3,1,IF($Q372=4,1,0)),IF($F372&lt;=85,1,0))</formula>
    </cfRule>
  </conditionalFormatting>
  <conditionalFormatting sqref="AV373">
    <cfRule type="expression" priority="251" dxfId="19">
      <formula>AV373="X"</formula>
    </cfRule>
    <cfRule type="expression" priority="252" dxfId="18">
      <formula>AV373="후보"</formula>
    </cfRule>
  </conditionalFormatting>
  <conditionalFormatting sqref="AC37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7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73">
    <cfRule type="expression" priority="243" dxfId="3">
      <formula>AND(IF(OR($Q373=1,$Q373=2),1,0),IF($X373&lt;=20,1,0))</formula>
    </cfRule>
    <cfRule type="expression" priority="244" dxfId="2">
      <formula>AND(IF($Q373=2,1,0),IF($X373&lt;30,1,0))</formula>
    </cfRule>
    <cfRule type="expression" priority="245" dxfId="1">
      <formula>AND(IF($Q373=3,1,0),IF($X373&lt;30,1,0))</formula>
    </cfRule>
    <cfRule type="expression" priority="246" dxfId="0">
      <formula>AND(IF($Q373=3,1,IF($Q373=4,1,0)),IF($F373&lt;=85,1,0))</formula>
    </cfRule>
  </conditionalFormatting>
  <conditionalFormatting sqref="X373">
    <cfRule type="expression" priority="239" dxfId="3">
      <formula>AND(IF(OR($Q373=1,$Q373=2),1,0),IF($X373&lt;=20,1,0))</formula>
    </cfRule>
    <cfRule type="expression" priority="240" dxfId="2">
      <formula>AND(IF($Q373=2,1,0),IF($X373&lt;30,1,0))</formula>
    </cfRule>
    <cfRule type="expression" priority="241" dxfId="1">
      <formula>AND(IF($Q373=3,1,0),IF($X373&lt;30,1,0))</formula>
    </cfRule>
    <cfRule type="expression" priority="242" dxfId="0">
      <formula>AND(IF($Q373=3,1,IF($Q373=4,1,0)),IF($F373&lt;=85,1,0))</formula>
    </cfRule>
  </conditionalFormatting>
  <conditionalFormatting sqref="AI373">
    <cfRule type="expression" priority="235" dxfId="3">
      <formula>AND(IF(OR($Q373=1,$Q373=2),1,0),IF($X373&lt;=20,1,0))</formula>
    </cfRule>
    <cfRule type="expression" priority="236" dxfId="2">
      <formula>AND(IF($Q373=2,1,0),IF($X373&lt;30,1,0))</formula>
    </cfRule>
    <cfRule type="expression" priority="237" dxfId="1">
      <formula>AND(IF($Q373=3,1,0),IF($X373&lt;30,1,0))</formula>
    </cfRule>
    <cfRule type="expression" priority="238" dxfId="0">
      <formula>AND(IF($Q373=3,1,IF($Q373=4,1,0)),IF($F373&lt;=85,1,0))</formula>
    </cfRule>
  </conditionalFormatting>
  <conditionalFormatting sqref="AV374">
    <cfRule type="expression" priority="233" dxfId="19">
      <formula>AV374="X"</formula>
    </cfRule>
    <cfRule type="expression" priority="234" dxfId="18">
      <formula>AV374="후보"</formula>
    </cfRule>
  </conditionalFormatting>
  <conditionalFormatting sqref="AC37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7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74">
    <cfRule type="expression" priority="225" dxfId="3">
      <formula>AND(IF(OR($Q374=1,$Q374=2),1,0),IF($X374&lt;=20,1,0))</formula>
    </cfRule>
    <cfRule type="expression" priority="226" dxfId="2">
      <formula>AND(IF($Q374=2,1,0),IF($X374&lt;30,1,0))</formula>
    </cfRule>
    <cfRule type="expression" priority="227" dxfId="1">
      <formula>AND(IF($Q374=3,1,0),IF($X374&lt;30,1,0))</formula>
    </cfRule>
    <cfRule type="expression" priority="228" dxfId="0">
      <formula>AND(IF($Q374=3,1,IF($Q374=4,1,0)),IF($F374&lt;=85,1,0))</formula>
    </cfRule>
  </conditionalFormatting>
  <conditionalFormatting sqref="X374">
    <cfRule type="expression" priority="221" dxfId="3">
      <formula>AND(IF(OR($Q374=1,$Q374=2),1,0),IF($X374&lt;=20,1,0))</formula>
    </cfRule>
    <cfRule type="expression" priority="222" dxfId="2">
      <formula>AND(IF($Q374=2,1,0),IF($X374&lt;30,1,0))</formula>
    </cfRule>
    <cfRule type="expression" priority="223" dxfId="1">
      <formula>AND(IF($Q374=3,1,0),IF($X374&lt;30,1,0))</formula>
    </cfRule>
    <cfRule type="expression" priority="224" dxfId="0">
      <formula>AND(IF($Q374=3,1,IF($Q374=4,1,0)),IF($F374&lt;=85,1,0))</formula>
    </cfRule>
  </conditionalFormatting>
  <conditionalFormatting sqref="AI374">
    <cfRule type="expression" priority="217" dxfId="3">
      <formula>AND(IF(OR($Q374=1,$Q374=2),1,0),IF($X374&lt;=20,1,0))</formula>
    </cfRule>
    <cfRule type="expression" priority="218" dxfId="2">
      <formula>AND(IF($Q374=2,1,0),IF($X374&lt;30,1,0))</formula>
    </cfRule>
    <cfRule type="expression" priority="219" dxfId="1">
      <formula>AND(IF($Q374=3,1,0),IF($X374&lt;30,1,0))</formula>
    </cfRule>
    <cfRule type="expression" priority="220" dxfId="0">
      <formula>AND(IF($Q374=3,1,IF($Q374=4,1,0)),IF($F374&lt;=85,1,0))</formula>
    </cfRule>
  </conditionalFormatting>
  <conditionalFormatting sqref="AV375">
    <cfRule type="expression" priority="215" dxfId="19">
      <formula>AV375="X"</formula>
    </cfRule>
    <cfRule type="expression" priority="216" dxfId="18">
      <formula>AV375="후보"</formula>
    </cfRule>
  </conditionalFormatting>
  <conditionalFormatting sqref="AC3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7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75">
    <cfRule type="expression" priority="207" dxfId="3">
      <formula>AND(IF(OR($Q375=1,$Q375=2),1,0),IF($X375&lt;=20,1,0))</formula>
    </cfRule>
    <cfRule type="expression" priority="208" dxfId="2">
      <formula>AND(IF($Q375=2,1,0),IF($X375&lt;30,1,0))</formula>
    </cfRule>
    <cfRule type="expression" priority="209" dxfId="1">
      <formula>AND(IF($Q375=3,1,0),IF($X375&lt;30,1,0))</formula>
    </cfRule>
    <cfRule type="expression" priority="210" dxfId="0">
      <formula>AND(IF($Q375=3,1,IF($Q375=4,1,0)),IF($F375&lt;=85,1,0))</formula>
    </cfRule>
  </conditionalFormatting>
  <conditionalFormatting sqref="X375">
    <cfRule type="expression" priority="203" dxfId="3">
      <formula>AND(IF(OR($Q375=1,$Q375=2),1,0),IF($X375&lt;=20,1,0))</formula>
    </cfRule>
    <cfRule type="expression" priority="204" dxfId="2">
      <formula>AND(IF($Q375=2,1,0),IF($X375&lt;30,1,0))</formula>
    </cfRule>
    <cfRule type="expression" priority="205" dxfId="1">
      <formula>AND(IF($Q375=3,1,0),IF($X375&lt;30,1,0))</formula>
    </cfRule>
    <cfRule type="expression" priority="206" dxfId="0">
      <formula>AND(IF($Q375=3,1,IF($Q375=4,1,0)),IF($F375&lt;=85,1,0))</formula>
    </cfRule>
  </conditionalFormatting>
  <conditionalFormatting sqref="AI375">
    <cfRule type="expression" priority="199" dxfId="3">
      <formula>AND(IF(OR($Q375=1,$Q375=2),1,0),IF($X375&lt;=20,1,0))</formula>
    </cfRule>
    <cfRule type="expression" priority="200" dxfId="2">
      <formula>AND(IF($Q375=2,1,0),IF($X375&lt;30,1,0))</formula>
    </cfRule>
    <cfRule type="expression" priority="201" dxfId="1">
      <formula>AND(IF($Q375=3,1,0),IF($X375&lt;30,1,0))</formula>
    </cfRule>
    <cfRule type="expression" priority="202" dxfId="0">
      <formula>AND(IF($Q375=3,1,IF($Q375=4,1,0)),IF($F375&lt;=85,1,0))</formula>
    </cfRule>
  </conditionalFormatting>
  <conditionalFormatting sqref="AV376">
    <cfRule type="expression" priority="197" dxfId="19">
      <formula>AV376="X"</formula>
    </cfRule>
    <cfRule type="expression" priority="198" dxfId="18">
      <formula>AV376="후보"</formula>
    </cfRule>
  </conditionalFormatting>
  <conditionalFormatting sqref="AC37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7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76">
    <cfRule type="expression" priority="189" dxfId="3">
      <formula>AND(IF(OR($Q376=1,$Q376=2),1,0),IF($X376&lt;=20,1,0))</formula>
    </cfRule>
    <cfRule type="expression" priority="190" dxfId="2">
      <formula>AND(IF($Q376=2,1,0),IF($X376&lt;30,1,0))</formula>
    </cfRule>
    <cfRule type="expression" priority="191" dxfId="1">
      <formula>AND(IF($Q376=3,1,0),IF($X376&lt;30,1,0))</formula>
    </cfRule>
    <cfRule type="expression" priority="192" dxfId="0">
      <formula>AND(IF($Q376=3,1,IF($Q376=4,1,0)),IF($F376&lt;=85,1,0))</formula>
    </cfRule>
  </conditionalFormatting>
  <conditionalFormatting sqref="X376">
    <cfRule type="expression" priority="185" dxfId="3">
      <formula>AND(IF(OR($Q376=1,$Q376=2),1,0),IF($X376&lt;=20,1,0))</formula>
    </cfRule>
    <cfRule type="expression" priority="186" dxfId="2">
      <formula>AND(IF($Q376=2,1,0),IF($X376&lt;30,1,0))</formula>
    </cfRule>
    <cfRule type="expression" priority="187" dxfId="1">
      <formula>AND(IF($Q376=3,1,0),IF($X376&lt;30,1,0))</formula>
    </cfRule>
    <cfRule type="expression" priority="188" dxfId="0">
      <formula>AND(IF($Q376=3,1,IF($Q376=4,1,0)),IF($F376&lt;=85,1,0))</formula>
    </cfRule>
  </conditionalFormatting>
  <conditionalFormatting sqref="AI376">
    <cfRule type="expression" priority="181" dxfId="3">
      <formula>AND(IF(OR($Q376=1,$Q376=2),1,0),IF($X376&lt;=20,1,0))</formula>
    </cfRule>
    <cfRule type="expression" priority="182" dxfId="2">
      <formula>AND(IF($Q376=2,1,0),IF($X376&lt;30,1,0))</formula>
    </cfRule>
    <cfRule type="expression" priority="183" dxfId="1">
      <formula>AND(IF($Q376=3,1,0),IF($X376&lt;30,1,0))</formula>
    </cfRule>
    <cfRule type="expression" priority="184" dxfId="0">
      <formula>AND(IF($Q376=3,1,IF($Q376=4,1,0)),IF($F376&lt;=85,1,0))</formula>
    </cfRule>
  </conditionalFormatting>
  <conditionalFormatting sqref="AV377">
    <cfRule type="expression" priority="179" dxfId="19">
      <formula>AV377="X"</formula>
    </cfRule>
    <cfRule type="expression" priority="180" dxfId="18">
      <formula>AV377="후보"</formula>
    </cfRule>
  </conditionalFormatting>
  <conditionalFormatting sqref="AC3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7">
    <cfRule type="expression" priority="171" dxfId="3">
      <formula>AND(IF(OR($Q377=1,$Q377=2),1,0),IF($X377&lt;=20,1,0))</formula>
    </cfRule>
    <cfRule type="expression" priority="172" dxfId="2">
      <formula>AND(IF($Q377=2,1,0),IF($X377&lt;30,1,0))</formula>
    </cfRule>
    <cfRule type="expression" priority="173" dxfId="1">
      <formula>AND(IF($Q377=3,1,0),IF($X377&lt;30,1,0))</formula>
    </cfRule>
    <cfRule type="expression" priority="174" dxfId="0">
      <formula>AND(IF($Q377=3,1,IF($Q377=4,1,0)),IF($F377&lt;=85,1,0))</formula>
    </cfRule>
  </conditionalFormatting>
  <conditionalFormatting sqref="X377">
    <cfRule type="expression" priority="167" dxfId="3">
      <formula>AND(IF(OR($Q377=1,$Q377=2),1,0),IF($X377&lt;=20,1,0))</formula>
    </cfRule>
    <cfRule type="expression" priority="168" dxfId="2">
      <formula>AND(IF($Q377=2,1,0),IF($X377&lt;30,1,0))</formula>
    </cfRule>
    <cfRule type="expression" priority="169" dxfId="1">
      <formula>AND(IF($Q377=3,1,0),IF($X377&lt;30,1,0))</formula>
    </cfRule>
    <cfRule type="expression" priority="170" dxfId="0">
      <formula>AND(IF($Q377=3,1,IF($Q377=4,1,0)),IF($F377&lt;=85,1,0))</formula>
    </cfRule>
  </conditionalFormatting>
  <conditionalFormatting sqref="AI377">
    <cfRule type="expression" priority="163" dxfId="3">
      <formula>AND(IF(OR($Q377=1,$Q377=2),1,0),IF($X377&lt;=20,1,0))</formula>
    </cfRule>
    <cfRule type="expression" priority="164" dxfId="2">
      <formula>AND(IF($Q377=2,1,0),IF($X377&lt;30,1,0))</formula>
    </cfRule>
    <cfRule type="expression" priority="165" dxfId="1">
      <formula>AND(IF($Q377=3,1,0),IF($X377&lt;30,1,0))</formula>
    </cfRule>
    <cfRule type="expression" priority="166" dxfId="0">
      <formula>AND(IF($Q377=3,1,IF($Q377=4,1,0)),IF($F377&lt;=85,1,0))</formula>
    </cfRule>
  </conditionalFormatting>
  <conditionalFormatting sqref="AV378">
    <cfRule type="expression" priority="161" dxfId="19">
      <formula>AV378="X"</formula>
    </cfRule>
    <cfRule type="expression" priority="162" dxfId="18">
      <formula>AV378="후보"</formula>
    </cfRule>
  </conditionalFormatting>
  <conditionalFormatting sqref="AC37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7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78">
    <cfRule type="expression" priority="153" dxfId="3">
      <formula>AND(IF(OR($Q378=1,$Q378=2),1,0),IF($X378&lt;=20,1,0))</formula>
    </cfRule>
    <cfRule type="expression" priority="154" dxfId="2">
      <formula>AND(IF($Q378=2,1,0),IF($X378&lt;30,1,0))</formula>
    </cfRule>
    <cfRule type="expression" priority="155" dxfId="1">
      <formula>AND(IF($Q378=3,1,0),IF($X378&lt;30,1,0))</formula>
    </cfRule>
    <cfRule type="expression" priority="156" dxfId="0">
      <formula>AND(IF($Q378=3,1,IF($Q378=4,1,0)),IF($F378&lt;=85,1,0))</formula>
    </cfRule>
  </conditionalFormatting>
  <conditionalFormatting sqref="X378">
    <cfRule type="expression" priority="149" dxfId="3">
      <formula>AND(IF(OR($Q378=1,$Q378=2),1,0),IF($X378&lt;=20,1,0))</formula>
    </cfRule>
    <cfRule type="expression" priority="150" dxfId="2">
      <formula>AND(IF($Q378=2,1,0),IF($X378&lt;30,1,0))</formula>
    </cfRule>
    <cfRule type="expression" priority="151" dxfId="1">
      <formula>AND(IF($Q378=3,1,0),IF($X378&lt;30,1,0))</formula>
    </cfRule>
    <cfRule type="expression" priority="152" dxfId="0">
      <formula>AND(IF($Q378=3,1,IF($Q378=4,1,0)),IF($F378&lt;=85,1,0))</formula>
    </cfRule>
  </conditionalFormatting>
  <conditionalFormatting sqref="AI378">
    <cfRule type="expression" priority="145" dxfId="3">
      <formula>AND(IF(OR($Q378=1,$Q378=2),1,0),IF($X378&lt;=20,1,0))</formula>
    </cfRule>
    <cfRule type="expression" priority="146" dxfId="2">
      <formula>AND(IF($Q378=2,1,0),IF($X378&lt;30,1,0))</formula>
    </cfRule>
    <cfRule type="expression" priority="147" dxfId="1">
      <formula>AND(IF($Q378=3,1,0),IF($X378&lt;30,1,0))</formula>
    </cfRule>
    <cfRule type="expression" priority="148" dxfId="0">
      <formula>AND(IF($Q378=3,1,IF($Q378=4,1,0)),IF($F378&lt;=85,1,0))</formula>
    </cfRule>
  </conditionalFormatting>
  <conditionalFormatting sqref="AV379">
    <cfRule type="expression" priority="143" dxfId="19">
      <formula>AV379="X"</formula>
    </cfRule>
    <cfRule type="expression" priority="144" dxfId="18">
      <formula>AV379="후보"</formula>
    </cfRule>
  </conditionalFormatting>
  <conditionalFormatting sqref="AC37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79">
    <cfRule type="expression" priority="135" dxfId="3">
      <formula>AND(IF(OR($Q379=1,$Q379=2),1,0),IF($X379&lt;=20,1,0))</formula>
    </cfRule>
    <cfRule type="expression" priority="136" dxfId="2">
      <formula>AND(IF($Q379=2,1,0),IF($X379&lt;30,1,0))</formula>
    </cfRule>
    <cfRule type="expression" priority="137" dxfId="1">
      <formula>AND(IF($Q379=3,1,0),IF($X379&lt;30,1,0))</formula>
    </cfRule>
    <cfRule type="expression" priority="138" dxfId="0">
      <formula>AND(IF($Q379=3,1,IF($Q379=4,1,0)),IF($F379&lt;=85,1,0))</formula>
    </cfRule>
  </conditionalFormatting>
  <conditionalFormatting sqref="X379">
    <cfRule type="expression" priority="131" dxfId="3">
      <formula>AND(IF(OR($Q379=1,$Q379=2),1,0),IF($X379&lt;=20,1,0))</formula>
    </cfRule>
    <cfRule type="expression" priority="132" dxfId="2">
      <formula>AND(IF($Q379=2,1,0),IF($X379&lt;30,1,0))</formula>
    </cfRule>
    <cfRule type="expression" priority="133" dxfId="1">
      <formula>AND(IF($Q379=3,1,0),IF($X379&lt;30,1,0))</formula>
    </cfRule>
    <cfRule type="expression" priority="134" dxfId="0">
      <formula>AND(IF($Q379=3,1,IF($Q379=4,1,0)),IF($F379&lt;=85,1,0))</formula>
    </cfRule>
  </conditionalFormatting>
  <conditionalFormatting sqref="AI379">
    <cfRule type="expression" priority="127" dxfId="3">
      <formula>AND(IF(OR($Q379=1,$Q379=2),1,0),IF($X379&lt;=20,1,0))</formula>
    </cfRule>
    <cfRule type="expression" priority="128" dxfId="2">
      <formula>AND(IF($Q379=2,1,0),IF($X379&lt;30,1,0))</formula>
    </cfRule>
    <cfRule type="expression" priority="129" dxfId="1">
      <formula>AND(IF($Q379=3,1,0),IF($X379&lt;30,1,0))</formula>
    </cfRule>
    <cfRule type="expression" priority="130" dxfId="0">
      <formula>AND(IF($Q379=3,1,IF($Q379=4,1,0)),IF($F379&lt;=85,1,0))</formula>
    </cfRule>
  </conditionalFormatting>
  <conditionalFormatting sqref="AV380">
    <cfRule type="expression" priority="125" dxfId="19">
      <formula>AV380="X"</formula>
    </cfRule>
    <cfRule type="expression" priority="126" dxfId="18">
      <formula>AV380="후보"</formula>
    </cfRule>
  </conditionalFormatting>
  <conditionalFormatting sqref="AC38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8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80">
    <cfRule type="expression" priority="117" dxfId="3">
      <formula>AND(IF(OR($Q380=1,$Q380=2),1,0),IF($X380&lt;=20,1,0))</formula>
    </cfRule>
    <cfRule type="expression" priority="118" dxfId="2">
      <formula>AND(IF($Q380=2,1,0),IF($X380&lt;30,1,0))</formula>
    </cfRule>
    <cfRule type="expression" priority="119" dxfId="1">
      <formula>AND(IF($Q380=3,1,0),IF($X380&lt;30,1,0))</formula>
    </cfRule>
    <cfRule type="expression" priority="120" dxfId="0">
      <formula>AND(IF($Q380=3,1,IF($Q380=4,1,0)),IF($F380&lt;=85,1,0))</formula>
    </cfRule>
  </conditionalFormatting>
  <conditionalFormatting sqref="X380">
    <cfRule type="expression" priority="113" dxfId="3">
      <formula>AND(IF(OR($Q380=1,$Q380=2),1,0),IF($X380&lt;=20,1,0))</formula>
    </cfRule>
    <cfRule type="expression" priority="114" dxfId="2">
      <formula>AND(IF($Q380=2,1,0),IF($X380&lt;30,1,0))</formula>
    </cfRule>
    <cfRule type="expression" priority="115" dxfId="1">
      <formula>AND(IF($Q380=3,1,0),IF($X380&lt;30,1,0))</formula>
    </cfRule>
    <cfRule type="expression" priority="116" dxfId="0">
      <formula>AND(IF($Q380=3,1,IF($Q380=4,1,0)),IF($F380&lt;=85,1,0))</formula>
    </cfRule>
  </conditionalFormatting>
  <conditionalFormatting sqref="AI380">
    <cfRule type="expression" priority="109" dxfId="3">
      <formula>AND(IF(OR($Q380=1,$Q380=2),1,0),IF($X380&lt;=20,1,0))</formula>
    </cfRule>
    <cfRule type="expression" priority="110" dxfId="2">
      <formula>AND(IF($Q380=2,1,0),IF($X380&lt;30,1,0))</formula>
    </cfRule>
    <cfRule type="expression" priority="111" dxfId="1">
      <formula>AND(IF($Q380=3,1,0),IF($X380&lt;30,1,0))</formula>
    </cfRule>
    <cfRule type="expression" priority="112" dxfId="0">
      <formula>AND(IF($Q380=3,1,IF($Q380=4,1,0)),IF($F380&lt;=85,1,0))</formula>
    </cfRule>
  </conditionalFormatting>
  <conditionalFormatting sqref="AV381">
    <cfRule type="expression" priority="107" dxfId="19">
      <formula>AV381="X"</formula>
    </cfRule>
    <cfRule type="expression" priority="108" dxfId="18">
      <formula>AV381="후보"</formula>
    </cfRule>
  </conditionalFormatting>
  <conditionalFormatting sqref="AC38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8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81">
    <cfRule type="expression" priority="99" dxfId="3">
      <formula>AND(IF(OR($Q381=1,$Q381=2),1,0),IF($X381&lt;=20,1,0))</formula>
    </cfRule>
    <cfRule type="expression" priority="100" dxfId="2">
      <formula>AND(IF($Q381=2,1,0),IF($X381&lt;30,1,0))</formula>
    </cfRule>
    <cfRule type="expression" priority="101" dxfId="1">
      <formula>AND(IF($Q381=3,1,0),IF($X381&lt;30,1,0))</formula>
    </cfRule>
    <cfRule type="expression" priority="102" dxfId="0">
      <formula>AND(IF($Q381=3,1,IF($Q381=4,1,0)),IF($F381&lt;=85,1,0))</formula>
    </cfRule>
  </conditionalFormatting>
  <conditionalFormatting sqref="X381">
    <cfRule type="expression" priority="95" dxfId="3">
      <formula>AND(IF(OR($Q381=1,$Q381=2),1,0),IF($X381&lt;=20,1,0))</formula>
    </cfRule>
    <cfRule type="expression" priority="96" dxfId="2">
      <formula>AND(IF($Q381=2,1,0),IF($X381&lt;30,1,0))</formula>
    </cfRule>
    <cfRule type="expression" priority="97" dxfId="1">
      <formula>AND(IF($Q381=3,1,0),IF($X381&lt;30,1,0))</formula>
    </cfRule>
    <cfRule type="expression" priority="98" dxfId="0">
      <formula>AND(IF($Q381=3,1,IF($Q381=4,1,0)),IF($F381&lt;=85,1,0))</formula>
    </cfRule>
  </conditionalFormatting>
  <conditionalFormatting sqref="AI381">
    <cfRule type="expression" priority="91" dxfId="3">
      <formula>AND(IF(OR($Q381=1,$Q381=2),1,0),IF($X381&lt;=20,1,0))</formula>
    </cfRule>
    <cfRule type="expression" priority="92" dxfId="2">
      <formula>AND(IF($Q381=2,1,0),IF($X381&lt;30,1,0))</formula>
    </cfRule>
    <cfRule type="expression" priority="93" dxfId="1">
      <formula>AND(IF($Q381=3,1,0),IF($X381&lt;30,1,0))</formula>
    </cfRule>
    <cfRule type="expression" priority="94" dxfId="0">
      <formula>AND(IF($Q381=3,1,IF($Q381=4,1,0)),IF($F381&lt;=85,1,0))</formula>
    </cfRule>
  </conditionalFormatting>
  <conditionalFormatting sqref="AV382">
    <cfRule type="expression" priority="89" dxfId="19">
      <formula>AV382="X"</formula>
    </cfRule>
    <cfRule type="expression" priority="90" dxfId="18">
      <formula>AV382="후보"</formula>
    </cfRule>
  </conditionalFormatting>
  <conditionalFormatting sqref="AC38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2">
    <cfRule type="expression" priority="81" dxfId="3">
      <formula>AND(IF(OR($Q382=1,$Q382=2),1,0),IF($X382&lt;=20,1,0))</formula>
    </cfRule>
    <cfRule type="expression" priority="82" dxfId="2">
      <formula>AND(IF($Q382=2,1,0),IF($X382&lt;30,1,0))</formula>
    </cfRule>
    <cfRule type="expression" priority="83" dxfId="1">
      <formula>AND(IF($Q382=3,1,0),IF($X382&lt;30,1,0))</formula>
    </cfRule>
    <cfRule type="expression" priority="84" dxfId="0">
      <formula>AND(IF($Q382=3,1,IF($Q382=4,1,0)),IF($F382&lt;=85,1,0))</formula>
    </cfRule>
  </conditionalFormatting>
  <conditionalFormatting sqref="X382">
    <cfRule type="expression" priority="77" dxfId="3">
      <formula>AND(IF(OR($Q382=1,$Q382=2),1,0),IF($X382&lt;=20,1,0))</formula>
    </cfRule>
    <cfRule type="expression" priority="78" dxfId="2">
      <formula>AND(IF($Q382=2,1,0),IF($X382&lt;30,1,0))</formula>
    </cfRule>
    <cfRule type="expression" priority="79" dxfId="1">
      <formula>AND(IF($Q382=3,1,0),IF($X382&lt;30,1,0))</formula>
    </cfRule>
    <cfRule type="expression" priority="80" dxfId="0">
      <formula>AND(IF($Q382=3,1,IF($Q382=4,1,0)),IF($F382&lt;=85,1,0))</formula>
    </cfRule>
  </conditionalFormatting>
  <conditionalFormatting sqref="AI382">
    <cfRule type="expression" priority="73" dxfId="3">
      <formula>AND(IF(OR($Q382=1,$Q382=2),1,0),IF($X382&lt;=20,1,0))</formula>
    </cfRule>
    <cfRule type="expression" priority="74" dxfId="2">
      <formula>AND(IF($Q382=2,1,0),IF($X382&lt;30,1,0))</formula>
    </cfRule>
    <cfRule type="expression" priority="75" dxfId="1">
      <formula>AND(IF($Q382=3,1,0),IF($X382&lt;30,1,0))</formula>
    </cfRule>
    <cfRule type="expression" priority="76" dxfId="0">
      <formula>AND(IF($Q382=3,1,IF($Q382=4,1,0)),IF($F382&lt;=85,1,0))</formula>
    </cfRule>
  </conditionalFormatting>
  <conditionalFormatting sqref="AV383">
    <cfRule type="expression" priority="71" dxfId="19">
      <formula>AV383="X"</formula>
    </cfRule>
    <cfRule type="expression" priority="72" dxfId="18">
      <formula>AV383="후보"</formula>
    </cfRule>
  </conditionalFormatting>
  <conditionalFormatting sqref="AC38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8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83">
    <cfRule type="expression" priority="63" dxfId="3">
      <formula>AND(IF(OR($Q383=1,$Q383=2),1,0),IF($X383&lt;=20,1,0))</formula>
    </cfRule>
    <cfRule type="expression" priority="64" dxfId="2">
      <formula>AND(IF($Q383=2,1,0),IF($X383&lt;30,1,0))</formula>
    </cfRule>
    <cfRule type="expression" priority="65" dxfId="1">
      <formula>AND(IF($Q383=3,1,0),IF($X383&lt;30,1,0))</formula>
    </cfRule>
    <cfRule type="expression" priority="66" dxfId="0">
      <formula>AND(IF($Q383=3,1,IF($Q383=4,1,0)),IF($F383&lt;=85,1,0))</formula>
    </cfRule>
  </conditionalFormatting>
  <conditionalFormatting sqref="X383">
    <cfRule type="expression" priority="59" dxfId="3">
      <formula>AND(IF(OR($Q383=1,$Q383=2),1,0),IF($X383&lt;=20,1,0))</formula>
    </cfRule>
    <cfRule type="expression" priority="60" dxfId="2">
      <formula>AND(IF($Q383=2,1,0),IF($X383&lt;30,1,0))</formula>
    </cfRule>
    <cfRule type="expression" priority="61" dxfId="1">
      <formula>AND(IF($Q383=3,1,0),IF($X383&lt;30,1,0))</formula>
    </cfRule>
    <cfRule type="expression" priority="62" dxfId="0">
      <formula>AND(IF($Q383=3,1,IF($Q383=4,1,0)),IF($F383&lt;=85,1,0))</formula>
    </cfRule>
  </conditionalFormatting>
  <conditionalFormatting sqref="AI383">
    <cfRule type="expression" priority="55" dxfId="3">
      <formula>AND(IF(OR($Q383=1,$Q383=2),1,0),IF($X383&lt;=20,1,0))</formula>
    </cfRule>
    <cfRule type="expression" priority="56" dxfId="2">
      <formula>AND(IF($Q383=2,1,0),IF($X383&lt;30,1,0))</formula>
    </cfRule>
    <cfRule type="expression" priority="57" dxfId="1">
      <formula>AND(IF($Q383=3,1,0),IF($X383&lt;30,1,0))</formula>
    </cfRule>
    <cfRule type="expression" priority="58" dxfId="0">
      <formula>AND(IF($Q383=3,1,IF($Q383=4,1,0)),IF($F383&lt;=85,1,0))</formula>
    </cfRule>
  </conditionalFormatting>
  <conditionalFormatting sqref="AV384">
    <cfRule type="expression" priority="53" dxfId="19">
      <formula>AV384="X"</formula>
    </cfRule>
    <cfRule type="expression" priority="54" dxfId="18">
      <formula>AV384="후보"</formula>
    </cfRule>
  </conditionalFormatting>
  <conditionalFormatting sqref="AC3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8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84">
    <cfRule type="expression" priority="45" dxfId="3">
      <formula>AND(IF(OR($Q384=1,$Q384=2),1,0),IF($X384&lt;=20,1,0))</formula>
    </cfRule>
    <cfRule type="expression" priority="46" dxfId="2">
      <formula>AND(IF($Q384=2,1,0),IF($X384&lt;30,1,0))</formula>
    </cfRule>
    <cfRule type="expression" priority="47" dxfId="1">
      <formula>AND(IF($Q384=3,1,0),IF($X384&lt;30,1,0))</formula>
    </cfRule>
    <cfRule type="expression" priority="48" dxfId="0">
      <formula>AND(IF($Q384=3,1,IF($Q384=4,1,0)),IF($F384&lt;=85,1,0))</formula>
    </cfRule>
  </conditionalFormatting>
  <conditionalFormatting sqref="X384">
    <cfRule type="expression" priority="41" dxfId="3">
      <formula>AND(IF(OR($Q384=1,$Q384=2),1,0),IF($X384&lt;=20,1,0))</formula>
    </cfRule>
    <cfRule type="expression" priority="42" dxfId="2">
      <formula>AND(IF($Q384=2,1,0),IF($X384&lt;30,1,0))</formula>
    </cfRule>
    <cfRule type="expression" priority="43" dxfId="1">
      <formula>AND(IF($Q384=3,1,0),IF($X384&lt;30,1,0))</formula>
    </cfRule>
    <cfRule type="expression" priority="44" dxfId="0">
      <formula>AND(IF($Q384=3,1,IF($Q384=4,1,0)),IF($F384&lt;=85,1,0))</formula>
    </cfRule>
  </conditionalFormatting>
  <conditionalFormatting sqref="AI384">
    <cfRule type="expression" priority="37" dxfId="3">
      <formula>AND(IF(OR($Q384=1,$Q384=2),1,0),IF($X384&lt;=20,1,0))</formula>
    </cfRule>
    <cfRule type="expression" priority="38" dxfId="2">
      <formula>AND(IF($Q384=2,1,0),IF($X384&lt;30,1,0))</formula>
    </cfRule>
    <cfRule type="expression" priority="39" dxfId="1">
      <formula>AND(IF($Q384=3,1,0),IF($X384&lt;30,1,0))</formula>
    </cfRule>
    <cfRule type="expression" priority="40" dxfId="0">
      <formula>AND(IF($Q384=3,1,IF($Q384=4,1,0)),IF($F384&lt;=85,1,0))</formula>
    </cfRule>
  </conditionalFormatting>
  <conditionalFormatting sqref="AV385">
    <cfRule type="expression" priority="35" dxfId="19">
      <formula>AV385="X"</formula>
    </cfRule>
    <cfRule type="expression" priority="36" dxfId="18">
      <formula>AV385="후보"</formula>
    </cfRule>
  </conditionalFormatting>
  <conditionalFormatting sqref="AC38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8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85">
    <cfRule type="expression" priority="27" dxfId="3">
      <formula>AND(IF(OR($Q385=1,$Q385=2),1,0),IF($X385&lt;=20,1,0))</formula>
    </cfRule>
    <cfRule type="expression" priority="28" dxfId="2">
      <formula>AND(IF($Q385=2,1,0),IF($X385&lt;30,1,0))</formula>
    </cfRule>
    <cfRule type="expression" priority="29" dxfId="1">
      <formula>AND(IF($Q385=3,1,0),IF($X385&lt;30,1,0))</formula>
    </cfRule>
    <cfRule type="expression" priority="30" dxfId="0">
      <formula>AND(IF($Q385=3,1,IF($Q385=4,1,0)),IF($F385&lt;=85,1,0))</formula>
    </cfRule>
  </conditionalFormatting>
  <conditionalFormatting sqref="X385">
    <cfRule type="expression" priority="23" dxfId="3">
      <formula>AND(IF(OR($Q385=1,$Q385=2),1,0),IF($X385&lt;=20,1,0))</formula>
    </cfRule>
    <cfRule type="expression" priority="24" dxfId="2">
      <formula>AND(IF($Q385=2,1,0),IF($X385&lt;30,1,0))</formula>
    </cfRule>
    <cfRule type="expression" priority="25" dxfId="1">
      <formula>AND(IF($Q385=3,1,0),IF($X385&lt;30,1,0))</formula>
    </cfRule>
    <cfRule type="expression" priority="26" dxfId="0">
      <formula>AND(IF($Q385=3,1,IF($Q385=4,1,0)),IF($F385&lt;=85,1,0))</formula>
    </cfRule>
  </conditionalFormatting>
  <conditionalFormatting sqref="AI385">
    <cfRule type="expression" priority="19" dxfId="3">
      <formula>AND(IF(OR($Q385=1,$Q385=2),1,0),IF($X385&lt;=20,1,0))</formula>
    </cfRule>
    <cfRule type="expression" priority="20" dxfId="2">
      <formula>AND(IF($Q385=2,1,0),IF($X385&lt;30,1,0))</formula>
    </cfRule>
    <cfRule type="expression" priority="21" dxfId="1">
      <formula>AND(IF($Q385=3,1,0),IF($X385&lt;30,1,0))</formula>
    </cfRule>
    <cfRule type="expression" priority="22" dxfId="0">
      <formula>AND(IF($Q385=3,1,IF($Q385=4,1,0)),IF($F385&lt;=85,1,0))</formula>
    </cfRule>
  </conditionalFormatting>
  <conditionalFormatting sqref="AV386">
    <cfRule type="expression" priority="17" dxfId="19">
      <formula>AV386="X"</formula>
    </cfRule>
    <cfRule type="expression" priority="18" dxfId="18">
      <formula>AV386="후보"</formula>
    </cfRule>
  </conditionalFormatting>
  <conditionalFormatting sqref="AC3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6">
    <cfRule type="expression" priority="9" dxfId="3">
      <formula>AND(IF(OR($Q386=1,$Q386=2),1,0),IF($X386&lt;=20,1,0))</formula>
    </cfRule>
    <cfRule type="expression" priority="10" dxfId="2">
      <formula>AND(IF($Q386=2,1,0),IF($X386&lt;30,1,0))</formula>
    </cfRule>
    <cfRule type="expression" priority="11" dxfId="1">
      <formula>AND(IF($Q386=3,1,0),IF($X386&lt;30,1,0))</formula>
    </cfRule>
    <cfRule type="expression" priority="12" dxfId="0">
      <formula>AND(IF($Q386=3,1,IF($Q386=4,1,0)),IF($F386&lt;=85,1,0))</formula>
    </cfRule>
  </conditionalFormatting>
  <conditionalFormatting sqref="X386">
    <cfRule type="expression" priority="5" dxfId="3">
      <formula>AND(IF(OR($Q386=1,$Q386=2),1,0),IF($X386&lt;=20,1,0))</formula>
    </cfRule>
    <cfRule type="expression" priority="6" dxfId="2">
      <formula>AND(IF($Q386=2,1,0),IF($X386&lt;30,1,0))</formula>
    </cfRule>
    <cfRule type="expression" priority="7" dxfId="1">
      <formula>AND(IF($Q386=3,1,0),IF($X386&lt;30,1,0))</formula>
    </cfRule>
    <cfRule type="expression" priority="8" dxfId="0">
      <formula>AND(IF($Q386=3,1,IF($Q386=4,1,0)),IF($F386&lt;=85,1,0))</formula>
    </cfRule>
  </conditionalFormatting>
  <conditionalFormatting sqref="AI386">
    <cfRule type="expression" priority="1" dxfId="3">
      <formula>AND(IF(OR($Q386=1,$Q386=2),1,0),IF($X386&lt;=20,1,0))</formula>
    </cfRule>
    <cfRule type="expression" priority="2" dxfId="2">
      <formula>AND(IF($Q386=2,1,0),IF($X386&lt;30,1,0))</formula>
    </cfRule>
    <cfRule type="expression" priority="3" dxfId="1">
      <formula>AND(IF($Q386=3,1,0),IF($X386&lt;30,1,0))</formula>
    </cfRule>
    <cfRule type="expression" priority="4" dxfId="0">
      <formula>AND(IF($Q386=3,1,IF($Q386=4,1,0)),IF($F386&lt;=85,1,0))</formula>
    </cfRule>
  </conditionalFormatting>
  <conditionalFormatting sqref="AV334">
    <cfRule type="expression" priority="953" dxfId="19">
      <formula>AV334="X"</formula>
    </cfRule>
    <cfRule type="expression" priority="954" dxfId="18">
      <formula>AV334="후보"</formula>
    </cfRule>
  </conditionalFormatting>
  <conditionalFormatting sqref="AC334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3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34">
    <cfRule type="expression" priority="945" dxfId="3">
      <formula>AND(IF(OR($Q334=1,$Q334=2),1,0),IF($X334&lt;=20,1,0))</formula>
    </cfRule>
    <cfRule type="expression" priority="946" dxfId="2">
      <formula>AND(IF($Q334=2,1,0),IF($X334&lt;30,1,0))</formula>
    </cfRule>
    <cfRule type="expression" priority="947" dxfId="1">
      <formula>AND(IF($Q334=3,1,0),IF($X334&lt;30,1,0))</formula>
    </cfRule>
    <cfRule type="expression" priority="948" dxfId="0">
      <formula>AND(IF($Q334=3,1,IF($Q334=4,1,0)),IF($F334&lt;=85,1,0))</formula>
    </cfRule>
  </conditionalFormatting>
  <conditionalFormatting sqref="X334">
    <cfRule type="expression" priority="941" dxfId="3">
      <formula>AND(IF(OR($Q334=1,$Q334=2),1,0),IF($X334&lt;=20,1,0))</formula>
    </cfRule>
    <cfRule type="expression" priority="942" dxfId="2">
      <formula>AND(IF($Q334=2,1,0),IF($X334&lt;30,1,0))</formula>
    </cfRule>
    <cfRule type="expression" priority="943" dxfId="1">
      <formula>AND(IF($Q334=3,1,0),IF($X334&lt;30,1,0))</formula>
    </cfRule>
    <cfRule type="expression" priority="944" dxfId="0">
      <formula>AND(IF($Q334=3,1,IF($Q334=4,1,0)),IF($F334&lt;=85,1,0))</formula>
    </cfRule>
  </conditionalFormatting>
  <conditionalFormatting sqref="AI334">
    <cfRule type="expression" priority="937" dxfId="3">
      <formula>AND(IF(OR($Q334=1,$Q334=2),1,0),IF($X334&lt;=20,1,0))</formula>
    </cfRule>
    <cfRule type="expression" priority="938" dxfId="2">
      <formula>AND(IF($Q334=2,1,0),IF($X334&lt;30,1,0))</formula>
    </cfRule>
    <cfRule type="expression" priority="939" dxfId="1">
      <formula>AND(IF($Q334=3,1,0),IF($X334&lt;30,1,0))</formula>
    </cfRule>
    <cfRule type="expression" priority="940" dxfId="0">
      <formula>AND(IF($Q334=3,1,IF($Q334=4,1,0)),IF($F334&lt;=85,1,0))</formula>
    </cfRule>
  </conditionalFormatting>
  <conditionalFormatting sqref="AV335">
    <cfRule type="expression" priority="935" dxfId="19">
      <formula>AV335="X"</formula>
    </cfRule>
    <cfRule type="expression" priority="936" dxfId="18">
      <formula>AV335="후보"</formula>
    </cfRule>
  </conditionalFormatting>
  <conditionalFormatting sqref="AC33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3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35">
    <cfRule type="expression" priority="927" dxfId="3">
      <formula>AND(IF(OR($Q335=1,$Q335=2),1,0),IF($X335&lt;=20,1,0))</formula>
    </cfRule>
    <cfRule type="expression" priority="928" dxfId="2">
      <formula>AND(IF($Q335=2,1,0),IF($X335&lt;30,1,0))</formula>
    </cfRule>
    <cfRule type="expression" priority="929" dxfId="1">
      <formula>AND(IF($Q335=3,1,0),IF($X335&lt;30,1,0))</formula>
    </cfRule>
    <cfRule type="expression" priority="930" dxfId="0">
      <formula>AND(IF($Q335=3,1,IF($Q335=4,1,0)),IF($F335&lt;=85,1,0))</formula>
    </cfRule>
  </conditionalFormatting>
  <conditionalFormatting sqref="X335">
    <cfRule type="expression" priority="923" dxfId="3">
      <formula>AND(IF(OR($Q335=1,$Q335=2),1,0),IF($X335&lt;=20,1,0))</formula>
    </cfRule>
    <cfRule type="expression" priority="924" dxfId="2">
      <formula>AND(IF($Q335=2,1,0),IF($X335&lt;30,1,0))</formula>
    </cfRule>
    <cfRule type="expression" priority="925" dxfId="1">
      <formula>AND(IF($Q335=3,1,0),IF($X335&lt;30,1,0))</formula>
    </cfRule>
    <cfRule type="expression" priority="926" dxfId="0">
      <formula>AND(IF($Q335=3,1,IF($Q335=4,1,0)),IF($F335&lt;=85,1,0))</formula>
    </cfRule>
  </conditionalFormatting>
  <conditionalFormatting sqref="AI335">
    <cfRule type="expression" priority="919" dxfId="3">
      <formula>AND(IF(OR($Q335=1,$Q335=2),1,0),IF($X335&lt;=20,1,0))</formula>
    </cfRule>
    <cfRule type="expression" priority="920" dxfId="2">
      <formula>AND(IF($Q335=2,1,0),IF($X335&lt;30,1,0))</formula>
    </cfRule>
    <cfRule type="expression" priority="921" dxfId="1">
      <formula>AND(IF($Q335=3,1,0),IF($X335&lt;30,1,0))</formula>
    </cfRule>
    <cfRule type="expression" priority="922" dxfId="0">
      <formula>AND(IF($Q335=3,1,IF($Q335=4,1,0)),IF($F335&lt;=85,1,0))</formula>
    </cfRule>
  </conditionalFormatting>
  <conditionalFormatting sqref="AV336">
    <cfRule type="expression" priority="917" dxfId="19">
      <formula>AV336="X"</formula>
    </cfRule>
    <cfRule type="expression" priority="918" dxfId="18">
      <formula>AV336="후보"</formula>
    </cfRule>
  </conditionalFormatting>
  <conditionalFormatting sqref="AC33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3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36">
    <cfRule type="expression" priority="909" dxfId="3">
      <formula>AND(IF(OR($Q336=1,$Q336=2),1,0),IF($X336&lt;=20,1,0))</formula>
    </cfRule>
    <cfRule type="expression" priority="910" dxfId="2">
      <formula>AND(IF($Q336=2,1,0),IF($X336&lt;30,1,0))</formula>
    </cfRule>
    <cfRule type="expression" priority="911" dxfId="1">
      <formula>AND(IF($Q336=3,1,0),IF($X336&lt;30,1,0))</formula>
    </cfRule>
    <cfRule type="expression" priority="912" dxfId="0">
      <formula>AND(IF($Q336=3,1,IF($Q336=4,1,0)),IF($F336&lt;=85,1,0))</formula>
    </cfRule>
  </conditionalFormatting>
  <conditionalFormatting sqref="X336">
    <cfRule type="expression" priority="905" dxfId="3">
      <formula>AND(IF(OR($Q336=1,$Q336=2),1,0),IF($X336&lt;=20,1,0))</formula>
    </cfRule>
    <cfRule type="expression" priority="906" dxfId="2">
      <formula>AND(IF($Q336=2,1,0),IF($X336&lt;30,1,0))</formula>
    </cfRule>
    <cfRule type="expression" priority="907" dxfId="1">
      <formula>AND(IF($Q336=3,1,0),IF($X336&lt;30,1,0))</formula>
    </cfRule>
    <cfRule type="expression" priority="908" dxfId="0">
      <formula>AND(IF($Q336=3,1,IF($Q336=4,1,0)),IF($F336&lt;=85,1,0))</formula>
    </cfRule>
  </conditionalFormatting>
  <conditionalFormatting sqref="AI336">
    <cfRule type="expression" priority="901" dxfId="3">
      <formula>AND(IF(OR($Q336=1,$Q336=2),1,0),IF($X336&lt;=20,1,0))</formula>
    </cfRule>
    <cfRule type="expression" priority="902" dxfId="2">
      <formula>AND(IF($Q336=2,1,0),IF($X336&lt;30,1,0))</formula>
    </cfRule>
    <cfRule type="expression" priority="903" dxfId="1">
      <formula>AND(IF($Q336=3,1,0),IF($X336&lt;30,1,0))</formula>
    </cfRule>
    <cfRule type="expression" priority="904" dxfId="0">
      <formula>AND(IF($Q336=3,1,IF($Q336=4,1,0)),IF($F336&lt;=85,1,0))</formula>
    </cfRule>
  </conditionalFormatting>
  <conditionalFormatting sqref="AV337">
    <cfRule type="expression" priority="899" dxfId="19">
      <formula>AV337="X"</formula>
    </cfRule>
    <cfRule type="expression" priority="900" dxfId="18">
      <formula>AV337="후보"</formula>
    </cfRule>
  </conditionalFormatting>
  <conditionalFormatting sqref="AC337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3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37">
    <cfRule type="expression" priority="891" dxfId="3">
      <formula>AND(IF(OR($Q337=1,$Q337=2),1,0),IF($X337&lt;=20,1,0))</formula>
    </cfRule>
    <cfRule type="expression" priority="892" dxfId="2">
      <formula>AND(IF($Q337=2,1,0),IF($X337&lt;30,1,0))</formula>
    </cfRule>
    <cfRule type="expression" priority="893" dxfId="1">
      <formula>AND(IF($Q337=3,1,0),IF($X337&lt;30,1,0))</formula>
    </cfRule>
    <cfRule type="expression" priority="894" dxfId="0">
      <formula>AND(IF($Q337=3,1,IF($Q337=4,1,0)),IF($F337&lt;=85,1,0))</formula>
    </cfRule>
  </conditionalFormatting>
  <conditionalFormatting sqref="X337">
    <cfRule type="expression" priority="887" dxfId="3">
      <formula>AND(IF(OR($Q337=1,$Q337=2),1,0),IF($X337&lt;=20,1,0))</formula>
    </cfRule>
    <cfRule type="expression" priority="888" dxfId="2">
      <formula>AND(IF($Q337=2,1,0),IF($X337&lt;30,1,0))</formula>
    </cfRule>
    <cfRule type="expression" priority="889" dxfId="1">
      <formula>AND(IF($Q337=3,1,0),IF($X337&lt;30,1,0))</formula>
    </cfRule>
    <cfRule type="expression" priority="890" dxfId="0">
      <formula>AND(IF($Q337=3,1,IF($Q337=4,1,0)),IF($F337&lt;=85,1,0))</formula>
    </cfRule>
  </conditionalFormatting>
  <conditionalFormatting sqref="AI337">
    <cfRule type="expression" priority="883" dxfId="3">
      <formula>AND(IF(OR($Q337=1,$Q337=2),1,0),IF($X337&lt;=20,1,0))</formula>
    </cfRule>
    <cfRule type="expression" priority="884" dxfId="2">
      <formula>AND(IF($Q337=2,1,0),IF($X337&lt;30,1,0))</formula>
    </cfRule>
    <cfRule type="expression" priority="885" dxfId="1">
      <formula>AND(IF($Q337=3,1,0),IF($X337&lt;30,1,0))</formula>
    </cfRule>
    <cfRule type="expression" priority="886" dxfId="0">
      <formula>AND(IF($Q337=3,1,IF($Q337=4,1,0)),IF($F337&lt;=85,1,0))</formula>
    </cfRule>
  </conditionalFormatting>
  <conditionalFormatting sqref="AV338">
    <cfRule type="expression" priority="881" dxfId="19">
      <formula>AV338="X"</formula>
    </cfRule>
    <cfRule type="expression" priority="882" dxfId="18">
      <formula>AV338="후보"</formula>
    </cfRule>
  </conditionalFormatting>
  <conditionalFormatting sqref="AC3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3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38">
    <cfRule type="expression" priority="873" dxfId="3">
      <formula>AND(IF(OR($Q338=1,$Q338=2),1,0),IF($X338&lt;=20,1,0))</formula>
    </cfRule>
    <cfRule type="expression" priority="874" dxfId="2">
      <formula>AND(IF($Q338=2,1,0),IF($X338&lt;30,1,0))</formula>
    </cfRule>
    <cfRule type="expression" priority="875" dxfId="1">
      <formula>AND(IF($Q338=3,1,0),IF($X338&lt;30,1,0))</formula>
    </cfRule>
    <cfRule type="expression" priority="876" dxfId="0">
      <formula>AND(IF($Q338=3,1,IF($Q338=4,1,0)),IF($F338&lt;=85,1,0))</formula>
    </cfRule>
  </conditionalFormatting>
  <conditionalFormatting sqref="X338">
    <cfRule type="expression" priority="869" dxfId="3">
      <formula>AND(IF(OR($Q338=1,$Q338=2),1,0),IF($X338&lt;=20,1,0))</formula>
    </cfRule>
    <cfRule type="expression" priority="870" dxfId="2">
      <formula>AND(IF($Q338=2,1,0),IF($X338&lt;30,1,0))</formula>
    </cfRule>
    <cfRule type="expression" priority="871" dxfId="1">
      <formula>AND(IF($Q338=3,1,0),IF($X338&lt;30,1,0))</formula>
    </cfRule>
    <cfRule type="expression" priority="872" dxfId="0">
      <formula>AND(IF($Q338=3,1,IF($Q338=4,1,0)),IF($F338&lt;=85,1,0))</formula>
    </cfRule>
  </conditionalFormatting>
  <conditionalFormatting sqref="AI338">
    <cfRule type="expression" priority="865" dxfId="3">
      <formula>AND(IF(OR($Q338=1,$Q338=2),1,0),IF($X338&lt;=20,1,0))</formula>
    </cfRule>
    <cfRule type="expression" priority="866" dxfId="2">
      <formula>AND(IF($Q338=2,1,0),IF($X338&lt;30,1,0))</formula>
    </cfRule>
    <cfRule type="expression" priority="867" dxfId="1">
      <formula>AND(IF($Q338=3,1,0),IF($X338&lt;30,1,0))</formula>
    </cfRule>
    <cfRule type="expression" priority="868" dxfId="0">
      <formula>AND(IF($Q338=3,1,IF($Q338=4,1,0)),IF($F338&lt;=85,1,0))</formula>
    </cfRule>
  </conditionalFormatting>
  <conditionalFormatting sqref="AV339">
    <cfRule type="expression" priority="863" dxfId="19">
      <formula>AV339="X"</formula>
    </cfRule>
    <cfRule type="expression" priority="864" dxfId="18">
      <formula>AV339="후보"</formula>
    </cfRule>
  </conditionalFormatting>
  <conditionalFormatting sqref="AC33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3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39">
    <cfRule type="expression" priority="855" dxfId="3">
      <formula>AND(IF(OR($Q339=1,$Q339=2),1,0),IF($X339&lt;=20,1,0))</formula>
    </cfRule>
    <cfRule type="expression" priority="856" dxfId="2">
      <formula>AND(IF($Q339=2,1,0),IF($X339&lt;30,1,0))</formula>
    </cfRule>
    <cfRule type="expression" priority="857" dxfId="1">
      <formula>AND(IF($Q339=3,1,0),IF($X339&lt;30,1,0))</formula>
    </cfRule>
    <cfRule type="expression" priority="858" dxfId="0">
      <formula>AND(IF($Q339=3,1,IF($Q339=4,1,0)),IF($F339&lt;=85,1,0))</formula>
    </cfRule>
  </conditionalFormatting>
  <conditionalFormatting sqref="X339">
    <cfRule type="expression" priority="851" dxfId="3">
      <formula>AND(IF(OR($Q339=1,$Q339=2),1,0),IF($X339&lt;=20,1,0))</formula>
    </cfRule>
    <cfRule type="expression" priority="852" dxfId="2">
      <formula>AND(IF($Q339=2,1,0),IF($X339&lt;30,1,0))</formula>
    </cfRule>
    <cfRule type="expression" priority="853" dxfId="1">
      <formula>AND(IF($Q339=3,1,0),IF($X339&lt;30,1,0))</formula>
    </cfRule>
    <cfRule type="expression" priority="854" dxfId="0">
      <formula>AND(IF($Q339=3,1,IF($Q339=4,1,0)),IF($F339&lt;=85,1,0))</formula>
    </cfRule>
  </conditionalFormatting>
  <conditionalFormatting sqref="AI339">
    <cfRule type="expression" priority="847" dxfId="3">
      <formula>AND(IF(OR($Q339=1,$Q339=2),1,0),IF($X339&lt;=20,1,0))</formula>
    </cfRule>
    <cfRule type="expression" priority="848" dxfId="2">
      <formula>AND(IF($Q339=2,1,0),IF($X339&lt;30,1,0))</formula>
    </cfRule>
    <cfRule type="expression" priority="849" dxfId="1">
      <formula>AND(IF($Q339=3,1,0),IF($X339&lt;30,1,0))</formula>
    </cfRule>
    <cfRule type="expression" priority="850" dxfId="0">
      <formula>AND(IF($Q339=3,1,IF($Q339=4,1,0)),IF($F339&lt;=85,1,0))</formula>
    </cfRule>
  </conditionalFormatting>
  <conditionalFormatting sqref="AV340">
    <cfRule type="expression" priority="845" dxfId="19">
      <formula>AV340="X"</formula>
    </cfRule>
    <cfRule type="expression" priority="846" dxfId="18">
      <formula>AV340="후보"</formula>
    </cfRule>
  </conditionalFormatting>
  <conditionalFormatting sqref="AC3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40">
    <cfRule type="expression" priority="837" dxfId="3">
      <formula>AND(IF(OR($Q340=1,$Q340=2),1,0),IF($X340&lt;=20,1,0))</formula>
    </cfRule>
    <cfRule type="expression" priority="838" dxfId="2">
      <formula>AND(IF($Q340=2,1,0),IF($X340&lt;30,1,0))</formula>
    </cfRule>
    <cfRule type="expression" priority="839" dxfId="1">
      <formula>AND(IF($Q340=3,1,0),IF($X340&lt;30,1,0))</formula>
    </cfRule>
    <cfRule type="expression" priority="840" dxfId="0">
      <formula>AND(IF($Q340=3,1,IF($Q340=4,1,0)),IF($F340&lt;=85,1,0))</formula>
    </cfRule>
  </conditionalFormatting>
  <conditionalFormatting sqref="X340">
    <cfRule type="expression" priority="833" dxfId="3">
      <formula>AND(IF(OR($Q340=1,$Q340=2),1,0),IF($X340&lt;=20,1,0))</formula>
    </cfRule>
    <cfRule type="expression" priority="834" dxfId="2">
      <formula>AND(IF($Q340=2,1,0),IF($X340&lt;30,1,0))</formula>
    </cfRule>
    <cfRule type="expression" priority="835" dxfId="1">
      <formula>AND(IF($Q340=3,1,0),IF($X340&lt;30,1,0))</formula>
    </cfRule>
    <cfRule type="expression" priority="836" dxfId="0">
      <formula>AND(IF($Q340=3,1,IF($Q340=4,1,0)),IF($F340&lt;=85,1,0))</formula>
    </cfRule>
  </conditionalFormatting>
  <conditionalFormatting sqref="AI340">
    <cfRule type="expression" priority="829" dxfId="3">
      <formula>AND(IF(OR($Q340=1,$Q340=2),1,0),IF($X340&lt;=20,1,0))</formula>
    </cfRule>
    <cfRule type="expression" priority="830" dxfId="2">
      <formula>AND(IF($Q340=2,1,0),IF($X340&lt;30,1,0))</formula>
    </cfRule>
    <cfRule type="expression" priority="831" dxfId="1">
      <formula>AND(IF($Q340=3,1,0),IF($X340&lt;30,1,0))</formula>
    </cfRule>
    <cfRule type="expression" priority="832" dxfId="0">
      <formula>AND(IF($Q340=3,1,IF($Q340=4,1,0)),IF($F340&lt;=85,1,0))</formula>
    </cfRule>
  </conditionalFormatting>
  <conditionalFormatting sqref="AV341">
    <cfRule type="expression" priority="827" dxfId="19">
      <formula>AV341="X"</formula>
    </cfRule>
    <cfRule type="expression" priority="828" dxfId="18">
      <formula>AV341="후보"</formula>
    </cfRule>
  </conditionalFormatting>
  <conditionalFormatting sqref="AC34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4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41">
    <cfRule type="expression" priority="819" dxfId="3">
      <formula>AND(IF(OR($Q341=1,$Q341=2),1,0),IF($X341&lt;=20,1,0))</formula>
    </cfRule>
    <cfRule type="expression" priority="820" dxfId="2">
      <formula>AND(IF($Q341=2,1,0),IF($X341&lt;30,1,0))</formula>
    </cfRule>
    <cfRule type="expression" priority="821" dxfId="1">
      <formula>AND(IF($Q341=3,1,0),IF($X341&lt;30,1,0))</formula>
    </cfRule>
    <cfRule type="expression" priority="822" dxfId="0">
      <formula>AND(IF($Q341=3,1,IF($Q341=4,1,0)),IF($F341&lt;=85,1,0))</formula>
    </cfRule>
  </conditionalFormatting>
  <conditionalFormatting sqref="X341">
    <cfRule type="expression" priority="815" dxfId="3">
      <formula>AND(IF(OR($Q341=1,$Q341=2),1,0),IF($X341&lt;=20,1,0))</formula>
    </cfRule>
    <cfRule type="expression" priority="816" dxfId="2">
      <formula>AND(IF($Q341=2,1,0),IF($X341&lt;30,1,0))</formula>
    </cfRule>
    <cfRule type="expression" priority="817" dxfId="1">
      <formula>AND(IF($Q341=3,1,0),IF($X341&lt;30,1,0))</formula>
    </cfRule>
    <cfRule type="expression" priority="818" dxfId="0">
      <formula>AND(IF($Q341=3,1,IF($Q341=4,1,0)),IF($F341&lt;=85,1,0))</formula>
    </cfRule>
  </conditionalFormatting>
  <conditionalFormatting sqref="AI341">
    <cfRule type="expression" priority="811" dxfId="3">
      <formula>AND(IF(OR($Q341=1,$Q341=2),1,0),IF($X341&lt;=20,1,0))</formula>
    </cfRule>
    <cfRule type="expression" priority="812" dxfId="2">
      <formula>AND(IF($Q341=2,1,0),IF($X341&lt;30,1,0))</formula>
    </cfRule>
    <cfRule type="expression" priority="813" dxfId="1">
      <formula>AND(IF($Q341=3,1,0),IF($X341&lt;30,1,0))</formula>
    </cfRule>
    <cfRule type="expression" priority="814" dxfId="0">
      <formula>AND(IF($Q341=3,1,IF($Q341=4,1,0)),IF($F341&lt;=85,1,0))</formula>
    </cfRule>
  </conditionalFormatting>
  <conditionalFormatting sqref="AV342">
    <cfRule type="expression" priority="809" dxfId="19">
      <formula>AV342="X"</formula>
    </cfRule>
    <cfRule type="expression" priority="810" dxfId="18">
      <formula>AV342="후보"</formula>
    </cfRule>
  </conditionalFormatting>
  <conditionalFormatting sqref="AC342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42">
    <cfRule type="expression" priority="801" dxfId="3">
      <formula>AND(IF(OR($Q342=1,$Q342=2),1,0),IF($X342&lt;=20,1,0))</formula>
    </cfRule>
    <cfRule type="expression" priority="802" dxfId="2">
      <formula>AND(IF($Q342=2,1,0),IF($X342&lt;30,1,0))</formula>
    </cfRule>
    <cfRule type="expression" priority="803" dxfId="1">
      <formula>AND(IF($Q342=3,1,0),IF($X342&lt;30,1,0))</formula>
    </cfRule>
    <cfRule type="expression" priority="804" dxfId="0">
      <formula>AND(IF($Q342=3,1,IF($Q342=4,1,0)),IF($F342&lt;=85,1,0))</formula>
    </cfRule>
  </conditionalFormatting>
  <conditionalFormatting sqref="X342">
    <cfRule type="expression" priority="797" dxfId="3">
      <formula>AND(IF(OR($Q342=1,$Q342=2),1,0),IF($X342&lt;=20,1,0))</formula>
    </cfRule>
    <cfRule type="expression" priority="798" dxfId="2">
      <formula>AND(IF($Q342=2,1,0),IF($X342&lt;30,1,0))</formula>
    </cfRule>
    <cfRule type="expression" priority="799" dxfId="1">
      <formula>AND(IF($Q342=3,1,0),IF($X342&lt;30,1,0))</formula>
    </cfRule>
    <cfRule type="expression" priority="800" dxfId="0">
      <formula>AND(IF($Q342=3,1,IF($Q342=4,1,0)),IF($F342&lt;=85,1,0))</formula>
    </cfRule>
  </conditionalFormatting>
  <conditionalFormatting sqref="AI342">
    <cfRule type="expression" priority="793" dxfId="3">
      <formula>AND(IF(OR($Q342=1,$Q342=2),1,0),IF($X342&lt;=20,1,0))</formula>
    </cfRule>
    <cfRule type="expression" priority="794" dxfId="2">
      <formula>AND(IF($Q342=2,1,0),IF($X342&lt;30,1,0))</formula>
    </cfRule>
    <cfRule type="expression" priority="795" dxfId="1">
      <formula>AND(IF($Q342=3,1,0),IF($X342&lt;30,1,0))</formula>
    </cfRule>
    <cfRule type="expression" priority="796" dxfId="0">
      <formula>AND(IF($Q342=3,1,IF($Q342=4,1,0)),IF($F342&lt;=85,1,0))</formula>
    </cfRule>
  </conditionalFormatting>
  <conditionalFormatting sqref="AV343">
    <cfRule type="expression" priority="791" dxfId="19">
      <formula>AV343="X"</formula>
    </cfRule>
    <cfRule type="expression" priority="792" dxfId="18">
      <formula>AV343="후보"</formula>
    </cfRule>
  </conditionalFormatting>
  <conditionalFormatting sqref="AC34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4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43">
    <cfRule type="expression" priority="783" dxfId="3">
      <formula>AND(IF(OR($Q343=1,$Q343=2),1,0),IF($X343&lt;=20,1,0))</formula>
    </cfRule>
    <cfRule type="expression" priority="784" dxfId="2">
      <formula>AND(IF($Q343=2,1,0),IF($X343&lt;30,1,0))</formula>
    </cfRule>
    <cfRule type="expression" priority="785" dxfId="1">
      <formula>AND(IF($Q343=3,1,0),IF($X343&lt;30,1,0))</formula>
    </cfRule>
    <cfRule type="expression" priority="786" dxfId="0">
      <formula>AND(IF($Q343=3,1,IF($Q343=4,1,0)),IF($F343&lt;=85,1,0))</formula>
    </cfRule>
  </conditionalFormatting>
  <conditionalFormatting sqref="X343">
    <cfRule type="expression" priority="779" dxfId="3">
      <formula>AND(IF(OR($Q343=1,$Q343=2),1,0),IF($X343&lt;=20,1,0))</formula>
    </cfRule>
    <cfRule type="expression" priority="780" dxfId="2">
      <formula>AND(IF($Q343=2,1,0),IF($X343&lt;30,1,0))</formula>
    </cfRule>
    <cfRule type="expression" priority="781" dxfId="1">
      <formula>AND(IF($Q343=3,1,0),IF($X343&lt;30,1,0))</formula>
    </cfRule>
    <cfRule type="expression" priority="782" dxfId="0">
      <formula>AND(IF($Q343=3,1,IF($Q343=4,1,0)),IF($F343&lt;=85,1,0))</formula>
    </cfRule>
  </conditionalFormatting>
  <conditionalFormatting sqref="AI343">
    <cfRule type="expression" priority="775" dxfId="3">
      <formula>AND(IF(OR($Q343=1,$Q343=2),1,0),IF($X343&lt;=20,1,0))</formula>
    </cfRule>
    <cfRule type="expression" priority="776" dxfId="2">
      <formula>AND(IF($Q343=2,1,0),IF($X343&lt;30,1,0))</formula>
    </cfRule>
    <cfRule type="expression" priority="777" dxfId="1">
      <formula>AND(IF($Q343=3,1,0),IF($X343&lt;30,1,0))</formula>
    </cfRule>
    <cfRule type="expression" priority="778" dxfId="0">
      <formula>AND(IF($Q343=3,1,IF($Q343=4,1,0)),IF($F343&lt;=85,1,0))</formula>
    </cfRule>
  </conditionalFormatting>
  <conditionalFormatting sqref="AV344">
    <cfRule type="expression" priority="773" dxfId="19">
      <formula>AV344="X"</formula>
    </cfRule>
    <cfRule type="expression" priority="774" dxfId="18">
      <formula>AV344="후보"</formula>
    </cfRule>
  </conditionalFormatting>
  <conditionalFormatting sqref="AC344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4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44">
    <cfRule type="expression" priority="765" dxfId="3">
      <formula>AND(IF(OR($Q344=1,$Q344=2),1,0),IF($X344&lt;=20,1,0))</formula>
    </cfRule>
    <cfRule type="expression" priority="766" dxfId="2">
      <formula>AND(IF($Q344=2,1,0),IF($X344&lt;30,1,0))</formula>
    </cfRule>
    <cfRule type="expression" priority="767" dxfId="1">
      <formula>AND(IF($Q344=3,1,0),IF($X344&lt;30,1,0))</formula>
    </cfRule>
    <cfRule type="expression" priority="768" dxfId="0">
      <formula>AND(IF($Q344=3,1,IF($Q344=4,1,0)),IF($F344&lt;=85,1,0))</formula>
    </cfRule>
  </conditionalFormatting>
  <conditionalFormatting sqref="X344">
    <cfRule type="expression" priority="761" dxfId="3">
      <formula>AND(IF(OR($Q344=1,$Q344=2),1,0),IF($X344&lt;=20,1,0))</formula>
    </cfRule>
    <cfRule type="expression" priority="762" dxfId="2">
      <formula>AND(IF($Q344=2,1,0),IF($X344&lt;30,1,0))</formula>
    </cfRule>
    <cfRule type="expression" priority="763" dxfId="1">
      <formula>AND(IF($Q344=3,1,0),IF($X344&lt;30,1,0))</formula>
    </cfRule>
    <cfRule type="expression" priority="764" dxfId="0">
      <formula>AND(IF($Q344=3,1,IF($Q344=4,1,0)),IF($F344&lt;=85,1,0))</formula>
    </cfRule>
  </conditionalFormatting>
  <conditionalFormatting sqref="AI344">
    <cfRule type="expression" priority="757" dxfId="3">
      <formula>AND(IF(OR($Q344=1,$Q344=2),1,0),IF($X344&lt;=20,1,0))</formula>
    </cfRule>
    <cfRule type="expression" priority="758" dxfId="2">
      <formula>AND(IF($Q344=2,1,0),IF($X344&lt;30,1,0))</formula>
    </cfRule>
    <cfRule type="expression" priority="759" dxfId="1">
      <formula>AND(IF($Q344=3,1,0),IF($X344&lt;30,1,0))</formula>
    </cfRule>
    <cfRule type="expression" priority="760" dxfId="0">
      <formula>AND(IF($Q344=3,1,IF($Q344=4,1,0)),IF($F344&lt;=85,1,0))</formula>
    </cfRule>
  </conditionalFormatting>
  <conditionalFormatting sqref="AV345">
    <cfRule type="expression" priority="755" dxfId="19">
      <formula>AV345="X"</formula>
    </cfRule>
    <cfRule type="expression" priority="756" dxfId="18">
      <formula>AV345="후보"</formula>
    </cfRule>
  </conditionalFormatting>
  <conditionalFormatting sqref="AC34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4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45">
    <cfRule type="expression" priority="747" dxfId="3">
      <formula>AND(IF(OR($Q345=1,$Q345=2),1,0),IF($X345&lt;=20,1,0))</formula>
    </cfRule>
    <cfRule type="expression" priority="748" dxfId="2">
      <formula>AND(IF($Q345=2,1,0),IF($X345&lt;30,1,0))</formula>
    </cfRule>
    <cfRule type="expression" priority="749" dxfId="1">
      <formula>AND(IF($Q345=3,1,0),IF($X345&lt;30,1,0))</formula>
    </cfRule>
    <cfRule type="expression" priority="750" dxfId="0">
      <formula>AND(IF($Q345=3,1,IF($Q345=4,1,0)),IF($F345&lt;=85,1,0))</formula>
    </cfRule>
  </conditionalFormatting>
  <conditionalFormatting sqref="X345">
    <cfRule type="expression" priority="743" dxfId="3">
      <formula>AND(IF(OR($Q345=1,$Q345=2),1,0),IF($X345&lt;=20,1,0))</formula>
    </cfRule>
    <cfRule type="expression" priority="744" dxfId="2">
      <formula>AND(IF($Q345=2,1,0),IF($X345&lt;30,1,0))</formula>
    </cfRule>
    <cfRule type="expression" priority="745" dxfId="1">
      <formula>AND(IF($Q345=3,1,0),IF($X345&lt;30,1,0))</formula>
    </cfRule>
    <cfRule type="expression" priority="746" dxfId="0">
      <formula>AND(IF($Q345=3,1,IF($Q345=4,1,0)),IF($F345&lt;=85,1,0))</formula>
    </cfRule>
  </conditionalFormatting>
  <conditionalFormatting sqref="AI345">
    <cfRule type="expression" priority="739" dxfId="3">
      <formula>AND(IF(OR($Q345=1,$Q345=2),1,0),IF($X345&lt;=20,1,0))</formula>
    </cfRule>
    <cfRule type="expression" priority="740" dxfId="2">
      <formula>AND(IF($Q345=2,1,0),IF($X345&lt;30,1,0))</formula>
    </cfRule>
    <cfRule type="expression" priority="741" dxfId="1">
      <formula>AND(IF($Q345=3,1,0),IF($X345&lt;30,1,0))</formula>
    </cfRule>
    <cfRule type="expression" priority="742" dxfId="0">
      <formula>AND(IF($Q345=3,1,IF($Q345=4,1,0)),IF($F345&lt;=85,1,0))</formula>
    </cfRule>
  </conditionalFormatting>
  <conditionalFormatting sqref="AV346">
    <cfRule type="expression" priority="737" dxfId="19">
      <formula>AV346="X"</formula>
    </cfRule>
    <cfRule type="expression" priority="738" dxfId="18">
      <formula>AV346="후보"</formula>
    </cfRule>
  </conditionalFormatting>
  <conditionalFormatting sqref="AC346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4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46">
    <cfRule type="expression" priority="729" dxfId="3">
      <formula>AND(IF(OR($Q346=1,$Q346=2),1,0),IF($X346&lt;=20,1,0))</formula>
    </cfRule>
    <cfRule type="expression" priority="730" dxfId="2">
      <formula>AND(IF($Q346=2,1,0),IF($X346&lt;30,1,0))</formula>
    </cfRule>
    <cfRule type="expression" priority="731" dxfId="1">
      <formula>AND(IF($Q346=3,1,0),IF($X346&lt;30,1,0))</formula>
    </cfRule>
    <cfRule type="expression" priority="732" dxfId="0">
      <formula>AND(IF($Q346=3,1,IF($Q346=4,1,0)),IF($F346&lt;=85,1,0))</formula>
    </cfRule>
  </conditionalFormatting>
  <conditionalFormatting sqref="X346">
    <cfRule type="expression" priority="725" dxfId="3">
      <formula>AND(IF(OR($Q346=1,$Q346=2),1,0),IF($X346&lt;=20,1,0))</formula>
    </cfRule>
    <cfRule type="expression" priority="726" dxfId="2">
      <formula>AND(IF($Q346=2,1,0),IF($X346&lt;30,1,0))</formula>
    </cfRule>
    <cfRule type="expression" priority="727" dxfId="1">
      <formula>AND(IF($Q346=3,1,0),IF($X346&lt;30,1,0))</formula>
    </cfRule>
    <cfRule type="expression" priority="728" dxfId="0">
      <formula>AND(IF($Q346=3,1,IF($Q346=4,1,0)),IF($F346&lt;=85,1,0))</formula>
    </cfRule>
  </conditionalFormatting>
  <conditionalFormatting sqref="AI346">
    <cfRule type="expression" priority="721" dxfId="3">
      <formula>AND(IF(OR($Q346=1,$Q346=2),1,0),IF($X346&lt;=20,1,0))</formula>
    </cfRule>
    <cfRule type="expression" priority="722" dxfId="2">
      <formula>AND(IF($Q346=2,1,0),IF($X346&lt;30,1,0))</formula>
    </cfRule>
    <cfRule type="expression" priority="723" dxfId="1">
      <formula>AND(IF($Q346=3,1,0),IF($X346&lt;30,1,0))</formula>
    </cfRule>
    <cfRule type="expression" priority="724" dxfId="0">
      <formula>AND(IF($Q346=3,1,IF($Q346=4,1,0)),IF($F346&lt;=85,1,0))</formula>
    </cfRule>
  </conditionalFormatting>
  <conditionalFormatting sqref="AV347">
    <cfRule type="expression" priority="719" dxfId="19">
      <formula>AV347="X"</formula>
    </cfRule>
    <cfRule type="expression" priority="720" dxfId="18">
      <formula>AV347="후보"</formula>
    </cfRule>
  </conditionalFormatting>
  <conditionalFormatting sqref="AC34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4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47">
    <cfRule type="expression" priority="711" dxfId="3">
      <formula>AND(IF(OR($Q347=1,$Q347=2),1,0),IF($X347&lt;=20,1,0))</formula>
    </cfRule>
    <cfRule type="expression" priority="712" dxfId="2">
      <formula>AND(IF($Q347=2,1,0),IF($X347&lt;30,1,0))</formula>
    </cfRule>
    <cfRule type="expression" priority="713" dxfId="1">
      <formula>AND(IF($Q347=3,1,0),IF($X347&lt;30,1,0))</formula>
    </cfRule>
    <cfRule type="expression" priority="714" dxfId="0">
      <formula>AND(IF($Q347=3,1,IF($Q347=4,1,0)),IF($F347&lt;=85,1,0))</formula>
    </cfRule>
  </conditionalFormatting>
  <conditionalFormatting sqref="X347">
    <cfRule type="expression" priority="707" dxfId="3">
      <formula>AND(IF(OR($Q347=1,$Q347=2),1,0),IF($X347&lt;=20,1,0))</formula>
    </cfRule>
    <cfRule type="expression" priority="708" dxfId="2">
      <formula>AND(IF($Q347=2,1,0),IF($X347&lt;30,1,0))</formula>
    </cfRule>
    <cfRule type="expression" priority="709" dxfId="1">
      <formula>AND(IF($Q347=3,1,0),IF($X347&lt;30,1,0))</formula>
    </cfRule>
    <cfRule type="expression" priority="710" dxfId="0">
      <formula>AND(IF($Q347=3,1,IF($Q347=4,1,0)),IF($F347&lt;=85,1,0))</formula>
    </cfRule>
  </conditionalFormatting>
  <conditionalFormatting sqref="AI347">
    <cfRule type="expression" priority="703" dxfId="3">
      <formula>AND(IF(OR($Q347=1,$Q347=2),1,0),IF($X347&lt;=20,1,0))</formula>
    </cfRule>
    <cfRule type="expression" priority="704" dxfId="2">
      <formula>AND(IF($Q347=2,1,0),IF($X347&lt;30,1,0))</formula>
    </cfRule>
    <cfRule type="expression" priority="705" dxfId="1">
      <formula>AND(IF($Q347=3,1,0),IF($X347&lt;30,1,0))</formula>
    </cfRule>
    <cfRule type="expression" priority="706" dxfId="0">
      <formula>AND(IF($Q347=3,1,IF($Q347=4,1,0)),IF($F347&lt;=85,1,0))</formula>
    </cfRule>
  </conditionalFormatting>
  <conditionalFormatting sqref="AV4">
    <cfRule type="expression" priority="6893" dxfId="19">
      <formula>AV4="X"</formula>
    </cfRule>
    <cfRule type="expression" priority="6894" dxfId="18">
      <formula>AV4="후보"</formula>
    </cfRule>
  </conditionalFormatting>
  <conditionalFormatting sqref="AC4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">
    <cfRule type="expression" priority="6885" dxfId="3">
      <formula>AND(IF(OR($Q4=1,$Q4=2),1,0),IF($X4&lt;=20,1,0))</formula>
    </cfRule>
    <cfRule type="expression" priority="6886" dxfId="2">
      <formula>AND(IF($Q4=2,1,0),IF($X4&lt;30,1,0))</formula>
    </cfRule>
    <cfRule type="expression" priority="6887" dxfId="1">
      <formula>AND(IF($Q4=3,1,0),IF($X4&lt;30,1,0))</formula>
    </cfRule>
    <cfRule type="expression" priority="6888" dxfId="0">
      <formula>AND(IF($Q4=3,1,IF($Q4=4,1,0)),IF($F4&lt;=85,1,0))</formula>
    </cfRule>
  </conditionalFormatting>
  <conditionalFormatting sqref="X4">
    <cfRule type="expression" priority="6881" dxfId="3">
      <formula>AND(IF(OR($Q4=1,$Q4=2),1,0),IF($X4&lt;=20,1,0))</formula>
    </cfRule>
    <cfRule type="expression" priority="6882" dxfId="2">
      <formula>AND(IF($Q4=2,1,0),IF($X4&lt;30,1,0))</formula>
    </cfRule>
    <cfRule type="expression" priority="6883" dxfId="1">
      <formula>AND(IF($Q4=3,1,0),IF($X4&lt;30,1,0))</formula>
    </cfRule>
    <cfRule type="expression" priority="6884" dxfId="0">
      <formula>AND(IF($Q4=3,1,IF($Q4=4,1,0)),IF($F4&lt;=85,1,0))</formula>
    </cfRule>
  </conditionalFormatting>
  <conditionalFormatting sqref="AI4">
    <cfRule type="expression" priority="6877" dxfId="3">
      <formula>AND(IF(OR($Q4=1,$Q4=2),1,0),IF($X4&lt;=20,1,0))</formula>
    </cfRule>
    <cfRule type="expression" priority="6878" dxfId="2">
      <formula>AND(IF($Q4=2,1,0),IF($X4&lt;30,1,0))</formula>
    </cfRule>
    <cfRule type="expression" priority="6879" dxfId="1">
      <formula>AND(IF($Q4=3,1,0),IF($X4&lt;30,1,0))</formula>
    </cfRule>
    <cfRule type="expression" priority="6880" dxfId="0">
      <formula>AND(IF($Q4=3,1,IF($Q4=4,1,0)),IF($F4&lt;=85,1,0))</formula>
    </cfRule>
  </conditionalFormatting>
  <conditionalFormatting sqref="AV5">
    <cfRule type="expression" priority="6875" dxfId="19">
      <formula>AV5="X"</formula>
    </cfRule>
    <cfRule type="expression" priority="6876" dxfId="18">
      <formula>AV5="후보"</formula>
    </cfRule>
  </conditionalFormatting>
  <conditionalFormatting sqref="AC5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5">
    <cfRule type="expression" priority="6867" dxfId="3">
      <formula>AND(IF(OR($Q5=1,$Q5=2),1,0),IF($X5&lt;=20,1,0))</formula>
    </cfRule>
    <cfRule type="expression" priority="6868" dxfId="2">
      <formula>AND(IF($Q5=2,1,0),IF($X5&lt;30,1,0))</formula>
    </cfRule>
    <cfRule type="expression" priority="6869" dxfId="1">
      <formula>AND(IF($Q5=3,1,0),IF($X5&lt;30,1,0))</formula>
    </cfRule>
    <cfRule type="expression" priority="6870" dxfId="0">
      <formula>AND(IF($Q5=3,1,IF($Q5=4,1,0)),IF($F5&lt;=85,1,0))</formula>
    </cfRule>
  </conditionalFormatting>
  <conditionalFormatting sqref="X5">
    <cfRule type="expression" priority="6863" dxfId="3">
      <formula>AND(IF(OR($Q5=1,$Q5=2),1,0),IF($X5&lt;=20,1,0))</formula>
    </cfRule>
    <cfRule type="expression" priority="6864" dxfId="2">
      <formula>AND(IF($Q5=2,1,0),IF($X5&lt;30,1,0))</formula>
    </cfRule>
    <cfRule type="expression" priority="6865" dxfId="1">
      <formula>AND(IF($Q5=3,1,0),IF($X5&lt;30,1,0))</formula>
    </cfRule>
    <cfRule type="expression" priority="6866" dxfId="0">
      <formula>AND(IF($Q5=3,1,IF($Q5=4,1,0)),IF($F5&lt;=85,1,0))</formula>
    </cfRule>
  </conditionalFormatting>
  <conditionalFormatting sqref="AI5">
    <cfRule type="expression" priority="6859" dxfId="3">
      <formula>AND(IF(OR($Q5=1,$Q5=2),1,0),IF($X5&lt;=20,1,0))</formula>
    </cfRule>
    <cfRule type="expression" priority="6860" dxfId="2">
      <formula>AND(IF($Q5=2,1,0),IF($X5&lt;30,1,0))</formula>
    </cfRule>
    <cfRule type="expression" priority="6861" dxfId="1">
      <formula>AND(IF($Q5=3,1,0),IF($X5&lt;30,1,0))</formula>
    </cfRule>
    <cfRule type="expression" priority="6862" dxfId="0">
      <formula>AND(IF($Q5=3,1,IF($Q5=4,1,0)),IF($F5&lt;=85,1,0))</formula>
    </cfRule>
  </conditionalFormatting>
  <conditionalFormatting sqref="AV6">
    <cfRule type="expression" priority="6857" dxfId="19">
      <formula>AV6="X"</formula>
    </cfRule>
    <cfRule type="expression" priority="6858" dxfId="18">
      <formula>AV6="후보"</formula>
    </cfRule>
  </conditionalFormatting>
  <conditionalFormatting sqref="AC6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">
    <cfRule type="expression" priority="6849" dxfId="3">
      <formula>AND(IF(OR($Q6=1,$Q6=2),1,0),IF($X6&lt;=20,1,0))</formula>
    </cfRule>
    <cfRule type="expression" priority="6850" dxfId="2">
      <formula>AND(IF($Q6=2,1,0),IF($X6&lt;30,1,0))</formula>
    </cfRule>
    <cfRule type="expression" priority="6851" dxfId="1">
      <formula>AND(IF($Q6=3,1,0),IF($X6&lt;30,1,0))</formula>
    </cfRule>
    <cfRule type="expression" priority="6852" dxfId="0">
      <formula>AND(IF($Q6=3,1,IF($Q6=4,1,0)),IF($F6&lt;=85,1,0))</formula>
    </cfRule>
  </conditionalFormatting>
  <conditionalFormatting sqref="X6">
    <cfRule type="expression" priority="6845" dxfId="3">
      <formula>AND(IF(OR($Q6=1,$Q6=2),1,0),IF($X6&lt;=20,1,0))</formula>
    </cfRule>
    <cfRule type="expression" priority="6846" dxfId="2">
      <formula>AND(IF($Q6=2,1,0),IF($X6&lt;30,1,0))</formula>
    </cfRule>
    <cfRule type="expression" priority="6847" dxfId="1">
      <formula>AND(IF($Q6=3,1,0),IF($X6&lt;30,1,0))</formula>
    </cfRule>
    <cfRule type="expression" priority="6848" dxfId="0">
      <formula>AND(IF($Q6=3,1,IF($Q6=4,1,0)),IF($F6&lt;=85,1,0))</formula>
    </cfRule>
  </conditionalFormatting>
  <conditionalFormatting sqref="AI6">
    <cfRule type="expression" priority="6841" dxfId="3">
      <formula>AND(IF(OR($Q6=1,$Q6=2),1,0),IF($X6&lt;=20,1,0))</formula>
    </cfRule>
    <cfRule type="expression" priority="6842" dxfId="2">
      <formula>AND(IF($Q6=2,1,0),IF($X6&lt;30,1,0))</formula>
    </cfRule>
    <cfRule type="expression" priority="6843" dxfId="1">
      <formula>AND(IF($Q6=3,1,0),IF($X6&lt;30,1,0))</formula>
    </cfRule>
    <cfRule type="expression" priority="6844" dxfId="0">
      <formula>AND(IF($Q6=3,1,IF($Q6=4,1,0)),IF($F6&lt;=85,1,0))</formula>
    </cfRule>
  </conditionalFormatting>
  <conditionalFormatting sqref="AV7">
    <cfRule type="expression" priority="6839" dxfId="19">
      <formula>AV7="X"</formula>
    </cfRule>
    <cfRule type="expression" priority="6840" dxfId="18">
      <formula>AV7="후보"</formula>
    </cfRule>
  </conditionalFormatting>
  <conditionalFormatting sqref="AC7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7">
    <cfRule type="expression" priority="6831" dxfId="3">
      <formula>AND(IF(OR($Q7=1,$Q7=2),1,0),IF($X7&lt;=20,1,0))</formula>
    </cfRule>
    <cfRule type="expression" priority="6832" dxfId="2">
      <formula>AND(IF($Q7=2,1,0),IF($X7&lt;30,1,0))</formula>
    </cfRule>
    <cfRule type="expression" priority="6833" dxfId="1">
      <formula>AND(IF($Q7=3,1,0),IF($X7&lt;30,1,0))</formula>
    </cfRule>
    <cfRule type="expression" priority="6834" dxfId="0">
      <formula>AND(IF($Q7=3,1,IF($Q7=4,1,0)),IF($F7&lt;=85,1,0))</formula>
    </cfRule>
  </conditionalFormatting>
  <conditionalFormatting sqref="X7">
    <cfRule type="expression" priority="6827" dxfId="3">
      <formula>AND(IF(OR($Q7=1,$Q7=2),1,0),IF($X7&lt;=20,1,0))</formula>
    </cfRule>
    <cfRule type="expression" priority="6828" dxfId="2">
      <formula>AND(IF($Q7=2,1,0),IF($X7&lt;30,1,0))</formula>
    </cfRule>
    <cfRule type="expression" priority="6829" dxfId="1">
      <formula>AND(IF($Q7=3,1,0),IF($X7&lt;30,1,0))</formula>
    </cfRule>
    <cfRule type="expression" priority="6830" dxfId="0">
      <formula>AND(IF($Q7=3,1,IF($Q7=4,1,0)),IF($F7&lt;=85,1,0))</formula>
    </cfRule>
  </conditionalFormatting>
  <conditionalFormatting sqref="AI7">
    <cfRule type="expression" priority="6823" dxfId="3">
      <formula>AND(IF(OR($Q7=1,$Q7=2),1,0),IF($X7&lt;=20,1,0))</formula>
    </cfRule>
    <cfRule type="expression" priority="6824" dxfId="2">
      <formula>AND(IF($Q7=2,1,0),IF($X7&lt;30,1,0))</formula>
    </cfRule>
    <cfRule type="expression" priority="6825" dxfId="1">
      <formula>AND(IF($Q7=3,1,0),IF($X7&lt;30,1,0))</formula>
    </cfRule>
    <cfRule type="expression" priority="6826" dxfId="0">
      <formula>AND(IF($Q7=3,1,IF($Q7=4,1,0)),IF($F7&lt;=85,1,0))</formula>
    </cfRule>
  </conditionalFormatting>
  <conditionalFormatting sqref="AV8">
    <cfRule type="expression" priority="6821" dxfId="19">
      <formula>AV8="X"</formula>
    </cfRule>
    <cfRule type="expression" priority="6822" dxfId="18">
      <formula>AV8="후보"</formula>
    </cfRule>
  </conditionalFormatting>
  <conditionalFormatting sqref="AC8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8">
    <cfRule type="expression" priority="6813" dxfId="3">
      <formula>AND(IF(OR($Q8=1,$Q8=2),1,0),IF($X8&lt;=20,1,0))</formula>
    </cfRule>
    <cfRule type="expression" priority="6814" dxfId="2">
      <formula>AND(IF($Q8=2,1,0),IF($X8&lt;30,1,0))</formula>
    </cfRule>
    <cfRule type="expression" priority="6815" dxfId="1">
      <formula>AND(IF($Q8=3,1,0),IF($X8&lt;30,1,0))</formula>
    </cfRule>
    <cfRule type="expression" priority="6816" dxfId="0">
      <formula>AND(IF($Q8=3,1,IF($Q8=4,1,0)),IF($F8&lt;=85,1,0))</formula>
    </cfRule>
  </conditionalFormatting>
  <conditionalFormatting sqref="X8">
    <cfRule type="expression" priority="6809" dxfId="3">
      <formula>AND(IF(OR($Q8=1,$Q8=2),1,0),IF($X8&lt;=20,1,0))</formula>
    </cfRule>
    <cfRule type="expression" priority="6810" dxfId="2">
      <formula>AND(IF($Q8=2,1,0),IF($X8&lt;30,1,0))</formula>
    </cfRule>
    <cfRule type="expression" priority="6811" dxfId="1">
      <formula>AND(IF($Q8=3,1,0),IF($X8&lt;30,1,0))</formula>
    </cfRule>
    <cfRule type="expression" priority="6812" dxfId="0">
      <formula>AND(IF($Q8=3,1,IF($Q8=4,1,0)),IF($F8&lt;=85,1,0))</formula>
    </cfRule>
  </conditionalFormatting>
  <conditionalFormatting sqref="AI8">
    <cfRule type="expression" priority="6805" dxfId="3">
      <formula>AND(IF(OR($Q8=1,$Q8=2),1,0),IF($X8&lt;=20,1,0))</formula>
    </cfRule>
    <cfRule type="expression" priority="6806" dxfId="2">
      <formula>AND(IF($Q8=2,1,0),IF($X8&lt;30,1,0))</formula>
    </cfRule>
    <cfRule type="expression" priority="6807" dxfId="1">
      <formula>AND(IF($Q8=3,1,0),IF($X8&lt;30,1,0))</formula>
    </cfRule>
    <cfRule type="expression" priority="6808" dxfId="0">
      <formula>AND(IF($Q8=3,1,IF($Q8=4,1,0)),IF($F8&lt;=85,1,0))</formula>
    </cfRule>
  </conditionalFormatting>
  <conditionalFormatting sqref="AV9">
    <cfRule type="expression" priority="6803" dxfId="19">
      <formula>AV9="X"</formula>
    </cfRule>
    <cfRule type="expression" priority="6804" dxfId="18">
      <formula>AV9="후보"</formula>
    </cfRule>
  </conditionalFormatting>
  <conditionalFormatting sqref="AC9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9">
    <cfRule type="expression" priority="6795" dxfId="3">
      <formula>AND(IF(OR($Q9=1,$Q9=2),1,0),IF($X9&lt;=20,1,0))</formula>
    </cfRule>
    <cfRule type="expression" priority="6796" dxfId="2">
      <formula>AND(IF($Q9=2,1,0),IF($X9&lt;30,1,0))</formula>
    </cfRule>
    <cfRule type="expression" priority="6797" dxfId="1">
      <formula>AND(IF($Q9=3,1,0),IF($X9&lt;30,1,0))</formula>
    </cfRule>
    <cfRule type="expression" priority="6798" dxfId="0">
      <formula>AND(IF($Q9=3,1,IF($Q9=4,1,0)),IF($F9&lt;=85,1,0))</formula>
    </cfRule>
  </conditionalFormatting>
  <conditionalFormatting sqref="X9">
    <cfRule type="expression" priority="6791" dxfId="3">
      <formula>AND(IF(OR($Q9=1,$Q9=2),1,0),IF($X9&lt;=20,1,0))</formula>
    </cfRule>
    <cfRule type="expression" priority="6792" dxfId="2">
      <formula>AND(IF($Q9=2,1,0),IF($X9&lt;30,1,0))</formula>
    </cfRule>
    <cfRule type="expression" priority="6793" dxfId="1">
      <formula>AND(IF($Q9=3,1,0),IF($X9&lt;30,1,0))</formula>
    </cfRule>
    <cfRule type="expression" priority="6794" dxfId="0">
      <formula>AND(IF($Q9=3,1,IF($Q9=4,1,0)),IF($F9&lt;=85,1,0))</formula>
    </cfRule>
  </conditionalFormatting>
  <conditionalFormatting sqref="AI9">
    <cfRule type="expression" priority="6787" dxfId="3">
      <formula>AND(IF(OR($Q9=1,$Q9=2),1,0),IF($X9&lt;=20,1,0))</formula>
    </cfRule>
    <cfRule type="expression" priority="6788" dxfId="2">
      <formula>AND(IF($Q9=2,1,0),IF($X9&lt;30,1,0))</formula>
    </cfRule>
    <cfRule type="expression" priority="6789" dxfId="1">
      <formula>AND(IF($Q9=3,1,0),IF($X9&lt;30,1,0))</formula>
    </cfRule>
    <cfRule type="expression" priority="6790" dxfId="0">
      <formula>AND(IF($Q9=3,1,IF($Q9=4,1,0)),IF($F9&lt;=85,1,0))</formula>
    </cfRule>
  </conditionalFormatting>
  <conditionalFormatting sqref="AV10">
    <cfRule type="expression" priority="6785" dxfId="19">
      <formula>AV10="X"</formula>
    </cfRule>
    <cfRule type="expression" priority="6786" dxfId="18">
      <formula>AV10="후보"</formula>
    </cfRule>
  </conditionalFormatting>
  <conditionalFormatting sqref="AC10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0">
    <cfRule type="expression" priority="6777" dxfId="3">
      <formula>AND(IF(OR($Q10=1,$Q10=2),1,0),IF($X10&lt;=20,1,0))</formula>
    </cfRule>
    <cfRule type="expression" priority="6778" dxfId="2">
      <formula>AND(IF($Q10=2,1,0),IF($X10&lt;30,1,0))</formula>
    </cfRule>
    <cfRule type="expression" priority="6779" dxfId="1">
      <formula>AND(IF($Q10=3,1,0),IF($X10&lt;30,1,0))</formula>
    </cfRule>
    <cfRule type="expression" priority="6780" dxfId="0">
      <formula>AND(IF($Q10=3,1,IF($Q10=4,1,0)),IF($F10&lt;=85,1,0))</formula>
    </cfRule>
  </conditionalFormatting>
  <conditionalFormatting sqref="X10">
    <cfRule type="expression" priority="6773" dxfId="3">
      <formula>AND(IF(OR($Q10=1,$Q10=2),1,0),IF($X10&lt;=20,1,0))</formula>
    </cfRule>
    <cfRule type="expression" priority="6774" dxfId="2">
      <formula>AND(IF($Q10=2,1,0),IF($X10&lt;30,1,0))</formula>
    </cfRule>
    <cfRule type="expression" priority="6775" dxfId="1">
      <formula>AND(IF($Q10=3,1,0),IF($X10&lt;30,1,0))</formula>
    </cfRule>
    <cfRule type="expression" priority="6776" dxfId="0">
      <formula>AND(IF($Q10=3,1,IF($Q10=4,1,0)),IF($F10&lt;=85,1,0))</formula>
    </cfRule>
  </conditionalFormatting>
  <conditionalFormatting sqref="AI10">
    <cfRule type="expression" priority="6769" dxfId="3">
      <formula>AND(IF(OR($Q10=1,$Q10=2),1,0),IF($X10&lt;=20,1,0))</formula>
    </cfRule>
    <cfRule type="expression" priority="6770" dxfId="2">
      <formula>AND(IF($Q10=2,1,0),IF($X10&lt;30,1,0))</formula>
    </cfRule>
    <cfRule type="expression" priority="6771" dxfId="1">
      <formula>AND(IF($Q10=3,1,0),IF($X10&lt;30,1,0))</formula>
    </cfRule>
    <cfRule type="expression" priority="6772" dxfId="0">
      <formula>AND(IF($Q10=3,1,IF($Q10=4,1,0)),IF($F10&lt;=85,1,0))</formula>
    </cfRule>
  </conditionalFormatting>
  <conditionalFormatting sqref="AV11">
    <cfRule type="expression" priority="6767" dxfId="19">
      <formula>AV11="X"</formula>
    </cfRule>
    <cfRule type="expression" priority="6768" dxfId="18">
      <formula>AV11="후보"</formula>
    </cfRule>
  </conditionalFormatting>
  <conditionalFormatting sqref="AC11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1">
    <cfRule type="expression" priority="6759" dxfId="3">
      <formula>AND(IF(OR($Q11=1,$Q11=2),1,0),IF($X11&lt;=20,1,0))</formula>
    </cfRule>
    <cfRule type="expression" priority="6760" dxfId="2">
      <formula>AND(IF($Q11=2,1,0),IF($X11&lt;30,1,0))</formula>
    </cfRule>
    <cfRule type="expression" priority="6761" dxfId="1">
      <formula>AND(IF($Q11=3,1,0),IF($X11&lt;30,1,0))</formula>
    </cfRule>
    <cfRule type="expression" priority="6762" dxfId="0">
      <formula>AND(IF($Q11=3,1,IF($Q11=4,1,0)),IF($F11&lt;=85,1,0))</formula>
    </cfRule>
  </conditionalFormatting>
  <conditionalFormatting sqref="X11">
    <cfRule type="expression" priority="6755" dxfId="3">
      <formula>AND(IF(OR($Q11=1,$Q11=2),1,0),IF($X11&lt;=20,1,0))</formula>
    </cfRule>
    <cfRule type="expression" priority="6756" dxfId="2">
      <formula>AND(IF($Q11=2,1,0),IF($X11&lt;30,1,0))</formula>
    </cfRule>
    <cfRule type="expression" priority="6757" dxfId="1">
      <formula>AND(IF($Q11=3,1,0),IF($X11&lt;30,1,0))</formula>
    </cfRule>
    <cfRule type="expression" priority="6758" dxfId="0">
      <formula>AND(IF($Q11=3,1,IF($Q11=4,1,0)),IF($F11&lt;=85,1,0))</formula>
    </cfRule>
  </conditionalFormatting>
  <conditionalFormatting sqref="AI11">
    <cfRule type="expression" priority="6751" dxfId="3">
      <formula>AND(IF(OR($Q11=1,$Q11=2),1,0),IF($X11&lt;=20,1,0))</formula>
    </cfRule>
    <cfRule type="expression" priority="6752" dxfId="2">
      <formula>AND(IF($Q11=2,1,0),IF($X11&lt;30,1,0))</formula>
    </cfRule>
    <cfRule type="expression" priority="6753" dxfId="1">
      <formula>AND(IF($Q11=3,1,0),IF($X11&lt;30,1,0))</formula>
    </cfRule>
    <cfRule type="expression" priority="6754" dxfId="0">
      <formula>AND(IF($Q11=3,1,IF($Q11=4,1,0)),IF($F11&lt;=85,1,0))</formula>
    </cfRule>
  </conditionalFormatting>
  <conditionalFormatting sqref="AV12">
    <cfRule type="expression" priority="6749" dxfId="19">
      <formula>AV12="X"</formula>
    </cfRule>
    <cfRule type="expression" priority="6750" dxfId="18">
      <formula>AV12="후보"</formula>
    </cfRule>
  </conditionalFormatting>
  <conditionalFormatting sqref="AC12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2">
    <cfRule type="expression" priority="6741" dxfId="3">
      <formula>AND(IF(OR($Q12=1,$Q12=2),1,0),IF($X12&lt;=20,1,0))</formula>
    </cfRule>
    <cfRule type="expression" priority="6742" dxfId="2">
      <formula>AND(IF($Q12=2,1,0),IF($X12&lt;30,1,0))</formula>
    </cfRule>
    <cfRule type="expression" priority="6743" dxfId="1">
      <formula>AND(IF($Q12=3,1,0),IF($X12&lt;30,1,0))</formula>
    </cfRule>
    <cfRule type="expression" priority="6744" dxfId="0">
      <formula>AND(IF($Q12=3,1,IF($Q12=4,1,0)),IF($F12&lt;=85,1,0))</formula>
    </cfRule>
  </conditionalFormatting>
  <conditionalFormatting sqref="X12">
    <cfRule type="expression" priority="6737" dxfId="3">
      <formula>AND(IF(OR($Q12=1,$Q12=2),1,0),IF($X12&lt;=20,1,0))</formula>
    </cfRule>
    <cfRule type="expression" priority="6738" dxfId="2">
      <formula>AND(IF($Q12=2,1,0),IF($X12&lt;30,1,0))</formula>
    </cfRule>
    <cfRule type="expression" priority="6739" dxfId="1">
      <formula>AND(IF($Q12=3,1,0),IF($X12&lt;30,1,0))</formula>
    </cfRule>
    <cfRule type="expression" priority="6740" dxfId="0">
      <formula>AND(IF($Q12=3,1,IF($Q12=4,1,0)),IF($F12&lt;=85,1,0))</formula>
    </cfRule>
  </conditionalFormatting>
  <conditionalFormatting sqref="AI12">
    <cfRule type="expression" priority="6733" dxfId="3">
      <formula>AND(IF(OR($Q12=1,$Q12=2),1,0),IF($X12&lt;=20,1,0))</formula>
    </cfRule>
    <cfRule type="expression" priority="6734" dxfId="2">
      <formula>AND(IF($Q12=2,1,0),IF($X12&lt;30,1,0))</formula>
    </cfRule>
    <cfRule type="expression" priority="6735" dxfId="1">
      <formula>AND(IF($Q12=3,1,0),IF($X12&lt;30,1,0))</formula>
    </cfRule>
    <cfRule type="expression" priority="6736" dxfId="0">
      <formula>AND(IF($Q12=3,1,IF($Q12=4,1,0)),IF($F12&lt;=85,1,0))</formula>
    </cfRule>
  </conditionalFormatting>
  <conditionalFormatting sqref="AV13">
    <cfRule type="expression" priority="6731" dxfId="19">
      <formula>AV13="X"</formula>
    </cfRule>
    <cfRule type="expression" priority="6732" dxfId="18">
      <formula>AV13="후보"</formula>
    </cfRule>
  </conditionalFormatting>
  <conditionalFormatting sqref="AC13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">
    <cfRule type="expression" priority="6723" dxfId="3">
      <formula>AND(IF(OR($Q13=1,$Q13=2),1,0),IF($X13&lt;=20,1,0))</formula>
    </cfRule>
    <cfRule type="expression" priority="6724" dxfId="2">
      <formula>AND(IF($Q13=2,1,0),IF($X13&lt;30,1,0))</formula>
    </cfRule>
    <cfRule type="expression" priority="6725" dxfId="1">
      <formula>AND(IF($Q13=3,1,0),IF($X13&lt;30,1,0))</formula>
    </cfRule>
    <cfRule type="expression" priority="6726" dxfId="0">
      <formula>AND(IF($Q13=3,1,IF($Q13=4,1,0)),IF($F13&lt;=85,1,0))</formula>
    </cfRule>
  </conditionalFormatting>
  <conditionalFormatting sqref="X13">
    <cfRule type="expression" priority="6719" dxfId="3">
      <formula>AND(IF(OR($Q13=1,$Q13=2),1,0),IF($X13&lt;=20,1,0))</formula>
    </cfRule>
    <cfRule type="expression" priority="6720" dxfId="2">
      <formula>AND(IF($Q13=2,1,0),IF($X13&lt;30,1,0))</formula>
    </cfRule>
    <cfRule type="expression" priority="6721" dxfId="1">
      <formula>AND(IF($Q13=3,1,0),IF($X13&lt;30,1,0))</formula>
    </cfRule>
    <cfRule type="expression" priority="6722" dxfId="0">
      <formula>AND(IF($Q13=3,1,IF($Q13=4,1,0)),IF($F13&lt;=85,1,0))</formula>
    </cfRule>
  </conditionalFormatting>
  <conditionalFormatting sqref="AI13">
    <cfRule type="expression" priority="6715" dxfId="3">
      <formula>AND(IF(OR($Q13=1,$Q13=2),1,0),IF($X13&lt;=20,1,0))</formula>
    </cfRule>
    <cfRule type="expression" priority="6716" dxfId="2">
      <formula>AND(IF($Q13=2,1,0),IF($X13&lt;30,1,0))</formula>
    </cfRule>
    <cfRule type="expression" priority="6717" dxfId="1">
      <formula>AND(IF($Q13=3,1,0),IF($X13&lt;30,1,0))</formula>
    </cfRule>
    <cfRule type="expression" priority="6718" dxfId="0">
      <formula>AND(IF($Q13=3,1,IF($Q13=4,1,0)),IF($F13&lt;=85,1,0))</formula>
    </cfRule>
  </conditionalFormatting>
  <conditionalFormatting sqref="AV14">
    <cfRule type="expression" priority="6713" dxfId="19">
      <formula>AV14="X"</formula>
    </cfRule>
    <cfRule type="expression" priority="6714" dxfId="18">
      <formula>AV14="후보"</formula>
    </cfRule>
  </conditionalFormatting>
  <conditionalFormatting sqref="AC14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4">
    <cfRule type="expression" priority="6705" dxfId="3">
      <formula>AND(IF(OR($Q14=1,$Q14=2),1,0),IF($X14&lt;=20,1,0))</formula>
    </cfRule>
    <cfRule type="expression" priority="6706" dxfId="2">
      <formula>AND(IF($Q14=2,1,0),IF($X14&lt;30,1,0))</formula>
    </cfRule>
    <cfRule type="expression" priority="6707" dxfId="1">
      <formula>AND(IF($Q14=3,1,0),IF($X14&lt;30,1,0))</formula>
    </cfRule>
    <cfRule type="expression" priority="6708" dxfId="0">
      <formula>AND(IF($Q14=3,1,IF($Q14=4,1,0)),IF($F14&lt;=85,1,0))</formula>
    </cfRule>
  </conditionalFormatting>
  <conditionalFormatting sqref="X14">
    <cfRule type="expression" priority="6701" dxfId="3">
      <formula>AND(IF(OR($Q14=1,$Q14=2),1,0),IF($X14&lt;=20,1,0))</formula>
    </cfRule>
    <cfRule type="expression" priority="6702" dxfId="2">
      <formula>AND(IF($Q14=2,1,0),IF($X14&lt;30,1,0))</formula>
    </cfRule>
    <cfRule type="expression" priority="6703" dxfId="1">
      <formula>AND(IF($Q14=3,1,0),IF($X14&lt;30,1,0))</formula>
    </cfRule>
    <cfRule type="expression" priority="6704" dxfId="0">
      <formula>AND(IF($Q14=3,1,IF($Q14=4,1,0)),IF($F14&lt;=85,1,0))</formula>
    </cfRule>
  </conditionalFormatting>
  <conditionalFormatting sqref="AI14">
    <cfRule type="expression" priority="6697" dxfId="3">
      <formula>AND(IF(OR($Q14=1,$Q14=2),1,0),IF($X14&lt;=20,1,0))</formula>
    </cfRule>
    <cfRule type="expression" priority="6698" dxfId="2">
      <formula>AND(IF($Q14=2,1,0),IF($X14&lt;30,1,0))</formula>
    </cfRule>
    <cfRule type="expression" priority="6699" dxfId="1">
      <formula>AND(IF($Q14=3,1,0),IF($X14&lt;30,1,0))</formula>
    </cfRule>
    <cfRule type="expression" priority="6700" dxfId="0">
      <formula>AND(IF($Q14=3,1,IF($Q14=4,1,0)),IF($F14&lt;=85,1,0))</formula>
    </cfRule>
  </conditionalFormatting>
  <conditionalFormatting sqref="AV15">
    <cfRule type="expression" priority="6695" dxfId="19">
      <formula>AV15="X"</formula>
    </cfRule>
    <cfRule type="expression" priority="6696" dxfId="18">
      <formula>AV15="후보"</formula>
    </cfRule>
  </conditionalFormatting>
  <conditionalFormatting sqref="AC15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5">
    <cfRule type="expression" priority="6687" dxfId="3">
      <formula>AND(IF(OR($Q15=1,$Q15=2),1,0),IF($X15&lt;=20,1,0))</formula>
    </cfRule>
    <cfRule type="expression" priority="6688" dxfId="2">
      <formula>AND(IF($Q15=2,1,0),IF($X15&lt;30,1,0))</formula>
    </cfRule>
    <cfRule type="expression" priority="6689" dxfId="1">
      <formula>AND(IF($Q15=3,1,0),IF($X15&lt;30,1,0))</formula>
    </cfRule>
    <cfRule type="expression" priority="6690" dxfId="0">
      <formula>AND(IF($Q15=3,1,IF($Q15=4,1,0)),IF($F15&lt;=85,1,0))</formula>
    </cfRule>
  </conditionalFormatting>
  <conditionalFormatting sqref="X15">
    <cfRule type="expression" priority="6683" dxfId="3">
      <formula>AND(IF(OR($Q15=1,$Q15=2),1,0),IF($X15&lt;=20,1,0))</formula>
    </cfRule>
    <cfRule type="expression" priority="6684" dxfId="2">
      <formula>AND(IF($Q15=2,1,0),IF($X15&lt;30,1,0))</formula>
    </cfRule>
    <cfRule type="expression" priority="6685" dxfId="1">
      <formula>AND(IF($Q15=3,1,0),IF($X15&lt;30,1,0))</formula>
    </cfRule>
    <cfRule type="expression" priority="6686" dxfId="0">
      <formula>AND(IF($Q15=3,1,IF($Q15=4,1,0)),IF($F15&lt;=85,1,0))</formula>
    </cfRule>
  </conditionalFormatting>
  <conditionalFormatting sqref="AI15">
    <cfRule type="expression" priority="6679" dxfId="3">
      <formula>AND(IF(OR($Q15=1,$Q15=2),1,0),IF($X15&lt;=20,1,0))</formula>
    </cfRule>
    <cfRule type="expression" priority="6680" dxfId="2">
      <formula>AND(IF($Q15=2,1,0),IF($X15&lt;30,1,0))</formula>
    </cfRule>
    <cfRule type="expression" priority="6681" dxfId="1">
      <formula>AND(IF($Q15=3,1,0),IF($X15&lt;30,1,0))</formula>
    </cfRule>
    <cfRule type="expression" priority="6682" dxfId="0">
      <formula>AND(IF($Q15=3,1,IF($Q15=4,1,0)),IF($F15&lt;=85,1,0))</formula>
    </cfRule>
  </conditionalFormatting>
  <conditionalFormatting sqref="AV16">
    <cfRule type="expression" priority="6677" dxfId="19">
      <formula>AV16="X"</formula>
    </cfRule>
    <cfRule type="expression" priority="6678" dxfId="18">
      <formula>AV16="후보"</formula>
    </cfRule>
  </conditionalFormatting>
  <conditionalFormatting sqref="AC16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">
    <cfRule type="expression" priority="6669" dxfId="3">
      <formula>AND(IF(OR($Q16=1,$Q16=2),1,0),IF($X16&lt;=20,1,0))</formula>
    </cfRule>
    <cfRule type="expression" priority="6670" dxfId="2">
      <formula>AND(IF($Q16=2,1,0),IF($X16&lt;30,1,0))</formula>
    </cfRule>
    <cfRule type="expression" priority="6671" dxfId="1">
      <formula>AND(IF($Q16=3,1,0),IF($X16&lt;30,1,0))</formula>
    </cfRule>
    <cfRule type="expression" priority="6672" dxfId="0">
      <formula>AND(IF($Q16=3,1,IF($Q16=4,1,0)),IF($F16&lt;=85,1,0))</formula>
    </cfRule>
  </conditionalFormatting>
  <conditionalFormatting sqref="X16">
    <cfRule type="expression" priority="6665" dxfId="3">
      <formula>AND(IF(OR($Q16=1,$Q16=2),1,0),IF($X16&lt;=20,1,0))</formula>
    </cfRule>
    <cfRule type="expression" priority="6666" dxfId="2">
      <formula>AND(IF($Q16=2,1,0),IF($X16&lt;30,1,0))</formula>
    </cfRule>
    <cfRule type="expression" priority="6667" dxfId="1">
      <formula>AND(IF($Q16=3,1,0),IF($X16&lt;30,1,0))</formula>
    </cfRule>
    <cfRule type="expression" priority="6668" dxfId="0">
      <formula>AND(IF($Q16=3,1,IF($Q16=4,1,0)),IF($F16&lt;=85,1,0))</formula>
    </cfRule>
  </conditionalFormatting>
  <conditionalFormatting sqref="AI16">
    <cfRule type="expression" priority="6661" dxfId="3">
      <formula>AND(IF(OR($Q16=1,$Q16=2),1,0),IF($X16&lt;=20,1,0))</formula>
    </cfRule>
    <cfRule type="expression" priority="6662" dxfId="2">
      <formula>AND(IF($Q16=2,1,0),IF($X16&lt;30,1,0))</formula>
    </cfRule>
    <cfRule type="expression" priority="6663" dxfId="1">
      <formula>AND(IF($Q16=3,1,0),IF($X16&lt;30,1,0))</formula>
    </cfRule>
    <cfRule type="expression" priority="6664" dxfId="0">
      <formula>AND(IF($Q16=3,1,IF($Q16=4,1,0)),IF($F16&lt;=85,1,0))</formula>
    </cfRule>
  </conditionalFormatting>
  <conditionalFormatting sqref="AV17">
    <cfRule type="expression" priority="6659" dxfId="19">
      <formula>AV17="X"</formula>
    </cfRule>
    <cfRule type="expression" priority="6660" dxfId="18">
      <formula>AV17="후보"</formula>
    </cfRule>
  </conditionalFormatting>
  <conditionalFormatting sqref="AC17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">
    <cfRule type="expression" priority="6651" dxfId="3">
      <formula>AND(IF(OR($Q17=1,$Q17=2),1,0),IF($X17&lt;=20,1,0))</formula>
    </cfRule>
    <cfRule type="expression" priority="6652" dxfId="2">
      <formula>AND(IF($Q17=2,1,0),IF($X17&lt;30,1,0))</formula>
    </cfRule>
    <cfRule type="expression" priority="6653" dxfId="1">
      <formula>AND(IF($Q17=3,1,0),IF($X17&lt;30,1,0))</formula>
    </cfRule>
    <cfRule type="expression" priority="6654" dxfId="0">
      <formula>AND(IF($Q17=3,1,IF($Q17=4,1,0)),IF($F17&lt;=85,1,0))</formula>
    </cfRule>
  </conditionalFormatting>
  <conditionalFormatting sqref="X17">
    <cfRule type="expression" priority="6647" dxfId="3">
      <formula>AND(IF(OR($Q17=1,$Q17=2),1,0),IF($X17&lt;=20,1,0))</formula>
    </cfRule>
    <cfRule type="expression" priority="6648" dxfId="2">
      <formula>AND(IF($Q17=2,1,0),IF($X17&lt;30,1,0))</formula>
    </cfRule>
    <cfRule type="expression" priority="6649" dxfId="1">
      <formula>AND(IF($Q17=3,1,0),IF($X17&lt;30,1,0))</formula>
    </cfRule>
    <cfRule type="expression" priority="6650" dxfId="0">
      <formula>AND(IF($Q17=3,1,IF($Q17=4,1,0)),IF($F17&lt;=85,1,0))</formula>
    </cfRule>
  </conditionalFormatting>
  <conditionalFormatting sqref="AI17">
    <cfRule type="expression" priority="6643" dxfId="3">
      <formula>AND(IF(OR($Q17=1,$Q17=2),1,0),IF($X17&lt;=20,1,0))</formula>
    </cfRule>
    <cfRule type="expression" priority="6644" dxfId="2">
      <formula>AND(IF($Q17=2,1,0),IF($X17&lt;30,1,0))</formula>
    </cfRule>
    <cfRule type="expression" priority="6645" dxfId="1">
      <formula>AND(IF($Q17=3,1,0),IF($X17&lt;30,1,0))</formula>
    </cfRule>
    <cfRule type="expression" priority="6646" dxfId="0">
      <formula>AND(IF($Q17=3,1,IF($Q17=4,1,0)),IF($F17&lt;=85,1,0))</formula>
    </cfRule>
  </conditionalFormatting>
  <conditionalFormatting sqref="AV18">
    <cfRule type="expression" priority="6641" dxfId="19">
      <formula>AV18="X"</formula>
    </cfRule>
    <cfRule type="expression" priority="6642" dxfId="18">
      <formula>AV18="후보"</formula>
    </cfRule>
  </conditionalFormatting>
  <conditionalFormatting sqref="AC18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8">
    <cfRule type="expression" priority="6633" dxfId="3">
      <formula>AND(IF(OR($Q18=1,$Q18=2),1,0),IF($X18&lt;=20,1,0))</formula>
    </cfRule>
    <cfRule type="expression" priority="6634" dxfId="2">
      <formula>AND(IF($Q18=2,1,0),IF($X18&lt;30,1,0))</formula>
    </cfRule>
    <cfRule type="expression" priority="6635" dxfId="1">
      <formula>AND(IF($Q18=3,1,0),IF($X18&lt;30,1,0))</formula>
    </cfRule>
    <cfRule type="expression" priority="6636" dxfId="0">
      <formula>AND(IF($Q18=3,1,IF($Q18=4,1,0)),IF($F18&lt;=85,1,0))</formula>
    </cfRule>
  </conditionalFormatting>
  <conditionalFormatting sqref="X18">
    <cfRule type="expression" priority="6629" dxfId="3">
      <formula>AND(IF(OR($Q18=1,$Q18=2),1,0),IF($X18&lt;=20,1,0))</formula>
    </cfRule>
    <cfRule type="expression" priority="6630" dxfId="2">
      <formula>AND(IF($Q18=2,1,0),IF($X18&lt;30,1,0))</formula>
    </cfRule>
    <cfRule type="expression" priority="6631" dxfId="1">
      <formula>AND(IF($Q18=3,1,0),IF($X18&lt;30,1,0))</formula>
    </cfRule>
    <cfRule type="expression" priority="6632" dxfId="0">
      <formula>AND(IF($Q18=3,1,IF($Q18=4,1,0)),IF($F18&lt;=85,1,0))</formula>
    </cfRule>
  </conditionalFormatting>
  <conditionalFormatting sqref="AI18">
    <cfRule type="expression" priority="6625" dxfId="3">
      <formula>AND(IF(OR($Q18=1,$Q18=2),1,0),IF($X18&lt;=20,1,0))</formula>
    </cfRule>
    <cfRule type="expression" priority="6626" dxfId="2">
      <formula>AND(IF($Q18=2,1,0),IF($X18&lt;30,1,0))</formula>
    </cfRule>
    <cfRule type="expression" priority="6627" dxfId="1">
      <formula>AND(IF($Q18=3,1,0),IF($X18&lt;30,1,0))</formula>
    </cfRule>
    <cfRule type="expression" priority="6628" dxfId="0">
      <formula>AND(IF($Q18=3,1,IF($Q18=4,1,0)),IF($F18&lt;=85,1,0))</formula>
    </cfRule>
  </conditionalFormatting>
  <conditionalFormatting sqref="AV19">
    <cfRule type="expression" priority="6623" dxfId="19">
      <formula>AV19="X"</formula>
    </cfRule>
    <cfRule type="expression" priority="6624" dxfId="18">
      <formula>AV19="후보"</formula>
    </cfRule>
  </conditionalFormatting>
  <conditionalFormatting sqref="AC19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9">
    <cfRule type="expression" priority="6615" dxfId="3">
      <formula>AND(IF(OR($Q19=1,$Q19=2),1,0),IF($X19&lt;=20,1,0))</formula>
    </cfRule>
    <cfRule type="expression" priority="6616" dxfId="2">
      <formula>AND(IF($Q19=2,1,0),IF($X19&lt;30,1,0))</formula>
    </cfRule>
    <cfRule type="expression" priority="6617" dxfId="1">
      <formula>AND(IF($Q19=3,1,0),IF($X19&lt;30,1,0))</formula>
    </cfRule>
    <cfRule type="expression" priority="6618" dxfId="0">
      <formula>AND(IF($Q19=3,1,IF($Q19=4,1,0)),IF($F19&lt;=85,1,0))</formula>
    </cfRule>
  </conditionalFormatting>
  <conditionalFormatting sqref="X19">
    <cfRule type="expression" priority="6611" dxfId="3">
      <formula>AND(IF(OR($Q19=1,$Q19=2),1,0),IF($X19&lt;=20,1,0))</formula>
    </cfRule>
    <cfRule type="expression" priority="6612" dxfId="2">
      <formula>AND(IF($Q19=2,1,0),IF($X19&lt;30,1,0))</formula>
    </cfRule>
    <cfRule type="expression" priority="6613" dxfId="1">
      <formula>AND(IF($Q19=3,1,0),IF($X19&lt;30,1,0))</formula>
    </cfRule>
    <cfRule type="expression" priority="6614" dxfId="0">
      <formula>AND(IF($Q19=3,1,IF($Q19=4,1,0)),IF($F19&lt;=85,1,0))</formula>
    </cfRule>
  </conditionalFormatting>
  <conditionalFormatting sqref="AI19">
    <cfRule type="expression" priority="6607" dxfId="3">
      <formula>AND(IF(OR($Q19=1,$Q19=2),1,0),IF($X19&lt;=20,1,0))</formula>
    </cfRule>
    <cfRule type="expression" priority="6608" dxfId="2">
      <formula>AND(IF($Q19=2,1,0),IF($X19&lt;30,1,0))</formula>
    </cfRule>
    <cfRule type="expression" priority="6609" dxfId="1">
      <formula>AND(IF($Q19=3,1,0),IF($X19&lt;30,1,0))</formula>
    </cfRule>
    <cfRule type="expression" priority="6610" dxfId="0">
      <formula>AND(IF($Q19=3,1,IF($Q19=4,1,0)),IF($F19&lt;=85,1,0))</formula>
    </cfRule>
  </conditionalFormatting>
  <conditionalFormatting sqref="AV20">
    <cfRule type="expression" priority="6605" dxfId="19">
      <formula>AV20="X"</formula>
    </cfRule>
    <cfRule type="expression" priority="6606" dxfId="18">
      <formula>AV20="후보"</formula>
    </cfRule>
  </conditionalFormatting>
  <conditionalFormatting sqref="AC20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0">
    <cfRule type="expression" priority="6597" dxfId="3">
      <formula>AND(IF(OR($Q20=1,$Q20=2),1,0),IF($X20&lt;=20,1,0))</formula>
    </cfRule>
    <cfRule type="expression" priority="6598" dxfId="2">
      <formula>AND(IF($Q20=2,1,0),IF($X20&lt;30,1,0))</formula>
    </cfRule>
    <cfRule type="expression" priority="6599" dxfId="1">
      <formula>AND(IF($Q20=3,1,0),IF($X20&lt;30,1,0))</formula>
    </cfRule>
    <cfRule type="expression" priority="6600" dxfId="0">
      <formula>AND(IF($Q20=3,1,IF($Q20=4,1,0)),IF($F20&lt;=85,1,0))</formula>
    </cfRule>
  </conditionalFormatting>
  <conditionalFormatting sqref="X20">
    <cfRule type="expression" priority="6593" dxfId="3">
      <formula>AND(IF(OR($Q20=1,$Q20=2),1,0),IF($X20&lt;=20,1,0))</formula>
    </cfRule>
    <cfRule type="expression" priority="6594" dxfId="2">
      <formula>AND(IF($Q20=2,1,0),IF($X20&lt;30,1,0))</formula>
    </cfRule>
    <cfRule type="expression" priority="6595" dxfId="1">
      <formula>AND(IF($Q20=3,1,0),IF($X20&lt;30,1,0))</formula>
    </cfRule>
    <cfRule type="expression" priority="6596" dxfId="0">
      <formula>AND(IF($Q20=3,1,IF($Q20=4,1,0)),IF($F20&lt;=85,1,0))</formula>
    </cfRule>
  </conditionalFormatting>
  <conditionalFormatting sqref="AI20">
    <cfRule type="expression" priority="6589" dxfId="3">
      <formula>AND(IF(OR($Q20=1,$Q20=2),1,0),IF($X20&lt;=20,1,0))</formula>
    </cfRule>
    <cfRule type="expression" priority="6590" dxfId="2">
      <formula>AND(IF($Q20=2,1,0),IF($X20&lt;30,1,0))</formula>
    </cfRule>
    <cfRule type="expression" priority="6591" dxfId="1">
      <formula>AND(IF($Q20=3,1,0),IF($X20&lt;30,1,0))</formula>
    </cfRule>
    <cfRule type="expression" priority="6592" dxfId="0">
      <formula>AND(IF($Q20=3,1,IF($Q20=4,1,0)),IF($F20&lt;=85,1,0))</formula>
    </cfRule>
  </conditionalFormatting>
  <conditionalFormatting sqref="AV21">
    <cfRule type="expression" priority="6587" dxfId="19">
      <formula>AV21="X"</formula>
    </cfRule>
    <cfRule type="expression" priority="6588" dxfId="18">
      <formula>AV21="후보"</formula>
    </cfRule>
  </conditionalFormatting>
  <conditionalFormatting sqref="AC21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1">
    <cfRule type="expression" priority="6579" dxfId="3">
      <formula>AND(IF(OR($Q21=1,$Q21=2),1,0),IF($X21&lt;=20,1,0))</formula>
    </cfRule>
    <cfRule type="expression" priority="6580" dxfId="2">
      <formula>AND(IF($Q21=2,1,0),IF($X21&lt;30,1,0))</formula>
    </cfRule>
    <cfRule type="expression" priority="6581" dxfId="1">
      <formula>AND(IF($Q21=3,1,0),IF($X21&lt;30,1,0))</formula>
    </cfRule>
    <cfRule type="expression" priority="6582" dxfId="0">
      <formula>AND(IF($Q21=3,1,IF($Q21=4,1,0)),IF($F21&lt;=85,1,0))</formula>
    </cfRule>
  </conditionalFormatting>
  <conditionalFormatting sqref="X21">
    <cfRule type="expression" priority="6575" dxfId="3">
      <formula>AND(IF(OR($Q21=1,$Q21=2),1,0),IF($X21&lt;=20,1,0))</formula>
    </cfRule>
    <cfRule type="expression" priority="6576" dxfId="2">
      <formula>AND(IF($Q21=2,1,0),IF($X21&lt;30,1,0))</formula>
    </cfRule>
    <cfRule type="expression" priority="6577" dxfId="1">
      <formula>AND(IF($Q21=3,1,0),IF($X21&lt;30,1,0))</formula>
    </cfRule>
    <cfRule type="expression" priority="6578" dxfId="0">
      <formula>AND(IF($Q21=3,1,IF($Q21=4,1,0)),IF($F21&lt;=85,1,0))</formula>
    </cfRule>
  </conditionalFormatting>
  <conditionalFormatting sqref="AI21">
    <cfRule type="expression" priority="6571" dxfId="3">
      <formula>AND(IF(OR($Q21=1,$Q21=2),1,0),IF($X21&lt;=20,1,0))</formula>
    </cfRule>
    <cfRule type="expression" priority="6572" dxfId="2">
      <formula>AND(IF($Q21=2,1,0),IF($X21&lt;30,1,0))</formula>
    </cfRule>
    <cfRule type="expression" priority="6573" dxfId="1">
      <formula>AND(IF($Q21=3,1,0),IF($X21&lt;30,1,0))</formula>
    </cfRule>
    <cfRule type="expression" priority="6574" dxfId="0">
      <formula>AND(IF($Q21=3,1,IF($Q21=4,1,0)),IF($F21&lt;=85,1,0))</formula>
    </cfRule>
  </conditionalFormatting>
  <conditionalFormatting sqref="AV22">
    <cfRule type="expression" priority="6569" dxfId="19">
      <formula>AV22="X"</formula>
    </cfRule>
    <cfRule type="expression" priority="6570" dxfId="18">
      <formula>AV22="후보"</formula>
    </cfRule>
  </conditionalFormatting>
  <conditionalFormatting sqref="AC22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2">
    <cfRule type="expression" priority="6561" dxfId="3">
      <formula>AND(IF(OR($Q22=1,$Q22=2),1,0),IF($X22&lt;=20,1,0))</formula>
    </cfRule>
    <cfRule type="expression" priority="6562" dxfId="2">
      <formula>AND(IF($Q22=2,1,0),IF($X22&lt;30,1,0))</formula>
    </cfRule>
    <cfRule type="expression" priority="6563" dxfId="1">
      <formula>AND(IF($Q22=3,1,0),IF($X22&lt;30,1,0))</formula>
    </cfRule>
    <cfRule type="expression" priority="6564" dxfId="0">
      <formula>AND(IF($Q22=3,1,IF($Q22=4,1,0)),IF($F22&lt;=85,1,0))</formula>
    </cfRule>
  </conditionalFormatting>
  <conditionalFormatting sqref="X22">
    <cfRule type="expression" priority="6557" dxfId="3">
      <formula>AND(IF(OR($Q22=1,$Q22=2),1,0),IF($X22&lt;=20,1,0))</formula>
    </cfRule>
    <cfRule type="expression" priority="6558" dxfId="2">
      <formula>AND(IF($Q22=2,1,0),IF($X22&lt;30,1,0))</formula>
    </cfRule>
    <cfRule type="expression" priority="6559" dxfId="1">
      <formula>AND(IF($Q22=3,1,0),IF($X22&lt;30,1,0))</formula>
    </cfRule>
    <cfRule type="expression" priority="6560" dxfId="0">
      <formula>AND(IF($Q22=3,1,IF($Q22=4,1,0)),IF($F22&lt;=85,1,0))</formula>
    </cfRule>
  </conditionalFormatting>
  <conditionalFormatting sqref="AI22">
    <cfRule type="expression" priority="6553" dxfId="3">
      <formula>AND(IF(OR($Q22=1,$Q22=2),1,0),IF($X22&lt;=20,1,0))</formula>
    </cfRule>
    <cfRule type="expression" priority="6554" dxfId="2">
      <formula>AND(IF($Q22=2,1,0),IF($X22&lt;30,1,0))</formula>
    </cfRule>
    <cfRule type="expression" priority="6555" dxfId="1">
      <formula>AND(IF($Q22=3,1,0),IF($X22&lt;30,1,0))</formula>
    </cfRule>
    <cfRule type="expression" priority="6556" dxfId="0">
      <formula>AND(IF($Q22=3,1,IF($Q22=4,1,0)),IF($F22&lt;=85,1,0))</formula>
    </cfRule>
  </conditionalFormatting>
  <conditionalFormatting sqref="AV23">
    <cfRule type="expression" priority="6551" dxfId="19">
      <formula>AV23="X"</formula>
    </cfRule>
    <cfRule type="expression" priority="6552" dxfId="18">
      <formula>AV23="후보"</formula>
    </cfRule>
  </conditionalFormatting>
  <conditionalFormatting sqref="AC23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">
    <cfRule type="expression" priority="6543" dxfId="3">
      <formula>AND(IF(OR($Q23=1,$Q23=2),1,0),IF($X23&lt;=20,1,0))</formula>
    </cfRule>
    <cfRule type="expression" priority="6544" dxfId="2">
      <formula>AND(IF($Q23=2,1,0),IF($X23&lt;30,1,0))</formula>
    </cfRule>
    <cfRule type="expression" priority="6545" dxfId="1">
      <formula>AND(IF($Q23=3,1,0),IF($X23&lt;30,1,0))</formula>
    </cfRule>
    <cfRule type="expression" priority="6546" dxfId="0">
      <formula>AND(IF($Q23=3,1,IF($Q23=4,1,0)),IF($F23&lt;=85,1,0))</formula>
    </cfRule>
  </conditionalFormatting>
  <conditionalFormatting sqref="X23">
    <cfRule type="expression" priority="6539" dxfId="3">
      <formula>AND(IF(OR($Q23=1,$Q23=2),1,0),IF($X23&lt;=20,1,0))</formula>
    </cfRule>
    <cfRule type="expression" priority="6540" dxfId="2">
      <formula>AND(IF($Q23=2,1,0),IF($X23&lt;30,1,0))</formula>
    </cfRule>
    <cfRule type="expression" priority="6541" dxfId="1">
      <formula>AND(IF($Q23=3,1,0),IF($X23&lt;30,1,0))</formula>
    </cfRule>
    <cfRule type="expression" priority="6542" dxfId="0">
      <formula>AND(IF($Q23=3,1,IF($Q23=4,1,0)),IF($F23&lt;=85,1,0))</formula>
    </cfRule>
  </conditionalFormatting>
  <conditionalFormatting sqref="AI23">
    <cfRule type="expression" priority="6535" dxfId="3">
      <formula>AND(IF(OR($Q23=1,$Q23=2),1,0),IF($X23&lt;=20,1,0))</formula>
    </cfRule>
    <cfRule type="expression" priority="6536" dxfId="2">
      <formula>AND(IF($Q23=2,1,0),IF($X23&lt;30,1,0))</formula>
    </cfRule>
    <cfRule type="expression" priority="6537" dxfId="1">
      <formula>AND(IF($Q23=3,1,0),IF($X23&lt;30,1,0))</formula>
    </cfRule>
    <cfRule type="expression" priority="6538" dxfId="0">
      <formula>AND(IF($Q23=3,1,IF($Q23=4,1,0)),IF($F23&lt;=85,1,0))</formula>
    </cfRule>
  </conditionalFormatting>
  <conditionalFormatting sqref="AV24">
    <cfRule type="expression" priority="6533" dxfId="19">
      <formula>AV24="X"</formula>
    </cfRule>
    <cfRule type="expression" priority="6534" dxfId="18">
      <formula>AV24="후보"</formula>
    </cfRule>
  </conditionalFormatting>
  <conditionalFormatting sqref="AC24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4">
    <cfRule type="expression" priority="6525" dxfId="3">
      <formula>AND(IF(OR($Q24=1,$Q24=2),1,0),IF($X24&lt;=20,1,0))</formula>
    </cfRule>
    <cfRule type="expression" priority="6526" dxfId="2">
      <formula>AND(IF($Q24=2,1,0),IF($X24&lt;30,1,0))</formula>
    </cfRule>
    <cfRule type="expression" priority="6527" dxfId="1">
      <formula>AND(IF($Q24=3,1,0),IF($X24&lt;30,1,0))</formula>
    </cfRule>
    <cfRule type="expression" priority="6528" dxfId="0">
      <formula>AND(IF($Q24=3,1,IF($Q24=4,1,0)),IF($F24&lt;=85,1,0))</formula>
    </cfRule>
  </conditionalFormatting>
  <conditionalFormatting sqref="X24">
    <cfRule type="expression" priority="6521" dxfId="3">
      <formula>AND(IF(OR($Q24=1,$Q24=2),1,0),IF($X24&lt;=20,1,0))</formula>
    </cfRule>
    <cfRule type="expression" priority="6522" dxfId="2">
      <formula>AND(IF($Q24=2,1,0),IF($X24&lt;30,1,0))</formula>
    </cfRule>
    <cfRule type="expression" priority="6523" dxfId="1">
      <formula>AND(IF($Q24=3,1,0),IF($X24&lt;30,1,0))</formula>
    </cfRule>
    <cfRule type="expression" priority="6524" dxfId="0">
      <formula>AND(IF($Q24=3,1,IF($Q24=4,1,0)),IF($F24&lt;=85,1,0))</formula>
    </cfRule>
  </conditionalFormatting>
  <conditionalFormatting sqref="AI24">
    <cfRule type="expression" priority="6517" dxfId="3">
      <formula>AND(IF(OR($Q24=1,$Q24=2),1,0),IF($X24&lt;=20,1,0))</formula>
    </cfRule>
    <cfRule type="expression" priority="6518" dxfId="2">
      <formula>AND(IF($Q24=2,1,0),IF($X24&lt;30,1,0))</formula>
    </cfRule>
    <cfRule type="expression" priority="6519" dxfId="1">
      <formula>AND(IF($Q24=3,1,0),IF($X24&lt;30,1,0))</formula>
    </cfRule>
    <cfRule type="expression" priority="6520" dxfId="0">
      <formula>AND(IF($Q24=3,1,IF($Q24=4,1,0)),IF($F24&lt;=85,1,0))</formula>
    </cfRule>
  </conditionalFormatting>
  <conditionalFormatting sqref="AV25">
    <cfRule type="expression" priority="6515" dxfId="19">
      <formula>AV25="X"</formula>
    </cfRule>
    <cfRule type="expression" priority="6516" dxfId="18">
      <formula>AV25="후보"</formula>
    </cfRule>
  </conditionalFormatting>
  <conditionalFormatting sqref="AC25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5">
    <cfRule type="expression" priority="6507" dxfId="3">
      <formula>AND(IF(OR($Q25=1,$Q25=2),1,0),IF($X25&lt;=20,1,0))</formula>
    </cfRule>
    <cfRule type="expression" priority="6508" dxfId="2">
      <formula>AND(IF($Q25=2,1,0),IF($X25&lt;30,1,0))</formula>
    </cfRule>
    <cfRule type="expression" priority="6509" dxfId="1">
      <formula>AND(IF($Q25=3,1,0),IF($X25&lt;30,1,0))</formula>
    </cfRule>
    <cfRule type="expression" priority="6510" dxfId="0">
      <formula>AND(IF($Q25=3,1,IF($Q25=4,1,0)),IF($F25&lt;=85,1,0))</formula>
    </cfRule>
  </conditionalFormatting>
  <conditionalFormatting sqref="X25">
    <cfRule type="expression" priority="6503" dxfId="3">
      <formula>AND(IF(OR($Q25=1,$Q25=2),1,0),IF($X25&lt;=20,1,0))</formula>
    </cfRule>
    <cfRule type="expression" priority="6504" dxfId="2">
      <formula>AND(IF($Q25=2,1,0),IF($X25&lt;30,1,0))</formula>
    </cfRule>
    <cfRule type="expression" priority="6505" dxfId="1">
      <formula>AND(IF($Q25=3,1,0),IF($X25&lt;30,1,0))</formula>
    </cfRule>
    <cfRule type="expression" priority="6506" dxfId="0">
      <formula>AND(IF($Q25=3,1,IF($Q25=4,1,0)),IF($F25&lt;=85,1,0))</formula>
    </cfRule>
  </conditionalFormatting>
  <conditionalFormatting sqref="AI25">
    <cfRule type="expression" priority="6499" dxfId="3">
      <formula>AND(IF(OR($Q25=1,$Q25=2),1,0),IF($X25&lt;=20,1,0))</formula>
    </cfRule>
    <cfRule type="expression" priority="6500" dxfId="2">
      <formula>AND(IF($Q25=2,1,0),IF($X25&lt;30,1,0))</formula>
    </cfRule>
    <cfRule type="expression" priority="6501" dxfId="1">
      <formula>AND(IF($Q25=3,1,0),IF($X25&lt;30,1,0))</formula>
    </cfRule>
    <cfRule type="expression" priority="6502" dxfId="0">
      <formula>AND(IF($Q25=3,1,IF($Q25=4,1,0)),IF($F25&lt;=85,1,0))</formula>
    </cfRule>
  </conditionalFormatting>
  <conditionalFormatting sqref="AV26">
    <cfRule type="expression" priority="6497" dxfId="19">
      <formula>AV26="X"</formula>
    </cfRule>
    <cfRule type="expression" priority="6498" dxfId="18">
      <formula>AV26="후보"</formula>
    </cfRule>
  </conditionalFormatting>
  <conditionalFormatting sqref="AC26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6">
    <cfRule type="expression" priority="6489" dxfId="3">
      <formula>AND(IF(OR($Q26=1,$Q26=2),1,0),IF($X26&lt;=20,1,0))</formula>
    </cfRule>
    <cfRule type="expression" priority="6490" dxfId="2">
      <formula>AND(IF($Q26=2,1,0),IF($X26&lt;30,1,0))</formula>
    </cfRule>
    <cfRule type="expression" priority="6491" dxfId="1">
      <formula>AND(IF($Q26=3,1,0),IF($X26&lt;30,1,0))</formula>
    </cfRule>
    <cfRule type="expression" priority="6492" dxfId="0">
      <formula>AND(IF($Q26=3,1,IF($Q26=4,1,0)),IF($F26&lt;=85,1,0))</formula>
    </cfRule>
  </conditionalFormatting>
  <conditionalFormatting sqref="X26">
    <cfRule type="expression" priority="6485" dxfId="3">
      <formula>AND(IF(OR($Q26=1,$Q26=2),1,0),IF($X26&lt;=20,1,0))</formula>
    </cfRule>
    <cfRule type="expression" priority="6486" dxfId="2">
      <formula>AND(IF($Q26=2,1,0),IF($X26&lt;30,1,0))</formula>
    </cfRule>
    <cfRule type="expression" priority="6487" dxfId="1">
      <formula>AND(IF($Q26=3,1,0),IF($X26&lt;30,1,0))</formula>
    </cfRule>
    <cfRule type="expression" priority="6488" dxfId="0">
      <formula>AND(IF($Q26=3,1,IF($Q26=4,1,0)),IF($F26&lt;=85,1,0))</formula>
    </cfRule>
  </conditionalFormatting>
  <conditionalFormatting sqref="AI26">
    <cfRule type="expression" priority="6481" dxfId="3">
      <formula>AND(IF(OR($Q26=1,$Q26=2),1,0),IF($X26&lt;=20,1,0))</formula>
    </cfRule>
    <cfRule type="expression" priority="6482" dxfId="2">
      <formula>AND(IF($Q26=2,1,0),IF($X26&lt;30,1,0))</formula>
    </cfRule>
    <cfRule type="expression" priority="6483" dxfId="1">
      <formula>AND(IF($Q26=3,1,0),IF($X26&lt;30,1,0))</formula>
    </cfRule>
    <cfRule type="expression" priority="6484" dxfId="0">
      <formula>AND(IF($Q26=3,1,IF($Q26=4,1,0)),IF($F26&lt;=85,1,0))</formula>
    </cfRule>
  </conditionalFormatting>
  <conditionalFormatting sqref="AV27">
    <cfRule type="expression" priority="6479" dxfId="19">
      <formula>AV27="X"</formula>
    </cfRule>
    <cfRule type="expression" priority="6480" dxfId="18">
      <formula>AV27="후보"</formula>
    </cfRule>
  </conditionalFormatting>
  <conditionalFormatting sqref="AC27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7">
    <cfRule type="expression" priority="6471" dxfId="3">
      <formula>AND(IF(OR($Q27=1,$Q27=2),1,0),IF($X27&lt;=20,1,0))</formula>
    </cfRule>
    <cfRule type="expression" priority="6472" dxfId="2">
      <formula>AND(IF($Q27=2,1,0),IF($X27&lt;30,1,0))</formula>
    </cfRule>
    <cfRule type="expression" priority="6473" dxfId="1">
      <formula>AND(IF($Q27=3,1,0),IF($X27&lt;30,1,0))</formula>
    </cfRule>
    <cfRule type="expression" priority="6474" dxfId="0">
      <formula>AND(IF($Q27=3,1,IF($Q27=4,1,0)),IF($F27&lt;=85,1,0))</formula>
    </cfRule>
  </conditionalFormatting>
  <conditionalFormatting sqref="X27">
    <cfRule type="expression" priority="6467" dxfId="3">
      <formula>AND(IF(OR($Q27=1,$Q27=2),1,0),IF($X27&lt;=20,1,0))</formula>
    </cfRule>
    <cfRule type="expression" priority="6468" dxfId="2">
      <formula>AND(IF($Q27=2,1,0),IF($X27&lt;30,1,0))</formula>
    </cfRule>
    <cfRule type="expression" priority="6469" dxfId="1">
      <formula>AND(IF($Q27=3,1,0),IF($X27&lt;30,1,0))</formula>
    </cfRule>
    <cfRule type="expression" priority="6470" dxfId="0">
      <formula>AND(IF($Q27=3,1,IF($Q27=4,1,0)),IF($F27&lt;=85,1,0))</formula>
    </cfRule>
  </conditionalFormatting>
  <conditionalFormatting sqref="AI27">
    <cfRule type="expression" priority="6463" dxfId="3">
      <formula>AND(IF(OR($Q27=1,$Q27=2),1,0),IF($X27&lt;=20,1,0))</formula>
    </cfRule>
    <cfRule type="expression" priority="6464" dxfId="2">
      <formula>AND(IF($Q27=2,1,0),IF($X27&lt;30,1,0))</formula>
    </cfRule>
    <cfRule type="expression" priority="6465" dxfId="1">
      <formula>AND(IF($Q27=3,1,0),IF($X27&lt;30,1,0))</formula>
    </cfRule>
    <cfRule type="expression" priority="6466" dxfId="0">
      <formula>AND(IF($Q27=3,1,IF($Q27=4,1,0)),IF($F27&lt;=85,1,0))</formula>
    </cfRule>
  </conditionalFormatting>
  <conditionalFormatting sqref="AV28">
    <cfRule type="expression" priority="6461" dxfId="19">
      <formula>AV28="X"</formula>
    </cfRule>
    <cfRule type="expression" priority="6462" dxfId="18">
      <formula>AV28="후보"</formula>
    </cfRule>
  </conditionalFormatting>
  <conditionalFormatting sqref="AC28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">
    <cfRule type="expression" priority="6453" dxfId="3">
      <formula>AND(IF(OR($Q28=1,$Q28=2),1,0),IF($X28&lt;=20,1,0))</formula>
    </cfRule>
    <cfRule type="expression" priority="6454" dxfId="2">
      <formula>AND(IF($Q28=2,1,0),IF($X28&lt;30,1,0))</formula>
    </cfRule>
    <cfRule type="expression" priority="6455" dxfId="1">
      <formula>AND(IF($Q28=3,1,0),IF($X28&lt;30,1,0))</formula>
    </cfRule>
    <cfRule type="expression" priority="6456" dxfId="0">
      <formula>AND(IF($Q28=3,1,IF($Q28=4,1,0)),IF($F28&lt;=85,1,0))</formula>
    </cfRule>
  </conditionalFormatting>
  <conditionalFormatting sqref="X28">
    <cfRule type="expression" priority="6449" dxfId="3">
      <formula>AND(IF(OR($Q28=1,$Q28=2),1,0),IF($X28&lt;=20,1,0))</formula>
    </cfRule>
    <cfRule type="expression" priority="6450" dxfId="2">
      <formula>AND(IF($Q28=2,1,0),IF($X28&lt;30,1,0))</formula>
    </cfRule>
    <cfRule type="expression" priority="6451" dxfId="1">
      <formula>AND(IF($Q28=3,1,0),IF($X28&lt;30,1,0))</formula>
    </cfRule>
    <cfRule type="expression" priority="6452" dxfId="0">
      <formula>AND(IF($Q28=3,1,IF($Q28=4,1,0)),IF($F28&lt;=85,1,0))</formula>
    </cfRule>
  </conditionalFormatting>
  <conditionalFormatting sqref="AI28">
    <cfRule type="expression" priority="6445" dxfId="3">
      <formula>AND(IF(OR($Q28=1,$Q28=2),1,0),IF($X28&lt;=20,1,0))</formula>
    </cfRule>
    <cfRule type="expression" priority="6446" dxfId="2">
      <formula>AND(IF($Q28=2,1,0),IF($X28&lt;30,1,0))</formula>
    </cfRule>
    <cfRule type="expression" priority="6447" dxfId="1">
      <formula>AND(IF($Q28=3,1,0),IF($X28&lt;30,1,0))</formula>
    </cfRule>
    <cfRule type="expression" priority="6448" dxfId="0">
      <formula>AND(IF($Q28=3,1,IF($Q28=4,1,0)),IF($F28&lt;=85,1,0))</formula>
    </cfRule>
  </conditionalFormatting>
  <conditionalFormatting sqref="AV29">
    <cfRule type="expression" priority="6443" dxfId="19">
      <formula>AV29="X"</formula>
    </cfRule>
    <cfRule type="expression" priority="6444" dxfId="18">
      <formula>AV29="후보"</formula>
    </cfRule>
  </conditionalFormatting>
  <conditionalFormatting sqref="AC29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">
    <cfRule type="expression" priority="6435" dxfId="3">
      <formula>AND(IF(OR($Q29=1,$Q29=2),1,0),IF($X29&lt;=20,1,0))</formula>
    </cfRule>
    <cfRule type="expression" priority="6436" dxfId="2">
      <formula>AND(IF($Q29=2,1,0),IF($X29&lt;30,1,0))</formula>
    </cfRule>
    <cfRule type="expression" priority="6437" dxfId="1">
      <formula>AND(IF($Q29=3,1,0),IF($X29&lt;30,1,0))</formula>
    </cfRule>
    <cfRule type="expression" priority="6438" dxfId="0">
      <formula>AND(IF($Q29=3,1,IF($Q29=4,1,0)),IF($F29&lt;=85,1,0))</formula>
    </cfRule>
  </conditionalFormatting>
  <conditionalFormatting sqref="X29">
    <cfRule type="expression" priority="6431" dxfId="3">
      <formula>AND(IF(OR($Q29=1,$Q29=2),1,0),IF($X29&lt;=20,1,0))</formula>
    </cfRule>
    <cfRule type="expression" priority="6432" dxfId="2">
      <formula>AND(IF($Q29=2,1,0),IF($X29&lt;30,1,0))</formula>
    </cfRule>
    <cfRule type="expression" priority="6433" dxfId="1">
      <formula>AND(IF($Q29=3,1,0),IF($X29&lt;30,1,0))</formula>
    </cfRule>
    <cfRule type="expression" priority="6434" dxfId="0">
      <formula>AND(IF($Q29=3,1,IF($Q29=4,1,0)),IF($F29&lt;=85,1,0))</formula>
    </cfRule>
  </conditionalFormatting>
  <conditionalFormatting sqref="AI29">
    <cfRule type="expression" priority="6427" dxfId="3">
      <formula>AND(IF(OR($Q29=1,$Q29=2),1,0),IF($X29&lt;=20,1,0))</formula>
    </cfRule>
    <cfRule type="expression" priority="6428" dxfId="2">
      <formula>AND(IF($Q29=2,1,0),IF($X29&lt;30,1,0))</formula>
    </cfRule>
    <cfRule type="expression" priority="6429" dxfId="1">
      <formula>AND(IF($Q29=3,1,0),IF($X29&lt;30,1,0))</formula>
    </cfRule>
    <cfRule type="expression" priority="6430" dxfId="0">
      <formula>AND(IF($Q29=3,1,IF($Q29=4,1,0)),IF($F29&lt;=85,1,0))</formula>
    </cfRule>
  </conditionalFormatting>
  <conditionalFormatting sqref="AV30">
    <cfRule type="expression" priority="6425" dxfId="19">
      <formula>AV30="X"</formula>
    </cfRule>
    <cfRule type="expression" priority="6426" dxfId="18">
      <formula>AV30="후보"</formula>
    </cfRule>
  </conditionalFormatting>
  <conditionalFormatting sqref="AC30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0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0">
    <cfRule type="expression" priority="6417" dxfId="3">
      <formula>AND(IF(OR($Q30=1,$Q30=2),1,0),IF($X30&lt;=20,1,0))</formula>
    </cfRule>
    <cfRule type="expression" priority="6418" dxfId="2">
      <formula>AND(IF($Q30=2,1,0),IF($X30&lt;30,1,0))</formula>
    </cfRule>
    <cfRule type="expression" priority="6419" dxfId="1">
      <formula>AND(IF($Q30=3,1,0),IF($X30&lt;30,1,0))</formula>
    </cfRule>
    <cfRule type="expression" priority="6420" dxfId="0">
      <formula>AND(IF($Q30=3,1,IF($Q30=4,1,0)),IF($F30&lt;=85,1,0))</formula>
    </cfRule>
  </conditionalFormatting>
  <conditionalFormatting sqref="X30">
    <cfRule type="expression" priority="6413" dxfId="3">
      <formula>AND(IF(OR($Q30=1,$Q30=2),1,0),IF($X30&lt;=20,1,0))</formula>
    </cfRule>
    <cfRule type="expression" priority="6414" dxfId="2">
      <formula>AND(IF($Q30=2,1,0),IF($X30&lt;30,1,0))</formula>
    </cfRule>
    <cfRule type="expression" priority="6415" dxfId="1">
      <formula>AND(IF($Q30=3,1,0),IF($X30&lt;30,1,0))</formula>
    </cfRule>
    <cfRule type="expression" priority="6416" dxfId="0">
      <formula>AND(IF($Q30=3,1,IF($Q30=4,1,0)),IF($F30&lt;=85,1,0))</formula>
    </cfRule>
  </conditionalFormatting>
  <conditionalFormatting sqref="AI30">
    <cfRule type="expression" priority="6409" dxfId="3">
      <formula>AND(IF(OR($Q30=1,$Q30=2),1,0),IF($X30&lt;=20,1,0))</formula>
    </cfRule>
    <cfRule type="expression" priority="6410" dxfId="2">
      <formula>AND(IF($Q30=2,1,0),IF($X30&lt;30,1,0))</formula>
    </cfRule>
    <cfRule type="expression" priority="6411" dxfId="1">
      <formula>AND(IF($Q30=3,1,0),IF($X30&lt;30,1,0))</formula>
    </cfRule>
    <cfRule type="expression" priority="6412" dxfId="0">
      <formula>AND(IF($Q30=3,1,IF($Q30=4,1,0)),IF($F30&lt;=85,1,0))</formula>
    </cfRule>
  </conditionalFormatting>
  <conditionalFormatting sqref="AV31">
    <cfRule type="expression" priority="6407" dxfId="19">
      <formula>AV31="X"</formula>
    </cfRule>
    <cfRule type="expression" priority="6408" dxfId="18">
      <formula>AV31="후보"</formula>
    </cfRule>
  </conditionalFormatting>
  <conditionalFormatting sqref="AC31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1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1">
    <cfRule type="expression" priority="6399" dxfId="3">
      <formula>AND(IF(OR($Q31=1,$Q31=2),1,0),IF($X31&lt;=20,1,0))</formula>
    </cfRule>
    <cfRule type="expression" priority="6400" dxfId="2">
      <formula>AND(IF($Q31=2,1,0),IF($X31&lt;30,1,0))</formula>
    </cfRule>
    <cfRule type="expression" priority="6401" dxfId="1">
      <formula>AND(IF($Q31=3,1,0),IF($X31&lt;30,1,0))</formula>
    </cfRule>
    <cfRule type="expression" priority="6402" dxfId="0">
      <formula>AND(IF($Q31=3,1,IF($Q31=4,1,0)),IF($F31&lt;=85,1,0))</formula>
    </cfRule>
  </conditionalFormatting>
  <conditionalFormatting sqref="X31">
    <cfRule type="expression" priority="6395" dxfId="3">
      <formula>AND(IF(OR($Q31=1,$Q31=2),1,0),IF($X31&lt;=20,1,0))</formula>
    </cfRule>
    <cfRule type="expression" priority="6396" dxfId="2">
      <formula>AND(IF($Q31=2,1,0),IF($X31&lt;30,1,0))</formula>
    </cfRule>
    <cfRule type="expression" priority="6397" dxfId="1">
      <formula>AND(IF($Q31=3,1,0),IF($X31&lt;30,1,0))</formula>
    </cfRule>
    <cfRule type="expression" priority="6398" dxfId="0">
      <formula>AND(IF($Q31=3,1,IF($Q31=4,1,0)),IF($F31&lt;=85,1,0))</formula>
    </cfRule>
  </conditionalFormatting>
  <conditionalFormatting sqref="AI31">
    <cfRule type="expression" priority="6391" dxfId="3">
      <formula>AND(IF(OR($Q31=1,$Q31=2),1,0),IF($X31&lt;=20,1,0))</formula>
    </cfRule>
    <cfRule type="expression" priority="6392" dxfId="2">
      <formula>AND(IF($Q31=2,1,0),IF($X31&lt;30,1,0))</formula>
    </cfRule>
    <cfRule type="expression" priority="6393" dxfId="1">
      <formula>AND(IF($Q31=3,1,0),IF($X31&lt;30,1,0))</formula>
    </cfRule>
    <cfRule type="expression" priority="6394" dxfId="0">
      <formula>AND(IF($Q31=3,1,IF($Q31=4,1,0)),IF($F31&lt;=85,1,0))</formula>
    </cfRule>
  </conditionalFormatting>
  <conditionalFormatting sqref="AV32">
    <cfRule type="expression" priority="6389" dxfId="19">
      <formula>AV32="X"</formula>
    </cfRule>
    <cfRule type="expression" priority="6390" dxfId="18">
      <formula>AV32="후보"</formula>
    </cfRule>
  </conditionalFormatting>
  <conditionalFormatting sqref="AC32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2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2">
    <cfRule type="expression" priority="6381" dxfId="3">
      <formula>AND(IF(OR($Q32=1,$Q32=2),1,0),IF($X32&lt;=20,1,0))</formula>
    </cfRule>
    <cfRule type="expression" priority="6382" dxfId="2">
      <formula>AND(IF($Q32=2,1,0),IF($X32&lt;30,1,0))</formula>
    </cfRule>
    <cfRule type="expression" priority="6383" dxfId="1">
      <formula>AND(IF($Q32=3,1,0),IF($X32&lt;30,1,0))</formula>
    </cfRule>
    <cfRule type="expression" priority="6384" dxfId="0">
      <formula>AND(IF($Q32=3,1,IF($Q32=4,1,0)),IF($F32&lt;=85,1,0))</formula>
    </cfRule>
  </conditionalFormatting>
  <conditionalFormatting sqref="X32">
    <cfRule type="expression" priority="6377" dxfId="3">
      <formula>AND(IF(OR($Q32=1,$Q32=2),1,0),IF($X32&lt;=20,1,0))</formula>
    </cfRule>
    <cfRule type="expression" priority="6378" dxfId="2">
      <formula>AND(IF($Q32=2,1,0),IF($X32&lt;30,1,0))</formula>
    </cfRule>
    <cfRule type="expression" priority="6379" dxfId="1">
      <formula>AND(IF($Q32=3,1,0),IF($X32&lt;30,1,0))</formula>
    </cfRule>
    <cfRule type="expression" priority="6380" dxfId="0">
      <formula>AND(IF($Q32=3,1,IF($Q32=4,1,0)),IF($F32&lt;=85,1,0))</formula>
    </cfRule>
  </conditionalFormatting>
  <conditionalFormatting sqref="AI32">
    <cfRule type="expression" priority="6373" dxfId="3">
      <formula>AND(IF(OR($Q32=1,$Q32=2),1,0),IF($X32&lt;=20,1,0))</formula>
    </cfRule>
    <cfRule type="expression" priority="6374" dxfId="2">
      <formula>AND(IF($Q32=2,1,0),IF($X32&lt;30,1,0))</formula>
    </cfRule>
    <cfRule type="expression" priority="6375" dxfId="1">
      <formula>AND(IF($Q32=3,1,0),IF($X32&lt;30,1,0))</formula>
    </cfRule>
    <cfRule type="expression" priority="6376" dxfId="0">
      <formula>AND(IF($Q32=3,1,IF($Q32=4,1,0)),IF($F32&lt;=85,1,0))</formula>
    </cfRule>
  </conditionalFormatting>
  <conditionalFormatting sqref="AV33">
    <cfRule type="expression" priority="6371" dxfId="19">
      <formula>AV33="X"</formula>
    </cfRule>
    <cfRule type="expression" priority="6372" dxfId="18">
      <formula>AV33="후보"</formula>
    </cfRule>
  </conditionalFormatting>
  <conditionalFormatting sqref="AC33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3">
    <cfRule type="expression" priority="6363" dxfId="3">
      <formula>AND(IF(OR($Q33=1,$Q33=2),1,0),IF($X33&lt;=20,1,0))</formula>
    </cfRule>
    <cfRule type="expression" priority="6364" dxfId="2">
      <formula>AND(IF($Q33=2,1,0),IF($X33&lt;30,1,0))</formula>
    </cfRule>
    <cfRule type="expression" priority="6365" dxfId="1">
      <formula>AND(IF($Q33=3,1,0),IF($X33&lt;30,1,0))</formula>
    </cfRule>
    <cfRule type="expression" priority="6366" dxfId="0">
      <formula>AND(IF($Q33=3,1,IF($Q33=4,1,0)),IF($F33&lt;=85,1,0))</formula>
    </cfRule>
  </conditionalFormatting>
  <conditionalFormatting sqref="X33">
    <cfRule type="expression" priority="6359" dxfId="3">
      <formula>AND(IF(OR($Q33=1,$Q33=2),1,0),IF($X33&lt;=20,1,0))</formula>
    </cfRule>
    <cfRule type="expression" priority="6360" dxfId="2">
      <formula>AND(IF($Q33=2,1,0),IF($X33&lt;30,1,0))</formula>
    </cfRule>
    <cfRule type="expression" priority="6361" dxfId="1">
      <formula>AND(IF($Q33=3,1,0),IF($X33&lt;30,1,0))</formula>
    </cfRule>
    <cfRule type="expression" priority="6362" dxfId="0">
      <formula>AND(IF($Q33=3,1,IF($Q33=4,1,0)),IF($F33&lt;=85,1,0))</formula>
    </cfRule>
  </conditionalFormatting>
  <conditionalFormatting sqref="AI33">
    <cfRule type="expression" priority="6355" dxfId="3">
      <formula>AND(IF(OR($Q33=1,$Q33=2),1,0),IF($X33&lt;=20,1,0))</formula>
    </cfRule>
    <cfRule type="expression" priority="6356" dxfId="2">
      <formula>AND(IF($Q33=2,1,0),IF($X33&lt;30,1,0))</formula>
    </cfRule>
    <cfRule type="expression" priority="6357" dxfId="1">
      <formula>AND(IF($Q33=3,1,0),IF($X33&lt;30,1,0))</formula>
    </cfRule>
    <cfRule type="expression" priority="6358" dxfId="0">
      <formula>AND(IF($Q33=3,1,IF($Q33=4,1,0)),IF($F33&lt;=85,1,0))</formula>
    </cfRule>
  </conditionalFormatting>
  <conditionalFormatting sqref="AV34">
    <cfRule type="expression" priority="6353" dxfId="19">
      <formula>AV34="X"</formula>
    </cfRule>
    <cfRule type="expression" priority="6354" dxfId="18">
      <formula>AV34="후보"</formula>
    </cfRule>
  </conditionalFormatting>
  <conditionalFormatting sqref="AC34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4">
    <cfRule type="expression" priority="6345" dxfId="3">
      <formula>AND(IF(OR($Q34=1,$Q34=2),1,0),IF($X34&lt;=20,1,0))</formula>
    </cfRule>
    <cfRule type="expression" priority="6346" dxfId="2">
      <formula>AND(IF($Q34=2,1,0),IF($X34&lt;30,1,0))</formula>
    </cfRule>
    <cfRule type="expression" priority="6347" dxfId="1">
      <formula>AND(IF($Q34=3,1,0),IF($X34&lt;30,1,0))</formula>
    </cfRule>
    <cfRule type="expression" priority="6348" dxfId="0">
      <formula>AND(IF($Q34=3,1,IF($Q34=4,1,0)),IF($F34&lt;=85,1,0))</formula>
    </cfRule>
  </conditionalFormatting>
  <conditionalFormatting sqref="X34">
    <cfRule type="expression" priority="6341" dxfId="3">
      <formula>AND(IF(OR($Q34=1,$Q34=2),1,0),IF($X34&lt;=20,1,0))</formula>
    </cfRule>
    <cfRule type="expression" priority="6342" dxfId="2">
      <formula>AND(IF($Q34=2,1,0),IF($X34&lt;30,1,0))</formula>
    </cfRule>
    <cfRule type="expression" priority="6343" dxfId="1">
      <formula>AND(IF($Q34=3,1,0),IF($X34&lt;30,1,0))</formula>
    </cfRule>
    <cfRule type="expression" priority="6344" dxfId="0">
      <formula>AND(IF($Q34=3,1,IF($Q34=4,1,0)),IF($F34&lt;=85,1,0))</formula>
    </cfRule>
  </conditionalFormatting>
  <conditionalFormatting sqref="AI34">
    <cfRule type="expression" priority="6337" dxfId="3">
      <formula>AND(IF(OR($Q34=1,$Q34=2),1,0),IF($X34&lt;=20,1,0))</formula>
    </cfRule>
    <cfRule type="expression" priority="6338" dxfId="2">
      <formula>AND(IF($Q34=2,1,0),IF($X34&lt;30,1,0))</formula>
    </cfRule>
    <cfRule type="expression" priority="6339" dxfId="1">
      <formula>AND(IF($Q34=3,1,0),IF($X34&lt;30,1,0))</formula>
    </cfRule>
    <cfRule type="expression" priority="6340" dxfId="0">
      <formula>AND(IF($Q34=3,1,IF($Q34=4,1,0)),IF($F34&lt;=85,1,0))</formula>
    </cfRule>
  </conditionalFormatting>
  <conditionalFormatting sqref="AV35">
    <cfRule type="expression" priority="6335" dxfId="19">
      <formula>AV35="X"</formula>
    </cfRule>
    <cfRule type="expression" priority="6336" dxfId="18">
      <formula>AV35="후보"</formula>
    </cfRule>
  </conditionalFormatting>
  <conditionalFormatting sqref="AC35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5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5">
    <cfRule type="expression" priority="6327" dxfId="3">
      <formula>AND(IF(OR($Q35=1,$Q35=2),1,0),IF($X35&lt;=20,1,0))</formula>
    </cfRule>
    <cfRule type="expression" priority="6328" dxfId="2">
      <formula>AND(IF($Q35=2,1,0),IF($X35&lt;30,1,0))</formula>
    </cfRule>
    <cfRule type="expression" priority="6329" dxfId="1">
      <formula>AND(IF($Q35=3,1,0),IF($X35&lt;30,1,0))</formula>
    </cfRule>
    <cfRule type="expression" priority="6330" dxfId="0">
      <formula>AND(IF($Q35=3,1,IF($Q35=4,1,0)),IF($F35&lt;=85,1,0))</formula>
    </cfRule>
  </conditionalFormatting>
  <conditionalFormatting sqref="X35">
    <cfRule type="expression" priority="6323" dxfId="3">
      <formula>AND(IF(OR($Q35=1,$Q35=2),1,0),IF($X35&lt;=20,1,0))</formula>
    </cfRule>
    <cfRule type="expression" priority="6324" dxfId="2">
      <formula>AND(IF($Q35=2,1,0),IF($X35&lt;30,1,0))</formula>
    </cfRule>
    <cfRule type="expression" priority="6325" dxfId="1">
      <formula>AND(IF($Q35=3,1,0),IF($X35&lt;30,1,0))</formula>
    </cfRule>
    <cfRule type="expression" priority="6326" dxfId="0">
      <formula>AND(IF($Q35=3,1,IF($Q35=4,1,0)),IF($F35&lt;=85,1,0))</formula>
    </cfRule>
  </conditionalFormatting>
  <conditionalFormatting sqref="AI35">
    <cfRule type="expression" priority="6319" dxfId="3">
      <formula>AND(IF(OR($Q35=1,$Q35=2),1,0),IF($X35&lt;=20,1,0))</formula>
    </cfRule>
    <cfRule type="expression" priority="6320" dxfId="2">
      <formula>AND(IF($Q35=2,1,0),IF($X35&lt;30,1,0))</formula>
    </cfRule>
    <cfRule type="expression" priority="6321" dxfId="1">
      <formula>AND(IF($Q35=3,1,0),IF($X35&lt;30,1,0))</formula>
    </cfRule>
    <cfRule type="expression" priority="6322" dxfId="0">
      <formula>AND(IF($Q35=3,1,IF($Q35=4,1,0)),IF($F35&lt;=85,1,0))</formula>
    </cfRule>
  </conditionalFormatting>
  <conditionalFormatting sqref="AV36">
    <cfRule type="expression" priority="6317" dxfId="19">
      <formula>AV36="X"</formula>
    </cfRule>
    <cfRule type="expression" priority="6318" dxfId="18">
      <formula>AV36="후보"</formula>
    </cfRule>
  </conditionalFormatting>
  <conditionalFormatting sqref="AC36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6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6">
    <cfRule type="expression" priority="6309" dxfId="3">
      <formula>AND(IF(OR($Q36=1,$Q36=2),1,0),IF($X36&lt;=20,1,0))</formula>
    </cfRule>
    <cfRule type="expression" priority="6310" dxfId="2">
      <formula>AND(IF($Q36=2,1,0),IF($X36&lt;30,1,0))</formula>
    </cfRule>
    <cfRule type="expression" priority="6311" dxfId="1">
      <formula>AND(IF($Q36=3,1,0),IF($X36&lt;30,1,0))</formula>
    </cfRule>
    <cfRule type="expression" priority="6312" dxfId="0">
      <formula>AND(IF($Q36=3,1,IF($Q36=4,1,0)),IF($F36&lt;=85,1,0))</formula>
    </cfRule>
  </conditionalFormatting>
  <conditionalFormatting sqref="X36">
    <cfRule type="expression" priority="6305" dxfId="3">
      <formula>AND(IF(OR($Q36=1,$Q36=2),1,0),IF($X36&lt;=20,1,0))</formula>
    </cfRule>
    <cfRule type="expression" priority="6306" dxfId="2">
      <formula>AND(IF($Q36=2,1,0),IF($X36&lt;30,1,0))</formula>
    </cfRule>
    <cfRule type="expression" priority="6307" dxfId="1">
      <formula>AND(IF($Q36=3,1,0),IF($X36&lt;30,1,0))</formula>
    </cfRule>
    <cfRule type="expression" priority="6308" dxfId="0">
      <formula>AND(IF($Q36=3,1,IF($Q36=4,1,0)),IF($F36&lt;=85,1,0))</formula>
    </cfRule>
  </conditionalFormatting>
  <conditionalFormatting sqref="AI36">
    <cfRule type="expression" priority="6301" dxfId="3">
      <formula>AND(IF(OR($Q36=1,$Q36=2),1,0),IF($X36&lt;=20,1,0))</formula>
    </cfRule>
    <cfRule type="expression" priority="6302" dxfId="2">
      <formula>AND(IF($Q36=2,1,0),IF($X36&lt;30,1,0))</formula>
    </cfRule>
    <cfRule type="expression" priority="6303" dxfId="1">
      <formula>AND(IF($Q36=3,1,0),IF($X36&lt;30,1,0))</formula>
    </cfRule>
    <cfRule type="expression" priority="6304" dxfId="0">
      <formula>AND(IF($Q36=3,1,IF($Q36=4,1,0)),IF($F36&lt;=85,1,0))</formula>
    </cfRule>
  </conditionalFormatting>
  <conditionalFormatting sqref="AV37">
    <cfRule type="expression" priority="6299" dxfId="19">
      <formula>AV37="X"</formula>
    </cfRule>
    <cfRule type="expression" priority="6300" dxfId="18">
      <formula>AV37="후보"</formula>
    </cfRule>
  </conditionalFormatting>
  <conditionalFormatting sqref="AC37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">
    <cfRule type="expression" priority="6291" dxfId="3">
      <formula>AND(IF(OR($Q37=1,$Q37=2),1,0),IF($X37&lt;=20,1,0))</formula>
    </cfRule>
    <cfRule type="expression" priority="6292" dxfId="2">
      <formula>AND(IF($Q37=2,1,0),IF($X37&lt;30,1,0))</formula>
    </cfRule>
    <cfRule type="expression" priority="6293" dxfId="1">
      <formula>AND(IF($Q37=3,1,0),IF($X37&lt;30,1,0))</formula>
    </cfRule>
    <cfRule type="expression" priority="6294" dxfId="0">
      <formula>AND(IF($Q37=3,1,IF($Q37=4,1,0)),IF($F37&lt;=85,1,0))</formula>
    </cfRule>
  </conditionalFormatting>
  <conditionalFormatting sqref="X37">
    <cfRule type="expression" priority="6287" dxfId="3">
      <formula>AND(IF(OR($Q37=1,$Q37=2),1,0),IF($X37&lt;=20,1,0))</formula>
    </cfRule>
    <cfRule type="expression" priority="6288" dxfId="2">
      <formula>AND(IF($Q37=2,1,0),IF($X37&lt;30,1,0))</formula>
    </cfRule>
    <cfRule type="expression" priority="6289" dxfId="1">
      <formula>AND(IF($Q37=3,1,0),IF($X37&lt;30,1,0))</formula>
    </cfRule>
    <cfRule type="expression" priority="6290" dxfId="0">
      <formula>AND(IF($Q37=3,1,IF($Q37=4,1,0)),IF($F37&lt;=85,1,0))</formula>
    </cfRule>
  </conditionalFormatting>
  <conditionalFormatting sqref="AI37">
    <cfRule type="expression" priority="6283" dxfId="3">
      <formula>AND(IF(OR($Q37=1,$Q37=2),1,0),IF($X37&lt;=20,1,0))</formula>
    </cfRule>
    <cfRule type="expression" priority="6284" dxfId="2">
      <formula>AND(IF($Q37=2,1,0),IF($X37&lt;30,1,0))</formula>
    </cfRule>
    <cfRule type="expression" priority="6285" dxfId="1">
      <formula>AND(IF($Q37=3,1,0),IF($X37&lt;30,1,0))</formula>
    </cfRule>
    <cfRule type="expression" priority="6286" dxfId="0">
      <formula>AND(IF($Q37=3,1,IF($Q37=4,1,0)),IF($F37&lt;=85,1,0))</formula>
    </cfRule>
  </conditionalFormatting>
  <conditionalFormatting sqref="AV38">
    <cfRule type="expression" priority="6281" dxfId="19">
      <formula>AV38="X"</formula>
    </cfRule>
    <cfRule type="expression" priority="6282" dxfId="18">
      <formula>AV38="후보"</formula>
    </cfRule>
  </conditionalFormatting>
  <conditionalFormatting sqref="AC38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8">
    <cfRule type="expression" priority="6273" dxfId="3">
      <formula>AND(IF(OR($Q38=1,$Q38=2),1,0),IF($X38&lt;=20,1,0))</formula>
    </cfRule>
    <cfRule type="expression" priority="6274" dxfId="2">
      <formula>AND(IF($Q38=2,1,0),IF($X38&lt;30,1,0))</formula>
    </cfRule>
    <cfRule type="expression" priority="6275" dxfId="1">
      <formula>AND(IF($Q38=3,1,0),IF($X38&lt;30,1,0))</formula>
    </cfRule>
    <cfRule type="expression" priority="6276" dxfId="0">
      <formula>AND(IF($Q38=3,1,IF($Q38=4,1,0)),IF($F38&lt;=85,1,0))</formula>
    </cfRule>
  </conditionalFormatting>
  <conditionalFormatting sqref="X38">
    <cfRule type="expression" priority="6269" dxfId="3">
      <formula>AND(IF(OR($Q38=1,$Q38=2),1,0),IF($X38&lt;=20,1,0))</formula>
    </cfRule>
    <cfRule type="expression" priority="6270" dxfId="2">
      <formula>AND(IF($Q38=2,1,0),IF($X38&lt;30,1,0))</formula>
    </cfRule>
    <cfRule type="expression" priority="6271" dxfId="1">
      <formula>AND(IF($Q38=3,1,0),IF($X38&lt;30,1,0))</formula>
    </cfRule>
    <cfRule type="expression" priority="6272" dxfId="0">
      <formula>AND(IF($Q38=3,1,IF($Q38=4,1,0)),IF($F38&lt;=85,1,0))</formula>
    </cfRule>
  </conditionalFormatting>
  <conditionalFormatting sqref="AI38">
    <cfRule type="expression" priority="6265" dxfId="3">
      <formula>AND(IF(OR($Q38=1,$Q38=2),1,0),IF($X38&lt;=20,1,0))</formula>
    </cfRule>
    <cfRule type="expression" priority="6266" dxfId="2">
      <formula>AND(IF($Q38=2,1,0),IF($X38&lt;30,1,0))</formula>
    </cfRule>
    <cfRule type="expression" priority="6267" dxfId="1">
      <formula>AND(IF($Q38=3,1,0),IF($X38&lt;30,1,0))</formula>
    </cfRule>
    <cfRule type="expression" priority="6268" dxfId="0">
      <formula>AND(IF($Q38=3,1,IF($Q38=4,1,0)),IF($F38&lt;=85,1,0))</formula>
    </cfRule>
  </conditionalFormatting>
  <conditionalFormatting sqref="AV39">
    <cfRule type="expression" priority="6263" dxfId="19">
      <formula>AV39="X"</formula>
    </cfRule>
    <cfRule type="expression" priority="6264" dxfId="18">
      <formula>AV39="후보"</formula>
    </cfRule>
  </conditionalFormatting>
  <conditionalFormatting sqref="AC39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9">
    <cfRule type="expression" priority="6255" dxfId="3">
      <formula>AND(IF(OR($Q39=1,$Q39=2),1,0),IF($X39&lt;=20,1,0))</formula>
    </cfRule>
    <cfRule type="expression" priority="6256" dxfId="2">
      <formula>AND(IF($Q39=2,1,0),IF($X39&lt;30,1,0))</formula>
    </cfRule>
    <cfRule type="expression" priority="6257" dxfId="1">
      <formula>AND(IF($Q39=3,1,0),IF($X39&lt;30,1,0))</formula>
    </cfRule>
    <cfRule type="expression" priority="6258" dxfId="0">
      <formula>AND(IF($Q39=3,1,IF($Q39=4,1,0)),IF($F39&lt;=85,1,0))</formula>
    </cfRule>
  </conditionalFormatting>
  <conditionalFormatting sqref="X39">
    <cfRule type="expression" priority="6251" dxfId="3">
      <formula>AND(IF(OR($Q39=1,$Q39=2),1,0),IF($X39&lt;=20,1,0))</formula>
    </cfRule>
    <cfRule type="expression" priority="6252" dxfId="2">
      <formula>AND(IF($Q39=2,1,0),IF($X39&lt;30,1,0))</formula>
    </cfRule>
    <cfRule type="expression" priority="6253" dxfId="1">
      <formula>AND(IF($Q39=3,1,0),IF($X39&lt;30,1,0))</formula>
    </cfRule>
    <cfRule type="expression" priority="6254" dxfId="0">
      <formula>AND(IF($Q39=3,1,IF($Q39=4,1,0)),IF($F39&lt;=85,1,0))</formula>
    </cfRule>
  </conditionalFormatting>
  <conditionalFormatting sqref="AI39">
    <cfRule type="expression" priority="6247" dxfId="3">
      <formula>AND(IF(OR($Q39=1,$Q39=2),1,0),IF($X39&lt;=20,1,0))</formula>
    </cfRule>
    <cfRule type="expression" priority="6248" dxfId="2">
      <formula>AND(IF($Q39=2,1,0),IF($X39&lt;30,1,0))</formula>
    </cfRule>
    <cfRule type="expression" priority="6249" dxfId="1">
      <formula>AND(IF($Q39=3,1,0),IF($X39&lt;30,1,0))</formula>
    </cfRule>
    <cfRule type="expression" priority="6250" dxfId="0">
      <formula>AND(IF($Q39=3,1,IF($Q39=4,1,0)),IF($F39&lt;=85,1,0))</formula>
    </cfRule>
  </conditionalFormatting>
  <conditionalFormatting sqref="AV40">
    <cfRule type="expression" priority="6245" dxfId="19">
      <formula>AV40="X"</formula>
    </cfRule>
    <cfRule type="expression" priority="6246" dxfId="18">
      <formula>AV40="후보"</formula>
    </cfRule>
  </conditionalFormatting>
  <conditionalFormatting sqref="AC40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4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40">
    <cfRule type="expression" priority="6237" dxfId="3">
      <formula>AND(IF(OR($Q40=1,$Q40=2),1,0),IF($X40&lt;=20,1,0))</formula>
    </cfRule>
    <cfRule type="expression" priority="6238" dxfId="2">
      <formula>AND(IF($Q40=2,1,0),IF($X40&lt;30,1,0))</formula>
    </cfRule>
    <cfRule type="expression" priority="6239" dxfId="1">
      <formula>AND(IF($Q40=3,1,0),IF($X40&lt;30,1,0))</formula>
    </cfRule>
    <cfRule type="expression" priority="6240" dxfId="0">
      <formula>AND(IF($Q40=3,1,IF($Q40=4,1,0)),IF($F40&lt;=85,1,0))</formula>
    </cfRule>
  </conditionalFormatting>
  <conditionalFormatting sqref="X40">
    <cfRule type="expression" priority="6233" dxfId="3">
      <formula>AND(IF(OR($Q40=1,$Q40=2),1,0),IF($X40&lt;=20,1,0))</formula>
    </cfRule>
    <cfRule type="expression" priority="6234" dxfId="2">
      <formula>AND(IF($Q40=2,1,0),IF($X40&lt;30,1,0))</formula>
    </cfRule>
    <cfRule type="expression" priority="6235" dxfId="1">
      <formula>AND(IF($Q40=3,1,0),IF($X40&lt;30,1,0))</formula>
    </cfRule>
    <cfRule type="expression" priority="6236" dxfId="0">
      <formula>AND(IF($Q40=3,1,IF($Q40=4,1,0)),IF($F40&lt;=85,1,0))</formula>
    </cfRule>
  </conditionalFormatting>
  <conditionalFormatting sqref="AI40">
    <cfRule type="expression" priority="6229" dxfId="3">
      <formula>AND(IF(OR($Q40=1,$Q40=2),1,0),IF($X40&lt;=20,1,0))</formula>
    </cfRule>
    <cfRule type="expression" priority="6230" dxfId="2">
      <formula>AND(IF($Q40=2,1,0),IF($X40&lt;30,1,0))</formula>
    </cfRule>
    <cfRule type="expression" priority="6231" dxfId="1">
      <formula>AND(IF($Q40=3,1,0),IF($X40&lt;30,1,0))</formula>
    </cfRule>
    <cfRule type="expression" priority="6232" dxfId="0">
      <formula>AND(IF($Q40=3,1,IF($Q40=4,1,0)),IF($F40&lt;=85,1,0))</formula>
    </cfRule>
  </conditionalFormatting>
  <conditionalFormatting sqref="AV41">
    <cfRule type="expression" priority="6227" dxfId="19">
      <formula>AV41="X"</formula>
    </cfRule>
    <cfRule type="expression" priority="6228" dxfId="18">
      <formula>AV41="후보"</formula>
    </cfRule>
  </conditionalFormatting>
  <conditionalFormatting sqref="AC41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4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41">
    <cfRule type="expression" priority="6219" dxfId="3">
      <formula>AND(IF(OR($Q41=1,$Q41=2),1,0),IF($X41&lt;=20,1,0))</formula>
    </cfRule>
    <cfRule type="expression" priority="6220" dxfId="2">
      <formula>AND(IF($Q41=2,1,0),IF($X41&lt;30,1,0))</formula>
    </cfRule>
    <cfRule type="expression" priority="6221" dxfId="1">
      <formula>AND(IF($Q41=3,1,0),IF($X41&lt;30,1,0))</formula>
    </cfRule>
    <cfRule type="expression" priority="6222" dxfId="0">
      <formula>AND(IF($Q41=3,1,IF($Q41=4,1,0)),IF($F41&lt;=85,1,0))</formula>
    </cfRule>
  </conditionalFormatting>
  <conditionalFormatting sqref="X41">
    <cfRule type="expression" priority="6215" dxfId="3">
      <formula>AND(IF(OR($Q41=1,$Q41=2),1,0),IF($X41&lt;=20,1,0))</formula>
    </cfRule>
    <cfRule type="expression" priority="6216" dxfId="2">
      <formula>AND(IF($Q41=2,1,0),IF($X41&lt;30,1,0))</formula>
    </cfRule>
    <cfRule type="expression" priority="6217" dxfId="1">
      <formula>AND(IF($Q41=3,1,0),IF($X41&lt;30,1,0))</formula>
    </cfRule>
    <cfRule type="expression" priority="6218" dxfId="0">
      <formula>AND(IF($Q41=3,1,IF($Q41=4,1,0)),IF($F41&lt;=85,1,0))</formula>
    </cfRule>
  </conditionalFormatting>
  <conditionalFormatting sqref="AI41">
    <cfRule type="expression" priority="6211" dxfId="3">
      <formula>AND(IF(OR($Q41=1,$Q41=2),1,0),IF($X41&lt;=20,1,0))</formula>
    </cfRule>
    <cfRule type="expression" priority="6212" dxfId="2">
      <formula>AND(IF($Q41=2,1,0),IF($X41&lt;30,1,0))</formula>
    </cfRule>
    <cfRule type="expression" priority="6213" dxfId="1">
      <formula>AND(IF($Q41=3,1,0),IF($X41&lt;30,1,0))</formula>
    </cfRule>
    <cfRule type="expression" priority="6214" dxfId="0">
      <formula>AND(IF($Q41=3,1,IF($Q41=4,1,0)),IF($F41&lt;=85,1,0))</formula>
    </cfRule>
  </conditionalFormatting>
  <conditionalFormatting sqref="AV42">
    <cfRule type="expression" priority="6209" dxfId="19">
      <formula>AV42="X"</formula>
    </cfRule>
    <cfRule type="expression" priority="6210" dxfId="18">
      <formula>AV42="후보"</formula>
    </cfRule>
  </conditionalFormatting>
  <conditionalFormatting sqref="AC42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4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42">
    <cfRule type="expression" priority="6201" dxfId="3">
      <formula>AND(IF(OR($Q42=1,$Q42=2),1,0),IF($X42&lt;=20,1,0))</formula>
    </cfRule>
    <cfRule type="expression" priority="6202" dxfId="2">
      <formula>AND(IF($Q42=2,1,0),IF($X42&lt;30,1,0))</formula>
    </cfRule>
    <cfRule type="expression" priority="6203" dxfId="1">
      <formula>AND(IF($Q42=3,1,0),IF($X42&lt;30,1,0))</formula>
    </cfRule>
    <cfRule type="expression" priority="6204" dxfId="0">
      <formula>AND(IF($Q42=3,1,IF($Q42=4,1,0)),IF($F42&lt;=85,1,0))</formula>
    </cfRule>
  </conditionalFormatting>
  <conditionalFormatting sqref="X42">
    <cfRule type="expression" priority="6197" dxfId="3">
      <formula>AND(IF(OR($Q42=1,$Q42=2),1,0),IF($X42&lt;=20,1,0))</formula>
    </cfRule>
    <cfRule type="expression" priority="6198" dxfId="2">
      <formula>AND(IF($Q42=2,1,0),IF($X42&lt;30,1,0))</formula>
    </cfRule>
    <cfRule type="expression" priority="6199" dxfId="1">
      <formula>AND(IF($Q42=3,1,0),IF($X42&lt;30,1,0))</formula>
    </cfRule>
    <cfRule type="expression" priority="6200" dxfId="0">
      <formula>AND(IF($Q42=3,1,IF($Q42=4,1,0)),IF($F42&lt;=85,1,0))</formula>
    </cfRule>
  </conditionalFormatting>
  <conditionalFormatting sqref="AI42">
    <cfRule type="expression" priority="6193" dxfId="3">
      <formula>AND(IF(OR($Q42=1,$Q42=2),1,0),IF($X42&lt;=20,1,0))</formula>
    </cfRule>
    <cfRule type="expression" priority="6194" dxfId="2">
      <formula>AND(IF($Q42=2,1,0),IF($X42&lt;30,1,0))</formula>
    </cfRule>
    <cfRule type="expression" priority="6195" dxfId="1">
      <formula>AND(IF($Q42=3,1,0),IF($X42&lt;30,1,0))</formula>
    </cfRule>
    <cfRule type="expression" priority="6196" dxfId="0">
      <formula>AND(IF($Q42=3,1,IF($Q42=4,1,0)),IF($F42&lt;=85,1,0))</formula>
    </cfRule>
  </conditionalFormatting>
  <conditionalFormatting sqref="AV43">
    <cfRule type="expression" priority="6191" dxfId="19">
      <formula>AV43="X"</formula>
    </cfRule>
    <cfRule type="expression" priority="6192" dxfId="18">
      <formula>AV43="후보"</formula>
    </cfRule>
  </conditionalFormatting>
  <conditionalFormatting sqref="AC43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4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43">
    <cfRule type="expression" priority="6183" dxfId="3">
      <formula>AND(IF(OR($Q43=1,$Q43=2),1,0),IF($X43&lt;=20,1,0))</formula>
    </cfRule>
    <cfRule type="expression" priority="6184" dxfId="2">
      <formula>AND(IF($Q43=2,1,0),IF($X43&lt;30,1,0))</formula>
    </cfRule>
    <cfRule type="expression" priority="6185" dxfId="1">
      <formula>AND(IF($Q43=3,1,0),IF($X43&lt;30,1,0))</formula>
    </cfRule>
    <cfRule type="expression" priority="6186" dxfId="0">
      <formula>AND(IF($Q43=3,1,IF($Q43=4,1,0)),IF($F43&lt;=85,1,0))</formula>
    </cfRule>
  </conditionalFormatting>
  <conditionalFormatting sqref="X43">
    <cfRule type="expression" priority="6179" dxfId="3">
      <formula>AND(IF(OR($Q43=1,$Q43=2),1,0),IF($X43&lt;=20,1,0))</formula>
    </cfRule>
    <cfRule type="expression" priority="6180" dxfId="2">
      <formula>AND(IF($Q43=2,1,0),IF($X43&lt;30,1,0))</formula>
    </cfRule>
    <cfRule type="expression" priority="6181" dxfId="1">
      <formula>AND(IF($Q43=3,1,0),IF($X43&lt;30,1,0))</formula>
    </cfRule>
    <cfRule type="expression" priority="6182" dxfId="0">
      <formula>AND(IF($Q43=3,1,IF($Q43=4,1,0)),IF($F43&lt;=85,1,0))</formula>
    </cfRule>
  </conditionalFormatting>
  <conditionalFormatting sqref="AI43">
    <cfRule type="expression" priority="6175" dxfId="3">
      <formula>AND(IF(OR($Q43=1,$Q43=2),1,0),IF($X43&lt;=20,1,0))</formula>
    </cfRule>
    <cfRule type="expression" priority="6176" dxfId="2">
      <formula>AND(IF($Q43=2,1,0),IF($X43&lt;30,1,0))</formula>
    </cfRule>
    <cfRule type="expression" priority="6177" dxfId="1">
      <formula>AND(IF($Q43=3,1,0),IF($X43&lt;30,1,0))</formula>
    </cfRule>
    <cfRule type="expression" priority="6178" dxfId="0">
      <formula>AND(IF($Q43=3,1,IF($Q43=4,1,0)),IF($F43&lt;=85,1,0))</formula>
    </cfRule>
  </conditionalFormatting>
  <conditionalFormatting sqref="AV44">
    <cfRule type="expression" priority="6173" dxfId="19">
      <formula>AV44="X"</formula>
    </cfRule>
    <cfRule type="expression" priority="6174" dxfId="18">
      <formula>AV44="후보"</formula>
    </cfRule>
  </conditionalFormatting>
  <conditionalFormatting sqref="AC44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4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44">
    <cfRule type="expression" priority="6165" dxfId="3">
      <formula>AND(IF(OR($Q44=1,$Q44=2),1,0),IF($X44&lt;=20,1,0))</formula>
    </cfRule>
    <cfRule type="expression" priority="6166" dxfId="2">
      <formula>AND(IF($Q44=2,1,0),IF($X44&lt;30,1,0))</formula>
    </cfRule>
    <cfRule type="expression" priority="6167" dxfId="1">
      <formula>AND(IF($Q44=3,1,0),IF($X44&lt;30,1,0))</formula>
    </cfRule>
    <cfRule type="expression" priority="6168" dxfId="0">
      <formula>AND(IF($Q44=3,1,IF($Q44=4,1,0)),IF($F44&lt;=85,1,0))</formula>
    </cfRule>
  </conditionalFormatting>
  <conditionalFormatting sqref="X44">
    <cfRule type="expression" priority="6161" dxfId="3">
      <formula>AND(IF(OR($Q44=1,$Q44=2),1,0),IF($X44&lt;=20,1,0))</formula>
    </cfRule>
    <cfRule type="expression" priority="6162" dxfId="2">
      <formula>AND(IF($Q44=2,1,0),IF($X44&lt;30,1,0))</formula>
    </cfRule>
    <cfRule type="expression" priority="6163" dxfId="1">
      <formula>AND(IF($Q44=3,1,0),IF($X44&lt;30,1,0))</formula>
    </cfRule>
    <cfRule type="expression" priority="6164" dxfId="0">
      <formula>AND(IF($Q44=3,1,IF($Q44=4,1,0)),IF($F44&lt;=85,1,0))</formula>
    </cfRule>
  </conditionalFormatting>
  <conditionalFormatting sqref="AI44">
    <cfRule type="expression" priority="6157" dxfId="3">
      <formula>AND(IF(OR($Q44=1,$Q44=2),1,0),IF($X44&lt;=20,1,0))</formula>
    </cfRule>
    <cfRule type="expression" priority="6158" dxfId="2">
      <formula>AND(IF($Q44=2,1,0),IF($X44&lt;30,1,0))</formula>
    </cfRule>
    <cfRule type="expression" priority="6159" dxfId="1">
      <formula>AND(IF($Q44=3,1,0),IF($X44&lt;30,1,0))</formula>
    </cfRule>
    <cfRule type="expression" priority="6160" dxfId="0">
      <formula>AND(IF($Q44=3,1,IF($Q44=4,1,0)),IF($F44&lt;=85,1,0))</formula>
    </cfRule>
  </conditionalFormatting>
  <conditionalFormatting sqref="AV45">
    <cfRule type="expression" priority="6155" dxfId="19">
      <formula>AV45="X"</formula>
    </cfRule>
    <cfRule type="expression" priority="6156" dxfId="18">
      <formula>AV45="후보"</formula>
    </cfRule>
  </conditionalFormatting>
  <conditionalFormatting sqref="AC45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4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45">
    <cfRule type="expression" priority="6147" dxfId="3">
      <formula>AND(IF(OR($Q45=1,$Q45=2),1,0),IF($X45&lt;=20,1,0))</formula>
    </cfRule>
    <cfRule type="expression" priority="6148" dxfId="2">
      <formula>AND(IF($Q45=2,1,0),IF($X45&lt;30,1,0))</formula>
    </cfRule>
    <cfRule type="expression" priority="6149" dxfId="1">
      <formula>AND(IF($Q45=3,1,0),IF($X45&lt;30,1,0))</formula>
    </cfRule>
    <cfRule type="expression" priority="6150" dxfId="0">
      <formula>AND(IF($Q45=3,1,IF($Q45=4,1,0)),IF($F45&lt;=85,1,0))</formula>
    </cfRule>
  </conditionalFormatting>
  <conditionalFormatting sqref="X45">
    <cfRule type="expression" priority="6143" dxfId="3">
      <formula>AND(IF(OR($Q45=1,$Q45=2),1,0),IF($X45&lt;=20,1,0))</formula>
    </cfRule>
    <cfRule type="expression" priority="6144" dxfId="2">
      <formula>AND(IF($Q45=2,1,0),IF($X45&lt;30,1,0))</formula>
    </cfRule>
    <cfRule type="expression" priority="6145" dxfId="1">
      <formula>AND(IF($Q45=3,1,0),IF($X45&lt;30,1,0))</formula>
    </cfRule>
    <cfRule type="expression" priority="6146" dxfId="0">
      <formula>AND(IF($Q45=3,1,IF($Q45=4,1,0)),IF($F45&lt;=85,1,0))</formula>
    </cfRule>
  </conditionalFormatting>
  <conditionalFormatting sqref="AI45">
    <cfRule type="expression" priority="6139" dxfId="3">
      <formula>AND(IF(OR($Q45=1,$Q45=2),1,0),IF($X45&lt;=20,1,0))</formula>
    </cfRule>
    <cfRule type="expression" priority="6140" dxfId="2">
      <formula>AND(IF($Q45=2,1,0),IF($X45&lt;30,1,0))</formula>
    </cfRule>
    <cfRule type="expression" priority="6141" dxfId="1">
      <formula>AND(IF($Q45=3,1,0),IF($X45&lt;30,1,0))</formula>
    </cfRule>
    <cfRule type="expression" priority="6142" dxfId="0">
      <formula>AND(IF($Q45=3,1,IF($Q45=4,1,0)),IF($F45&lt;=85,1,0))</formula>
    </cfRule>
  </conditionalFormatting>
  <conditionalFormatting sqref="AV46">
    <cfRule type="expression" priority="6137" dxfId="19">
      <formula>AV46="X"</formula>
    </cfRule>
    <cfRule type="expression" priority="6138" dxfId="18">
      <formula>AV46="후보"</formula>
    </cfRule>
  </conditionalFormatting>
  <conditionalFormatting sqref="AC46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4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46">
    <cfRule type="expression" priority="6129" dxfId="3">
      <formula>AND(IF(OR($Q46=1,$Q46=2),1,0),IF($X46&lt;=20,1,0))</formula>
    </cfRule>
    <cfRule type="expression" priority="6130" dxfId="2">
      <formula>AND(IF($Q46=2,1,0),IF($X46&lt;30,1,0))</formula>
    </cfRule>
    <cfRule type="expression" priority="6131" dxfId="1">
      <formula>AND(IF($Q46=3,1,0),IF($X46&lt;30,1,0))</formula>
    </cfRule>
    <cfRule type="expression" priority="6132" dxfId="0">
      <formula>AND(IF($Q46=3,1,IF($Q46=4,1,0)),IF($F46&lt;=85,1,0))</formula>
    </cfRule>
  </conditionalFormatting>
  <conditionalFormatting sqref="X46">
    <cfRule type="expression" priority="6125" dxfId="3">
      <formula>AND(IF(OR($Q46=1,$Q46=2),1,0),IF($X46&lt;=20,1,0))</formula>
    </cfRule>
    <cfRule type="expression" priority="6126" dxfId="2">
      <formula>AND(IF($Q46=2,1,0),IF($X46&lt;30,1,0))</formula>
    </cfRule>
    <cfRule type="expression" priority="6127" dxfId="1">
      <formula>AND(IF($Q46=3,1,0),IF($X46&lt;30,1,0))</formula>
    </cfRule>
    <cfRule type="expression" priority="6128" dxfId="0">
      <formula>AND(IF($Q46=3,1,IF($Q46=4,1,0)),IF($F46&lt;=85,1,0))</formula>
    </cfRule>
  </conditionalFormatting>
  <conditionalFormatting sqref="AI46">
    <cfRule type="expression" priority="6121" dxfId="3">
      <formula>AND(IF(OR($Q46=1,$Q46=2),1,0),IF($X46&lt;=20,1,0))</formula>
    </cfRule>
    <cfRule type="expression" priority="6122" dxfId="2">
      <formula>AND(IF($Q46=2,1,0),IF($X46&lt;30,1,0))</formula>
    </cfRule>
    <cfRule type="expression" priority="6123" dxfId="1">
      <formula>AND(IF($Q46=3,1,0),IF($X46&lt;30,1,0))</formula>
    </cfRule>
    <cfRule type="expression" priority="6124" dxfId="0">
      <formula>AND(IF($Q46=3,1,IF($Q46=4,1,0)),IF($F46&lt;=85,1,0))</formula>
    </cfRule>
  </conditionalFormatting>
  <conditionalFormatting sqref="AV47">
    <cfRule type="expression" priority="6119" dxfId="19">
      <formula>AV47="X"</formula>
    </cfRule>
    <cfRule type="expression" priority="6120" dxfId="18">
      <formula>AV47="후보"</formula>
    </cfRule>
  </conditionalFormatting>
  <conditionalFormatting sqref="AC47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4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47">
    <cfRule type="expression" priority="6111" dxfId="3">
      <formula>AND(IF(OR($Q47=1,$Q47=2),1,0),IF($X47&lt;=20,1,0))</formula>
    </cfRule>
    <cfRule type="expression" priority="6112" dxfId="2">
      <formula>AND(IF($Q47=2,1,0),IF($X47&lt;30,1,0))</formula>
    </cfRule>
    <cfRule type="expression" priority="6113" dxfId="1">
      <formula>AND(IF($Q47=3,1,0),IF($X47&lt;30,1,0))</formula>
    </cfRule>
    <cfRule type="expression" priority="6114" dxfId="0">
      <formula>AND(IF($Q47=3,1,IF($Q47=4,1,0)),IF($F47&lt;=85,1,0))</formula>
    </cfRule>
  </conditionalFormatting>
  <conditionalFormatting sqref="X47">
    <cfRule type="expression" priority="6107" dxfId="3">
      <formula>AND(IF(OR($Q47=1,$Q47=2),1,0),IF($X47&lt;=20,1,0))</formula>
    </cfRule>
    <cfRule type="expression" priority="6108" dxfId="2">
      <formula>AND(IF($Q47=2,1,0),IF($X47&lt;30,1,0))</formula>
    </cfRule>
    <cfRule type="expression" priority="6109" dxfId="1">
      <formula>AND(IF($Q47=3,1,0),IF($X47&lt;30,1,0))</formula>
    </cfRule>
    <cfRule type="expression" priority="6110" dxfId="0">
      <formula>AND(IF($Q47=3,1,IF($Q47=4,1,0)),IF($F47&lt;=85,1,0))</formula>
    </cfRule>
  </conditionalFormatting>
  <conditionalFormatting sqref="AI47">
    <cfRule type="expression" priority="6103" dxfId="3">
      <formula>AND(IF(OR($Q47=1,$Q47=2),1,0),IF($X47&lt;=20,1,0))</formula>
    </cfRule>
    <cfRule type="expression" priority="6104" dxfId="2">
      <formula>AND(IF($Q47=2,1,0),IF($X47&lt;30,1,0))</formula>
    </cfRule>
    <cfRule type="expression" priority="6105" dxfId="1">
      <formula>AND(IF($Q47=3,1,0),IF($X47&lt;30,1,0))</formula>
    </cfRule>
    <cfRule type="expression" priority="6106" dxfId="0">
      <formula>AND(IF($Q47=3,1,IF($Q47=4,1,0)),IF($F47&lt;=85,1,0))</formula>
    </cfRule>
  </conditionalFormatting>
  <conditionalFormatting sqref="AV48">
    <cfRule type="expression" priority="6101" dxfId="19">
      <formula>AV48="X"</formula>
    </cfRule>
    <cfRule type="expression" priority="6102" dxfId="18">
      <formula>AV48="후보"</formula>
    </cfRule>
  </conditionalFormatting>
  <conditionalFormatting sqref="AC48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48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48">
    <cfRule type="expression" priority="6093" dxfId="3">
      <formula>AND(IF(OR($Q48=1,$Q48=2),1,0),IF($X48&lt;=20,1,0))</formula>
    </cfRule>
    <cfRule type="expression" priority="6094" dxfId="2">
      <formula>AND(IF($Q48=2,1,0),IF($X48&lt;30,1,0))</formula>
    </cfRule>
    <cfRule type="expression" priority="6095" dxfId="1">
      <formula>AND(IF($Q48=3,1,0),IF($X48&lt;30,1,0))</formula>
    </cfRule>
    <cfRule type="expression" priority="6096" dxfId="0">
      <formula>AND(IF($Q48=3,1,IF($Q48=4,1,0)),IF($F48&lt;=85,1,0))</formula>
    </cfRule>
  </conditionalFormatting>
  <conditionalFormatting sqref="X48">
    <cfRule type="expression" priority="6089" dxfId="3">
      <formula>AND(IF(OR($Q48=1,$Q48=2),1,0),IF($X48&lt;=20,1,0))</formula>
    </cfRule>
    <cfRule type="expression" priority="6090" dxfId="2">
      <formula>AND(IF($Q48=2,1,0),IF($X48&lt;30,1,0))</formula>
    </cfRule>
    <cfRule type="expression" priority="6091" dxfId="1">
      <formula>AND(IF($Q48=3,1,0),IF($X48&lt;30,1,0))</formula>
    </cfRule>
    <cfRule type="expression" priority="6092" dxfId="0">
      <formula>AND(IF($Q48=3,1,IF($Q48=4,1,0)),IF($F48&lt;=85,1,0))</formula>
    </cfRule>
  </conditionalFormatting>
  <conditionalFormatting sqref="AI48">
    <cfRule type="expression" priority="6085" dxfId="3">
      <formula>AND(IF(OR($Q48=1,$Q48=2),1,0),IF($X48&lt;=20,1,0))</formula>
    </cfRule>
    <cfRule type="expression" priority="6086" dxfId="2">
      <formula>AND(IF($Q48=2,1,0),IF($X48&lt;30,1,0))</formula>
    </cfRule>
    <cfRule type="expression" priority="6087" dxfId="1">
      <formula>AND(IF($Q48=3,1,0),IF($X48&lt;30,1,0))</formula>
    </cfRule>
    <cfRule type="expression" priority="6088" dxfId="0">
      <formula>AND(IF($Q48=3,1,IF($Q48=4,1,0)),IF($F48&lt;=85,1,0))</formula>
    </cfRule>
  </conditionalFormatting>
  <conditionalFormatting sqref="AV49">
    <cfRule type="expression" priority="6083" dxfId="19">
      <formula>AV49="X"</formula>
    </cfRule>
    <cfRule type="expression" priority="6084" dxfId="18">
      <formula>AV49="후보"</formula>
    </cfRule>
  </conditionalFormatting>
  <conditionalFormatting sqref="AC49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49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49">
    <cfRule type="expression" priority="6075" dxfId="3">
      <formula>AND(IF(OR($Q49=1,$Q49=2),1,0),IF($X49&lt;=20,1,0))</formula>
    </cfRule>
    <cfRule type="expression" priority="6076" dxfId="2">
      <formula>AND(IF($Q49=2,1,0),IF($X49&lt;30,1,0))</formula>
    </cfRule>
    <cfRule type="expression" priority="6077" dxfId="1">
      <formula>AND(IF($Q49=3,1,0),IF($X49&lt;30,1,0))</formula>
    </cfRule>
    <cfRule type="expression" priority="6078" dxfId="0">
      <formula>AND(IF($Q49=3,1,IF($Q49=4,1,0)),IF($F49&lt;=85,1,0))</formula>
    </cfRule>
  </conditionalFormatting>
  <conditionalFormatting sqref="X49">
    <cfRule type="expression" priority="6071" dxfId="3">
      <formula>AND(IF(OR($Q49=1,$Q49=2),1,0),IF($X49&lt;=20,1,0))</formula>
    </cfRule>
    <cfRule type="expression" priority="6072" dxfId="2">
      <formula>AND(IF($Q49=2,1,0),IF($X49&lt;30,1,0))</formula>
    </cfRule>
    <cfRule type="expression" priority="6073" dxfId="1">
      <formula>AND(IF($Q49=3,1,0),IF($X49&lt;30,1,0))</formula>
    </cfRule>
    <cfRule type="expression" priority="6074" dxfId="0">
      <formula>AND(IF($Q49=3,1,IF($Q49=4,1,0)),IF($F49&lt;=85,1,0))</formula>
    </cfRule>
  </conditionalFormatting>
  <conditionalFormatting sqref="AI49">
    <cfRule type="expression" priority="6067" dxfId="3">
      <formula>AND(IF(OR($Q49=1,$Q49=2),1,0),IF($X49&lt;=20,1,0))</formula>
    </cfRule>
    <cfRule type="expression" priority="6068" dxfId="2">
      <formula>AND(IF($Q49=2,1,0),IF($X49&lt;30,1,0))</formula>
    </cfRule>
    <cfRule type="expression" priority="6069" dxfId="1">
      <formula>AND(IF($Q49=3,1,0),IF($X49&lt;30,1,0))</formula>
    </cfRule>
    <cfRule type="expression" priority="6070" dxfId="0">
      <formula>AND(IF($Q49=3,1,IF($Q49=4,1,0)),IF($F49&lt;=85,1,0))</formula>
    </cfRule>
  </conditionalFormatting>
  <conditionalFormatting sqref="AV50">
    <cfRule type="expression" priority="6065" dxfId="19">
      <formula>AV50="X"</formula>
    </cfRule>
    <cfRule type="expression" priority="6066" dxfId="18">
      <formula>AV50="후보"</formula>
    </cfRule>
  </conditionalFormatting>
  <conditionalFormatting sqref="AC50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0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0">
    <cfRule type="expression" priority="6057" dxfId="3">
      <formula>AND(IF(OR($Q50=1,$Q50=2),1,0),IF($X50&lt;=20,1,0))</formula>
    </cfRule>
    <cfRule type="expression" priority="6058" dxfId="2">
      <formula>AND(IF($Q50=2,1,0),IF($X50&lt;30,1,0))</formula>
    </cfRule>
    <cfRule type="expression" priority="6059" dxfId="1">
      <formula>AND(IF($Q50=3,1,0),IF($X50&lt;30,1,0))</formula>
    </cfRule>
    <cfRule type="expression" priority="6060" dxfId="0">
      <formula>AND(IF($Q50=3,1,IF($Q50=4,1,0)),IF($F50&lt;=85,1,0))</formula>
    </cfRule>
  </conditionalFormatting>
  <conditionalFormatting sqref="X50">
    <cfRule type="expression" priority="6053" dxfId="3">
      <formula>AND(IF(OR($Q50=1,$Q50=2),1,0),IF($X50&lt;=20,1,0))</formula>
    </cfRule>
    <cfRule type="expression" priority="6054" dxfId="2">
      <formula>AND(IF($Q50=2,1,0),IF($X50&lt;30,1,0))</formula>
    </cfRule>
    <cfRule type="expression" priority="6055" dxfId="1">
      <formula>AND(IF($Q50=3,1,0),IF($X50&lt;30,1,0))</formula>
    </cfRule>
    <cfRule type="expression" priority="6056" dxfId="0">
      <formula>AND(IF($Q50=3,1,IF($Q50=4,1,0)),IF($F50&lt;=85,1,0))</formula>
    </cfRule>
  </conditionalFormatting>
  <conditionalFormatting sqref="AI50">
    <cfRule type="expression" priority="6049" dxfId="3">
      <formula>AND(IF(OR($Q50=1,$Q50=2),1,0),IF($X50&lt;=20,1,0))</formula>
    </cfRule>
    <cfRule type="expression" priority="6050" dxfId="2">
      <formula>AND(IF($Q50=2,1,0),IF($X50&lt;30,1,0))</formula>
    </cfRule>
    <cfRule type="expression" priority="6051" dxfId="1">
      <formula>AND(IF($Q50=3,1,0),IF($X50&lt;30,1,0))</formula>
    </cfRule>
    <cfRule type="expression" priority="6052" dxfId="0">
      <formula>AND(IF($Q50=3,1,IF($Q50=4,1,0)),IF($F50&lt;=85,1,0))</formula>
    </cfRule>
  </conditionalFormatting>
  <conditionalFormatting sqref="AV51">
    <cfRule type="expression" priority="6047" dxfId="19">
      <formula>AV51="X"</formula>
    </cfRule>
    <cfRule type="expression" priority="6048" dxfId="18">
      <formula>AV51="후보"</formula>
    </cfRule>
  </conditionalFormatting>
  <conditionalFormatting sqref="AC51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1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1">
    <cfRule type="expression" priority="6039" dxfId="3">
      <formula>AND(IF(OR($Q51=1,$Q51=2),1,0),IF($X51&lt;=20,1,0))</formula>
    </cfRule>
    <cfRule type="expression" priority="6040" dxfId="2">
      <formula>AND(IF($Q51=2,1,0),IF($X51&lt;30,1,0))</formula>
    </cfRule>
    <cfRule type="expression" priority="6041" dxfId="1">
      <formula>AND(IF($Q51=3,1,0),IF($X51&lt;30,1,0))</formula>
    </cfRule>
    <cfRule type="expression" priority="6042" dxfId="0">
      <formula>AND(IF($Q51=3,1,IF($Q51=4,1,0)),IF($F51&lt;=85,1,0))</formula>
    </cfRule>
  </conditionalFormatting>
  <conditionalFormatting sqref="X51">
    <cfRule type="expression" priority="6035" dxfId="3">
      <formula>AND(IF(OR($Q51=1,$Q51=2),1,0),IF($X51&lt;=20,1,0))</formula>
    </cfRule>
    <cfRule type="expression" priority="6036" dxfId="2">
      <formula>AND(IF($Q51=2,1,0),IF($X51&lt;30,1,0))</formula>
    </cfRule>
    <cfRule type="expression" priority="6037" dxfId="1">
      <formula>AND(IF($Q51=3,1,0),IF($X51&lt;30,1,0))</formula>
    </cfRule>
    <cfRule type="expression" priority="6038" dxfId="0">
      <formula>AND(IF($Q51=3,1,IF($Q51=4,1,0)),IF($F51&lt;=85,1,0))</formula>
    </cfRule>
  </conditionalFormatting>
  <conditionalFormatting sqref="AI51">
    <cfRule type="expression" priority="6031" dxfId="3">
      <formula>AND(IF(OR($Q51=1,$Q51=2),1,0),IF($X51&lt;=20,1,0))</formula>
    </cfRule>
    <cfRule type="expression" priority="6032" dxfId="2">
      <formula>AND(IF($Q51=2,1,0),IF($X51&lt;30,1,0))</formula>
    </cfRule>
    <cfRule type="expression" priority="6033" dxfId="1">
      <formula>AND(IF($Q51=3,1,0),IF($X51&lt;30,1,0))</formula>
    </cfRule>
    <cfRule type="expression" priority="6034" dxfId="0">
      <formula>AND(IF($Q51=3,1,IF($Q51=4,1,0)),IF($F51&lt;=85,1,0))</formula>
    </cfRule>
  </conditionalFormatting>
  <conditionalFormatting sqref="AV52">
    <cfRule type="expression" priority="6029" dxfId="19">
      <formula>AV52="X"</formula>
    </cfRule>
    <cfRule type="expression" priority="6030" dxfId="18">
      <formula>AV52="후보"</formula>
    </cfRule>
  </conditionalFormatting>
  <conditionalFormatting sqref="AC52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2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2">
    <cfRule type="expression" priority="6021" dxfId="3">
      <formula>AND(IF(OR($Q52=1,$Q52=2),1,0),IF($X52&lt;=20,1,0))</formula>
    </cfRule>
    <cfRule type="expression" priority="6022" dxfId="2">
      <formula>AND(IF($Q52=2,1,0),IF($X52&lt;30,1,0))</formula>
    </cfRule>
    <cfRule type="expression" priority="6023" dxfId="1">
      <formula>AND(IF($Q52=3,1,0),IF($X52&lt;30,1,0))</formula>
    </cfRule>
    <cfRule type="expression" priority="6024" dxfId="0">
      <formula>AND(IF($Q52=3,1,IF($Q52=4,1,0)),IF($F52&lt;=85,1,0))</formula>
    </cfRule>
  </conditionalFormatting>
  <conditionalFormatting sqref="X52">
    <cfRule type="expression" priority="6017" dxfId="3">
      <formula>AND(IF(OR($Q52=1,$Q52=2),1,0),IF($X52&lt;=20,1,0))</formula>
    </cfRule>
    <cfRule type="expression" priority="6018" dxfId="2">
      <formula>AND(IF($Q52=2,1,0),IF($X52&lt;30,1,0))</formula>
    </cfRule>
    <cfRule type="expression" priority="6019" dxfId="1">
      <formula>AND(IF($Q52=3,1,0),IF($X52&lt;30,1,0))</formula>
    </cfRule>
    <cfRule type="expression" priority="6020" dxfId="0">
      <formula>AND(IF($Q52=3,1,IF($Q52=4,1,0)),IF($F52&lt;=85,1,0))</formula>
    </cfRule>
  </conditionalFormatting>
  <conditionalFormatting sqref="AI52">
    <cfRule type="expression" priority="6013" dxfId="3">
      <formula>AND(IF(OR($Q52=1,$Q52=2),1,0),IF($X52&lt;=20,1,0))</formula>
    </cfRule>
    <cfRule type="expression" priority="6014" dxfId="2">
      <formula>AND(IF($Q52=2,1,0),IF($X52&lt;30,1,0))</formula>
    </cfRule>
    <cfRule type="expression" priority="6015" dxfId="1">
      <formula>AND(IF($Q52=3,1,0),IF($X52&lt;30,1,0))</formula>
    </cfRule>
    <cfRule type="expression" priority="6016" dxfId="0">
      <formula>AND(IF($Q52=3,1,IF($Q52=4,1,0)),IF($F52&lt;=85,1,0))</formula>
    </cfRule>
  </conditionalFormatting>
  <conditionalFormatting sqref="AV53">
    <cfRule type="expression" priority="6011" dxfId="19">
      <formula>AV53="X"</formula>
    </cfRule>
    <cfRule type="expression" priority="6012" dxfId="18">
      <formula>AV53="후보"</formula>
    </cfRule>
  </conditionalFormatting>
  <conditionalFormatting sqref="AC53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">
    <cfRule type="expression" priority="6003" dxfId="3">
      <formula>AND(IF(OR($Q53=1,$Q53=2),1,0),IF($X53&lt;=20,1,0))</formula>
    </cfRule>
    <cfRule type="expression" priority="6004" dxfId="2">
      <formula>AND(IF($Q53=2,1,0),IF($X53&lt;30,1,0))</formula>
    </cfRule>
    <cfRule type="expression" priority="6005" dxfId="1">
      <formula>AND(IF($Q53=3,1,0),IF($X53&lt;30,1,0))</formula>
    </cfRule>
    <cfRule type="expression" priority="6006" dxfId="0">
      <formula>AND(IF($Q53=3,1,IF($Q53=4,1,0)),IF($F53&lt;=85,1,0))</formula>
    </cfRule>
  </conditionalFormatting>
  <conditionalFormatting sqref="X53">
    <cfRule type="expression" priority="5999" dxfId="3">
      <formula>AND(IF(OR($Q53=1,$Q53=2),1,0),IF($X53&lt;=20,1,0))</formula>
    </cfRule>
    <cfRule type="expression" priority="6000" dxfId="2">
      <formula>AND(IF($Q53=2,1,0),IF($X53&lt;30,1,0))</formula>
    </cfRule>
    <cfRule type="expression" priority="6001" dxfId="1">
      <formula>AND(IF($Q53=3,1,0),IF($X53&lt;30,1,0))</formula>
    </cfRule>
    <cfRule type="expression" priority="6002" dxfId="0">
      <formula>AND(IF($Q53=3,1,IF($Q53=4,1,0)),IF($F53&lt;=85,1,0))</formula>
    </cfRule>
  </conditionalFormatting>
  <conditionalFormatting sqref="AI53">
    <cfRule type="expression" priority="5995" dxfId="3">
      <formula>AND(IF(OR($Q53=1,$Q53=2),1,0),IF($X53&lt;=20,1,0))</formula>
    </cfRule>
    <cfRule type="expression" priority="5996" dxfId="2">
      <formula>AND(IF($Q53=2,1,0),IF($X53&lt;30,1,0))</formula>
    </cfRule>
    <cfRule type="expression" priority="5997" dxfId="1">
      <formula>AND(IF($Q53=3,1,0),IF($X53&lt;30,1,0))</formula>
    </cfRule>
    <cfRule type="expression" priority="5998" dxfId="0">
      <formula>AND(IF($Q53=3,1,IF($Q53=4,1,0)),IF($F53&lt;=85,1,0))</formula>
    </cfRule>
  </conditionalFormatting>
  <conditionalFormatting sqref="AV54">
    <cfRule type="expression" priority="5993" dxfId="19">
      <formula>AV54="X"</formula>
    </cfRule>
    <cfRule type="expression" priority="5994" dxfId="18">
      <formula>AV54="후보"</formula>
    </cfRule>
  </conditionalFormatting>
  <conditionalFormatting sqref="AC54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">
    <cfRule type="expression" priority="5985" dxfId="3">
      <formula>AND(IF(OR($Q54=1,$Q54=2),1,0),IF($X54&lt;=20,1,0))</formula>
    </cfRule>
    <cfRule type="expression" priority="5986" dxfId="2">
      <formula>AND(IF($Q54=2,1,0),IF($X54&lt;30,1,0))</formula>
    </cfRule>
    <cfRule type="expression" priority="5987" dxfId="1">
      <formula>AND(IF($Q54=3,1,0),IF($X54&lt;30,1,0))</formula>
    </cfRule>
    <cfRule type="expression" priority="5988" dxfId="0">
      <formula>AND(IF($Q54=3,1,IF($Q54=4,1,0)),IF($F54&lt;=85,1,0))</formula>
    </cfRule>
  </conditionalFormatting>
  <conditionalFormatting sqref="X54">
    <cfRule type="expression" priority="5981" dxfId="3">
      <formula>AND(IF(OR($Q54=1,$Q54=2),1,0),IF($X54&lt;=20,1,0))</formula>
    </cfRule>
    <cfRule type="expression" priority="5982" dxfId="2">
      <formula>AND(IF($Q54=2,1,0),IF($X54&lt;30,1,0))</formula>
    </cfRule>
    <cfRule type="expression" priority="5983" dxfId="1">
      <formula>AND(IF($Q54=3,1,0),IF($X54&lt;30,1,0))</formula>
    </cfRule>
    <cfRule type="expression" priority="5984" dxfId="0">
      <formula>AND(IF($Q54=3,1,IF($Q54=4,1,0)),IF($F54&lt;=85,1,0))</formula>
    </cfRule>
  </conditionalFormatting>
  <conditionalFormatting sqref="AI54">
    <cfRule type="expression" priority="5977" dxfId="3">
      <formula>AND(IF(OR($Q54=1,$Q54=2),1,0),IF($X54&lt;=20,1,0))</formula>
    </cfRule>
    <cfRule type="expression" priority="5978" dxfId="2">
      <formula>AND(IF($Q54=2,1,0),IF($X54&lt;30,1,0))</formula>
    </cfRule>
    <cfRule type="expression" priority="5979" dxfId="1">
      <formula>AND(IF($Q54=3,1,0),IF($X54&lt;30,1,0))</formula>
    </cfRule>
    <cfRule type="expression" priority="5980" dxfId="0">
      <formula>AND(IF($Q54=3,1,IF($Q54=4,1,0)),IF($F54&lt;=85,1,0))</formula>
    </cfRule>
  </conditionalFormatting>
  <conditionalFormatting sqref="AV55">
    <cfRule type="expression" priority="5975" dxfId="19">
      <formula>AV55="X"</formula>
    </cfRule>
    <cfRule type="expression" priority="5976" dxfId="18">
      <formula>AV55="후보"</formula>
    </cfRule>
  </conditionalFormatting>
  <conditionalFormatting sqref="AC55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5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5">
    <cfRule type="expression" priority="5967" dxfId="3">
      <formula>AND(IF(OR($Q55=1,$Q55=2),1,0),IF($X55&lt;=20,1,0))</formula>
    </cfRule>
    <cfRule type="expression" priority="5968" dxfId="2">
      <formula>AND(IF($Q55=2,1,0),IF($X55&lt;30,1,0))</formula>
    </cfRule>
    <cfRule type="expression" priority="5969" dxfId="1">
      <formula>AND(IF($Q55=3,1,0),IF($X55&lt;30,1,0))</formula>
    </cfRule>
    <cfRule type="expression" priority="5970" dxfId="0">
      <formula>AND(IF($Q55=3,1,IF($Q55=4,1,0)),IF($F55&lt;=85,1,0))</formula>
    </cfRule>
  </conditionalFormatting>
  <conditionalFormatting sqref="X55">
    <cfRule type="expression" priority="5963" dxfId="3">
      <formula>AND(IF(OR($Q55=1,$Q55=2),1,0),IF($X55&lt;=20,1,0))</formula>
    </cfRule>
    <cfRule type="expression" priority="5964" dxfId="2">
      <formula>AND(IF($Q55=2,1,0),IF($X55&lt;30,1,0))</formula>
    </cfRule>
    <cfRule type="expression" priority="5965" dxfId="1">
      <formula>AND(IF($Q55=3,1,0),IF($X55&lt;30,1,0))</formula>
    </cfRule>
    <cfRule type="expression" priority="5966" dxfId="0">
      <formula>AND(IF($Q55=3,1,IF($Q55=4,1,0)),IF($F55&lt;=85,1,0))</formula>
    </cfRule>
  </conditionalFormatting>
  <conditionalFormatting sqref="AI55">
    <cfRule type="expression" priority="5959" dxfId="3">
      <formula>AND(IF(OR($Q55=1,$Q55=2),1,0),IF($X55&lt;=20,1,0))</formula>
    </cfRule>
    <cfRule type="expression" priority="5960" dxfId="2">
      <formula>AND(IF($Q55=2,1,0),IF($X55&lt;30,1,0))</formula>
    </cfRule>
    <cfRule type="expression" priority="5961" dxfId="1">
      <formula>AND(IF($Q55=3,1,0),IF($X55&lt;30,1,0))</formula>
    </cfRule>
    <cfRule type="expression" priority="5962" dxfId="0">
      <formula>AND(IF($Q55=3,1,IF($Q55=4,1,0)),IF($F55&lt;=85,1,0))</formula>
    </cfRule>
  </conditionalFormatting>
  <conditionalFormatting sqref="AV56">
    <cfRule type="expression" priority="5957" dxfId="19">
      <formula>AV56="X"</formula>
    </cfRule>
    <cfRule type="expression" priority="5958" dxfId="18">
      <formula>AV56="후보"</formula>
    </cfRule>
  </conditionalFormatting>
  <conditionalFormatting sqref="AC56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6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6">
    <cfRule type="expression" priority="5949" dxfId="3">
      <formula>AND(IF(OR($Q56=1,$Q56=2),1,0),IF($X56&lt;=20,1,0))</formula>
    </cfRule>
    <cfRule type="expression" priority="5950" dxfId="2">
      <formula>AND(IF($Q56=2,1,0),IF($X56&lt;30,1,0))</formula>
    </cfRule>
    <cfRule type="expression" priority="5951" dxfId="1">
      <formula>AND(IF($Q56=3,1,0),IF($X56&lt;30,1,0))</formula>
    </cfRule>
    <cfRule type="expression" priority="5952" dxfId="0">
      <formula>AND(IF($Q56=3,1,IF($Q56=4,1,0)),IF($F56&lt;=85,1,0))</formula>
    </cfRule>
  </conditionalFormatting>
  <conditionalFormatting sqref="X56">
    <cfRule type="expression" priority="5945" dxfId="3">
      <formula>AND(IF(OR($Q56=1,$Q56=2),1,0),IF($X56&lt;=20,1,0))</formula>
    </cfRule>
    <cfRule type="expression" priority="5946" dxfId="2">
      <formula>AND(IF($Q56=2,1,0),IF($X56&lt;30,1,0))</formula>
    </cfRule>
    <cfRule type="expression" priority="5947" dxfId="1">
      <formula>AND(IF($Q56=3,1,0),IF($X56&lt;30,1,0))</formula>
    </cfRule>
    <cfRule type="expression" priority="5948" dxfId="0">
      <formula>AND(IF($Q56=3,1,IF($Q56=4,1,0)),IF($F56&lt;=85,1,0))</formula>
    </cfRule>
  </conditionalFormatting>
  <conditionalFormatting sqref="AI56">
    <cfRule type="expression" priority="5941" dxfId="3">
      <formula>AND(IF(OR($Q56=1,$Q56=2),1,0),IF($X56&lt;=20,1,0))</formula>
    </cfRule>
    <cfRule type="expression" priority="5942" dxfId="2">
      <formula>AND(IF($Q56=2,1,0),IF($X56&lt;30,1,0))</formula>
    </cfRule>
    <cfRule type="expression" priority="5943" dxfId="1">
      <formula>AND(IF($Q56=3,1,0),IF($X56&lt;30,1,0))</formula>
    </cfRule>
    <cfRule type="expression" priority="5944" dxfId="0">
      <formula>AND(IF($Q56=3,1,IF($Q56=4,1,0)),IF($F56&lt;=85,1,0))</formula>
    </cfRule>
  </conditionalFormatting>
  <conditionalFormatting sqref="AV57">
    <cfRule type="expression" priority="5939" dxfId="19">
      <formula>AV57="X"</formula>
    </cfRule>
    <cfRule type="expression" priority="5940" dxfId="18">
      <formula>AV57="후보"</formula>
    </cfRule>
  </conditionalFormatting>
  <conditionalFormatting sqref="AC57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7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7">
    <cfRule type="expression" priority="5931" dxfId="3">
      <formula>AND(IF(OR($Q57=1,$Q57=2),1,0),IF($X57&lt;=20,1,0))</formula>
    </cfRule>
    <cfRule type="expression" priority="5932" dxfId="2">
      <formula>AND(IF($Q57=2,1,0),IF($X57&lt;30,1,0))</formula>
    </cfRule>
    <cfRule type="expression" priority="5933" dxfId="1">
      <formula>AND(IF($Q57=3,1,0),IF($X57&lt;30,1,0))</formula>
    </cfRule>
    <cfRule type="expression" priority="5934" dxfId="0">
      <formula>AND(IF($Q57=3,1,IF($Q57=4,1,0)),IF($F57&lt;=85,1,0))</formula>
    </cfRule>
  </conditionalFormatting>
  <conditionalFormatting sqref="X57">
    <cfRule type="expression" priority="5927" dxfId="3">
      <formula>AND(IF(OR($Q57=1,$Q57=2),1,0),IF($X57&lt;=20,1,0))</formula>
    </cfRule>
    <cfRule type="expression" priority="5928" dxfId="2">
      <formula>AND(IF($Q57=2,1,0),IF($X57&lt;30,1,0))</formula>
    </cfRule>
    <cfRule type="expression" priority="5929" dxfId="1">
      <formula>AND(IF($Q57=3,1,0),IF($X57&lt;30,1,0))</formula>
    </cfRule>
    <cfRule type="expression" priority="5930" dxfId="0">
      <formula>AND(IF($Q57=3,1,IF($Q57=4,1,0)),IF($F57&lt;=85,1,0))</formula>
    </cfRule>
  </conditionalFormatting>
  <conditionalFormatting sqref="AI57">
    <cfRule type="expression" priority="5923" dxfId="3">
      <formula>AND(IF(OR($Q57=1,$Q57=2),1,0),IF($X57&lt;=20,1,0))</formula>
    </cfRule>
    <cfRule type="expression" priority="5924" dxfId="2">
      <formula>AND(IF($Q57=2,1,0),IF($X57&lt;30,1,0))</formula>
    </cfRule>
    <cfRule type="expression" priority="5925" dxfId="1">
      <formula>AND(IF($Q57=3,1,0),IF($X57&lt;30,1,0))</formula>
    </cfRule>
    <cfRule type="expression" priority="5926" dxfId="0">
      <formula>AND(IF($Q57=3,1,IF($Q57=4,1,0)),IF($F57&lt;=85,1,0))</formula>
    </cfRule>
  </conditionalFormatting>
  <conditionalFormatting sqref="AV58">
    <cfRule type="expression" priority="5921" dxfId="19">
      <formula>AV58="X"</formula>
    </cfRule>
    <cfRule type="expression" priority="5922" dxfId="18">
      <formula>AV58="후보"</formula>
    </cfRule>
  </conditionalFormatting>
  <conditionalFormatting sqref="AC58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8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8">
    <cfRule type="expression" priority="5913" dxfId="3">
      <formula>AND(IF(OR($Q58=1,$Q58=2),1,0),IF($X58&lt;=20,1,0))</formula>
    </cfRule>
    <cfRule type="expression" priority="5914" dxfId="2">
      <formula>AND(IF($Q58=2,1,0),IF($X58&lt;30,1,0))</formula>
    </cfRule>
    <cfRule type="expression" priority="5915" dxfId="1">
      <formula>AND(IF($Q58=3,1,0),IF($X58&lt;30,1,0))</formula>
    </cfRule>
    <cfRule type="expression" priority="5916" dxfId="0">
      <formula>AND(IF($Q58=3,1,IF($Q58=4,1,0)),IF($F58&lt;=85,1,0))</formula>
    </cfRule>
  </conditionalFormatting>
  <conditionalFormatting sqref="X58">
    <cfRule type="expression" priority="5909" dxfId="3">
      <formula>AND(IF(OR($Q58=1,$Q58=2),1,0),IF($X58&lt;=20,1,0))</formula>
    </cfRule>
    <cfRule type="expression" priority="5910" dxfId="2">
      <formula>AND(IF($Q58=2,1,0),IF($X58&lt;30,1,0))</formula>
    </cfRule>
    <cfRule type="expression" priority="5911" dxfId="1">
      <formula>AND(IF($Q58=3,1,0),IF($X58&lt;30,1,0))</formula>
    </cfRule>
    <cfRule type="expression" priority="5912" dxfId="0">
      <formula>AND(IF($Q58=3,1,IF($Q58=4,1,0)),IF($F58&lt;=85,1,0))</formula>
    </cfRule>
  </conditionalFormatting>
  <conditionalFormatting sqref="AI58">
    <cfRule type="expression" priority="5905" dxfId="3">
      <formula>AND(IF(OR($Q58=1,$Q58=2),1,0),IF($X58&lt;=20,1,0))</formula>
    </cfRule>
    <cfRule type="expression" priority="5906" dxfId="2">
      <formula>AND(IF($Q58=2,1,0),IF($X58&lt;30,1,0))</formula>
    </cfRule>
    <cfRule type="expression" priority="5907" dxfId="1">
      <formula>AND(IF($Q58=3,1,0),IF($X58&lt;30,1,0))</formula>
    </cfRule>
    <cfRule type="expression" priority="5908" dxfId="0">
      <formula>AND(IF($Q58=3,1,IF($Q58=4,1,0)),IF($F58&lt;=85,1,0))</formula>
    </cfRule>
  </conditionalFormatting>
  <conditionalFormatting sqref="AV59">
    <cfRule type="expression" priority="5903" dxfId="19">
      <formula>AV59="X"</formula>
    </cfRule>
    <cfRule type="expression" priority="5904" dxfId="18">
      <formula>AV59="후보"</formula>
    </cfRule>
  </conditionalFormatting>
  <conditionalFormatting sqref="AC59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9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9">
    <cfRule type="expression" priority="5895" dxfId="3">
      <formula>AND(IF(OR($Q59=1,$Q59=2),1,0),IF($X59&lt;=20,1,0))</formula>
    </cfRule>
    <cfRule type="expression" priority="5896" dxfId="2">
      <formula>AND(IF($Q59=2,1,0),IF($X59&lt;30,1,0))</formula>
    </cfRule>
    <cfRule type="expression" priority="5897" dxfId="1">
      <formula>AND(IF($Q59=3,1,0),IF($X59&lt;30,1,0))</formula>
    </cfRule>
    <cfRule type="expression" priority="5898" dxfId="0">
      <formula>AND(IF($Q59=3,1,IF($Q59=4,1,0)),IF($F59&lt;=85,1,0))</formula>
    </cfRule>
  </conditionalFormatting>
  <conditionalFormatting sqref="X59">
    <cfRule type="expression" priority="5891" dxfId="3">
      <formula>AND(IF(OR($Q59=1,$Q59=2),1,0),IF($X59&lt;=20,1,0))</formula>
    </cfRule>
    <cfRule type="expression" priority="5892" dxfId="2">
      <formula>AND(IF($Q59=2,1,0),IF($X59&lt;30,1,0))</formula>
    </cfRule>
    <cfRule type="expression" priority="5893" dxfId="1">
      <formula>AND(IF($Q59=3,1,0),IF($X59&lt;30,1,0))</formula>
    </cfRule>
    <cfRule type="expression" priority="5894" dxfId="0">
      <formula>AND(IF($Q59=3,1,IF($Q59=4,1,0)),IF($F59&lt;=85,1,0))</formula>
    </cfRule>
  </conditionalFormatting>
  <conditionalFormatting sqref="AI59">
    <cfRule type="expression" priority="5887" dxfId="3">
      <formula>AND(IF(OR($Q59=1,$Q59=2),1,0),IF($X59&lt;=20,1,0))</formula>
    </cfRule>
    <cfRule type="expression" priority="5888" dxfId="2">
      <formula>AND(IF($Q59=2,1,0),IF($X59&lt;30,1,0))</formula>
    </cfRule>
    <cfRule type="expression" priority="5889" dxfId="1">
      <formula>AND(IF($Q59=3,1,0),IF($X59&lt;30,1,0))</formula>
    </cfRule>
    <cfRule type="expression" priority="5890" dxfId="0">
      <formula>AND(IF($Q59=3,1,IF($Q59=4,1,0)),IF($F59&lt;=85,1,0))</formula>
    </cfRule>
  </conditionalFormatting>
  <conditionalFormatting sqref="AV60">
    <cfRule type="expression" priority="5885" dxfId="19">
      <formula>AV60="X"</formula>
    </cfRule>
    <cfRule type="expression" priority="5886" dxfId="18">
      <formula>AV60="후보"</formula>
    </cfRule>
  </conditionalFormatting>
  <conditionalFormatting sqref="AC60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60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60">
    <cfRule type="expression" priority="5877" dxfId="3">
      <formula>AND(IF(OR($Q60=1,$Q60=2),1,0),IF($X60&lt;=20,1,0))</formula>
    </cfRule>
    <cfRule type="expression" priority="5878" dxfId="2">
      <formula>AND(IF($Q60=2,1,0),IF($X60&lt;30,1,0))</formula>
    </cfRule>
    <cfRule type="expression" priority="5879" dxfId="1">
      <formula>AND(IF($Q60=3,1,0),IF($X60&lt;30,1,0))</formula>
    </cfRule>
    <cfRule type="expression" priority="5880" dxfId="0">
      <formula>AND(IF($Q60=3,1,IF($Q60=4,1,0)),IF($F60&lt;=85,1,0))</formula>
    </cfRule>
  </conditionalFormatting>
  <conditionalFormatting sqref="X60">
    <cfRule type="expression" priority="5873" dxfId="3">
      <formula>AND(IF(OR($Q60=1,$Q60=2),1,0),IF($X60&lt;=20,1,0))</formula>
    </cfRule>
    <cfRule type="expression" priority="5874" dxfId="2">
      <formula>AND(IF($Q60=2,1,0),IF($X60&lt;30,1,0))</formula>
    </cfRule>
    <cfRule type="expression" priority="5875" dxfId="1">
      <formula>AND(IF($Q60=3,1,0),IF($X60&lt;30,1,0))</formula>
    </cfRule>
    <cfRule type="expression" priority="5876" dxfId="0">
      <formula>AND(IF($Q60=3,1,IF($Q60=4,1,0)),IF($F60&lt;=85,1,0))</formula>
    </cfRule>
  </conditionalFormatting>
  <conditionalFormatting sqref="AI60">
    <cfRule type="expression" priority="5869" dxfId="3">
      <formula>AND(IF(OR($Q60=1,$Q60=2),1,0),IF($X60&lt;=20,1,0))</formula>
    </cfRule>
    <cfRule type="expression" priority="5870" dxfId="2">
      <formula>AND(IF($Q60=2,1,0),IF($X60&lt;30,1,0))</formula>
    </cfRule>
    <cfRule type="expression" priority="5871" dxfId="1">
      <formula>AND(IF($Q60=3,1,0),IF($X60&lt;30,1,0))</formula>
    </cfRule>
    <cfRule type="expression" priority="5872" dxfId="0">
      <formula>AND(IF($Q60=3,1,IF($Q60=4,1,0)),IF($F60&lt;=85,1,0))</formula>
    </cfRule>
  </conditionalFormatting>
  <conditionalFormatting sqref="AV61">
    <cfRule type="expression" priority="5867" dxfId="19">
      <formula>AV61="X"</formula>
    </cfRule>
    <cfRule type="expression" priority="5868" dxfId="18">
      <formula>AV61="후보"</formula>
    </cfRule>
  </conditionalFormatting>
  <conditionalFormatting sqref="AC61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61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61">
    <cfRule type="expression" priority="5859" dxfId="3">
      <formula>AND(IF(OR($Q61=1,$Q61=2),1,0),IF($X61&lt;=20,1,0))</formula>
    </cfRule>
    <cfRule type="expression" priority="5860" dxfId="2">
      <formula>AND(IF($Q61=2,1,0),IF($X61&lt;30,1,0))</formula>
    </cfRule>
    <cfRule type="expression" priority="5861" dxfId="1">
      <formula>AND(IF($Q61=3,1,0),IF($X61&lt;30,1,0))</formula>
    </cfRule>
    <cfRule type="expression" priority="5862" dxfId="0">
      <formula>AND(IF($Q61=3,1,IF($Q61=4,1,0)),IF($F61&lt;=85,1,0))</formula>
    </cfRule>
  </conditionalFormatting>
  <conditionalFormatting sqref="X61">
    <cfRule type="expression" priority="5855" dxfId="3">
      <formula>AND(IF(OR($Q61=1,$Q61=2),1,0),IF($X61&lt;=20,1,0))</formula>
    </cfRule>
    <cfRule type="expression" priority="5856" dxfId="2">
      <formula>AND(IF($Q61=2,1,0),IF($X61&lt;30,1,0))</formula>
    </cfRule>
    <cfRule type="expression" priority="5857" dxfId="1">
      <formula>AND(IF($Q61=3,1,0),IF($X61&lt;30,1,0))</formula>
    </cfRule>
    <cfRule type="expression" priority="5858" dxfId="0">
      <formula>AND(IF($Q61=3,1,IF($Q61=4,1,0)),IF($F61&lt;=85,1,0))</formula>
    </cfRule>
  </conditionalFormatting>
  <conditionalFormatting sqref="AI61">
    <cfRule type="expression" priority="5851" dxfId="3">
      <formula>AND(IF(OR($Q61=1,$Q61=2),1,0),IF($X61&lt;=20,1,0))</formula>
    </cfRule>
    <cfRule type="expression" priority="5852" dxfId="2">
      <formula>AND(IF($Q61=2,1,0),IF($X61&lt;30,1,0))</formula>
    </cfRule>
    <cfRule type="expression" priority="5853" dxfId="1">
      <formula>AND(IF($Q61=3,1,0),IF($X61&lt;30,1,0))</formula>
    </cfRule>
    <cfRule type="expression" priority="5854" dxfId="0">
      <formula>AND(IF($Q61=3,1,IF($Q61=4,1,0)),IF($F61&lt;=85,1,0))</formula>
    </cfRule>
  </conditionalFormatting>
  <conditionalFormatting sqref="AV62">
    <cfRule type="expression" priority="5849" dxfId="19">
      <formula>AV62="X"</formula>
    </cfRule>
    <cfRule type="expression" priority="5850" dxfId="18">
      <formula>AV62="후보"</formula>
    </cfRule>
  </conditionalFormatting>
  <conditionalFormatting sqref="AC62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62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62">
    <cfRule type="expression" priority="5841" dxfId="3">
      <formula>AND(IF(OR($Q62=1,$Q62=2),1,0),IF($X62&lt;=20,1,0))</formula>
    </cfRule>
    <cfRule type="expression" priority="5842" dxfId="2">
      <formula>AND(IF($Q62=2,1,0),IF($X62&lt;30,1,0))</formula>
    </cfRule>
    <cfRule type="expression" priority="5843" dxfId="1">
      <formula>AND(IF($Q62=3,1,0),IF($X62&lt;30,1,0))</formula>
    </cfRule>
    <cfRule type="expression" priority="5844" dxfId="0">
      <formula>AND(IF($Q62=3,1,IF($Q62=4,1,0)),IF($F62&lt;=85,1,0))</formula>
    </cfRule>
  </conditionalFormatting>
  <conditionalFormatting sqref="X62">
    <cfRule type="expression" priority="5837" dxfId="3">
      <formula>AND(IF(OR($Q62=1,$Q62=2),1,0),IF($X62&lt;=20,1,0))</formula>
    </cfRule>
    <cfRule type="expression" priority="5838" dxfId="2">
      <formula>AND(IF($Q62=2,1,0),IF($X62&lt;30,1,0))</formula>
    </cfRule>
    <cfRule type="expression" priority="5839" dxfId="1">
      <formula>AND(IF($Q62=3,1,0),IF($X62&lt;30,1,0))</formula>
    </cfRule>
    <cfRule type="expression" priority="5840" dxfId="0">
      <formula>AND(IF($Q62=3,1,IF($Q62=4,1,0)),IF($F62&lt;=85,1,0))</formula>
    </cfRule>
  </conditionalFormatting>
  <conditionalFormatting sqref="AI62">
    <cfRule type="expression" priority="5833" dxfId="3">
      <formula>AND(IF(OR($Q62=1,$Q62=2),1,0),IF($X62&lt;=20,1,0))</formula>
    </cfRule>
    <cfRule type="expression" priority="5834" dxfId="2">
      <formula>AND(IF($Q62=2,1,0),IF($X62&lt;30,1,0))</formula>
    </cfRule>
    <cfRule type="expression" priority="5835" dxfId="1">
      <formula>AND(IF($Q62=3,1,0),IF($X62&lt;30,1,0))</formula>
    </cfRule>
    <cfRule type="expression" priority="5836" dxfId="0">
      <formula>AND(IF($Q62=3,1,IF($Q62=4,1,0)),IF($F62&lt;=85,1,0))</formula>
    </cfRule>
  </conditionalFormatting>
  <conditionalFormatting sqref="AV63">
    <cfRule type="expression" priority="5831" dxfId="19">
      <formula>AV63="X"</formula>
    </cfRule>
    <cfRule type="expression" priority="5832" dxfId="18">
      <formula>AV63="후보"</formula>
    </cfRule>
  </conditionalFormatting>
  <conditionalFormatting sqref="AC63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63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63">
    <cfRule type="expression" priority="5823" dxfId="3">
      <formula>AND(IF(OR($Q63=1,$Q63=2),1,0),IF($X63&lt;=20,1,0))</formula>
    </cfRule>
    <cfRule type="expression" priority="5824" dxfId="2">
      <formula>AND(IF($Q63=2,1,0),IF($X63&lt;30,1,0))</formula>
    </cfRule>
    <cfRule type="expression" priority="5825" dxfId="1">
      <formula>AND(IF($Q63=3,1,0),IF($X63&lt;30,1,0))</formula>
    </cfRule>
    <cfRule type="expression" priority="5826" dxfId="0">
      <formula>AND(IF($Q63=3,1,IF($Q63=4,1,0)),IF($F63&lt;=85,1,0))</formula>
    </cfRule>
  </conditionalFormatting>
  <conditionalFormatting sqref="X63">
    <cfRule type="expression" priority="5819" dxfId="3">
      <formula>AND(IF(OR($Q63=1,$Q63=2),1,0),IF($X63&lt;=20,1,0))</formula>
    </cfRule>
    <cfRule type="expression" priority="5820" dxfId="2">
      <formula>AND(IF($Q63=2,1,0),IF($X63&lt;30,1,0))</formula>
    </cfRule>
    <cfRule type="expression" priority="5821" dxfId="1">
      <formula>AND(IF($Q63=3,1,0),IF($X63&lt;30,1,0))</formula>
    </cfRule>
    <cfRule type="expression" priority="5822" dxfId="0">
      <formula>AND(IF($Q63=3,1,IF($Q63=4,1,0)),IF($F63&lt;=85,1,0))</formula>
    </cfRule>
  </conditionalFormatting>
  <conditionalFormatting sqref="AI63">
    <cfRule type="expression" priority="5815" dxfId="3">
      <formula>AND(IF(OR($Q63=1,$Q63=2),1,0),IF($X63&lt;=20,1,0))</formula>
    </cfRule>
    <cfRule type="expression" priority="5816" dxfId="2">
      <formula>AND(IF($Q63=2,1,0),IF($X63&lt;30,1,0))</formula>
    </cfRule>
    <cfRule type="expression" priority="5817" dxfId="1">
      <formula>AND(IF($Q63=3,1,0),IF($X63&lt;30,1,0))</formula>
    </cfRule>
    <cfRule type="expression" priority="5818" dxfId="0">
      <formula>AND(IF($Q63=3,1,IF($Q63=4,1,0)),IF($F63&lt;=85,1,0))</formula>
    </cfRule>
  </conditionalFormatting>
  <conditionalFormatting sqref="AV64">
    <cfRule type="expression" priority="5813" dxfId="19">
      <formula>AV64="X"</formula>
    </cfRule>
    <cfRule type="expression" priority="5814" dxfId="18">
      <formula>AV64="후보"</formula>
    </cfRule>
  </conditionalFormatting>
  <conditionalFormatting sqref="AC64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64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64">
    <cfRule type="expression" priority="5805" dxfId="3">
      <formula>AND(IF(OR($Q64=1,$Q64=2),1,0),IF($X64&lt;=20,1,0))</formula>
    </cfRule>
    <cfRule type="expression" priority="5806" dxfId="2">
      <formula>AND(IF($Q64=2,1,0),IF($X64&lt;30,1,0))</formula>
    </cfRule>
    <cfRule type="expression" priority="5807" dxfId="1">
      <formula>AND(IF($Q64=3,1,0),IF($X64&lt;30,1,0))</formula>
    </cfRule>
    <cfRule type="expression" priority="5808" dxfId="0">
      <formula>AND(IF($Q64=3,1,IF($Q64=4,1,0)),IF($F64&lt;=85,1,0))</formula>
    </cfRule>
  </conditionalFormatting>
  <conditionalFormatting sqref="X64">
    <cfRule type="expression" priority="5801" dxfId="3">
      <formula>AND(IF(OR($Q64=1,$Q64=2),1,0),IF($X64&lt;=20,1,0))</formula>
    </cfRule>
    <cfRule type="expression" priority="5802" dxfId="2">
      <formula>AND(IF($Q64=2,1,0),IF($X64&lt;30,1,0))</formula>
    </cfRule>
    <cfRule type="expression" priority="5803" dxfId="1">
      <formula>AND(IF($Q64=3,1,0),IF($X64&lt;30,1,0))</formula>
    </cfRule>
    <cfRule type="expression" priority="5804" dxfId="0">
      <formula>AND(IF($Q64=3,1,IF($Q64=4,1,0)),IF($F64&lt;=85,1,0))</formula>
    </cfRule>
  </conditionalFormatting>
  <conditionalFormatting sqref="AI64">
    <cfRule type="expression" priority="5797" dxfId="3">
      <formula>AND(IF(OR($Q64=1,$Q64=2),1,0),IF($X64&lt;=20,1,0))</formula>
    </cfRule>
    <cfRule type="expression" priority="5798" dxfId="2">
      <formula>AND(IF($Q64=2,1,0),IF($X64&lt;30,1,0))</formula>
    </cfRule>
    <cfRule type="expression" priority="5799" dxfId="1">
      <formula>AND(IF($Q64=3,1,0),IF($X64&lt;30,1,0))</formula>
    </cfRule>
    <cfRule type="expression" priority="5800" dxfId="0">
      <formula>AND(IF($Q64=3,1,IF($Q64=4,1,0)),IF($F64&lt;=85,1,0))</formula>
    </cfRule>
  </conditionalFormatting>
  <conditionalFormatting sqref="AV65">
    <cfRule type="expression" priority="5795" dxfId="19">
      <formula>AV65="X"</formula>
    </cfRule>
    <cfRule type="expression" priority="5796" dxfId="18">
      <formula>AV65="후보"</formula>
    </cfRule>
  </conditionalFormatting>
  <conditionalFormatting sqref="AC65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65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65">
    <cfRule type="expression" priority="5787" dxfId="3">
      <formula>AND(IF(OR($Q65=1,$Q65=2),1,0),IF($X65&lt;=20,1,0))</formula>
    </cfRule>
    <cfRule type="expression" priority="5788" dxfId="2">
      <formula>AND(IF($Q65=2,1,0),IF($X65&lt;30,1,0))</formula>
    </cfRule>
    <cfRule type="expression" priority="5789" dxfId="1">
      <formula>AND(IF($Q65=3,1,0),IF($X65&lt;30,1,0))</formula>
    </cfRule>
    <cfRule type="expression" priority="5790" dxfId="0">
      <formula>AND(IF($Q65=3,1,IF($Q65=4,1,0)),IF($F65&lt;=85,1,0))</formula>
    </cfRule>
  </conditionalFormatting>
  <conditionalFormatting sqref="X65">
    <cfRule type="expression" priority="5783" dxfId="3">
      <formula>AND(IF(OR($Q65=1,$Q65=2),1,0),IF($X65&lt;=20,1,0))</formula>
    </cfRule>
    <cfRule type="expression" priority="5784" dxfId="2">
      <formula>AND(IF($Q65=2,1,0),IF($X65&lt;30,1,0))</formula>
    </cfRule>
    <cfRule type="expression" priority="5785" dxfId="1">
      <formula>AND(IF($Q65=3,1,0),IF($X65&lt;30,1,0))</formula>
    </cfRule>
    <cfRule type="expression" priority="5786" dxfId="0">
      <formula>AND(IF($Q65=3,1,IF($Q65=4,1,0)),IF($F65&lt;=85,1,0))</formula>
    </cfRule>
  </conditionalFormatting>
  <conditionalFormatting sqref="AI65">
    <cfRule type="expression" priority="5779" dxfId="3">
      <formula>AND(IF(OR($Q65=1,$Q65=2),1,0),IF($X65&lt;=20,1,0))</formula>
    </cfRule>
    <cfRule type="expression" priority="5780" dxfId="2">
      <formula>AND(IF($Q65=2,1,0),IF($X65&lt;30,1,0))</formula>
    </cfRule>
    <cfRule type="expression" priority="5781" dxfId="1">
      <formula>AND(IF($Q65=3,1,0),IF($X65&lt;30,1,0))</formula>
    </cfRule>
    <cfRule type="expression" priority="5782" dxfId="0">
      <formula>AND(IF($Q65=3,1,IF($Q65=4,1,0)),IF($F65&lt;=85,1,0))</formula>
    </cfRule>
  </conditionalFormatting>
  <conditionalFormatting sqref="AV66">
    <cfRule type="expression" priority="5777" dxfId="19">
      <formula>AV66="X"</formula>
    </cfRule>
    <cfRule type="expression" priority="5778" dxfId="18">
      <formula>AV66="후보"</formula>
    </cfRule>
  </conditionalFormatting>
  <conditionalFormatting sqref="AC66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66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66">
    <cfRule type="expression" priority="5769" dxfId="3">
      <formula>AND(IF(OR($Q66=1,$Q66=2),1,0),IF($X66&lt;=20,1,0))</formula>
    </cfRule>
    <cfRule type="expression" priority="5770" dxfId="2">
      <formula>AND(IF($Q66=2,1,0),IF($X66&lt;30,1,0))</formula>
    </cfRule>
    <cfRule type="expression" priority="5771" dxfId="1">
      <formula>AND(IF($Q66=3,1,0),IF($X66&lt;30,1,0))</formula>
    </cfRule>
    <cfRule type="expression" priority="5772" dxfId="0">
      <formula>AND(IF($Q66=3,1,IF($Q66=4,1,0)),IF($F66&lt;=85,1,0))</formula>
    </cfRule>
  </conditionalFormatting>
  <conditionalFormatting sqref="X66">
    <cfRule type="expression" priority="5765" dxfId="3">
      <formula>AND(IF(OR($Q66=1,$Q66=2),1,0),IF($X66&lt;=20,1,0))</formula>
    </cfRule>
    <cfRule type="expression" priority="5766" dxfId="2">
      <formula>AND(IF($Q66=2,1,0),IF($X66&lt;30,1,0))</formula>
    </cfRule>
    <cfRule type="expression" priority="5767" dxfId="1">
      <formula>AND(IF($Q66=3,1,0),IF($X66&lt;30,1,0))</formula>
    </cfRule>
    <cfRule type="expression" priority="5768" dxfId="0">
      <formula>AND(IF($Q66=3,1,IF($Q66=4,1,0)),IF($F66&lt;=85,1,0))</formula>
    </cfRule>
  </conditionalFormatting>
  <conditionalFormatting sqref="AI66">
    <cfRule type="expression" priority="5761" dxfId="3">
      <formula>AND(IF(OR($Q66=1,$Q66=2),1,0),IF($X66&lt;=20,1,0))</formula>
    </cfRule>
    <cfRule type="expression" priority="5762" dxfId="2">
      <formula>AND(IF($Q66=2,1,0),IF($X66&lt;30,1,0))</formula>
    </cfRule>
    <cfRule type="expression" priority="5763" dxfId="1">
      <formula>AND(IF($Q66=3,1,0),IF($X66&lt;30,1,0))</formula>
    </cfRule>
    <cfRule type="expression" priority="5764" dxfId="0">
      <formula>AND(IF($Q66=3,1,IF($Q66=4,1,0)),IF($F66&lt;=85,1,0))</formula>
    </cfRule>
  </conditionalFormatting>
  <conditionalFormatting sqref="AV67">
    <cfRule type="expression" priority="5759" dxfId="19">
      <formula>AV67="X"</formula>
    </cfRule>
    <cfRule type="expression" priority="5760" dxfId="18">
      <formula>AV67="후보"</formula>
    </cfRule>
  </conditionalFormatting>
  <conditionalFormatting sqref="AC67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67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67">
    <cfRule type="expression" priority="5751" dxfId="3">
      <formula>AND(IF(OR($Q67=1,$Q67=2),1,0),IF($X67&lt;=20,1,0))</formula>
    </cfRule>
    <cfRule type="expression" priority="5752" dxfId="2">
      <formula>AND(IF($Q67=2,1,0),IF($X67&lt;30,1,0))</formula>
    </cfRule>
    <cfRule type="expression" priority="5753" dxfId="1">
      <formula>AND(IF($Q67=3,1,0),IF($X67&lt;30,1,0))</formula>
    </cfRule>
    <cfRule type="expression" priority="5754" dxfId="0">
      <formula>AND(IF($Q67=3,1,IF($Q67=4,1,0)),IF($F67&lt;=85,1,0))</formula>
    </cfRule>
  </conditionalFormatting>
  <conditionalFormatting sqref="X67">
    <cfRule type="expression" priority="5747" dxfId="3">
      <formula>AND(IF(OR($Q67=1,$Q67=2),1,0),IF($X67&lt;=20,1,0))</formula>
    </cfRule>
    <cfRule type="expression" priority="5748" dxfId="2">
      <formula>AND(IF($Q67=2,1,0),IF($X67&lt;30,1,0))</formula>
    </cfRule>
    <cfRule type="expression" priority="5749" dxfId="1">
      <formula>AND(IF($Q67=3,1,0),IF($X67&lt;30,1,0))</formula>
    </cfRule>
    <cfRule type="expression" priority="5750" dxfId="0">
      <formula>AND(IF($Q67=3,1,IF($Q67=4,1,0)),IF($F67&lt;=85,1,0))</formula>
    </cfRule>
  </conditionalFormatting>
  <conditionalFormatting sqref="AI67">
    <cfRule type="expression" priority="5743" dxfId="3">
      <formula>AND(IF(OR($Q67=1,$Q67=2),1,0),IF($X67&lt;=20,1,0))</formula>
    </cfRule>
    <cfRule type="expression" priority="5744" dxfId="2">
      <formula>AND(IF($Q67=2,1,0),IF($X67&lt;30,1,0))</formula>
    </cfRule>
    <cfRule type="expression" priority="5745" dxfId="1">
      <formula>AND(IF($Q67=3,1,0),IF($X67&lt;30,1,0))</formula>
    </cfRule>
    <cfRule type="expression" priority="5746" dxfId="0">
      <formula>AND(IF($Q67=3,1,IF($Q67=4,1,0)),IF($F67&lt;=85,1,0))</formula>
    </cfRule>
  </conditionalFormatting>
  <conditionalFormatting sqref="AV68">
    <cfRule type="expression" priority="5741" dxfId="19">
      <formula>AV68="X"</formula>
    </cfRule>
    <cfRule type="expression" priority="5742" dxfId="18">
      <formula>AV68="후보"</formula>
    </cfRule>
  </conditionalFormatting>
  <conditionalFormatting sqref="AC68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68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68">
    <cfRule type="expression" priority="5733" dxfId="3">
      <formula>AND(IF(OR($Q68=1,$Q68=2),1,0),IF($X68&lt;=20,1,0))</formula>
    </cfRule>
    <cfRule type="expression" priority="5734" dxfId="2">
      <formula>AND(IF($Q68=2,1,0),IF($X68&lt;30,1,0))</formula>
    </cfRule>
    <cfRule type="expression" priority="5735" dxfId="1">
      <formula>AND(IF($Q68=3,1,0),IF($X68&lt;30,1,0))</formula>
    </cfRule>
    <cfRule type="expression" priority="5736" dxfId="0">
      <formula>AND(IF($Q68=3,1,IF($Q68=4,1,0)),IF($F68&lt;=85,1,0))</formula>
    </cfRule>
  </conditionalFormatting>
  <conditionalFormatting sqref="X68">
    <cfRule type="expression" priority="5729" dxfId="3">
      <formula>AND(IF(OR($Q68=1,$Q68=2),1,0),IF($X68&lt;=20,1,0))</formula>
    </cfRule>
    <cfRule type="expression" priority="5730" dxfId="2">
      <formula>AND(IF($Q68=2,1,0),IF($X68&lt;30,1,0))</formula>
    </cfRule>
    <cfRule type="expression" priority="5731" dxfId="1">
      <formula>AND(IF($Q68=3,1,0),IF($X68&lt;30,1,0))</formula>
    </cfRule>
    <cfRule type="expression" priority="5732" dxfId="0">
      <formula>AND(IF($Q68=3,1,IF($Q68=4,1,0)),IF($F68&lt;=85,1,0))</formula>
    </cfRule>
  </conditionalFormatting>
  <conditionalFormatting sqref="AI68">
    <cfRule type="expression" priority="5725" dxfId="3">
      <formula>AND(IF(OR($Q68=1,$Q68=2),1,0),IF($X68&lt;=20,1,0))</formula>
    </cfRule>
    <cfRule type="expression" priority="5726" dxfId="2">
      <formula>AND(IF($Q68=2,1,0),IF($X68&lt;30,1,0))</formula>
    </cfRule>
    <cfRule type="expression" priority="5727" dxfId="1">
      <formula>AND(IF($Q68=3,1,0),IF($X68&lt;30,1,0))</formula>
    </cfRule>
    <cfRule type="expression" priority="5728" dxfId="0">
      <formula>AND(IF($Q68=3,1,IF($Q68=4,1,0)),IF($F68&lt;=85,1,0))</formula>
    </cfRule>
  </conditionalFormatting>
  <conditionalFormatting sqref="AV69">
    <cfRule type="expression" priority="5723" dxfId="19">
      <formula>AV69="X"</formula>
    </cfRule>
    <cfRule type="expression" priority="5724" dxfId="18">
      <formula>AV69="후보"</formula>
    </cfRule>
  </conditionalFormatting>
  <conditionalFormatting sqref="AC69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69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69">
    <cfRule type="expression" priority="5715" dxfId="3">
      <formula>AND(IF(OR($Q69=1,$Q69=2),1,0),IF($X69&lt;=20,1,0))</formula>
    </cfRule>
    <cfRule type="expression" priority="5716" dxfId="2">
      <formula>AND(IF($Q69=2,1,0),IF($X69&lt;30,1,0))</formula>
    </cfRule>
    <cfRule type="expression" priority="5717" dxfId="1">
      <formula>AND(IF($Q69=3,1,0),IF($X69&lt;30,1,0))</formula>
    </cfRule>
    <cfRule type="expression" priority="5718" dxfId="0">
      <formula>AND(IF($Q69=3,1,IF($Q69=4,1,0)),IF($F69&lt;=85,1,0))</formula>
    </cfRule>
  </conditionalFormatting>
  <conditionalFormatting sqref="X69">
    <cfRule type="expression" priority="5711" dxfId="3">
      <formula>AND(IF(OR($Q69=1,$Q69=2),1,0),IF($X69&lt;=20,1,0))</formula>
    </cfRule>
    <cfRule type="expression" priority="5712" dxfId="2">
      <formula>AND(IF($Q69=2,1,0),IF($X69&lt;30,1,0))</formula>
    </cfRule>
    <cfRule type="expression" priority="5713" dxfId="1">
      <formula>AND(IF($Q69=3,1,0),IF($X69&lt;30,1,0))</formula>
    </cfRule>
    <cfRule type="expression" priority="5714" dxfId="0">
      <formula>AND(IF($Q69=3,1,IF($Q69=4,1,0)),IF($F69&lt;=85,1,0))</formula>
    </cfRule>
  </conditionalFormatting>
  <conditionalFormatting sqref="AI69">
    <cfRule type="expression" priority="5707" dxfId="3">
      <formula>AND(IF(OR($Q69=1,$Q69=2),1,0),IF($X69&lt;=20,1,0))</formula>
    </cfRule>
    <cfRule type="expression" priority="5708" dxfId="2">
      <formula>AND(IF($Q69=2,1,0),IF($X69&lt;30,1,0))</formula>
    </cfRule>
    <cfRule type="expression" priority="5709" dxfId="1">
      <formula>AND(IF($Q69=3,1,0),IF($X69&lt;30,1,0))</formula>
    </cfRule>
    <cfRule type="expression" priority="5710" dxfId="0">
      <formula>AND(IF($Q69=3,1,IF($Q69=4,1,0)),IF($F69&lt;=85,1,0))</formula>
    </cfRule>
  </conditionalFormatting>
  <conditionalFormatting sqref="AV70">
    <cfRule type="expression" priority="5705" dxfId="19">
      <formula>AV70="X"</formula>
    </cfRule>
    <cfRule type="expression" priority="5706" dxfId="18">
      <formula>AV70="후보"</formula>
    </cfRule>
  </conditionalFormatting>
  <conditionalFormatting sqref="AC70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0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0">
    <cfRule type="expression" priority="5697" dxfId="3">
      <formula>AND(IF(OR($Q70=1,$Q70=2),1,0),IF($X70&lt;=20,1,0))</formula>
    </cfRule>
    <cfRule type="expression" priority="5698" dxfId="2">
      <formula>AND(IF($Q70=2,1,0),IF($X70&lt;30,1,0))</formula>
    </cfRule>
    <cfRule type="expression" priority="5699" dxfId="1">
      <formula>AND(IF($Q70=3,1,0),IF($X70&lt;30,1,0))</formula>
    </cfRule>
    <cfRule type="expression" priority="5700" dxfId="0">
      <formula>AND(IF($Q70=3,1,IF($Q70=4,1,0)),IF($F70&lt;=85,1,0))</formula>
    </cfRule>
  </conditionalFormatting>
  <conditionalFormatting sqref="X70">
    <cfRule type="expression" priority="5693" dxfId="3">
      <formula>AND(IF(OR($Q70=1,$Q70=2),1,0),IF($X70&lt;=20,1,0))</formula>
    </cfRule>
    <cfRule type="expression" priority="5694" dxfId="2">
      <formula>AND(IF($Q70=2,1,0),IF($X70&lt;30,1,0))</formula>
    </cfRule>
    <cfRule type="expression" priority="5695" dxfId="1">
      <formula>AND(IF($Q70=3,1,0),IF($X70&lt;30,1,0))</formula>
    </cfRule>
    <cfRule type="expression" priority="5696" dxfId="0">
      <formula>AND(IF($Q70=3,1,IF($Q70=4,1,0)),IF($F70&lt;=85,1,0))</formula>
    </cfRule>
  </conditionalFormatting>
  <conditionalFormatting sqref="AI70">
    <cfRule type="expression" priority="5689" dxfId="3">
      <formula>AND(IF(OR($Q70=1,$Q70=2),1,0),IF($X70&lt;=20,1,0))</formula>
    </cfRule>
    <cfRule type="expression" priority="5690" dxfId="2">
      <formula>AND(IF($Q70=2,1,0),IF($X70&lt;30,1,0))</formula>
    </cfRule>
    <cfRule type="expression" priority="5691" dxfId="1">
      <formula>AND(IF($Q70=3,1,0),IF($X70&lt;30,1,0))</formula>
    </cfRule>
    <cfRule type="expression" priority="5692" dxfId="0">
      <formula>AND(IF($Q70=3,1,IF($Q70=4,1,0)),IF($F70&lt;=85,1,0))</formula>
    </cfRule>
  </conditionalFormatting>
  <conditionalFormatting sqref="AV71">
    <cfRule type="expression" priority="5687" dxfId="19">
      <formula>AV71="X"</formula>
    </cfRule>
    <cfRule type="expression" priority="5688" dxfId="18">
      <formula>AV71="후보"</formula>
    </cfRule>
  </conditionalFormatting>
  <conditionalFormatting sqref="AC71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1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1">
    <cfRule type="expression" priority="5679" dxfId="3">
      <formula>AND(IF(OR($Q71=1,$Q71=2),1,0),IF($X71&lt;=20,1,0))</formula>
    </cfRule>
    <cfRule type="expression" priority="5680" dxfId="2">
      <formula>AND(IF($Q71=2,1,0),IF($X71&lt;30,1,0))</formula>
    </cfRule>
    <cfRule type="expression" priority="5681" dxfId="1">
      <formula>AND(IF($Q71=3,1,0),IF($X71&lt;30,1,0))</formula>
    </cfRule>
    <cfRule type="expression" priority="5682" dxfId="0">
      <formula>AND(IF($Q71=3,1,IF($Q71=4,1,0)),IF($F71&lt;=85,1,0))</formula>
    </cfRule>
  </conditionalFormatting>
  <conditionalFormatting sqref="X71">
    <cfRule type="expression" priority="5675" dxfId="3">
      <formula>AND(IF(OR($Q71=1,$Q71=2),1,0),IF($X71&lt;=20,1,0))</formula>
    </cfRule>
    <cfRule type="expression" priority="5676" dxfId="2">
      <formula>AND(IF($Q71=2,1,0),IF($X71&lt;30,1,0))</formula>
    </cfRule>
    <cfRule type="expression" priority="5677" dxfId="1">
      <formula>AND(IF($Q71=3,1,0),IF($X71&lt;30,1,0))</formula>
    </cfRule>
    <cfRule type="expression" priority="5678" dxfId="0">
      <formula>AND(IF($Q71=3,1,IF($Q71=4,1,0)),IF($F71&lt;=85,1,0))</formula>
    </cfRule>
  </conditionalFormatting>
  <conditionalFormatting sqref="AI71">
    <cfRule type="expression" priority="5671" dxfId="3">
      <formula>AND(IF(OR($Q71=1,$Q71=2),1,0),IF($X71&lt;=20,1,0))</formula>
    </cfRule>
    <cfRule type="expression" priority="5672" dxfId="2">
      <formula>AND(IF($Q71=2,1,0),IF($X71&lt;30,1,0))</formula>
    </cfRule>
    <cfRule type="expression" priority="5673" dxfId="1">
      <formula>AND(IF($Q71=3,1,0),IF($X71&lt;30,1,0))</formula>
    </cfRule>
    <cfRule type="expression" priority="5674" dxfId="0">
      <formula>AND(IF($Q71=3,1,IF($Q71=4,1,0)),IF($F71&lt;=85,1,0))</formula>
    </cfRule>
  </conditionalFormatting>
  <conditionalFormatting sqref="AV72">
    <cfRule type="expression" priority="5669" dxfId="19">
      <formula>AV72="X"</formula>
    </cfRule>
    <cfRule type="expression" priority="5670" dxfId="18">
      <formula>AV72="후보"</formula>
    </cfRule>
  </conditionalFormatting>
  <conditionalFormatting sqref="AC72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2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2">
    <cfRule type="expression" priority="5661" dxfId="3">
      <formula>AND(IF(OR($Q72=1,$Q72=2),1,0),IF($X72&lt;=20,1,0))</formula>
    </cfRule>
    <cfRule type="expression" priority="5662" dxfId="2">
      <formula>AND(IF($Q72=2,1,0),IF($X72&lt;30,1,0))</formula>
    </cfRule>
    <cfRule type="expression" priority="5663" dxfId="1">
      <formula>AND(IF($Q72=3,1,0),IF($X72&lt;30,1,0))</formula>
    </cfRule>
    <cfRule type="expression" priority="5664" dxfId="0">
      <formula>AND(IF($Q72=3,1,IF($Q72=4,1,0)),IF($F72&lt;=85,1,0))</formula>
    </cfRule>
  </conditionalFormatting>
  <conditionalFormatting sqref="X72">
    <cfRule type="expression" priority="5657" dxfId="3">
      <formula>AND(IF(OR($Q72=1,$Q72=2),1,0),IF($X72&lt;=20,1,0))</formula>
    </cfRule>
    <cfRule type="expression" priority="5658" dxfId="2">
      <formula>AND(IF($Q72=2,1,0),IF($X72&lt;30,1,0))</formula>
    </cfRule>
    <cfRule type="expression" priority="5659" dxfId="1">
      <formula>AND(IF($Q72=3,1,0),IF($X72&lt;30,1,0))</formula>
    </cfRule>
    <cfRule type="expression" priority="5660" dxfId="0">
      <formula>AND(IF($Q72=3,1,IF($Q72=4,1,0)),IF($F72&lt;=85,1,0))</formula>
    </cfRule>
  </conditionalFormatting>
  <conditionalFormatting sqref="AI72">
    <cfRule type="expression" priority="5653" dxfId="3">
      <formula>AND(IF(OR($Q72=1,$Q72=2),1,0),IF($X72&lt;=20,1,0))</formula>
    </cfRule>
    <cfRule type="expression" priority="5654" dxfId="2">
      <formula>AND(IF($Q72=2,1,0),IF($X72&lt;30,1,0))</formula>
    </cfRule>
    <cfRule type="expression" priority="5655" dxfId="1">
      <formula>AND(IF($Q72=3,1,0),IF($X72&lt;30,1,0))</formula>
    </cfRule>
    <cfRule type="expression" priority="5656" dxfId="0">
      <formula>AND(IF($Q72=3,1,IF($Q72=4,1,0)),IF($F72&lt;=85,1,0))</formula>
    </cfRule>
  </conditionalFormatting>
  <conditionalFormatting sqref="AV73">
    <cfRule type="expression" priority="5651" dxfId="19">
      <formula>AV73="X"</formula>
    </cfRule>
    <cfRule type="expression" priority="5652" dxfId="18">
      <formula>AV73="후보"</formula>
    </cfRule>
  </conditionalFormatting>
  <conditionalFormatting sqref="AC73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3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3">
    <cfRule type="expression" priority="5643" dxfId="3">
      <formula>AND(IF(OR($Q73=1,$Q73=2),1,0),IF($X73&lt;=20,1,0))</formula>
    </cfRule>
    <cfRule type="expression" priority="5644" dxfId="2">
      <formula>AND(IF($Q73=2,1,0),IF($X73&lt;30,1,0))</formula>
    </cfRule>
    <cfRule type="expression" priority="5645" dxfId="1">
      <formula>AND(IF($Q73=3,1,0),IF($X73&lt;30,1,0))</formula>
    </cfRule>
    <cfRule type="expression" priority="5646" dxfId="0">
      <formula>AND(IF($Q73=3,1,IF($Q73=4,1,0)),IF($F73&lt;=85,1,0))</formula>
    </cfRule>
  </conditionalFormatting>
  <conditionalFormatting sqref="X73">
    <cfRule type="expression" priority="5639" dxfId="3">
      <formula>AND(IF(OR($Q73=1,$Q73=2),1,0),IF($X73&lt;=20,1,0))</formula>
    </cfRule>
    <cfRule type="expression" priority="5640" dxfId="2">
      <formula>AND(IF($Q73=2,1,0),IF($X73&lt;30,1,0))</formula>
    </cfRule>
    <cfRule type="expression" priority="5641" dxfId="1">
      <formula>AND(IF($Q73=3,1,0),IF($X73&lt;30,1,0))</formula>
    </cfRule>
    <cfRule type="expression" priority="5642" dxfId="0">
      <formula>AND(IF($Q73=3,1,IF($Q73=4,1,0)),IF($F73&lt;=85,1,0))</formula>
    </cfRule>
  </conditionalFormatting>
  <conditionalFormatting sqref="AI73">
    <cfRule type="expression" priority="5635" dxfId="3">
      <formula>AND(IF(OR($Q73=1,$Q73=2),1,0),IF($X73&lt;=20,1,0))</formula>
    </cfRule>
    <cfRule type="expression" priority="5636" dxfId="2">
      <formula>AND(IF($Q73=2,1,0),IF($X73&lt;30,1,0))</formula>
    </cfRule>
    <cfRule type="expression" priority="5637" dxfId="1">
      <formula>AND(IF($Q73=3,1,0),IF($X73&lt;30,1,0))</formula>
    </cfRule>
    <cfRule type="expression" priority="5638" dxfId="0">
      <formula>AND(IF($Q73=3,1,IF($Q73=4,1,0)),IF($F73&lt;=85,1,0))</formula>
    </cfRule>
  </conditionalFormatting>
  <conditionalFormatting sqref="AV74">
    <cfRule type="expression" priority="5633" dxfId="19">
      <formula>AV74="X"</formula>
    </cfRule>
    <cfRule type="expression" priority="5634" dxfId="18">
      <formula>AV74="후보"</formula>
    </cfRule>
  </conditionalFormatting>
  <conditionalFormatting sqref="AC74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">
    <cfRule type="expression" priority="5625" dxfId="3">
      <formula>AND(IF(OR($Q74=1,$Q74=2),1,0),IF($X74&lt;=20,1,0))</formula>
    </cfRule>
    <cfRule type="expression" priority="5626" dxfId="2">
      <formula>AND(IF($Q74=2,1,0),IF($X74&lt;30,1,0))</formula>
    </cfRule>
    <cfRule type="expression" priority="5627" dxfId="1">
      <formula>AND(IF($Q74=3,1,0),IF($X74&lt;30,1,0))</formula>
    </cfRule>
    <cfRule type="expression" priority="5628" dxfId="0">
      <formula>AND(IF($Q74=3,1,IF($Q74=4,1,0)),IF($F74&lt;=85,1,0))</formula>
    </cfRule>
  </conditionalFormatting>
  <conditionalFormatting sqref="X74">
    <cfRule type="expression" priority="5621" dxfId="3">
      <formula>AND(IF(OR($Q74=1,$Q74=2),1,0),IF($X74&lt;=20,1,0))</formula>
    </cfRule>
    <cfRule type="expression" priority="5622" dxfId="2">
      <formula>AND(IF($Q74=2,1,0),IF($X74&lt;30,1,0))</formula>
    </cfRule>
    <cfRule type="expression" priority="5623" dxfId="1">
      <formula>AND(IF($Q74=3,1,0),IF($X74&lt;30,1,0))</formula>
    </cfRule>
    <cfRule type="expression" priority="5624" dxfId="0">
      <formula>AND(IF($Q74=3,1,IF($Q74=4,1,0)),IF($F74&lt;=85,1,0))</formula>
    </cfRule>
  </conditionalFormatting>
  <conditionalFormatting sqref="AI74">
    <cfRule type="expression" priority="5617" dxfId="3">
      <formula>AND(IF(OR($Q74=1,$Q74=2),1,0),IF($X74&lt;=20,1,0))</formula>
    </cfRule>
    <cfRule type="expression" priority="5618" dxfId="2">
      <formula>AND(IF($Q74=2,1,0),IF($X74&lt;30,1,0))</formula>
    </cfRule>
    <cfRule type="expression" priority="5619" dxfId="1">
      <formula>AND(IF($Q74=3,1,0),IF($X74&lt;30,1,0))</formula>
    </cfRule>
    <cfRule type="expression" priority="5620" dxfId="0">
      <formula>AND(IF($Q74=3,1,IF($Q74=4,1,0)),IF($F74&lt;=85,1,0))</formula>
    </cfRule>
  </conditionalFormatting>
  <conditionalFormatting sqref="AV75">
    <cfRule type="expression" priority="5615" dxfId="19">
      <formula>AV75="X"</formula>
    </cfRule>
    <cfRule type="expression" priority="5616" dxfId="18">
      <formula>AV75="후보"</formula>
    </cfRule>
  </conditionalFormatting>
  <conditionalFormatting sqref="AC75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5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5">
    <cfRule type="expression" priority="5607" dxfId="3">
      <formula>AND(IF(OR($Q75=1,$Q75=2),1,0),IF($X75&lt;=20,1,0))</formula>
    </cfRule>
    <cfRule type="expression" priority="5608" dxfId="2">
      <formula>AND(IF($Q75=2,1,0),IF($X75&lt;30,1,0))</formula>
    </cfRule>
    <cfRule type="expression" priority="5609" dxfId="1">
      <formula>AND(IF($Q75=3,1,0),IF($X75&lt;30,1,0))</formula>
    </cfRule>
    <cfRule type="expression" priority="5610" dxfId="0">
      <formula>AND(IF($Q75=3,1,IF($Q75=4,1,0)),IF($F75&lt;=85,1,0))</formula>
    </cfRule>
  </conditionalFormatting>
  <conditionalFormatting sqref="X75">
    <cfRule type="expression" priority="5603" dxfId="3">
      <formula>AND(IF(OR($Q75=1,$Q75=2),1,0),IF($X75&lt;=20,1,0))</formula>
    </cfRule>
    <cfRule type="expression" priority="5604" dxfId="2">
      <formula>AND(IF($Q75=2,1,0),IF($X75&lt;30,1,0))</formula>
    </cfRule>
    <cfRule type="expression" priority="5605" dxfId="1">
      <formula>AND(IF($Q75=3,1,0),IF($X75&lt;30,1,0))</formula>
    </cfRule>
    <cfRule type="expression" priority="5606" dxfId="0">
      <formula>AND(IF($Q75=3,1,IF($Q75=4,1,0)),IF($F75&lt;=85,1,0))</formula>
    </cfRule>
  </conditionalFormatting>
  <conditionalFormatting sqref="AI75">
    <cfRule type="expression" priority="5599" dxfId="3">
      <formula>AND(IF(OR($Q75=1,$Q75=2),1,0),IF($X75&lt;=20,1,0))</formula>
    </cfRule>
    <cfRule type="expression" priority="5600" dxfId="2">
      <formula>AND(IF($Q75=2,1,0),IF($X75&lt;30,1,0))</formula>
    </cfRule>
    <cfRule type="expression" priority="5601" dxfId="1">
      <formula>AND(IF($Q75=3,1,0),IF($X75&lt;30,1,0))</formula>
    </cfRule>
    <cfRule type="expression" priority="5602" dxfId="0">
      <formula>AND(IF($Q75=3,1,IF($Q75=4,1,0)),IF($F75&lt;=85,1,0))</formula>
    </cfRule>
  </conditionalFormatting>
  <conditionalFormatting sqref="AV76">
    <cfRule type="expression" priority="5597" dxfId="19">
      <formula>AV76="X"</formula>
    </cfRule>
    <cfRule type="expression" priority="5598" dxfId="18">
      <formula>AV76="후보"</formula>
    </cfRule>
  </conditionalFormatting>
  <conditionalFormatting sqref="AC76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6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6">
    <cfRule type="expression" priority="5589" dxfId="3">
      <formula>AND(IF(OR($Q76=1,$Q76=2),1,0),IF($X76&lt;=20,1,0))</formula>
    </cfRule>
    <cfRule type="expression" priority="5590" dxfId="2">
      <formula>AND(IF($Q76=2,1,0),IF($X76&lt;30,1,0))</formula>
    </cfRule>
    <cfRule type="expression" priority="5591" dxfId="1">
      <formula>AND(IF($Q76=3,1,0),IF($X76&lt;30,1,0))</formula>
    </cfRule>
    <cfRule type="expression" priority="5592" dxfId="0">
      <formula>AND(IF($Q76=3,1,IF($Q76=4,1,0)),IF($F76&lt;=85,1,0))</formula>
    </cfRule>
  </conditionalFormatting>
  <conditionalFormatting sqref="X76">
    <cfRule type="expression" priority="5585" dxfId="3">
      <formula>AND(IF(OR($Q76=1,$Q76=2),1,0),IF($X76&lt;=20,1,0))</formula>
    </cfRule>
    <cfRule type="expression" priority="5586" dxfId="2">
      <formula>AND(IF($Q76=2,1,0),IF($X76&lt;30,1,0))</formula>
    </cfRule>
    <cfRule type="expression" priority="5587" dxfId="1">
      <formula>AND(IF($Q76=3,1,0),IF($X76&lt;30,1,0))</formula>
    </cfRule>
    <cfRule type="expression" priority="5588" dxfId="0">
      <formula>AND(IF($Q76=3,1,IF($Q76=4,1,0)),IF($F76&lt;=85,1,0))</formula>
    </cfRule>
  </conditionalFormatting>
  <conditionalFormatting sqref="AI76">
    <cfRule type="expression" priority="5581" dxfId="3">
      <formula>AND(IF(OR($Q76=1,$Q76=2),1,0),IF($X76&lt;=20,1,0))</formula>
    </cfRule>
    <cfRule type="expression" priority="5582" dxfId="2">
      <formula>AND(IF($Q76=2,1,0),IF($X76&lt;30,1,0))</formula>
    </cfRule>
    <cfRule type="expression" priority="5583" dxfId="1">
      <formula>AND(IF($Q76=3,1,0),IF($X76&lt;30,1,0))</formula>
    </cfRule>
    <cfRule type="expression" priority="5584" dxfId="0">
      <formula>AND(IF($Q76=3,1,IF($Q76=4,1,0)),IF($F76&lt;=85,1,0))</formula>
    </cfRule>
  </conditionalFormatting>
  <conditionalFormatting sqref="AV77">
    <cfRule type="expression" priority="5579" dxfId="19">
      <formula>AV77="X"</formula>
    </cfRule>
    <cfRule type="expression" priority="5580" dxfId="18">
      <formula>AV77="후보"</formula>
    </cfRule>
  </conditionalFormatting>
  <conditionalFormatting sqref="AC77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7">
    <cfRule type="expression" priority="5571" dxfId="3">
      <formula>AND(IF(OR($Q77=1,$Q77=2),1,0),IF($X77&lt;=20,1,0))</formula>
    </cfRule>
    <cfRule type="expression" priority="5572" dxfId="2">
      <formula>AND(IF($Q77=2,1,0),IF($X77&lt;30,1,0))</formula>
    </cfRule>
    <cfRule type="expression" priority="5573" dxfId="1">
      <formula>AND(IF($Q77=3,1,0),IF($X77&lt;30,1,0))</formula>
    </cfRule>
    <cfRule type="expression" priority="5574" dxfId="0">
      <formula>AND(IF($Q77=3,1,IF($Q77=4,1,0)),IF($F77&lt;=85,1,0))</formula>
    </cfRule>
  </conditionalFormatting>
  <conditionalFormatting sqref="X77">
    <cfRule type="expression" priority="5567" dxfId="3">
      <formula>AND(IF(OR($Q77=1,$Q77=2),1,0),IF($X77&lt;=20,1,0))</formula>
    </cfRule>
    <cfRule type="expression" priority="5568" dxfId="2">
      <formula>AND(IF($Q77=2,1,0),IF($X77&lt;30,1,0))</formula>
    </cfRule>
    <cfRule type="expression" priority="5569" dxfId="1">
      <formula>AND(IF($Q77=3,1,0),IF($X77&lt;30,1,0))</formula>
    </cfRule>
    <cfRule type="expression" priority="5570" dxfId="0">
      <formula>AND(IF($Q77=3,1,IF($Q77=4,1,0)),IF($F77&lt;=85,1,0))</formula>
    </cfRule>
  </conditionalFormatting>
  <conditionalFormatting sqref="AI77">
    <cfRule type="expression" priority="5563" dxfId="3">
      <formula>AND(IF(OR($Q77=1,$Q77=2),1,0),IF($X77&lt;=20,1,0))</formula>
    </cfRule>
    <cfRule type="expression" priority="5564" dxfId="2">
      <formula>AND(IF($Q77=2,1,0),IF($X77&lt;30,1,0))</formula>
    </cfRule>
    <cfRule type="expression" priority="5565" dxfId="1">
      <formula>AND(IF($Q77=3,1,0),IF($X77&lt;30,1,0))</formula>
    </cfRule>
    <cfRule type="expression" priority="5566" dxfId="0">
      <formula>AND(IF($Q77=3,1,IF($Q77=4,1,0)),IF($F77&lt;=85,1,0))</formula>
    </cfRule>
  </conditionalFormatting>
  <conditionalFormatting sqref="AV78">
    <cfRule type="expression" priority="5561" dxfId="19">
      <formula>AV78="X"</formula>
    </cfRule>
    <cfRule type="expression" priority="5562" dxfId="18">
      <formula>AV78="후보"</formula>
    </cfRule>
  </conditionalFormatting>
  <conditionalFormatting sqref="AC78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8">
    <cfRule type="expression" priority="5553" dxfId="3">
      <formula>AND(IF(OR($Q78=1,$Q78=2),1,0),IF($X78&lt;=20,1,0))</formula>
    </cfRule>
    <cfRule type="expression" priority="5554" dxfId="2">
      <formula>AND(IF($Q78=2,1,0),IF($X78&lt;30,1,0))</formula>
    </cfRule>
    <cfRule type="expression" priority="5555" dxfId="1">
      <formula>AND(IF($Q78=3,1,0),IF($X78&lt;30,1,0))</formula>
    </cfRule>
    <cfRule type="expression" priority="5556" dxfId="0">
      <formula>AND(IF($Q78=3,1,IF($Q78=4,1,0)),IF($F78&lt;=85,1,0))</formula>
    </cfRule>
  </conditionalFormatting>
  <conditionalFormatting sqref="X78">
    <cfRule type="expression" priority="5549" dxfId="3">
      <formula>AND(IF(OR($Q78=1,$Q78=2),1,0),IF($X78&lt;=20,1,0))</formula>
    </cfRule>
    <cfRule type="expression" priority="5550" dxfId="2">
      <formula>AND(IF($Q78=2,1,0),IF($X78&lt;30,1,0))</formula>
    </cfRule>
    <cfRule type="expression" priority="5551" dxfId="1">
      <formula>AND(IF($Q78=3,1,0),IF($X78&lt;30,1,0))</formula>
    </cfRule>
    <cfRule type="expression" priority="5552" dxfId="0">
      <formula>AND(IF($Q78=3,1,IF($Q78=4,1,0)),IF($F78&lt;=85,1,0))</formula>
    </cfRule>
  </conditionalFormatting>
  <conditionalFormatting sqref="AI78">
    <cfRule type="expression" priority="5545" dxfId="3">
      <formula>AND(IF(OR($Q78=1,$Q78=2),1,0),IF($X78&lt;=20,1,0))</formula>
    </cfRule>
    <cfRule type="expression" priority="5546" dxfId="2">
      <formula>AND(IF($Q78=2,1,0),IF($X78&lt;30,1,0))</formula>
    </cfRule>
    <cfRule type="expression" priority="5547" dxfId="1">
      <formula>AND(IF($Q78=3,1,0),IF($X78&lt;30,1,0))</formula>
    </cfRule>
    <cfRule type="expression" priority="5548" dxfId="0">
      <formula>AND(IF($Q78=3,1,IF($Q78=4,1,0)),IF($F78&lt;=85,1,0))</formula>
    </cfRule>
  </conditionalFormatting>
  <conditionalFormatting sqref="AV79">
    <cfRule type="expression" priority="5543" dxfId="19">
      <formula>AV79="X"</formula>
    </cfRule>
    <cfRule type="expression" priority="5544" dxfId="18">
      <formula>AV79="후보"</formula>
    </cfRule>
  </conditionalFormatting>
  <conditionalFormatting sqref="AC79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9">
    <cfRule type="expression" priority="5535" dxfId="3">
      <formula>AND(IF(OR($Q79=1,$Q79=2),1,0),IF($X79&lt;=20,1,0))</formula>
    </cfRule>
    <cfRule type="expression" priority="5536" dxfId="2">
      <formula>AND(IF($Q79=2,1,0),IF($X79&lt;30,1,0))</formula>
    </cfRule>
    <cfRule type="expression" priority="5537" dxfId="1">
      <formula>AND(IF($Q79=3,1,0),IF($X79&lt;30,1,0))</formula>
    </cfRule>
    <cfRule type="expression" priority="5538" dxfId="0">
      <formula>AND(IF($Q79=3,1,IF($Q79=4,1,0)),IF($F79&lt;=85,1,0))</formula>
    </cfRule>
  </conditionalFormatting>
  <conditionalFormatting sqref="X79">
    <cfRule type="expression" priority="5531" dxfId="3">
      <formula>AND(IF(OR($Q79=1,$Q79=2),1,0),IF($X79&lt;=20,1,0))</formula>
    </cfRule>
    <cfRule type="expression" priority="5532" dxfId="2">
      <formula>AND(IF($Q79=2,1,0),IF($X79&lt;30,1,0))</formula>
    </cfRule>
    <cfRule type="expression" priority="5533" dxfId="1">
      <formula>AND(IF($Q79=3,1,0),IF($X79&lt;30,1,0))</formula>
    </cfRule>
    <cfRule type="expression" priority="5534" dxfId="0">
      <formula>AND(IF($Q79=3,1,IF($Q79=4,1,0)),IF($F79&lt;=85,1,0))</formula>
    </cfRule>
  </conditionalFormatting>
  <conditionalFormatting sqref="AI79">
    <cfRule type="expression" priority="5527" dxfId="3">
      <formula>AND(IF(OR($Q79=1,$Q79=2),1,0),IF($X79&lt;=20,1,0))</formula>
    </cfRule>
    <cfRule type="expression" priority="5528" dxfId="2">
      <formula>AND(IF($Q79=2,1,0),IF($X79&lt;30,1,0))</formula>
    </cfRule>
    <cfRule type="expression" priority="5529" dxfId="1">
      <formula>AND(IF($Q79=3,1,0),IF($X79&lt;30,1,0))</formula>
    </cfRule>
    <cfRule type="expression" priority="5530" dxfId="0">
      <formula>AND(IF($Q79=3,1,IF($Q79=4,1,0)),IF($F79&lt;=85,1,0))</formula>
    </cfRule>
  </conditionalFormatting>
  <conditionalFormatting sqref="AV80">
    <cfRule type="expression" priority="5525" dxfId="19">
      <formula>AV80="X"</formula>
    </cfRule>
    <cfRule type="expression" priority="5526" dxfId="18">
      <formula>AV80="후보"</formula>
    </cfRule>
  </conditionalFormatting>
  <conditionalFormatting sqref="AC80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8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80">
    <cfRule type="expression" priority="5517" dxfId="3">
      <formula>AND(IF(OR($Q80=1,$Q80=2),1,0),IF($X80&lt;=20,1,0))</formula>
    </cfRule>
    <cfRule type="expression" priority="5518" dxfId="2">
      <formula>AND(IF($Q80=2,1,0),IF($X80&lt;30,1,0))</formula>
    </cfRule>
    <cfRule type="expression" priority="5519" dxfId="1">
      <formula>AND(IF($Q80=3,1,0),IF($X80&lt;30,1,0))</formula>
    </cfRule>
    <cfRule type="expression" priority="5520" dxfId="0">
      <formula>AND(IF($Q80=3,1,IF($Q80=4,1,0)),IF($F80&lt;=85,1,0))</formula>
    </cfRule>
  </conditionalFormatting>
  <conditionalFormatting sqref="X80">
    <cfRule type="expression" priority="5513" dxfId="3">
      <formula>AND(IF(OR($Q80=1,$Q80=2),1,0),IF($X80&lt;=20,1,0))</formula>
    </cfRule>
    <cfRule type="expression" priority="5514" dxfId="2">
      <formula>AND(IF($Q80=2,1,0),IF($X80&lt;30,1,0))</formula>
    </cfRule>
    <cfRule type="expression" priority="5515" dxfId="1">
      <formula>AND(IF($Q80=3,1,0),IF($X80&lt;30,1,0))</formula>
    </cfRule>
    <cfRule type="expression" priority="5516" dxfId="0">
      <formula>AND(IF($Q80=3,1,IF($Q80=4,1,0)),IF($F80&lt;=85,1,0))</formula>
    </cfRule>
  </conditionalFormatting>
  <conditionalFormatting sqref="AI80">
    <cfRule type="expression" priority="5509" dxfId="3">
      <formula>AND(IF(OR($Q80=1,$Q80=2),1,0),IF($X80&lt;=20,1,0))</formula>
    </cfRule>
    <cfRule type="expression" priority="5510" dxfId="2">
      <formula>AND(IF($Q80=2,1,0),IF($X80&lt;30,1,0))</formula>
    </cfRule>
    <cfRule type="expression" priority="5511" dxfId="1">
      <formula>AND(IF($Q80=3,1,0),IF($X80&lt;30,1,0))</formula>
    </cfRule>
    <cfRule type="expression" priority="5512" dxfId="0">
      <formula>AND(IF($Q80=3,1,IF($Q80=4,1,0)),IF($F80&lt;=85,1,0))</formula>
    </cfRule>
  </conditionalFormatting>
  <conditionalFormatting sqref="AV81">
    <cfRule type="expression" priority="5507" dxfId="19">
      <formula>AV81="X"</formula>
    </cfRule>
    <cfRule type="expression" priority="5508" dxfId="18">
      <formula>AV81="후보"</formula>
    </cfRule>
  </conditionalFormatting>
  <conditionalFormatting sqref="AC81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8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81">
    <cfRule type="expression" priority="5499" dxfId="3">
      <formula>AND(IF(OR($Q81=1,$Q81=2),1,0),IF($X81&lt;=20,1,0))</formula>
    </cfRule>
    <cfRule type="expression" priority="5500" dxfId="2">
      <formula>AND(IF($Q81=2,1,0),IF($X81&lt;30,1,0))</formula>
    </cfRule>
    <cfRule type="expression" priority="5501" dxfId="1">
      <formula>AND(IF($Q81=3,1,0),IF($X81&lt;30,1,0))</formula>
    </cfRule>
    <cfRule type="expression" priority="5502" dxfId="0">
      <formula>AND(IF($Q81=3,1,IF($Q81=4,1,0)),IF($F81&lt;=85,1,0))</formula>
    </cfRule>
  </conditionalFormatting>
  <conditionalFormatting sqref="X81">
    <cfRule type="expression" priority="5495" dxfId="3">
      <formula>AND(IF(OR($Q81=1,$Q81=2),1,0),IF($X81&lt;=20,1,0))</formula>
    </cfRule>
    <cfRule type="expression" priority="5496" dxfId="2">
      <formula>AND(IF($Q81=2,1,0),IF($X81&lt;30,1,0))</formula>
    </cfRule>
    <cfRule type="expression" priority="5497" dxfId="1">
      <formula>AND(IF($Q81=3,1,0),IF($X81&lt;30,1,0))</formula>
    </cfRule>
    <cfRule type="expression" priority="5498" dxfId="0">
      <formula>AND(IF($Q81=3,1,IF($Q81=4,1,0)),IF($F81&lt;=85,1,0))</formula>
    </cfRule>
  </conditionalFormatting>
  <conditionalFormatting sqref="AI81">
    <cfRule type="expression" priority="5491" dxfId="3">
      <formula>AND(IF(OR($Q81=1,$Q81=2),1,0),IF($X81&lt;=20,1,0))</formula>
    </cfRule>
    <cfRule type="expression" priority="5492" dxfId="2">
      <formula>AND(IF($Q81=2,1,0),IF($X81&lt;30,1,0))</formula>
    </cfRule>
    <cfRule type="expression" priority="5493" dxfId="1">
      <formula>AND(IF($Q81=3,1,0),IF($X81&lt;30,1,0))</formula>
    </cfRule>
    <cfRule type="expression" priority="5494" dxfId="0">
      <formula>AND(IF($Q81=3,1,IF($Q81=4,1,0)),IF($F81&lt;=85,1,0))</formula>
    </cfRule>
  </conditionalFormatting>
  <conditionalFormatting sqref="AV82">
    <cfRule type="expression" priority="5489" dxfId="19">
      <formula>AV82="X"</formula>
    </cfRule>
    <cfRule type="expression" priority="5490" dxfId="18">
      <formula>AV82="후보"</formula>
    </cfRule>
  </conditionalFormatting>
  <conditionalFormatting sqref="AC82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8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82">
    <cfRule type="expression" priority="5481" dxfId="3">
      <formula>AND(IF(OR($Q82=1,$Q82=2),1,0),IF($X82&lt;=20,1,0))</formula>
    </cfRule>
    <cfRule type="expression" priority="5482" dxfId="2">
      <formula>AND(IF($Q82=2,1,0),IF($X82&lt;30,1,0))</formula>
    </cfRule>
    <cfRule type="expression" priority="5483" dxfId="1">
      <formula>AND(IF($Q82=3,1,0),IF($X82&lt;30,1,0))</formula>
    </cfRule>
    <cfRule type="expression" priority="5484" dxfId="0">
      <formula>AND(IF($Q82=3,1,IF($Q82=4,1,0)),IF($F82&lt;=85,1,0))</formula>
    </cfRule>
  </conditionalFormatting>
  <conditionalFormatting sqref="X82">
    <cfRule type="expression" priority="5477" dxfId="3">
      <formula>AND(IF(OR($Q82=1,$Q82=2),1,0),IF($X82&lt;=20,1,0))</formula>
    </cfRule>
    <cfRule type="expression" priority="5478" dxfId="2">
      <formula>AND(IF($Q82=2,1,0),IF($X82&lt;30,1,0))</formula>
    </cfRule>
    <cfRule type="expression" priority="5479" dxfId="1">
      <formula>AND(IF($Q82=3,1,0),IF($X82&lt;30,1,0))</formula>
    </cfRule>
    <cfRule type="expression" priority="5480" dxfId="0">
      <formula>AND(IF($Q82=3,1,IF($Q82=4,1,0)),IF($F82&lt;=85,1,0))</formula>
    </cfRule>
  </conditionalFormatting>
  <conditionalFormatting sqref="AI82">
    <cfRule type="expression" priority="5473" dxfId="3">
      <formula>AND(IF(OR($Q82=1,$Q82=2),1,0),IF($X82&lt;=20,1,0))</formula>
    </cfRule>
    <cfRule type="expression" priority="5474" dxfId="2">
      <formula>AND(IF($Q82=2,1,0),IF($X82&lt;30,1,0))</formula>
    </cfRule>
    <cfRule type="expression" priority="5475" dxfId="1">
      <formula>AND(IF($Q82=3,1,0),IF($X82&lt;30,1,0))</formula>
    </cfRule>
    <cfRule type="expression" priority="5476" dxfId="0">
      <formula>AND(IF($Q82=3,1,IF($Q82=4,1,0)),IF($F82&lt;=85,1,0))</formula>
    </cfRule>
  </conditionalFormatting>
  <conditionalFormatting sqref="AV83">
    <cfRule type="expression" priority="5471" dxfId="19">
      <formula>AV83="X"</formula>
    </cfRule>
    <cfRule type="expression" priority="5472" dxfId="18">
      <formula>AV83="후보"</formula>
    </cfRule>
  </conditionalFormatting>
  <conditionalFormatting sqref="AC83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8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83">
    <cfRule type="expression" priority="5463" dxfId="3">
      <formula>AND(IF(OR($Q83=1,$Q83=2),1,0),IF($X83&lt;=20,1,0))</formula>
    </cfRule>
    <cfRule type="expression" priority="5464" dxfId="2">
      <formula>AND(IF($Q83=2,1,0),IF($X83&lt;30,1,0))</formula>
    </cfRule>
    <cfRule type="expression" priority="5465" dxfId="1">
      <formula>AND(IF($Q83=3,1,0),IF($X83&lt;30,1,0))</formula>
    </cfRule>
    <cfRule type="expression" priority="5466" dxfId="0">
      <formula>AND(IF($Q83=3,1,IF($Q83=4,1,0)),IF($F83&lt;=85,1,0))</formula>
    </cfRule>
  </conditionalFormatting>
  <conditionalFormatting sqref="X83">
    <cfRule type="expression" priority="5459" dxfId="3">
      <formula>AND(IF(OR($Q83=1,$Q83=2),1,0),IF($X83&lt;=20,1,0))</formula>
    </cfRule>
    <cfRule type="expression" priority="5460" dxfId="2">
      <formula>AND(IF($Q83=2,1,0),IF($X83&lt;30,1,0))</formula>
    </cfRule>
    <cfRule type="expression" priority="5461" dxfId="1">
      <formula>AND(IF($Q83=3,1,0),IF($X83&lt;30,1,0))</formula>
    </cfRule>
    <cfRule type="expression" priority="5462" dxfId="0">
      <formula>AND(IF($Q83=3,1,IF($Q83=4,1,0)),IF($F83&lt;=85,1,0))</formula>
    </cfRule>
  </conditionalFormatting>
  <conditionalFormatting sqref="AI83">
    <cfRule type="expression" priority="5455" dxfId="3">
      <formula>AND(IF(OR($Q83=1,$Q83=2),1,0),IF($X83&lt;=20,1,0))</formula>
    </cfRule>
    <cfRule type="expression" priority="5456" dxfId="2">
      <formula>AND(IF($Q83=2,1,0),IF($X83&lt;30,1,0))</formula>
    </cfRule>
    <cfRule type="expression" priority="5457" dxfId="1">
      <formula>AND(IF($Q83=3,1,0),IF($X83&lt;30,1,0))</formula>
    </cfRule>
    <cfRule type="expression" priority="5458" dxfId="0">
      <formula>AND(IF($Q83=3,1,IF($Q83=4,1,0)),IF($F83&lt;=85,1,0))</formula>
    </cfRule>
  </conditionalFormatting>
  <conditionalFormatting sqref="AV84">
    <cfRule type="expression" priority="5453" dxfId="19">
      <formula>AV84="X"</formula>
    </cfRule>
    <cfRule type="expression" priority="5454" dxfId="18">
      <formula>AV84="후보"</formula>
    </cfRule>
  </conditionalFormatting>
  <conditionalFormatting sqref="AC84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8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84">
    <cfRule type="expression" priority="5445" dxfId="3">
      <formula>AND(IF(OR($Q84=1,$Q84=2),1,0),IF($X84&lt;=20,1,0))</formula>
    </cfRule>
    <cfRule type="expression" priority="5446" dxfId="2">
      <formula>AND(IF($Q84=2,1,0),IF($X84&lt;30,1,0))</formula>
    </cfRule>
    <cfRule type="expression" priority="5447" dxfId="1">
      <formula>AND(IF($Q84=3,1,0),IF($X84&lt;30,1,0))</formula>
    </cfRule>
    <cfRule type="expression" priority="5448" dxfId="0">
      <formula>AND(IF($Q84=3,1,IF($Q84=4,1,0)),IF($F84&lt;=85,1,0))</formula>
    </cfRule>
  </conditionalFormatting>
  <conditionalFormatting sqref="X84">
    <cfRule type="expression" priority="5441" dxfId="3">
      <formula>AND(IF(OR($Q84=1,$Q84=2),1,0),IF($X84&lt;=20,1,0))</formula>
    </cfRule>
    <cfRule type="expression" priority="5442" dxfId="2">
      <formula>AND(IF($Q84=2,1,0),IF($X84&lt;30,1,0))</formula>
    </cfRule>
    <cfRule type="expression" priority="5443" dxfId="1">
      <formula>AND(IF($Q84=3,1,0),IF($X84&lt;30,1,0))</formula>
    </cfRule>
    <cfRule type="expression" priority="5444" dxfId="0">
      <formula>AND(IF($Q84=3,1,IF($Q84=4,1,0)),IF($F84&lt;=85,1,0))</formula>
    </cfRule>
  </conditionalFormatting>
  <conditionalFormatting sqref="AI84">
    <cfRule type="expression" priority="5437" dxfId="3">
      <formula>AND(IF(OR($Q84=1,$Q84=2),1,0),IF($X84&lt;=20,1,0))</formula>
    </cfRule>
    <cfRule type="expression" priority="5438" dxfId="2">
      <formula>AND(IF($Q84=2,1,0),IF($X84&lt;30,1,0))</formula>
    </cfRule>
    <cfRule type="expression" priority="5439" dxfId="1">
      <formula>AND(IF($Q84=3,1,0),IF($X84&lt;30,1,0))</formula>
    </cfRule>
    <cfRule type="expression" priority="5440" dxfId="0">
      <formula>AND(IF($Q84=3,1,IF($Q84=4,1,0)),IF($F84&lt;=85,1,0))</formula>
    </cfRule>
  </conditionalFormatting>
  <conditionalFormatting sqref="AV85">
    <cfRule type="expression" priority="5435" dxfId="19">
      <formula>AV85="X"</formula>
    </cfRule>
    <cfRule type="expression" priority="5436" dxfId="18">
      <formula>AV85="후보"</formula>
    </cfRule>
  </conditionalFormatting>
  <conditionalFormatting sqref="AC85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8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85">
    <cfRule type="expression" priority="5427" dxfId="3">
      <formula>AND(IF(OR($Q85=1,$Q85=2),1,0),IF($X85&lt;=20,1,0))</formula>
    </cfRule>
    <cfRule type="expression" priority="5428" dxfId="2">
      <formula>AND(IF($Q85=2,1,0),IF($X85&lt;30,1,0))</formula>
    </cfRule>
    <cfRule type="expression" priority="5429" dxfId="1">
      <formula>AND(IF($Q85=3,1,0),IF($X85&lt;30,1,0))</formula>
    </cfRule>
    <cfRule type="expression" priority="5430" dxfId="0">
      <formula>AND(IF($Q85=3,1,IF($Q85=4,1,0)),IF($F85&lt;=85,1,0))</formula>
    </cfRule>
  </conditionalFormatting>
  <conditionalFormatting sqref="X85">
    <cfRule type="expression" priority="5423" dxfId="3">
      <formula>AND(IF(OR($Q85=1,$Q85=2),1,0),IF($X85&lt;=20,1,0))</formula>
    </cfRule>
    <cfRule type="expression" priority="5424" dxfId="2">
      <formula>AND(IF($Q85=2,1,0),IF($X85&lt;30,1,0))</formula>
    </cfRule>
    <cfRule type="expression" priority="5425" dxfId="1">
      <formula>AND(IF($Q85=3,1,0),IF($X85&lt;30,1,0))</formula>
    </cfRule>
    <cfRule type="expression" priority="5426" dxfId="0">
      <formula>AND(IF($Q85=3,1,IF($Q85=4,1,0)),IF($F85&lt;=85,1,0))</formula>
    </cfRule>
  </conditionalFormatting>
  <conditionalFormatting sqref="AI85">
    <cfRule type="expression" priority="5419" dxfId="3">
      <formula>AND(IF(OR($Q85=1,$Q85=2),1,0),IF($X85&lt;=20,1,0))</formula>
    </cfRule>
    <cfRule type="expression" priority="5420" dxfId="2">
      <formula>AND(IF($Q85=2,1,0),IF($X85&lt;30,1,0))</formula>
    </cfRule>
    <cfRule type="expression" priority="5421" dxfId="1">
      <formula>AND(IF($Q85=3,1,0),IF($X85&lt;30,1,0))</formula>
    </cfRule>
    <cfRule type="expression" priority="5422" dxfId="0">
      <formula>AND(IF($Q85=3,1,IF($Q85=4,1,0)),IF($F85&lt;=85,1,0))</formula>
    </cfRule>
  </conditionalFormatting>
  <conditionalFormatting sqref="AV86">
    <cfRule type="expression" priority="5417" dxfId="19">
      <formula>AV86="X"</formula>
    </cfRule>
    <cfRule type="expression" priority="5418" dxfId="18">
      <formula>AV86="후보"</formula>
    </cfRule>
  </conditionalFormatting>
  <conditionalFormatting sqref="AC86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8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86">
    <cfRule type="expression" priority="5409" dxfId="3">
      <formula>AND(IF(OR($Q86=1,$Q86=2),1,0),IF($X86&lt;=20,1,0))</formula>
    </cfRule>
    <cfRule type="expression" priority="5410" dxfId="2">
      <formula>AND(IF($Q86=2,1,0),IF($X86&lt;30,1,0))</formula>
    </cfRule>
    <cfRule type="expression" priority="5411" dxfId="1">
      <formula>AND(IF($Q86=3,1,0),IF($X86&lt;30,1,0))</formula>
    </cfRule>
    <cfRule type="expression" priority="5412" dxfId="0">
      <formula>AND(IF($Q86=3,1,IF($Q86=4,1,0)),IF($F86&lt;=85,1,0))</formula>
    </cfRule>
  </conditionalFormatting>
  <conditionalFormatting sqref="X86">
    <cfRule type="expression" priority="5405" dxfId="3">
      <formula>AND(IF(OR($Q86=1,$Q86=2),1,0),IF($X86&lt;=20,1,0))</formula>
    </cfRule>
    <cfRule type="expression" priority="5406" dxfId="2">
      <formula>AND(IF($Q86=2,1,0),IF($X86&lt;30,1,0))</formula>
    </cfRule>
    <cfRule type="expression" priority="5407" dxfId="1">
      <formula>AND(IF($Q86=3,1,0),IF($X86&lt;30,1,0))</formula>
    </cfRule>
    <cfRule type="expression" priority="5408" dxfId="0">
      <formula>AND(IF($Q86=3,1,IF($Q86=4,1,0)),IF($F86&lt;=85,1,0))</formula>
    </cfRule>
  </conditionalFormatting>
  <conditionalFormatting sqref="AI86">
    <cfRule type="expression" priority="5401" dxfId="3">
      <formula>AND(IF(OR($Q86=1,$Q86=2),1,0),IF($X86&lt;=20,1,0))</formula>
    </cfRule>
    <cfRule type="expression" priority="5402" dxfId="2">
      <formula>AND(IF($Q86=2,1,0),IF($X86&lt;30,1,0))</formula>
    </cfRule>
    <cfRule type="expression" priority="5403" dxfId="1">
      <formula>AND(IF($Q86=3,1,0),IF($X86&lt;30,1,0))</formula>
    </cfRule>
    <cfRule type="expression" priority="5404" dxfId="0">
      <formula>AND(IF($Q86=3,1,IF($Q86=4,1,0)),IF($F86&lt;=85,1,0))</formula>
    </cfRule>
  </conditionalFormatting>
  <conditionalFormatting sqref="AV87">
    <cfRule type="expression" priority="5399" dxfId="19">
      <formula>AV87="X"</formula>
    </cfRule>
    <cfRule type="expression" priority="5400" dxfId="18">
      <formula>AV87="후보"</formula>
    </cfRule>
  </conditionalFormatting>
  <conditionalFormatting sqref="AC87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8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87">
    <cfRule type="expression" priority="5391" dxfId="3">
      <formula>AND(IF(OR($Q87=1,$Q87=2),1,0),IF($X87&lt;=20,1,0))</formula>
    </cfRule>
    <cfRule type="expression" priority="5392" dxfId="2">
      <formula>AND(IF($Q87=2,1,0),IF($X87&lt;30,1,0))</formula>
    </cfRule>
    <cfRule type="expression" priority="5393" dxfId="1">
      <formula>AND(IF($Q87=3,1,0),IF($X87&lt;30,1,0))</formula>
    </cfRule>
    <cfRule type="expression" priority="5394" dxfId="0">
      <formula>AND(IF($Q87=3,1,IF($Q87=4,1,0)),IF($F87&lt;=85,1,0))</formula>
    </cfRule>
  </conditionalFormatting>
  <conditionalFormatting sqref="X87">
    <cfRule type="expression" priority="5387" dxfId="3">
      <formula>AND(IF(OR($Q87=1,$Q87=2),1,0),IF($X87&lt;=20,1,0))</formula>
    </cfRule>
    <cfRule type="expression" priority="5388" dxfId="2">
      <formula>AND(IF($Q87=2,1,0),IF($X87&lt;30,1,0))</formula>
    </cfRule>
    <cfRule type="expression" priority="5389" dxfId="1">
      <formula>AND(IF($Q87=3,1,0),IF($X87&lt;30,1,0))</formula>
    </cfRule>
    <cfRule type="expression" priority="5390" dxfId="0">
      <formula>AND(IF($Q87=3,1,IF($Q87=4,1,0)),IF($F87&lt;=85,1,0))</formula>
    </cfRule>
  </conditionalFormatting>
  <conditionalFormatting sqref="AI87">
    <cfRule type="expression" priority="5383" dxfId="3">
      <formula>AND(IF(OR($Q87=1,$Q87=2),1,0),IF($X87&lt;=20,1,0))</formula>
    </cfRule>
    <cfRule type="expression" priority="5384" dxfId="2">
      <formula>AND(IF($Q87=2,1,0),IF($X87&lt;30,1,0))</formula>
    </cfRule>
    <cfRule type="expression" priority="5385" dxfId="1">
      <formula>AND(IF($Q87=3,1,0),IF($X87&lt;30,1,0))</formula>
    </cfRule>
    <cfRule type="expression" priority="5386" dxfId="0">
      <formula>AND(IF($Q87=3,1,IF($Q87=4,1,0)),IF($F87&lt;=85,1,0))</formula>
    </cfRule>
  </conditionalFormatting>
  <conditionalFormatting sqref="AV88">
    <cfRule type="expression" priority="5381" dxfId="19">
      <formula>AV88="X"</formula>
    </cfRule>
    <cfRule type="expression" priority="5382" dxfId="18">
      <formula>AV88="후보"</formula>
    </cfRule>
  </conditionalFormatting>
  <conditionalFormatting sqref="AC88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8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88">
    <cfRule type="expression" priority="5373" dxfId="3">
      <formula>AND(IF(OR($Q88=1,$Q88=2),1,0),IF($X88&lt;=20,1,0))</formula>
    </cfRule>
    <cfRule type="expression" priority="5374" dxfId="2">
      <formula>AND(IF($Q88=2,1,0),IF($X88&lt;30,1,0))</formula>
    </cfRule>
    <cfRule type="expression" priority="5375" dxfId="1">
      <formula>AND(IF($Q88=3,1,0),IF($X88&lt;30,1,0))</formula>
    </cfRule>
    <cfRule type="expression" priority="5376" dxfId="0">
      <formula>AND(IF($Q88=3,1,IF($Q88=4,1,0)),IF($F88&lt;=85,1,0))</formula>
    </cfRule>
  </conditionalFormatting>
  <conditionalFormatting sqref="X88">
    <cfRule type="expression" priority="5369" dxfId="3">
      <formula>AND(IF(OR($Q88=1,$Q88=2),1,0),IF($X88&lt;=20,1,0))</formula>
    </cfRule>
    <cfRule type="expression" priority="5370" dxfId="2">
      <formula>AND(IF($Q88=2,1,0),IF($X88&lt;30,1,0))</formula>
    </cfRule>
    <cfRule type="expression" priority="5371" dxfId="1">
      <formula>AND(IF($Q88=3,1,0),IF($X88&lt;30,1,0))</formula>
    </cfRule>
    <cfRule type="expression" priority="5372" dxfId="0">
      <formula>AND(IF($Q88=3,1,IF($Q88=4,1,0)),IF($F88&lt;=85,1,0))</formula>
    </cfRule>
  </conditionalFormatting>
  <conditionalFormatting sqref="AI88">
    <cfRule type="expression" priority="5365" dxfId="3">
      <formula>AND(IF(OR($Q88=1,$Q88=2),1,0),IF($X88&lt;=20,1,0))</formula>
    </cfRule>
    <cfRule type="expression" priority="5366" dxfId="2">
      <formula>AND(IF($Q88=2,1,0),IF($X88&lt;30,1,0))</formula>
    </cfRule>
    <cfRule type="expression" priority="5367" dxfId="1">
      <formula>AND(IF($Q88=3,1,0),IF($X88&lt;30,1,0))</formula>
    </cfRule>
    <cfRule type="expression" priority="5368" dxfId="0">
      <formula>AND(IF($Q88=3,1,IF($Q88=4,1,0)),IF($F88&lt;=85,1,0))</formula>
    </cfRule>
  </conditionalFormatting>
  <conditionalFormatting sqref="AV89">
    <cfRule type="expression" priority="5363" dxfId="19">
      <formula>AV89="X"</formula>
    </cfRule>
    <cfRule type="expression" priority="5364" dxfId="18">
      <formula>AV89="후보"</formula>
    </cfRule>
  </conditionalFormatting>
  <conditionalFormatting sqref="AC89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8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89">
    <cfRule type="expression" priority="5355" dxfId="3">
      <formula>AND(IF(OR($Q89=1,$Q89=2),1,0),IF($X89&lt;=20,1,0))</formula>
    </cfRule>
    <cfRule type="expression" priority="5356" dxfId="2">
      <formula>AND(IF($Q89=2,1,0),IF($X89&lt;30,1,0))</formula>
    </cfRule>
    <cfRule type="expression" priority="5357" dxfId="1">
      <formula>AND(IF($Q89=3,1,0),IF($X89&lt;30,1,0))</formula>
    </cfRule>
    <cfRule type="expression" priority="5358" dxfId="0">
      <formula>AND(IF($Q89=3,1,IF($Q89=4,1,0)),IF($F89&lt;=85,1,0))</formula>
    </cfRule>
  </conditionalFormatting>
  <conditionalFormatting sqref="X89">
    <cfRule type="expression" priority="5351" dxfId="3">
      <formula>AND(IF(OR($Q89=1,$Q89=2),1,0),IF($X89&lt;=20,1,0))</formula>
    </cfRule>
    <cfRule type="expression" priority="5352" dxfId="2">
      <formula>AND(IF($Q89=2,1,0),IF($X89&lt;30,1,0))</formula>
    </cfRule>
    <cfRule type="expression" priority="5353" dxfId="1">
      <formula>AND(IF($Q89=3,1,0),IF($X89&lt;30,1,0))</formula>
    </cfRule>
    <cfRule type="expression" priority="5354" dxfId="0">
      <formula>AND(IF($Q89=3,1,IF($Q89=4,1,0)),IF($F89&lt;=85,1,0))</formula>
    </cfRule>
  </conditionalFormatting>
  <conditionalFormatting sqref="AI89">
    <cfRule type="expression" priority="5347" dxfId="3">
      <formula>AND(IF(OR($Q89=1,$Q89=2),1,0),IF($X89&lt;=20,1,0))</formula>
    </cfRule>
    <cfRule type="expression" priority="5348" dxfId="2">
      <formula>AND(IF($Q89=2,1,0),IF($X89&lt;30,1,0))</formula>
    </cfRule>
    <cfRule type="expression" priority="5349" dxfId="1">
      <formula>AND(IF($Q89=3,1,0),IF($X89&lt;30,1,0))</formula>
    </cfRule>
    <cfRule type="expression" priority="5350" dxfId="0">
      <formula>AND(IF($Q89=3,1,IF($Q89=4,1,0)),IF($F89&lt;=85,1,0))</formula>
    </cfRule>
  </conditionalFormatting>
  <conditionalFormatting sqref="AV90">
    <cfRule type="expression" priority="5345" dxfId="19">
      <formula>AV90="X"</formula>
    </cfRule>
    <cfRule type="expression" priority="5346" dxfId="18">
      <formula>AV90="후보"</formula>
    </cfRule>
  </conditionalFormatting>
  <conditionalFormatting sqref="AC90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9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90">
    <cfRule type="expression" priority="5337" dxfId="3">
      <formula>AND(IF(OR($Q90=1,$Q90=2),1,0),IF($X90&lt;=20,1,0))</formula>
    </cfRule>
    <cfRule type="expression" priority="5338" dxfId="2">
      <formula>AND(IF($Q90=2,1,0),IF($X90&lt;30,1,0))</formula>
    </cfRule>
    <cfRule type="expression" priority="5339" dxfId="1">
      <formula>AND(IF($Q90=3,1,0),IF($X90&lt;30,1,0))</formula>
    </cfRule>
    <cfRule type="expression" priority="5340" dxfId="0">
      <formula>AND(IF($Q90=3,1,IF($Q90=4,1,0)),IF($F90&lt;=85,1,0))</formula>
    </cfRule>
  </conditionalFormatting>
  <conditionalFormatting sqref="X90">
    <cfRule type="expression" priority="5333" dxfId="3">
      <formula>AND(IF(OR($Q90=1,$Q90=2),1,0),IF($X90&lt;=20,1,0))</formula>
    </cfRule>
    <cfRule type="expression" priority="5334" dxfId="2">
      <formula>AND(IF($Q90=2,1,0),IF($X90&lt;30,1,0))</formula>
    </cfRule>
    <cfRule type="expression" priority="5335" dxfId="1">
      <formula>AND(IF($Q90=3,1,0),IF($X90&lt;30,1,0))</formula>
    </cfRule>
    <cfRule type="expression" priority="5336" dxfId="0">
      <formula>AND(IF($Q90=3,1,IF($Q90=4,1,0)),IF($F90&lt;=85,1,0))</formula>
    </cfRule>
  </conditionalFormatting>
  <conditionalFormatting sqref="AI90">
    <cfRule type="expression" priority="5329" dxfId="3">
      <formula>AND(IF(OR($Q90=1,$Q90=2),1,0),IF($X90&lt;=20,1,0))</formula>
    </cfRule>
    <cfRule type="expression" priority="5330" dxfId="2">
      <formula>AND(IF($Q90=2,1,0),IF($X90&lt;30,1,0))</formula>
    </cfRule>
    <cfRule type="expression" priority="5331" dxfId="1">
      <formula>AND(IF($Q90=3,1,0),IF($X90&lt;30,1,0))</formula>
    </cfRule>
    <cfRule type="expression" priority="5332" dxfId="0">
      <formula>AND(IF($Q90=3,1,IF($Q90=4,1,0)),IF($F90&lt;=85,1,0))</formula>
    </cfRule>
  </conditionalFormatting>
  <conditionalFormatting sqref="AV91">
    <cfRule type="expression" priority="5327" dxfId="19">
      <formula>AV91="X"</formula>
    </cfRule>
    <cfRule type="expression" priority="5328" dxfId="18">
      <formula>AV91="후보"</formula>
    </cfRule>
  </conditionalFormatting>
  <conditionalFormatting sqref="AC91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9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91">
    <cfRule type="expression" priority="5319" dxfId="3">
      <formula>AND(IF(OR($Q91=1,$Q91=2),1,0),IF($X91&lt;=20,1,0))</formula>
    </cfRule>
    <cfRule type="expression" priority="5320" dxfId="2">
      <formula>AND(IF($Q91=2,1,0),IF($X91&lt;30,1,0))</formula>
    </cfRule>
    <cfRule type="expression" priority="5321" dxfId="1">
      <formula>AND(IF($Q91=3,1,0),IF($X91&lt;30,1,0))</formula>
    </cfRule>
    <cfRule type="expression" priority="5322" dxfId="0">
      <formula>AND(IF($Q91=3,1,IF($Q91=4,1,0)),IF($F91&lt;=85,1,0))</formula>
    </cfRule>
  </conditionalFormatting>
  <conditionalFormatting sqref="X91">
    <cfRule type="expression" priority="5315" dxfId="3">
      <formula>AND(IF(OR($Q91=1,$Q91=2),1,0),IF($X91&lt;=20,1,0))</formula>
    </cfRule>
    <cfRule type="expression" priority="5316" dxfId="2">
      <formula>AND(IF($Q91=2,1,0),IF($X91&lt;30,1,0))</formula>
    </cfRule>
    <cfRule type="expression" priority="5317" dxfId="1">
      <formula>AND(IF($Q91=3,1,0),IF($X91&lt;30,1,0))</formula>
    </cfRule>
    <cfRule type="expression" priority="5318" dxfId="0">
      <formula>AND(IF($Q91=3,1,IF($Q91=4,1,0)),IF($F91&lt;=85,1,0))</formula>
    </cfRule>
  </conditionalFormatting>
  <conditionalFormatting sqref="AI91">
    <cfRule type="expression" priority="5311" dxfId="3">
      <formula>AND(IF(OR($Q91=1,$Q91=2),1,0),IF($X91&lt;=20,1,0))</formula>
    </cfRule>
    <cfRule type="expression" priority="5312" dxfId="2">
      <formula>AND(IF($Q91=2,1,0),IF($X91&lt;30,1,0))</formula>
    </cfRule>
    <cfRule type="expression" priority="5313" dxfId="1">
      <formula>AND(IF($Q91=3,1,0),IF($X91&lt;30,1,0))</formula>
    </cfRule>
    <cfRule type="expression" priority="5314" dxfId="0">
      <formula>AND(IF($Q91=3,1,IF($Q91=4,1,0)),IF($F91&lt;=85,1,0))</formula>
    </cfRule>
  </conditionalFormatting>
  <conditionalFormatting sqref="AV92">
    <cfRule type="expression" priority="5309" dxfId="19">
      <formula>AV92="X"</formula>
    </cfRule>
    <cfRule type="expression" priority="5310" dxfId="18">
      <formula>AV92="후보"</formula>
    </cfRule>
  </conditionalFormatting>
  <conditionalFormatting sqref="AC92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9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92">
    <cfRule type="expression" priority="5301" dxfId="3">
      <formula>AND(IF(OR($Q92=1,$Q92=2),1,0),IF($X92&lt;=20,1,0))</formula>
    </cfRule>
    <cfRule type="expression" priority="5302" dxfId="2">
      <formula>AND(IF($Q92=2,1,0),IF($X92&lt;30,1,0))</formula>
    </cfRule>
    <cfRule type="expression" priority="5303" dxfId="1">
      <formula>AND(IF($Q92=3,1,0),IF($X92&lt;30,1,0))</formula>
    </cfRule>
    <cfRule type="expression" priority="5304" dxfId="0">
      <formula>AND(IF($Q92=3,1,IF($Q92=4,1,0)),IF($F92&lt;=85,1,0))</formula>
    </cfRule>
  </conditionalFormatting>
  <conditionalFormatting sqref="X92">
    <cfRule type="expression" priority="5297" dxfId="3">
      <formula>AND(IF(OR($Q92=1,$Q92=2),1,0),IF($X92&lt;=20,1,0))</formula>
    </cfRule>
    <cfRule type="expression" priority="5298" dxfId="2">
      <formula>AND(IF($Q92=2,1,0),IF($X92&lt;30,1,0))</formula>
    </cfRule>
    <cfRule type="expression" priority="5299" dxfId="1">
      <formula>AND(IF($Q92=3,1,0),IF($X92&lt;30,1,0))</formula>
    </cfRule>
    <cfRule type="expression" priority="5300" dxfId="0">
      <formula>AND(IF($Q92=3,1,IF($Q92=4,1,0)),IF($F92&lt;=85,1,0))</formula>
    </cfRule>
  </conditionalFormatting>
  <conditionalFormatting sqref="AI92">
    <cfRule type="expression" priority="5293" dxfId="3">
      <formula>AND(IF(OR($Q92=1,$Q92=2),1,0),IF($X92&lt;=20,1,0))</formula>
    </cfRule>
    <cfRule type="expression" priority="5294" dxfId="2">
      <formula>AND(IF($Q92=2,1,0),IF($X92&lt;30,1,0))</formula>
    </cfRule>
    <cfRule type="expression" priority="5295" dxfId="1">
      <formula>AND(IF($Q92=3,1,0),IF($X92&lt;30,1,0))</formula>
    </cfRule>
    <cfRule type="expression" priority="5296" dxfId="0">
      <formula>AND(IF($Q92=3,1,IF($Q92=4,1,0)),IF($F92&lt;=85,1,0))</formula>
    </cfRule>
  </conditionalFormatting>
  <conditionalFormatting sqref="AV93">
    <cfRule type="expression" priority="5291" dxfId="19">
      <formula>AV93="X"</formula>
    </cfRule>
    <cfRule type="expression" priority="5292" dxfId="18">
      <formula>AV93="후보"</formula>
    </cfRule>
  </conditionalFormatting>
  <conditionalFormatting sqref="AC93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9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93">
    <cfRule type="expression" priority="5283" dxfId="3">
      <formula>AND(IF(OR($Q93=1,$Q93=2),1,0),IF($X93&lt;=20,1,0))</formula>
    </cfRule>
    <cfRule type="expression" priority="5284" dxfId="2">
      <formula>AND(IF($Q93=2,1,0),IF($X93&lt;30,1,0))</formula>
    </cfRule>
    <cfRule type="expression" priority="5285" dxfId="1">
      <formula>AND(IF($Q93=3,1,0),IF($X93&lt;30,1,0))</formula>
    </cfRule>
    <cfRule type="expression" priority="5286" dxfId="0">
      <formula>AND(IF($Q93=3,1,IF($Q93=4,1,0)),IF($F93&lt;=85,1,0))</formula>
    </cfRule>
  </conditionalFormatting>
  <conditionalFormatting sqref="X93">
    <cfRule type="expression" priority="5279" dxfId="3">
      <formula>AND(IF(OR($Q93=1,$Q93=2),1,0),IF($X93&lt;=20,1,0))</formula>
    </cfRule>
    <cfRule type="expression" priority="5280" dxfId="2">
      <formula>AND(IF($Q93=2,1,0),IF($X93&lt;30,1,0))</formula>
    </cfRule>
    <cfRule type="expression" priority="5281" dxfId="1">
      <formula>AND(IF($Q93=3,1,0),IF($X93&lt;30,1,0))</formula>
    </cfRule>
    <cfRule type="expression" priority="5282" dxfId="0">
      <formula>AND(IF($Q93=3,1,IF($Q93=4,1,0)),IF($F93&lt;=85,1,0))</formula>
    </cfRule>
  </conditionalFormatting>
  <conditionalFormatting sqref="AI93">
    <cfRule type="expression" priority="5275" dxfId="3">
      <formula>AND(IF(OR($Q93=1,$Q93=2),1,0),IF($X93&lt;=20,1,0))</formula>
    </cfRule>
    <cfRule type="expression" priority="5276" dxfId="2">
      <formula>AND(IF($Q93=2,1,0),IF($X93&lt;30,1,0))</formula>
    </cfRule>
    <cfRule type="expression" priority="5277" dxfId="1">
      <formula>AND(IF($Q93=3,1,0),IF($X93&lt;30,1,0))</formula>
    </cfRule>
    <cfRule type="expression" priority="5278" dxfId="0">
      <formula>AND(IF($Q93=3,1,IF($Q93=4,1,0)),IF($F93&lt;=85,1,0))</formula>
    </cfRule>
  </conditionalFormatting>
  <conditionalFormatting sqref="AV94">
    <cfRule type="expression" priority="5273" dxfId="19">
      <formula>AV94="X"</formula>
    </cfRule>
    <cfRule type="expression" priority="5274" dxfId="18">
      <formula>AV94="후보"</formula>
    </cfRule>
  </conditionalFormatting>
  <conditionalFormatting sqref="AC94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9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94">
    <cfRule type="expression" priority="5265" dxfId="3">
      <formula>AND(IF(OR($Q94=1,$Q94=2),1,0),IF($X94&lt;=20,1,0))</formula>
    </cfRule>
    <cfRule type="expression" priority="5266" dxfId="2">
      <formula>AND(IF($Q94=2,1,0),IF($X94&lt;30,1,0))</formula>
    </cfRule>
    <cfRule type="expression" priority="5267" dxfId="1">
      <formula>AND(IF($Q94=3,1,0),IF($X94&lt;30,1,0))</formula>
    </cfRule>
    <cfRule type="expression" priority="5268" dxfId="0">
      <formula>AND(IF($Q94=3,1,IF($Q94=4,1,0)),IF($F94&lt;=85,1,0))</formula>
    </cfRule>
  </conditionalFormatting>
  <conditionalFormatting sqref="X94">
    <cfRule type="expression" priority="5261" dxfId="3">
      <formula>AND(IF(OR($Q94=1,$Q94=2),1,0),IF($X94&lt;=20,1,0))</formula>
    </cfRule>
    <cfRule type="expression" priority="5262" dxfId="2">
      <formula>AND(IF($Q94=2,1,0),IF($X94&lt;30,1,0))</formula>
    </cfRule>
    <cfRule type="expression" priority="5263" dxfId="1">
      <formula>AND(IF($Q94=3,1,0),IF($X94&lt;30,1,0))</formula>
    </cfRule>
    <cfRule type="expression" priority="5264" dxfId="0">
      <formula>AND(IF($Q94=3,1,IF($Q94=4,1,0)),IF($F94&lt;=85,1,0))</formula>
    </cfRule>
  </conditionalFormatting>
  <conditionalFormatting sqref="AI94">
    <cfRule type="expression" priority="5257" dxfId="3">
      <formula>AND(IF(OR($Q94=1,$Q94=2),1,0),IF($X94&lt;=20,1,0))</formula>
    </cfRule>
    <cfRule type="expression" priority="5258" dxfId="2">
      <formula>AND(IF($Q94=2,1,0),IF($X94&lt;30,1,0))</formula>
    </cfRule>
    <cfRule type="expression" priority="5259" dxfId="1">
      <formula>AND(IF($Q94=3,1,0),IF($X94&lt;30,1,0))</formula>
    </cfRule>
    <cfRule type="expression" priority="5260" dxfId="0">
      <formula>AND(IF($Q94=3,1,IF($Q94=4,1,0)),IF($F94&lt;=85,1,0))</formula>
    </cfRule>
  </conditionalFormatting>
  <conditionalFormatting sqref="AV95">
    <cfRule type="expression" priority="5255" dxfId="19">
      <formula>AV95="X"</formula>
    </cfRule>
    <cfRule type="expression" priority="5256" dxfId="18">
      <formula>AV95="후보"</formula>
    </cfRule>
  </conditionalFormatting>
  <conditionalFormatting sqref="AC95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9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95">
    <cfRule type="expression" priority="5247" dxfId="3">
      <formula>AND(IF(OR($Q95=1,$Q95=2),1,0),IF($X95&lt;=20,1,0))</formula>
    </cfRule>
    <cfRule type="expression" priority="5248" dxfId="2">
      <formula>AND(IF($Q95=2,1,0),IF($X95&lt;30,1,0))</formula>
    </cfRule>
    <cfRule type="expression" priority="5249" dxfId="1">
      <formula>AND(IF($Q95=3,1,0),IF($X95&lt;30,1,0))</formula>
    </cfRule>
    <cfRule type="expression" priority="5250" dxfId="0">
      <formula>AND(IF($Q95=3,1,IF($Q95=4,1,0)),IF($F95&lt;=85,1,0))</formula>
    </cfRule>
  </conditionalFormatting>
  <conditionalFormatting sqref="X95">
    <cfRule type="expression" priority="5243" dxfId="3">
      <formula>AND(IF(OR($Q95=1,$Q95=2),1,0),IF($X95&lt;=20,1,0))</formula>
    </cfRule>
    <cfRule type="expression" priority="5244" dxfId="2">
      <formula>AND(IF($Q95=2,1,0),IF($X95&lt;30,1,0))</formula>
    </cfRule>
    <cfRule type="expression" priority="5245" dxfId="1">
      <formula>AND(IF($Q95=3,1,0),IF($X95&lt;30,1,0))</formula>
    </cfRule>
    <cfRule type="expression" priority="5246" dxfId="0">
      <formula>AND(IF($Q95=3,1,IF($Q95=4,1,0)),IF($F95&lt;=85,1,0))</formula>
    </cfRule>
  </conditionalFormatting>
  <conditionalFormatting sqref="AI95">
    <cfRule type="expression" priority="5239" dxfId="3">
      <formula>AND(IF(OR($Q95=1,$Q95=2),1,0),IF($X95&lt;=20,1,0))</formula>
    </cfRule>
    <cfRule type="expression" priority="5240" dxfId="2">
      <formula>AND(IF($Q95=2,1,0),IF($X95&lt;30,1,0))</formula>
    </cfRule>
    <cfRule type="expression" priority="5241" dxfId="1">
      <formula>AND(IF($Q95=3,1,0),IF($X95&lt;30,1,0))</formula>
    </cfRule>
    <cfRule type="expression" priority="5242" dxfId="0">
      <formula>AND(IF($Q95=3,1,IF($Q95=4,1,0)),IF($F95&lt;=85,1,0))</formula>
    </cfRule>
  </conditionalFormatting>
  <conditionalFormatting sqref="AV96">
    <cfRule type="expression" priority="5237" dxfId="19">
      <formula>AV96="X"</formula>
    </cfRule>
    <cfRule type="expression" priority="5238" dxfId="18">
      <formula>AV96="후보"</formula>
    </cfRule>
  </conditionalFormatting>
  <conditionalFormatting sqref="AC96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9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96">
    <cfRule type="expression" priority="5229" dxfId="3">
      <formula>AND(IF(OR($Q96=1,$Q96=2),1,0),IF($X96&lt;=20,1,0))</formula>
    </cfRule>
    <cfRule type="expression" priority="5230" dxfId="2">
      <formula>AND(IF($Q96=2,1,0),IF($X96&lt;30,1,0))</formula>
    </cfRule>
    <cfRule type="expression" priority="5231" dxfId="1">
      <formula>AND(IF($Q96=3,1,0),IF($X96&lt;30,1,0))</formula>
    </cfRule>
    <cfRule type="expression" priority="5232" dxfId="0">
      <formula>AND(IF($Q96=3,1,IF($Q96=4,1,0)),IF($F96&lt;=85,1,0))</formula>
    </cfRule>
  </conditionalFormatting>
  <conditionalFormatting sqref="X96">
    <cfRule type="expression" priority="5225" dxfId="3">
      <formula>AND(IF(OR($Q96=1,$Q96=2),1,0),IF($X96&lt;=20,1,0))</formula>
    </cfRule>
    <cfRule type="expression" priority="5226" dxfId="2">
      <formula>AND(IF($Q96=2,1,0),IF($X96&lt;30,1,0))</formula>
    </cfRule>
    <cfRule type="expression" priority="5227" dxfId="1">
      <formula>AND(IF($Q96=3,1,0),IF($X96&lt;30,1,0))</formula>
    </cfRule>
    <cfRule type="expression" priority="5228" dxfId="0">
      <formula>AND(IF($Q96=3,1,IF($Q96=4,1,0)),IF($F96&lt;=85,1,0))</formula>
    </cfRule>
  </conditionalFormatting>
  <conditionalFormatting sqref="AI96">
    <cfRule type="expression" priority="5221" dxfId="3">
      <formula>AND(IF(OR($Q96=1,$Q96=2),1,0),IF($X96&lt;=20,1,0))</formula>
    </cfRule>
    <cfRule type="expression" priority="5222" dxfId="2">
      <formula>AND(IF($Q96=2,1,0),IF($X96&lt;30,1,0))</formula>
    </cfRule>
    <cfRule type="expression" priority="5223" dxfId="1">
      <formula>AND(IF($Q96=3,1,0),IF($X96&lt;30,1,0))</formula>
    </cfRule>
    <cfRule type="expression" priority="5224" dxfId="0">
      <formula>AND(IF($Q96=3,1,IF($Q96=4,1,0)),IF($F96&lt;=85,1,0))</formula>
    </cfRule>
  </conditionalFormatting>
  <conditionalFormatting sqref="AV97">
    <cfRule type="expression" priority="5219" dxfId="19">
      <formula>AV97="X"</formula>
    </cfRule>
    <cfRule type="expression" priority="5220" dxfId="18">
      <formula>AV97="후보"</formula>
    </cfRule>
  </conditionalFormatting>
  <conditionalFormatting sqref="AC97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9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97">
    <cfRule type="expression" priority="5211" dxfId="3">
      <formula>AND(IF(OR($Q97=1,$Q97=2),1,0),IF($X97&lt;=20,1,0))</formula>
    </cfRule>
    <cfRule type="expression" priority="5212" dxfId="2">
      <formula>AND(IF($Q97=2,1,0),IF($X97&lt;30,1,0))</formula>
    </cfRule>
    <cfRule type="expression" priority="5213" dxfId="1">
      <formula>AND(IF($Q97=3,1,0),IF($X97&lt;30,1,0))</formula>
    </cfRule>
    <cfRule type="expression" priority="5214" dxfId="0">
      <formula>AND(IF($Q97=3,1,IF($Q97=4,1,0)),IF($F97&lt;=85,1,0))</formula>
    </cfRule>
  </conditionalFormatting>
  <conditionalFormatting sqref="X97">
    <cfRule type="expression" priority="5207" dxfId="3">
      <formula>AND(IF(OR($Q97=1,$Q97=2),1,0),IF($X97&lt;=20,1,0))</formula>
    </cfRule>
    <cfRule type="expression" priority="5208" dxfId="2">
      <formula>AND(IF($Q97=2,1,0),IF($X97&lt;30,1,0))</formula>
    </cfRule>
    <cfRule type="expression" priority="5209" dxfId="1">
      <formula>AND(IF($Q97=3,1,0),IF($X97&lt;30,1,0))</formula>
    </cfRule>
    <cfRule type="expression" priority="5210" dxfId="0">
      <formula>AND(IF($Q97=3,1,IF($Q97=4,1,0)),IF($F97&lt;=85,1,0))</formula>
    </cfRule>
  </conditionalFormatting>
  <conditionalFormatting sqref="AI97">
    <cfRule type="expression" priority="5203" dxfId="3">
      <formula>AND(IF(OR($Q97=1,$Q97=2),1,0),IF($X97&lt;=20,1,0))</formula>
    </cfRule>
    <cfRule type="expression" priority="5204" dxfId="2">
      <formula>AND(IF($Q97=2,1,0),IF($X97&lt;30,1,0))</formula>
    </cfRule>
    <cfRule type="expression" priority="5205" dxfId="1">
      <formula>AND(IF($Q97=3,1,0),IF($X97&lt;30,1,0))</formula>
    </cfRule>
    <cfRule type="expression" priority="5206" dxfId="0">
      <formula>AND(IF($Q97=3,1,IF($Q97=4,1,0)),IF($F97&lt;=85,1,0))</formula>
    </cfRule>
  </conditionalFormatting>
  <conditionalFormatting sqref="AV98">
    <cfRule type="expression" priority="5201" dxfId="19">
      <formula>AV98="X"</formula>
    </cfRule>
    <cfRule type="expression" priority="5202" dxfId="18">
      <formula>AV98="후보"</formula>
    </cfRule>
  </conditionalFormatting>
  <conditionalFormatting sqref="AC98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9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98">
    <cfRule type="expression" priority="5193" dxfId="3">
      <formula>AND(IF(OR($Q98=1,$Q98=2),1,0),IF($X98&lt;=20,1,0))</formula>
    </cfRule>
    <cfRule type="expression" priority="5194" dxfId="2">
      <formula>AND(IF($Q98=2,1,0),IF($X98&lt;30,1,0))</formula>
    </cfRule>
    <cfRule type="expression" priority="5195" dxfId="1">
      <formula>AND(IF($Q98=3,1,0),IF($X98&lt;30,1,0))</formula>
    </cfRule>
    <cfRule type="expression" priority="5196" dxfId="0">
      <formula>AND(IF($Q98=3,1,IF($Q98=4,1,0)),IF($F98&lt;=85,1,0))</formula>
    </cfRule>
  </conditionalFormatting>
  <conditionalFormatting sqref="X98">
    <cfRule type="expression" priority="5189" dxfId="3">
      <formula>AND(IF(OR($Q98=1,$Q98=2),1,0),IF($X98&lt;=20,1,0))</formula>
    </cfRule>
    <cfRule type="expression" priority="5190" dxfId="2">
      <formula>AND(IF($Q98=2,1,0),IF($X98&lt;30,1,0))</formula>
    </cfRule>
    <cfRule type="expression" priority="5191" dxfId="1">
      <formula>AND(IF($Q98=3,1,0),IF($X98&lt;30,1,0))</formula>
    </cfRule>
    <cfRule type="expression" priority="5192" dxfId="0">
      <formula>AND(IF($Q98=3,1,IF($Q98=4,1,0)),IF($F98&lt;=85,1,0))</formula>
    </cfRule>
  </conditionalFormatting>
  <conditionalFormatting sqref="AI98">
    <cfRule type="expression" priority="5185" dxfId="3">
      <formula>AND(IF(OR($Q98=1,$Q98=2),1,0),IF($X98&lt;=20,1,0))</formula>
    </cfRule>
    <cfRule type="expression" priority="5186" dxfId="2">
      <formula>AND(IF($Q98=2,1,0),IF($X98&lt;30,1,0))</formula>
    </cfRule>
    <cfRule type="expression" priority="5187" dxfId="1">
      <formula>AND(IF($Q98=3,1,0),IF($X98&lt;30,1,0))</formula>
    </cfRule>
    <cfRule type="expression" priority="5188" dxfId="0">
      <formula>AND(IF($Q98=3,1,IF($Q98=4,1,0)),IF($F98&lt;=85,1,0))</formula>
    </cfRule>
  </conditionalFormatting>
  <conditionalFormatting sqref="AV99">
    <cfRule type="expression" priority="5183" dxfId="19">
      <formula>AV99="X"</formula>
    </cfRule>
    <cfRule type="expression" priority="5184" dxfId="18">
      <formula>AV99="후보"</formula>
    </cfRule>
  </conditionalFormatting>
  <conditionalFormatting sqref="AC99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9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99">
    <cfRule type="expression" priority="5175" dxfId="3">
      <formula>AND(IF(OR($Q99=1,$Q99=2),1,0),IF($X99&lt;=20,1,0))</formula>
    </cfRule>
    <cfRule type="expression" priority="5176" dxfId="2">
      <formula>AND(IF($Q99=2,1,0),IF($X99&lt;30,1,0))</formula>
    </cfRule>
    <cfRule type="expression" priority="5177" dxfId="1">
      <formula>AND(IF($Q99=3,1,0),IF($X99&lt;30,1,0))</formula>
    </cfRule>
    <cfRule type="expression" priority="5178" dxfId="0">
      <formula>AND(IF($Q99=3,1,IF($Q99=4,1,0)),IF($F99&lt;=85,1,0))</formula>
    </cfRule>
  </conditionalFormatting>
  <conditionalFormatting sqref="X99">
    <cfRule type="expression" priority="5171" dxfId="3">
      <formula>AND(IF(OR($Q99=1,$Q99=2),1,0),IF($X99&lt;=20,1,0))</formula>
    </cfRule>
    <cfRule type="expression" priority="5172" dxfId="2">
      <formula>AND(IF($Q99=2,1,0),IF($X99&lt;30,1,0))</formula>
    </cfRule>
    <cfRule type="expression" priority="5173" dxfId="1">
      <formula>AND(IF($Q99=3,1,0),IF($X99&lt;30,1,0))</formula>
    </cfRule>
    <cfRule type="expression" priority="5174" dxfId="0">
      <formula>AND(IF($Q99=3,1,IF($Q99=4,1,0)),IF($F99&lt;=85,1,0))</formula>
    </cfRule>
  </conditionalFormatting>
  <conditionalFormatting sqref="AI99">
    <cfRule type="expression" priority="5167" dxfId="3">
      <formula>AND(IF(OR($Q99=1,$Q99=2),1,0),IF($X99&lt;=20,1,0))</formula>
    </cfRule>
    <cfRule type="expression" priority="5168" dxfId="2">
      <formula>AND(IF($Q99=2,1,0),IF($X99&lt;30,1,0))</formula>
    </cfRule>
    <cfRule type="expression" priority="5169" dxfId="1">
      <formula>AND(IF($Q99=3,1,0),IF($X99&lt;30,1,0))</formula>
    </cfRule>
    <cfRule type="expression" priority="5170" dxfId="0">
      <formula>AND(IF($Q99=3,1,IF($Q99=4,1,0)),IF($F99&lt;=85,1,0))</formula>
    </cfRule>
  </conditionalFormatting>
  <conditionalFormatting sqref="AV100">
    <cfRule type="expression" priority="5165" dxfId="19">
      <formula>AV100="X"</formula>
    </cfRule>
    <cfRule type="expression" priority="5166" dxfId="18">
      <formula>AV100="후보"</formula>
    </cfRule>
  </conditionalFormatting>
  <conditionalFormatting sqref="AC100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10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100">
    <cfRule type="expression" priority="5157" dxfId="3">
      <formula>AND(IF(OR($Q100=1,$Q100=2),1,0),IF($X100&lt;=20,1,0))</formula>
    </cfRule>
    <cfRule type="expression" priority="5158" dxfId="2">
      <formula>AND(IF($Q100=2,1,0),IF($X100&lt;30,1,0))</formula>
    </cfRule>
    <cfRule type="expression" priority="5159" dxfId="1">
      <formula>AND(IF($Q100=3,1,0),IF($X100&lt;30,1,0))</formula>
    </cfRule>
    <cfRule type="expression" priority="5160" dxfId="0">
      <formula>AND(IF($Q100=3,1,IF($Q100=4,1,0)),IF($F100&lt;=85,1,0))</formula>
    </cfRule>
  </conditionalFormatting>
  <conditionalFormatting sqref="X100">
    <cfRule type="expression" priority="5153" dxfId="3">
      <formula>AND(IF(OR($Q100=1,$Q100=2),1,0),IF($X100&lt;=20,1,0))</formula>
    </cfRule>
    <cfRule type="expression" priority="5154" dxfId="2">
      <formula>AND(IF($Q100=2,1,0),IF($X100&lt;30,1,0))</formula>
    </cfRule>
    <cfRule type="expression" priority="5155" dxfId="1">
      <formula>AND(IF($Q100=3,1,0),IF($X100&lt;30,1,0))</formula>
    </cfRule>
    <cfRule type="expression" priority="5156" dxfId="0">
      <formula>AND(IF($Q100=3,1,IF($Q100=4,1,0)),IF($F100&lt;=85,1,0))</formula>
    </cfRule>
  </conditionalFormatting>
  <conditionalFormatting sqref="AI100">
    <cfRule type="expression" priority="5149" dxfId="3">
      <formula>AND(IF(OR($Q100=1,$Q100=2),1,0),IF($X100&lt;=20,1,0))</formula>
    </cfRule>
    <cfRule type="expression" priority="5150" dxfId="2">
      <formula>AND(IF($Q100=2,1,0),IF($X100&lt;30,1,0))</formula>
    </cfRule>
    <cfRule type="expression" priority="5151" dxfId="1">
      <formula>AND(IF($Q100=3,1,0),IF($X100&lt;30,1,0))</formula>
    </cfRule>
    <cfRule type="expression" priority="5152" dxfId="0">
      <formula>AND(IF($Q100=3,1,IF($Q100=4,1,0)),IF($F100&lt;=85,1,0))</formula>
    </cfRule>
  </conditionalFormatting>
  <conditionalFormatting sqref="AV101">
    <cfRule type="expression" priority="5147" dxfId="19">
      <formula>AV101="X"</formula>
    </cfRule>
    <cfRule type="expression" priority="5148" dxfId="18">
      <formula>AV101="후보"</formula>
    </cfRule>
  </conditionalFormatting>
  <conditionalFormatting sqref="AC101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10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101">
    <cfRule type="expression" priority="5139" dxfId="3">
      <formula>AND(IF(OR($Q101=1,$Q101=2),1,0),IF($X101&lt;=20,1,0))</formula>
    </cfRule>
    <cfRule type="expression" priority="5140" dxfId="2">
      <formula>AND(IF($Q101=2,1,0),IF($X101&lt;30,1,0))</formula>
    </cfRule>
    <cfRule type="expression" priority="5141" dxfId="1">
      <formula>AND(IF($Q101=3,1,0),IF($X101&lt;30,1,0))</formula>
    </cfRule>
    <cfRule type="expression" priority="5142" dxfId="0">
      <formula>AND(IF($Q101=3,1,IF($Q101=4,1,0)),IF($F101&lt;=85,1,0))</formula>
    </cfRule>
  </conditionalFormatting>
  <conditionalFormatting sqref="X101">
    <cfRule type="expression" priority="5135" dxfId="3">
      <formula>AND(IF(OR($Q101=1,$Q101=2),1,0),IF($X101&lt;=20,1,0))</formula>
    </cfRule>
    <cfRule type="expression" priority="5136" dxfId="2">
      <formula>AND(IF($Q101=2,1,0),IF($X101&lt;30,1,0))</formula>
    </cfRule>
    <cfRule type="expression" priority="5137" dxfId="1">
      <formula>AND(IF($Q101=3,1,0),IF($X101&lt;30,1,0))</formula>
    </cfRule>
    <cfRule type="expression" priority="5138" dxfId="0">
      <formula>AND(IF($Q101=3,1,IF($Q101=4,1,0)),IF($F101&lt;=85,1,0))</formula>
    </cfRule>
  </conditionalFormatting>
  <conditionalFormatting sqref="AI101">
    <cfRule type="expression" priority="5131" dxfId="3">
      <formula>AND(IF(OR($Q101=1,$Q101=2),1,0),IF($X101&lt;=20,1,0))</formula>
    </cfRule>
    <cfRule type="expression" priority="5132" dxfId="2">
      <formula>AND(IF($Q101=2,1,0),IF($X101&lt;30,1,0))</formula>
    </cfRule>
    <cfRule type="expression" priority="5133" dxfId="1">
      <formula>AND(IF($Q101=3,1,0),IF($X101&lt;30,1,0))</formula>
    </cfRule>
    <cfRule type="expression" priority="5134" dxfId="0">
      <formula>AND(IF($Q101=3,1,IF($Q101=4,1,0)),IF($F101&lt;=85,1,0))</formula>
    </cfRule>
  </conditionalFormatting>
  <conditionalFormatting sqref="AV102">
    <cfRule type="expression" priority="5129" dxfId="19">
      <formula>AV102="X"</formula>
    </cfRule>
    <cfRule type="expression" priority="5130" dxfId="18">
      <formula>AV102="후보"</formula>
    </cfRule>
  </conditionalFormatting>
  <conditionalFormatting sqref="AC102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10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102">
    <cfRule type="expression" priority="5121" dxfId="3">
      <formula>AND(IF(OR($Q102=1,$Q102=2),1,0),IF($X102&lt;=20,1,0))</formula>
    </cfRule>
    <cfRule type="expression" priority="5122" dxfId="2">
      <formula>AND(IF($Q102=2,1,0),IF($X102&lt;30,1,0))</formula>
    </cfRule>
    <cfRule type="expression" priority="5123" dxfId="1">
      <formula>AND(IF($Q102=3,1,0),IF($X102&lt;30,1,0))</formula>
    </cfRule>
    <cfRule type="expression" priority="5124" dxfId="0">
      <formula>AND(IF($Q102=3,1,IF($Q102=4,1,0)),IF($F102&lt;=85,1,0))</formula>
    </cfRule>
  </conditionalFormatting>
  <conditionalFormatting sqref="X102">
    <cfRule type="expression" priority="5117" dxfId="3">
      <formula>AND(IF(OR($Q102=1,$Q102=2),1,0),IF($X102&lt;=20,1,0))</formula>
    </cfRule>
    <cfRule type="expression" priority="5118" dxfId="2">
      <formula>AND(IF($Q102=2,1,0),IF($X102&lt;30,1,0))</formula>
    </cfRule>
    <cfRule type="expression" priority="5119" dxfId="1">
      <formula>AND(IF($Q102=3,1,0),IF($X102&lt;30,1,0))</formula>
    </cfRule>
    <cfRule type="expression" priority="5120" dxfId="0">
      <formula>AND(IF($Q102=3,1,IF($Q102=4,1,0)),IF($F102&lt;=85,1,0))</formula>
    </cfRule>
  </conditionalFormatting>
  <conditionalFormatting sqref="AI102">
    <cfRule type="expression" priority="5113" dxfId="3">
      <formula>AND(IF(OR($Q102=1,$Q102=2),1,0),IF($X102&lt;=20,1,0))</formula>
    </cfRule>
    <cfRule type="expression" priority="5114" dxfId="2">
      <formula>AND(IF($Q102=2,1,0),IF($X102&lt;30,1,0))</formula>
    </cfRule>
    <cfRule type="expression" priority="5115" dxfId="1">
      <formula>AND(IF($Q102=3,1,0),IF($X102&lt;30,1,0))</formula>
    </cfRule>
    <cfRule type="expression" priority="5116" dxfId="0">
      <formula>AND(IF($Q102=3,1,IF($Q102=4,1,0)),IF($F102&lt;=85,1,0))</formula>
    </cfRule>
  </conditionalFormatting>
  <conditionalFormatting sqref="AV103">
    <cfRule type="expression" priority="5111" dxfId="19">
      <formula>AV103="X"</formula>
    </cfRule>
    <cfRule type="expression" priority="5112" dxfId="18">
      <formula>AV103="후보"</formula>
    </cfRule>
  </conditionalFormatting>
  <conditionalFormatting sqref="AC103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10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103">
    <cfRule type="expression" priority="5103" dxfId="3">
      <formula>AND(IF(OR($Q103=1,$Q103=2),1,0),IF($X103&lt;=20,1,0))</formula>
    </cfRule>
    <cfRule type="expression" priority="5104" dxfId="2">
      <formula>AND(IF($Q103=2,1,0),IF($X103&lt;30,1,0))</formula>
    </cfRule>
    <cfRule type="expression" priority="5105" dxfId="1">
      <formula>AND(IF($Q103=3,1,0),IF($X103&lt;30,1,0))</formula>
    </cfRule>
    <cfRule type="expression" priority="5106" dxfId="0">
      <formula>AND(IF($Q103=3,1,IF($Q103=4,1,0)),IF($F103&lt;=85,1,0))</formula>
    </cfRule>
  </conditionalFormatting>
  <conditionalFormatting sqref="X103">
    <cfRule type="expression" priority="5099" dxfId="3">
      <formula>AND(IF(OR($Q103=1,$Q103=2),1,0),IF($X103&lt;=20,1,0))</formula>
    </cfRule>
    <cfRule type="expression" priority="5100" dxfId="2">
      <formula>AND(IF($Q103=2,1,0),IF($X103&lt;30,1,0))</formula>
    </cfRule>
    <cfRule type="expression" priority="5101" dxfId="1">
      <formula>AND(IF($Q103=3,1,0),IF($X103&lt;30,1,0))</formula>
    </cfRule>
    <cfRule type="expression" priority="5102" dxfId="0">
      <formula>AND(IF($Q103=3,1,IF($Q103=4,1,0)),IF($F103&lt;=85,1,0))</formula>
    </cfRule>
  </conditionalFormatting>
  <conditionalFormatting sqref="AI103">
    <cfRule type="expression" priority="5095" dxfId="3">
      <formula>AND(IF(OR($Q103=1,$Q103=2),1,0),IF($X103&lt;=20,1,0))</formula>
    </cfRule>
    <cfRule type="expression" priority="5096" dxfId="2">
      <formula>AND(IF($Q103=2,1,0),IF($X103&lt;30,1,0))</formula>
    </cfRule>
    <cfRule type="expression" priority="5097" dxfId="1">
      <formula>AND(IF($Q103=3,1,0),IF($X103&lt;30,1,0))</formula>
    </cfRule>
    <cfRule type="expression" priority="5098" dxfId="0">
      <formula>AND(IF($Q103=3,1,IF($Q103=4,1,0)),IF($F103&lt;=85,1,0))</formula>
    </cfRule>
  </conditionalFormatting>
  <conditionalFormatting sqref="AV104">
    <cfRule type="expression" priority="5093" dxfId="19">
      <formula>AV104="X"</formula>
    </cfRule>
    <cfRule type="expression" priority="5094" dxfId="18">
      <formula>AV104="후보"</formula>
    </cfRule>
  </conditionalFormatting>
  <conditionalFormatting sqref="AC104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10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104">
    <cfRule type="expression" priority="5085" dxfId="3">
      <formula>AND(IF(OR($Q104=1,$Q104=2),1,0),IF($X104&lt;=20,1,0))</formula>
    </cfRule>
    <cfRule type="expression" priority="5086" dxfId="2">
      <formula>AND(IF($Q104=2,1,0),IF($X104&lt;30,1,0))</formula>
    </cfRule>
    <cfRule type="expression" priority="5087" dxfId="1">
      <formula>AND(IF($Q104=3,1,0),IF($X104&lt;30,1,0))</formula>
    </cfRule>
    <cfRule type="expression" priority="5088" dxfId="0">
      <formula>AND(IF($Q104=3,1,IF($Q104=4,1,0)),IF($F104&lt;=85,1,0))</formula>
    </cfRule>
  </conditionalFormatting>
  <conditionalFormatting sqref="X104">
    <cfRule type="expression" priority="5081" dxfId="3">
      <formula>AND(IF(OR($Q104=1,$Q104=2),1,0),IF($X104&lt;=20,1,0))</formula>
    </cfRule>
    <cfRule type="expression" priority="5082" dxfId="2">
      <formula>AND(IF($Q104=2,1,0),IF($X104&lt;30,1,0))</formula>
    </cfRule>
    <cfRule type="expression" priority="5083" dxfId="1">
      <formula>AND(IF($Q104=3,1,0),IF($X104&lt;30,1,0))</formula>
    </cfRule>
    <cfRule type="expression" priority="5084" dxfId="0">
      <formula>AND(IF($Q104=3,1,IF($Q104=4,1,0)),IF($F104&lt;=85,1,0))</formula>
    </cfRule>
  </conditionalFormatting>
  <conditionalFormatting sqref="AI104">
    <cfRule type="expression" priority="5077" dxfId="3">
      <formula>AND(IF(OR($Q104=1,$Q104=2),1,0),IF($X104&lt;=20,1,0))</formula>
    </cfRule>
    <cfRule type="expression" priority="5078" dxfId="2">
      <formula>AND(IF($Q104=2,1,0),IF($X104&lt;30,1,0))</formula>
    </cfRule>
    <cfRule type="expression" priority="5079" dxfId="1">
      <formula>AND(IF($Q104=3,1,0),IF($X104&lt;30,1,0))</formula>
    </cfRule>
    <cfRule type="expression" priority="5080" dxfId="0">
      <formula>AND(IF($Q104=3,1,IF($Q104=4,1,0)),IF($F104&lt;=85,1,0))</formula>
    </cfRule>
  </conditionalFormatting>
  <conditionalFormatting sqref="AV105">
    <cfRule type="expression" priority="5075" dxfId="19">
      <formula>AV105="X"</formula>
    </cfRule>
    <cfRule type="expression" priority="5076" dxfId="18">
      <formula>AV105="후보"</formula>
    </cfRule>
  </conditionalFormatting>
  <conditionalFormatting sqref="AC105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10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105">
    <cfRule type="expression" priority="5067" dxfId="3">
      <formula>AND(IF(OR($Q105=1,$Q105=2),1,0),IF($X105&lt;=20,1,0))</formula>
    </cfRule>
    <cfRule type="expression" priority="5068" dxfId="2">
      <formula>AND(IF($Q105=2,1,0),IF($X105&lt;30,1,0))</formula>
    </cfRule>
    <cfRule type="expression" priority="5069" dxfId="1">
      <formula>AND(IF($Q105=3,1,0),IF($X105&lt;30,1,0))</formula>
    </cfRule>
    <cfRule type="expression" priority="5070" dxfId="0">
      <formula>AND(IF($Q105=3,1,IF($Q105=4,1,0)),IF($F105&lt;=85,1,0))</formula>
    </cfRule>
  </conditionalFormatting>
  <conditionalFormatting sqref="X105">
    <cfRule type="expression" priority="5063" dxfId="3">
      <formula>AND(IF(OR($Q105=1,$Q105=2),1,0),IF($X105&lt;=20,1,0))</formula>
    </cfRule>
    <cfRule type="expression" priority="5064" dxfId="2">
      <formula>AND(IF($Q105=2,1,0),IF($X105&lt;30,1,0))</formula>
    </cfRule>
    <cfRule type="expression" priority="5065" dxfId="1">
      <formula>AND(IF($Q105=3,1,0),IF($X105&lt;30,1,0))</formula>
    </cfRule>
    <cfRule type="expression" priority="5066" dxfId="0">
      <formula>AND(IF($Q105=3,1,IF($Q105=4,1,0)),IF($F105&lt;=85,1,0))</formula>
    </cfRule>
  </conditionalFormatting>
  <conditionalFormatting sqref="AI105">
    <cfRule type="expression" priority="5059" dxfId="3">
      <formula>AND(IF(OR($Q105=1,$Q105=2),1,0),IF($X105&lt;=20,1,0))</formula>
    </cfRule>
    <cfRule type="expression" priority="5060" dxfId="2">
      <formula>AND(IF($Q105=2,1,0),IF($X105&lt;30,1,0))</formula>
    </cfRule>
    <cfRule type="expression" priority="5061" dxfId="1">
      <formula>AND(IF($Q105=3,1,0),IF($X105&lt;30,1,0))</formula>
    </cfRule>
    <cfRule type="expression" priority="5062" dxfId="0">
      <formula>AND(IF($Q105=3,1,IF($Q105=4,1,0)),IF($F105&lt;=85,1,0))</formula>
    </cfRule>
  </conditionalFormatting>
  <conditionalFormatting sqref="AV106">
    <cfRule type="expression" priority="5057" dxfId="19">
      <formula>AV106="X"</formula>
    </cfRule>
    <cfRule type="expression" priority="5058" dxfId="18">
      <formula>AV106="후보"</formula>
    </cfRule>
  </conditionalFormatting>
  <conditionalFormatting sqref="AC106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10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106">
    <cfRule type="expression" priority="5049" dxfId="3">
      <formula>AND(IF(OR($Q106=1,$Q106=2),1,0),IF($X106&lt;=20,1,0))</formula>
    </cfRule>
    <cfRule type="expression" priority="5050" dxfId="2">
      <formula>AND(IF($Q106=2,1,0),IF($X106&lt;30,1,0))</formula>
    </cfRule>
    <cfRule type="expression" priority="5051" dxfId="1">
      <formula>AND(IF($Q106=3,1,0),IF($X106&lt;30,1,0))</formula>
    </cfRule>
    <cfRule type="expression" priority="5052" dxfId="0">
      <formula>AND(IF($Q106=3,1,IF($Q106=4,1,0)),IF($F106&lt;=85,1,0))</formula>
    </cfRule>
  </conditionalFormatting>
  <conditionalFormatting sqref="X106">
    <cfRule type="expression" priority="5045" dxfId="3">
      <formula>AND(IF(OR($Q106=1,$Q106=2),1,0),IF($X106&lt;=20,1,0))</formula>
    </cfRule>
    <cfRule type="expression" priority="5046" dxfId="2">
      <formula>AND(IF($Q106=2,1,0),IF($X106&lt;30,1,0))</formula>
    </cfRule>
    <cfRule type="expression" priority="5047" dxfId="1">
      <formula>AND(IF($Q106=3,1,0),IF($X106&lt;30,1,0))</formula>
    </cfRule>
    <cfRule type="expression" priority="5048" dxfId="0">
      <formula>AND(IF($Q106=3,1,IF($Q106=4,1,0)),IF($F106&lt;=85,1,0))</formula>
    </cfRule>
  </conditionalFormatting>
  <conditionalFormatting sqref="AI106">
    <cfRule type="expression" priority="5041" dxfId="3">
      <formula>AND(IF(OR($Q106=1,$Q106=2),1,0),IF($X106&lt;=20,1,0))</formula>
    </cfRule>
    <cfRule type="expression" priority="5042" dxfId="2">
      <formula>AND(IF($Q106=2,1,0),IF($X106&lt;30,1,0))</formula>
    </cfRule>
    <cfRule type="expression" priority="5043" dxfId="1">
      <formula>AND(IF($Q106=3,1,0),IF($X106&lt;30,1,0))</formula>
    </cfRule>
    <cfRule type="expression" priority="5044" dxfId="0">
      <formula>AND(IF($Q106=3,1,IF($Q106=4,1,0)),IF($F106&lt;=85,1,0))</formula>
    </cfRule>
  </conditionalFormatting>
  <conditionalFormatting sqref="AV107">
    <cfRule type="expression" priority="5039" dxfId="19">
      <formula>AV107="X"</formula>
    </cfRule>
    <cfRule type="expression" priority="5040" dxfId="18">
      <formula>AV107="후보"</formula>
    </cfRule>
  </conditionalFormatting>
  <conditionalFormatting sqref="AC107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10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107">
    <cfRule type="expression" priority="5031" dxfId="3">
      <formula>AND(IF(OR($Q107=1,$Q107=2),1,0),IF($X107&lt;=20,1,0))</formula>
    </cfRule>
    <cfRule type="expression" priority="5032" dxfId="2">
      <formula>AND(IF($Q107=2,1,0),IF($X107&lt;30,1,0))</formula>
    </cfRule>
    <cfRule type="expression" priority="5033" dxfId="1">
      <formula>AND(IF($Q107=3,1,0),IF($X107&lt;30,1,0))</formula>
    </cfRule>
    <cfRule type="expression" priority="5034" dxfId="0">
      <formula>AND(IF($Q107=3,1,IF($Q107=4,1,0)),IF($F107&lt;=85,1,0))</formula>
    </cfRule>
  </conditionalFormatting>
  <conditionalFormatting sqref="X107">
    <cfRule type="expression" priority="5027" dxfId="3">
      <formula>AND(IF(OR($Q107=1,$Q107=2),1,0),IF($X107&lt;=20,1,0))</formula>
    </cfRule>
    <cfRule type="expression" priority="5028" dxfId="2">
      <formula>AND(IF($Q107=2,1,0),IF($X107&lt;30,1,0))</formula>
    </cfRule>
    <cfRule type="expression" priority="5029" dxfId="1">
      <formula>AND(IF($Q107=3,1,0),IF($X107&lt;30,1,0))</formula>
    </cfRule>
    <cfRule type="expression" priority="5030" dxfId="0">
      <formula>AND(IF($Q107=3,1,IF($Q107=4,1,0)),IF($F107&lt;=85,1,0))</formula>
    </cfRule>
  </conditionalFormatting>
  <conditionalFormatting sqref="AI107">
    <cfRule type="expression" priority="5023" dxfId="3">
      <formula>AND(IF(OR($Q107=1,$Q107=2),1,0),IF($X107&lt;=20,1,0))</formula>
    </cfRule>
    <cfRule type="expression" priority="5024" dxfId="2">
      <formula>AND(IF($Q107=2,1,0),IF($X107&lt;30,1,0))</formula>
    </cfRule>
    <cfRule type="expression" priority="5025" dxfId="1">
      <formula>AND(IF($Q107=3,1,0),IF($X107&lt;30,1,0))</formula>
    </cfRule>
    <cfRule type="expression" priority="5026" dxfId="0">
      <formula>AND(IF($Q107=3,1,IF($Q107=4,1,0)),IF($F107&lt;=85,1,0))</formula>
    </cfRule>
  </conditionalFormatting>
  <conditionalFormatting sqref="AV108">
    <cfRule type="expression" priority="5021" dxfId="19">
      <formula>AV108="X"</formula>
    </cfRule>
    <cfRule type="expression" priority="5022" dxfId="18">
      <formula>AV108="후보"</formula>
    </cfRule>
  </conditionalFormatting>
  <conditionalFormatting sqref="AC108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10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108">
    <cfRule type="expression" priority="5013" dxfId="3">
      <formula>AND(IF(OR($Q108=1,$Q108=2),1,0),IF($X108&lt;=20,1,0))</formula>
    </cfRule>
    <cfRule type="expression" priority="5014" dxfId="2">
      <formula>AND(IF($Q108=2,1,0),IF($X108&lt;30,1,0))</formula>
    </cfRule>
    <cfRule type="expression" priority="5015" dxfId="1">
      <formula>AND(IF($Q108=3,1,0),IF($X108&lt;30,1,0))</formula>
    </cfRule>
    <cfRule type="expression" priority="5016" dxfId="0">
      <formula>AND(IF($Q108=3,1,IF($Q108=4,1,0)),IF($F108&lt;=85,1,0))</formula>
    </cfRule>
  </conditionalFormatting>
  <conditionalFormatting sqref="X108">
    <cfRule type="expression" priority="5009" dxfId="3">
      <formula>AND(IF(OR($Q108=1,$Q108=2),1,0),IF($X108&lt;=20,1,0))</formula>
    </cfRule>
    <cfRule type="expression" priority="5010" dxfId="2">
      <formula>AND(IF($Q108=2,1,0),IF($X108&lt;30,1,0))</formula>
    </cfRule>
    <cfRule type="expression" priority="5011" dxfId="1">
      <formula>AND(IF($Q108=3,1,0),IF($X108&lt;30,1,0))</formula>
    </cfRule>
    <cfRule type="expression" priority="5012" dxfId="0">
      <formula>AND(IF($Q108=3,1,IF($Q108=4,1,0)),IF($F108&lt;=85,1,0))</formula>
    </cfRule>
  </conditionalFormatting>
  <conditionalFormatting sqref="AI108">
    <cfRule type="expression" priority="5005" dxfId="3">
      <formula>AND(IF(OR($Q108=1,$Q108=2),1,0),IF($X108&lt;=20,1,0))</formula>
    </cfRule>
    <cfRule type="expression" priority="5006" dxfId="2">
      <formula>AND(IF($Q108=2,1,0),IF($X108&lt;30,1,0))</formula>
    </cfRule>
    <cfRule type="expression" priority="5007" dxfId="1">
      <formula>AND(IF($Q108=3,1,0),IF($X108&lt;30,1,0))</formula>
    </cfRule>
    <cfRule type="expression" priority="5008" dxfId="0">
      <formula>AND(IF($Q108=3,1,IF($Q108=4,1,0)),IF($F108&lt;=85,1,0))</formula>
    </cfRule>
  </conditionalFormatting>
  <conditionalFormatting sqref="AV109">
    <cfRule type="expression" priority="5003" dxfId="19">
      <formula>AV109="X"</formula>
    </cfRule>
    <cfRule type="expression" priority="5004" dxfId="18">
      <formula>AV109="후보"</formula>
    </cfRule>
  </conditionalFormatting>
  <conditionalFormatting sqref="AC109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10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109">
    <cfRule type="expression" priority="4995" dxfId="3">
      <formula>AND(IF(OR($Q109=1,$Q109=2),1,0),IF($X109&lt;=20,1,0))</formula>
    </cfRule>
    <cfRule type="expression" priority="4996" dxfId="2">
      <formula>AND(IF($Q109=2,1,0),IF($X109&lt;30,1,0))</formula>
    </cfRule>
    <cfRule type="expression" priority="4997" dxfId="1">
      <formula>AND(IF($Q109=3,1,0),IF($X109&lt;30,1,0))</formula>
    </cfRule>
    <cfRule type="expression" priority="4998" dxfId="0">
      <formula>AND(IF($Q109=3,1,IF($Q109=4,1,0)),IF($F109&lt;=85,1,0))</formula>
    </cfRule>
  </conditionalFormatting>
  <conditionalFormatting sqref="X109">
    <cfRule type="expression" priority="4991" dxfId="3">
      <formula>AND(IF(OR($Q109=1,$Q109=2),1,0),IF($X109&lt;=20,1,0))</formula>
    </cfRule>
    <cfRule type="expression" priority="4992" dxfId="2">
      <formula>AND(IF($Q109=2,1,0),IF($X109&lt;30,1,0))</formula>
    </cfRule>
    <cfRule type="expression" priority="4993" dxfId="1">
      <formula>AND(IF($Q109=3,1,0),IF($X109&lt;30,1,0))</formula>
    </cfRule>
    <cfRule type="expression" priority="4994" dxfId="0">
      <formula>AND(IF($Q109=3,1,IF($Q109=4,1,0)),IF($F109&lt;=85,1,0))</formula>
    </cfRule>
  </conditionalFormatting>
  <conditionalFormatting sqref="AI109">
    <cfRule type="expression" priority="4987" dxfId="3">
      <formula>AND(IF(OR($Q109=1,$Q109=2),1,0),IF($X109&lt;=20,1,0))</formula>
    </cfRule>
    <cfRule type="expression" priority="4988" dxfId="2">
      <formula>AND(IF($Q109=2,1,0),IF($X109&lt;30,1,0))</formula>
    </cfRule>
    <cfRule type="expression" priority="4989" dxfId="1">
      <formula>AND(IF($Q109=3,1,0),IF($X109&lt;30,1,0))</formula>
    </cfRule>
    <cfRule type="expression" priority="4990" dxfId="0">
      <formula>AND(IF($Q109=3,1,IF($Q109=4,1,0)),IF($F109&lt;=85,1,0))</formula>
    </cfRule>
  </conditionalFormatting>
  <conditionalFormatting sqref="AV110">
    <cfRule type="expression" priority="4985" dxfId="19">
      <formula>AV110="X"</formula>
    </cfRule>
    <cfRule type="expression" priority="4986" dxfId="18">
      <formula>AV110="후보"</formula>
    </cfRule>
  </conditionalFormatting>
  <conditionalFormatting sqref="AC110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11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110">
    <cfRule type="expression" priority="4977" dxfId="3">
      <formula>AND(IF(OR($Q110=1,$Q110=2),1,0),IF($X110&lt;=20,1,0))</formula>
    </cfRule>
    <cfRule type="expression" priority="4978" dxfId="2">
      <formula>AND(IF($Q110=2,1,0),IF($X110&lt;30,1,0))</formula>
    </cfRule>
    <cfRule type="expression" priority="4979" dxfId="1">
      <formula>AND(IF($Q110=3,1,0),IF($X110&lt;30,1,0))</formula>
    </cfRule>
    <cfRule type="expression" priority="4980" dxfId="0">
      <formula>AND(IF($Q110=3,1,IF($Q110=4,1,0)),IF($F110&lt;=85,1,0))</formula>
    </cfRule>
  </conditionalFormatting>
  <conditionalFormatting sqref="X110">
    <cfRule type="expression" priority="4973" dxfId="3">
      <formula>AND(IF(OR($Q110=1,$Q110=2),1,0),IF($X110&lt;=20,1,0))</formula>
    </cfRule>
    <cfRule type="expression" priority="4974" dxfId="2">
      <formula>AND(IF($Q110=2,1,0),IF($X110&lt;30,1,0))</formula>
    </cfRule>
    <cfRule type="expression" priority="4975" dxfId="1">
      <formula>AND(IF($Q110=3,1,0),IF($X110&lt;30,1,0))</formula>
    </cfRule>
    <cfRule type="expression" priority="4976" dxfId="0">
      <formula>AND(IF($Q110=3,1,IF($Q110=4,1,0)),IF($F110&lt;=85,1,0))</formula>
    </cfRule>
  </conditionalFormatting>
  <conditionalFormatting sqref="AI110">
    <cfRule type="expression" priority="4969" dxfId="3">
      <formula>AND(IF(OR($Q110=1,$Q110=2),1,0),IF($X110&lt;=20,1,0))</formula>
    </cfRule>
    <cfRule type="expression" priority="4970" dxfId="2">
      <formula>AND(IF($Q110=2,1,0),IF($X110&lt;30,1,0))</formula>
    </cfRule>
    <cfRule type="expression" priority="4971" dxfId="1">
      <formula>AND(IF($Q110=3,1,0),IF($X110&lt;30,1,0))</formula>
    </cfRule>
    <cfRule type="expression" priority="4972" dxfId="0">
      <formula>AND(IF($Q110=3,1,IF($Q110=4,1,0)),IF($F110&lt;=85,1,0))</formula>
    </cfRule>
  </conditionalFormatting>
  <conditionalFormatting sqref="AV111">
    <cfRule type="expression" priority="4967" dxfId="19">
      <formula>AV111="X"</formula>
    </cfRule>
    <cfRule type="expression" priority="4968" dxfId="18">
      <formula>AV111="후보"</formula>
    </cfRule>
  </conditionalFormatting>
  <conditionalFormatting sqref="AC111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11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111">
    <cfRule type="expression" priority="4959" dxfId="3">
      <formula>AND(IF(OR($Q111=1,$Q111=2),1,0),IF($X111&lt;=20,1,0))</formula>
    </cfRule>
    <cfRule type="expression" priority="4960" dxfId="2">
      <formula>AND(IF($Q111=2,1,0),IF($X111&lt;30,1,0))</formula>
    </cfRule>
    <cfRule type="expression" priority="4961" dxfId="1">
      <formula>AND(IF($Q111=3,1,0),IF($X111&lt;30,1,0))</formula>
    </cfRule>
    <cfRule type="expression" priority="4962" dxfId="0">
      <formula>AND(IF($Q111=3,1,IF($Q111=4,1,0)),IF($F111&lt;=85,1,0))</formula>
    </cfRule>
  </conditionalFormatting>
  <conditionalFormatting sqref="X111">
    <cfRule type="expression" priority="4955" dxfId="3">
      <formula>AND(IF(OR($Q111=1,$Q111=2),1,0),IF($X111&lt;=20,1,0))</formula>
    </cfRule>
    <cfRule type="expression" priority="4956" dxfId="2">
      <formula>AND(IF($Q111=2,1,0),IF($X111&lt;30,1,0))</formula>
    </cfRule>
    <cfRule type="expression" priority="4957" dxfId="1">
      <formula>AND(IF($Q111=3,1,0),IF($X111&lt;30,1,0))</formula>
    </cfRule>
    <cfRule type="expression" priority="4958" dxfId="0">
      <formula>AND(IF($Q111=3,1,IF($Q111=4,1,0)),IF($F111&lt;=85,1,0))</formula>
    </cfRule>
  </conditionalFormatting>
  <conditionalFormatting sqref="AI111">
    <cfRule type="expression" priority="4951" dxfId="3">
      <formula>AND(IF(OR($Q111=1,$Q111=2),1,0),IF($X111&lt;=20,1,0))</formula>
    </cfRule>
    <cfRule type="expression" priority="4952" dxfId="2">
      <formula>AND(IF($Q111=2,1,0),IF($X111&lt;30,1,0))</formula>
    </cfRule>
    <cfRule type="expression" priority="4953" dxfId="1">
      <formula>AND(IF($Q111=3,1,0),IF($X111&lt;30,1,0))</formula>
    </cfRule>
    <cfRule type="expression" priority="4954" dxfId="0">
      <formula>AND(IF($Q111=3,1,IF($Q111=4,1,0)),IF($F111&lt;=85,1,0))</formula>
    </cfRule>
  </conditionalFormatting>
  <conditionalFormatting sqref="AV112">
    <cfRule type="expression" priority="4949" dxfId="19">
      <formula>AV112="X"</formula>
    </cfRule>
    <cfRule type="expression" priority="4950" dxfId="18">
      <formula>AV112="후보"</formula>
    </cfRule>
  </conditionalFormatting>
  <conditionalFormatting sqref="AC112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11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112">
    <cfRule type="expression" priority="4941" dxfId="3">
      <formula>AND(IF(OR($Q112=1,$Q112=2),1,0),IF($X112&lt;=20,1,0))</formula>
    </cfRule>
    <cfRule type="expression" priority="4942" dxfId="2">
      <formula>AND(IF($Q112=2,1,0),IF($X112&lt;30,1,0))</formula>
    </cfRule>
    <cfRule type="expression" priority="4943" dxfId="1">
      <formula>AND(IF($Q112=3,1,0),IF($X112&lt;30,1,0))</formula>
    </cfRule>
    <cfRule type="expression" priority="4944" dxfId="0">
      <formula>AND(IF($Q112=3,1,IF($Q112=4,1,0)),IF($F112&lt;=85,1,0))</formula>
    </cfRule>
  </conditionalFormatting>
  <conditionalFormatting sqref="X112">
    <cfRule type="expression" priority="4937" dxfId="3">
      <formula>AND(IF(OR($Q112=1,$Q112=2),1,0),IF($X112&lt;=20,1,0))</formula>
    </cfRule>
    <cfRule type="expression" priority="4938" dxfId="2">
      <formula>AND(IF($Q112=2,1,0),IF($X112&lt;30,1,0))</formula>
    </cfRule>
    <cfRule type="expression" priority="4939" dxfId="1">
      <formula>AND(IF($Q112=3,1,0),IF($X112&lt;30,1,0))</formula>
    </cfRule>
    <cfRule type="expression" priority="4940" dxfId="0">
      <formula>AND(IF($Q112=3,1,IF($Q112=4,1,0)),IF($F112&lt;=85,1,0))</formula>
    </cfRule>
  </conditionalFormatting>
  <conditionalFormatting sqref="AI112">
    <cfRule type="expression" priority="4933" dxfId="3">
      <formula>AND(IF(OR($Q112=1,$Q112=2),1,0),IF($X112&lt;=20,1,0))</formula>
    </cfRule>
    <cfRule type="expression" priority="4934" dxfId="2">
      <formula>AND(IF($Q112=2,1,0),IF($X112&lt;30,1,0))</formula>
    </cfRule>
    <cfRule type="expression" priority="4935" dxfId="1">
      <formula>AND(IF($Q112=3,1,0),IF($X112&lt;30,1,0))</formula>
    </cfRule>
    <cfRule type="expression" priority="4936" dxfId="0">
      <formula>AND(IF($Q112=3,1,IF($Q112=4,1,0)),IF($F112&lt;=85,1,0))</formula>
    </cfRule>
  </conditionalFormatting>
  <conditionalFormatting sqref="AV113">
    <cfRule type="expression" priority="4931" dxfId="19">
      <formula>AV113="X"</formula>
    </cfRule>
    <cfRule type="expression" priority="4932" dxfId="18">
      <formula>AV113="후보"</formula>
    </cfRule>
  </conditionalFormatting>
  <conditionalFormatting sqref="AC113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11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113">
    <cfRule type="expression" priority="4923" dxfId="3">
      <formula>AND(IF(OR($Q113=1,$Q113=2),1,0),IF($X113&lt;=20,1,0))</formula>
    </cfRule>
    <cfRule type="expression" priority="4924" dxfId="2">
      <formula>AND(IF($Q113=2,1,0),IF($X113&lt;30,1,0))</formula>
    </cfRule>
    <cfRule type="expression" priority="4925" dxfId="1">
      <formula>AND(IF($Q113=3,1,0),IF($X113&lt;30,1,0))</formula>
    </cfRule>
    <cfRule type="expression" priority="4926" dxfId="0">
      <formula>AND(IF($Q113=3,1,IF($Q113=4,1,0)),IF($F113&lt;=85,1,0))</formula>
    </cfRule>
  </conditionalFormatting>
  <conditionalFormatting sqref="X113">
    <cfRule type="expression" priority="4919" dxfId="3">
      <formula>AND(IF(OR($Q113=1,$Q113=2),1,0),IF($X113&lt;=20,1,0))</formula>
    </cfRule>
    <cfRule type="expression" priority="4920" dxfId="2">
      <formula>AND(IF($Q113=2,1,0),IF($X113&lt;30,1,0))</formula>
    </cfRule>
    <cfRule type="expression" priority="4921" dxfId="1">
      <formula>AND(IF($Q113=3,1,0),IF($X113&lt;30,1,0))</formula>
    </cfRule>
    <cfRule type="expression" priority="4922" dxfId="0">
      <formula>AND(IF($Q113=3,1,IF($Q113=4,1,0)),IF($F113&lt;=85,1,0))</formula>
    </cfRule>
  </conditionalFormatting>
  <conditionalFormatting sqref="AI113">
    <cfRule type="expression" priority="4915" dxfId="3">
      <formula>AND(IF(OR($Q113=1,$Q113=2),1,0),IF($X113&lt;=20,1,0))</formula>
    </cfRule>
    <cfRule type="expression" priority="4916" dxfId="2">
      <formula>AND(IF($Q113=2,1,0),IF($X113&lt;30,1,0))</formula>
    </cfRule>
    <cfRule type="expression" priority="4917" dxfId="1">
      <formula>AND(IF($Q113=3,1,0),IF($X113&lt;30,1,0))</formula>
    </cfRule>
    <cfRule type="expression" priority="4918" dxfId="0">
      <formula>AND(IF($Q113=3,1,IF($Q113=4,1,0)),IF($F113&lt;=85,1,0))</formula>
    </cfRule>
  </conditionalFormatting>
  <conditionalFormatting sqref="AV114">
    <cfRule type="expression" priority="4913" dxfId="19">
      <formula>AV114="X"</formula>
    </cfRule>
    <cfRule type="expression" priority="4914" dxfId="18">
      <formula>AV114="후보"</formula>
    </cfRule>
  </conditionalFormatting>
  <conditionalFormatting sqref="AC114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11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114">
    <cfRule type="expression" priority="4905" dxfId="3">
      <formula>AND(IF(OR($Q114=1,$Q114=2),1,0),IF($X114&lt;=20,1,0))</formula>
    </cfRule>
    <cfRule type="expression" priority="4906" dxfId="2">
      <formula>AND(IF($Q114=2,1,0),IF($X114&lt;30,1,0))</formula>
    </cfRule>
    <cfRule type="expression" priority="4907" dxfId="1">
      <formula>AND(IF($Q114=3,1,0),IF($X114&lt;30,1,0))</formula>
    </cfRule>
    <cfRule type="expression" priority="4908" dxfId="0">
      <formula>AND(IF($Q114=3,1,IF($Q114=4,1,0)),IF($F114&lt;=85,1,0))</formula>
    </cfRule>
  </conditionalFormatting>
  <conditionalFormatting sqref="X114">
    <cfRule type="expression" priority="4901" dxfId="3">
      <formula>AND(IF(OR($Q114=1,$Q114=2),1,0),IF($X114&lt;=20,1,0))</formula>
    </cfRule>
    <cfRule type="expression" priority="4902" dxfId="2">
      <formula>AND(IF($Q114=2,1,0),IF($X114&lt;30,1,0))</formula>
    </cfRule>
    <cfRule type="expression" priority="4903" dxfId="1">
      <formula>AND(IF($Q114=3,1,0),IF($X114&lt;30,1,0))</formula>
    </cfRule>
    <cfRule type="expression" priority="4904" dxfId="0">
      <formula>AND(IF($Q114=3,1,IF($Q114=4,1,0)),IF($F114&lt;=85,1,0))</formula>
    </cfRule>
  </conditionalFormatting>
  <conditionalFormatting sqref="AI114">
    <cfRule type="expression" priority="4897" dxfId="3">
      <formula>AND(IF(OR($Q114=1,$Q114=2),1,0),IF($X114&lt;=20,1,0))</formula>
    </cfRule>
    <cfRule type="expression" priority="4898" dxfId="2">
      <formula>AND(IF($Q114=2,1,0),IF($X114&lt;30,1,0))</formula>
    </cfRule>
    <cfRule type="expression" priority="4899" dxfId="1">
      <formula>AND(IF($Q114=3,1,0),IF($X114&lt;30,1,0))</formula>
    </cfRule>
    <cfRule type="expression" priority="4900" dxfId="0">
      <formula>AND(IF($Q114=3,1,IF($Q114=4,1,0)),IF($F114&lt;=85,1,0))</formula>
    </cfRule>
  </conditionalFormatting>
  <conditionalFormatting sqref="AV115">
    <cfRule type="expression" priority="4895" dxfId="19">
      <formula>AV115="X"</formula>
    </cfRule>
    <cfRule type="expression" priority="4896" dxfId="18">
      <formula>AV115="후보"</formula>
    </cfRule>
  </conditionalFormatting>
  <conditionalFormatting sqref="AC115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11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115">
    <cfRule type="expression" priority="4887" dxfId="3">
      <formula>AND(IF(OR($Q115=1,$Q115=2),1,0),IF($X115&lt;=20,1,0))</formula>
    </cfRule>
    <cfRule type="expression" priority="4888" dxfId="2">
      <formula>AND(IF($Q115=2,1,0),IF($X115&lt;30,1,0))</formula>
    </cfRule>
    <cfRule type="expression" priority="4889" dxfId="1">
      <formula>AND(IF($Q115=3,1,0),IF($X115&lt;30,1,0))</formula>
    </cfRule>
    <cfRule type="expression" priority="4890" dxfId="0">
      <formula>AND(IF($Q115=3,1,IF($Q115=4,1,0)),IF($F115&lt;=85,1,0))</formula>
    </cfRule>
  </conditionalFormatting>
  <conditionalFormatting sqref="X115">
    <cfRule type="expression" priority="4883" dxfId="3">
      <formula>AND(IF(OR($Q115=1,$Q115=2),1,0),IF($X115&lt;=20,1,0))</formula>
    </cfRule>
    <cfRule type="expression" priority="4884" dxfId="2">
      <formula>AND(IF($Q115=2,1,0),IF($X115&lt;30,1,0))</formula>
    </cfRule>
    <cfRule type="expression" priority="4885" dxfId="1">
      <formula>AND(IF($Q115=3,1,0),IF($X115&lt;30,1,0))</formula>
    </cfRule>
    <cfRule type="expression" priority="4886" dxfId="0">
      <formula>AND(IF($Q115=3,1,IF($Q115=4,1,0)),IF($F115&lt;=85,1,0))</formula>
    </cfRule>
  </conditionalFormatting>
  <conditionalFormatting sqref="AI115">
    <cfRule type="expression" priority="4879" dxfId="3">
      <formula>AND(IF(OR($Q115=1,$Q115=2),1,0),IF($X115&lt;=20,1,0))</formula>
    </cfRule>
    <cfRule type="expression" priority="4880" dxfId="2">
      <formula>AND(IF($Q115=2,1,0),IF($X115&lt;30,1,0))</formula>
    </cfRule>
    <cfRule type="expression" priority="4881" dxfId="1">
      <formula>AND(IF($Q115=3,1,0),IF($X115&lt;30,1,0))</formula>
    </cfRule>
    <cfRule type="expression" priority="4882" dxfId="0">
      <formula>AND(IF($Q115=3,1,IF($Q115=4,1,0)),IF($F115&lt;=85,1,0))</formula>
    </cfRule>
  </conditionalFormatting>
  <conditionalFormatting sqref="AV116">
    <cfRule type="expression" priority="4877" dxfId="19">
      <formula>AV116="X"</formula>
    </cfRule>
    <cfRule type="expression" priority="4878" dxfId="18">
      <formula>AV116="후보"</formula>
    </cfRule>
  </conditionalFormatting>
  <conditionalFormatting sqref="AC116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11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116">
    <cfRule type="expression" priority="4869" dxfId="3">
      <formula>AND(IF(OR($Q116=1,$Q116=2),1,0),IF($X116&lt;=20,1,0))</formula>
    </cfRule>
    <cfRule type="expression" priority="4870" dxfId="2">
      <formula>AND(IF($Q116=2,1,0),IF($X116&lt;30,1,0))</formula>
    </cfRule>
    <cfRule type="expression" priority="4871" dxfId="1">
      <formula>AND(IF($Q116=3,1,0),IF($X116&lt;30,1,0))</formula>
    </cfRule>
    <cfRule type="expression" priority="4872" dxfId="0">
      <formula>AND(IF($Q116=3,1,IF($Q116=4,1,0)),IF($F116&lt;=85,1,0))</formula>
    </cfRule>
  </conditionalFormatting>
  <conditionalFormatting sqref="X116">
    <cfRule type="expression" priority="4865" dxfId="3">
      <formula>AND(IF(OR($Q116=1,$Q116=2),1,0),IF($X116&lt;=20,1,0))</formula>
    </cfRule>
    <cfRule type="expression" priority="4866" dxfId="2">
      <formula>AND(IF($Q116=2,1,0),IF($X116&lt;30,1,0))</formula>
    </cfRule>
    <cfRule type="expression" priority="4867" dxfId="1">
      <formula>AND(IF($Q116=3,1,0),IF($X116&lt;30,1,0))</formula>
    </cfRule>
    <cfRule type="expression" priority="4868" dxfId="0">
      <formula>AND(IF($Q116=3,1,IF($Q116=4,1,0)),IF($F116&lt;=85,1,0))</formula>
    </cfRule>
  </conditionalFormatting>
  <conditionalFormatting sqref="AI116">
    <cfRule type="expression" priority="4861" dxfId="3">
      <formula>AND(IF(OR($Q116=1,$Q116=2),1,0),IF($X116&lt;=20,1,0))</formula>
    </cfRule>
    <cfRule type="expression" priority="4862" dxfId="2">
      <formula>AND(IF($Q116=2,1,0),IF($X116&lt;30,1,0))</formula>
    </cfRule>
    <cfRule type="expression" priority="4863" dxfId="1">
      <formula>AND(IF($Q116=3,1,0),IF($X116&lt;30,1,0))</formula>
    </cfRule>
    <cfRule type="expression" priority="4864" dxfId="0">
      <formula>AND(IF($Q116=3,1,IF($Q116=4,1,0)),IF($F116&lt;=85,1,0))</formula>
    </cfRule>
  </conditionalFormatting>
  <conditionalFormatting sqref="AV117">
    <cfRule type="expression" priority="4859" dxfId="19">
      <formula>AV117="X"</formula>
    </cfRule>
    <cfRule type="expression" priority="4860" dxfId="18">
      <formula>AV117="후보"</formula>
    </cfRule>
  </conditionalFormatting>
  <conditionalFormatting sqref="AC117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1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17">
    <cfRule type="expression" priority="4851" dxfId="3">
      <formula>AND(IF(OR($Q117=1,$Q117=2),1,0),IF($X117&lt;=20,1,0))</formula>
    </cfRule>
    <cfRule type="expression" priority="4852" dxfId="2">
      <formula>AND(IF($Q117=2,1,0),IF($X117&lt;30,1,0))</formula>
    </cfRule>
    <cfRule type="expression" priority="4853" dxfId="1">
      <formula>AND(IF($Q117=3,1,0),IF($X117&lt;30,1,0))</formula>
    </cfRule>
    <cfRule type="expression" priority="4854" dxfId="0">
      <formula>AND(IF($Q117=3,1,IF($Q117=4,1,0)),IF($F117&lt;=85,1,0))</formula>
    </cfRule>
  </conditionalFormatting>
  <conditionalFormatting sqref="X117">
    <cfRule type="expression" priority="4847" dxfId="3">
      <formula>AND(IF(OR($Q117=1,$Q117=2),1,0),IF($X117&lt;=20,1,0))</formula>
    </cfRule>
    <cfRule type="expression" priority="4848" dxfId="2">
      <formula>AND(IF($Q117=2,1,0),IF($X117&lt;30,1,0))</formula>
    </cfRule>
    <cfRule type="expression" priority="4849" dxfId="1">
      <formula>AND(IF($Q117=3,1,0),IF($X117&lt;30,1,0))</formula>
    </cfRule>
    <cfRule type="expression" priority="4850" dxfId="0">
      <formula>AND(IF($Q117=3,1,IF($Q117=4,1,0)),IF($F117&lt;=85,1,0))</formula>
    </cfRule>
  </conditionalFormatting>
  <conditionalFormatting sqref="AI117">
    <cfRule type="expression" priority="4843" dxfId="3">
      <formula>AND(IF(OR($Q117=1,$Q117=2),1,0),IF($X117&lt;=20,1,0))</formula>
    </cfRule>
    <cfRule type="expression" priority="4844" dxfId="2">
      <formula>AND(IF($Q117=2,1,0),IF($X117&lt;30,1,0))</formula>
    </cfRule>
    <cfRule type="expression" priority="4845" dxfId="1">
      <formula>AND(IF($Q117=3,1,0),IF($X117&lt;30,1,0))</formula>
    </cfRule>
    <cfRule type="expression" priority="4846" dxfId="0">
      <formula>AND(IF($Q117=3,1,IF($Q117=4,1,0)),IF($F117&lt;=85,1,0))</formula>
    </cfRule>
  </conditionalFormatting>
  <conditionalFormatting sqref="AV118">
    <cfRule type="expression" priority="4841" dxfId="19">
      <formula>AV118="X"</formula>
    </cfRule>
    <cfRule type="expression" priority="4842" dxfId="18">
      <formula>AV118="후보"</formula>
    </cfRule>
  </conditionalFormatting>
  <conditionalFormatting sqref="AC118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1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18">
    <cfRule type="expression" priority="4833" dxfId="3">
      <formula>AND(IF(OR($Q118=1,$Q118=2),1,0),IF($X118&lt;=20,1,0))</formula>
    </cfRule>
    <cfRule type="expression" priority="4834" dxfId="2">
      <formula>AND(IF($Q118=2,1,0),IF($X118&lt;30,1,0))</formula>
    </cfRule>
    <cfRule type="expression" priority="4835" dxfId="1">
      <formula>AND(IF($Q118=3,1,0),IF($X118&lt;30,1,0))</formula>
    </cfRule>
    <cfRule type="expression" priority="4836" dxfId="0">
      <formula>AND(IF($Q118=3,1,IF($Q118=4,1,0)),IF($F118&lt;=85,1,0))</formula>
    </cfRule>
  </conditionalFormatting>
  <conditionalFormatting sqref="X118">
    <cfRule type="expression" priority="4829" dxfId="3">
      <formula>AND(IF(OR($Q118=1,$Q118=2),1,0),IF($X118&lt;=20,1,0))</formula>
    </cfRule>
    <cfRule type="expression" priority="4830" dxfId="2">
      <formula>AND(IF($Q118=2,1,0),IF($X118&lt;30,1,0))</formula>
    </cfRule>
    <cfRule type="expression" priority="4831" dxfId="1">
      <formula>AND(IF($Q118=3,1,0),IF($X118&lt;30,1,0))</formula>
    </cfRule>
    <cfRule type="expression" priority="4832" dxfId="0">
      <formula>AND(IF($Q118=3,1,IF($Q118=4,1,0)),IF($F118&lt;=85,1,0))</formula>
    </cfRule>
  </conditionalFormatting>
  <conditionalFormatting sqref="AI118">
    <cfRule type="expression" priority="4825" dxfId="3">
      <formula>AND(IF(OR($Q118=1,$Q118=2),1,0),IF($X118&lt;=20,1,0))</formula>
    </cfRule>
    <cfRule type="expression" priority="4826" dxfId="2">
      <formula>AND(IF($Q118=2,1,0),IF($X118&lt;30,1,0))</formula>
    </cfRule>
    <cfRule type="expression" priority="4827" dxfId="1">
      <formula>AND(IF($Q118=3,1,0),IF($X118&lt;30,1,0))</formula>
    </cfRule>
    <cfRule type="expression" priority="4828" dxfId="0">
      <formula>AND(IF($Q118=3,1,IF($Q118=4,1,0)),IF($F118&lt;=85,1,0))</formula>
    </cfRule>
  </conditionalFormatting>
  <conditionalFormatting sqref="AV119">
    <cfRule type="expression" priority="4823" dxfId="19">
      <formula>AV119="X"</formula>
    </cfRule>
    <cfRule type="expression" priority="4824" dxfId="18">
      <formula>AV119="후보"</formula>
    </cfRule>
  </conditionalFormatting>
  <conditionalFormatting sqref="AC119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1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19">
    <cfRule type="expression" priority="4815" dxfId="3">
      <formula>AND(IF(OR($Q119=1,$Q119=2),1,0),IF($X119&lt;=20,1,0))</formula>
    </cfRule>
    <cfRule type="expression" priority="4816" dxfId="2">
      <formula>AND(IF($Q119=2,1,0),IF($X119&lt;30,1,0))</formula>
    </cfRule>
    <cfRule type="expression" priority="4817" dxfId="1">
      <formula>AND(IF($Q119=3,1,0),IF($X119&lt;30,1,0))</formula>
    </cfRule>
    <cfRule type="expression" priority="4818" dxfId="0">
      <formula>AND(IF($Q119=3,1,IF($Q119=4,1,0)),IF($F119&lt;=85,1,0))</formula>
    </cfRule>
  </conditionalFormatting>
  <conditionalFormatting sqref="X119">
    <cfRule type="expression" priority="4811" dxfId="3">
      <formula>AND(IF(OR($Q119=1,$Q119=2),1,0),IF($X119&lt;=20,1,0))</formula>
    </cfRule>
    <cfRule type="expression" priority="4812" dxfId="2">
      <formula>AND(IF($Q119=2,1,0),IF($X119&lt;30,1,0))</formula>
    </cfRule>
    <cfRule type="expression" priority="4813" dxfId="1">
      <formula>AND(IF($Q119=3,1,0),IF($X119&lt;30,1,0))</formula>
    </cfRule>
    <cfRule type="expression" priority="4814" dxfId="0">
      <formula>AND(IF($Q119=3,1,IF($Q119=4,1,0)),IF($F119&lt;=85,1,0))</formula>
    </cfRule>
  </conditionalFormatting>
  <conditionalFormatting sqref="AI119">
    <cfRule type="expression" priority="4807" dxfId="3">
      <formula>AND(IF(OR($Q119=1,$Q119=2),1,0),IF($X119&lt;=20,1,0))</formula>
    </cfRule>
    <cfRule type="expression" priority="4808" dxfId="2">
      <formula>AND(IF($Q119=2,1,0),IF($X119&lt;30,1,0))</formula>
    </cfRule>
    <cfRule type="expression" priority="4809" dxfId="1">
      <formula>AND(IF($Q119=3,1,0),IF($X119&lt;30,1,0))</formula>
    </cfRule>
    <cfRule type="expression" priority="4810" dxfId="0">
      <formula>AND(IF($Q119=3,1,IF($Q119=4,1,0)),IF($F119&lt;=85,1,0))</formula>
    </cfRule>
  </conditionalFormatting>
  <conditionalFormatting sqref="AV120">
    <cfRule type="expression" priority="4805" dxfId="19">
      <formula>AV120="X"</formula>
    </cfRule>
    <cfRule type="expression" priority="4806" dxfId="18">
      <formula>AV120="후보"</formula>
    </cfRule>
  </conditionalFormatting>
  <conditionalFormatting sqref="AC120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2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20">
    <cfRule type="expression" priority="4797" dxfId="3">
      <formula>AND(IF(OR($Q120=1,$Q120=2),1,0),IF($X120&lt;=20,1,0))</formula>
    </cfRule>
    <cfRule type="expression" priority="4798" dxfId="2">
      <formula>AND(IF($Q120=2,1,0),IF($X120&lt;30,1,0))</formula>
    </cfRule>
    <cfRule type="expression" priority="4799" dxfId="1">
      <formula>AND(IF($Q120=3,1,0),IF($X120&lt;30,1,0))</formula>
    </cfRule>
    <cfRule type="expression" priority="4800" dxfId="0">
      <formula>AND(IF($Q120=3,1,IF($Q120=4,1,0)),IF($F120&lt;=85,1,0))</formula>
    </cfRule>
  </conditionalFormatting>
  <conditionalFormatting sqref="X120">
    <cfRule type="expression" priority="4793" dxfId="3">
      <formula>AND(IF(OR($Q120=1,$Q120=2),1,0),IF($X120&lt;=20,1,0))</formula>
    </cfRule>
    <cfRule type="expression" priority="4794" dxfId="2">
      <formula>AND(IF($Q120=2,1,0),IF($X120&lt;30,1,0))</formula>
    </cfRule>
    <cfRule type="expression" priority="4795" dxfId="1">
      <formula>AND(IF($Q120=3,1,0),IF($X120&lt;30,1,0))</formula>
    </cfRule>
    <cfRule type="expression" priority="4796" dxfId="0">
      <formula>AND(IF($Q120=3,1,IF($Q120=4,1,0)),IF($F120&lt;=85,1,0))</formula>
    </cfRule>
  </conditionalFormatting>
  <conditionalFormatting sqref="AI120">
    <cfRule type="expression" priority="4789" dxfId="3">
      <formula>AND(IF(OR($Q120=1,$Q120=2),1,0),IF($X120&lt;=20,1,0))</formula>
    </cfRule>
    <cfRule type="expression" priority="4790" dxfId="2">
      <formula>AND(IF($Q120=2,1,0),IF($X120&lt;30,1,0))</formula>
    </cfRule>
    <cfRule type="expression" priority="4791" dxfId="1">
      <formula>AND(IF($Q120=3,1,0),IF($X120&lt;30,1,0))</formula>
    </cfRule>
    <cfRule type="expression" priority="4792" dxfId="0">
      <formula>AND(IF($Q120=3,1,IF($Q120=4,1,0)),IF($F120&lt;=85,1,0))</formula>
    </cfRule>
  </conditionalFormatting>
  <conditionalFormatting sqref="AV121">
    <cfRule type="expression" priority="4787" dxfId="19">
      <formula>AV121="X"</formula>
    </cfRule>
    <cfRule type="expression" priority="4788" dxfId="18">
      <formula>AV121="후보"</formula>
    </cfRule>
  </conditionalFormatting>
  <conditionalFormatting sqref="AC121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21">
    <cfRule type="expression" priority="4779" dxfId="3">
      <formula>AND(IF(OR($Q121=1,$Q121=2),1,0),IF($X121&lt;=20,1,0))</formula>
    </cfRule>
    <cfRule type="expression" priority="4780" dxfId="2">
      <formula>AND(IF($Q121=2,1,0),IF($X121&lt;30,1,0))</formula>
    </cfRule>
    <cfRule type="expression" priority="4781" dxfId="1">
      <formula>AND(IF($Q121=3,1,0),IF($X121&lt;30,1,0))</formula>
    </cfRule>
    <cfRule type="expression" priority="4782" dxfId="0">
      <formula>AND(IF($Q121=3,1,IF($Q121=4,1,0)),IF($F121&lt;=85,1,0))</formula>
    </cfRule>
  </conditionalFormatting>
  <conditionalFormatting sqref="X121">
    <cfRule type="expression" priority="4775" dxfId="3">
      <formula>AND(IF(OR($Q121=1,$Q121=2),1,0),IF($X121&lt;=20,1,0))</formula>
    </cfRule>
    <cfRule type="expression" priority="4776" dxfId="2">
      <formula>AND(IF($Q121=2,1,0),IF($X121&lt;30,1,0))</formula>
    </cfRule>
    <cfRule type="expression" priority="4777" dxfId="1">
      <formula>AND(IF($Q121=3,1,0),IF($X121&lt;30,1,0))</formula>
    </cfRule>
    <cfRule type="expression" priority="4778" dxfId="0">
      <formula>AND(IF($Q121=3,1,IF($Q121=4,1,0)),IF($F121&lt;=85,1,0))</formula>
    </cfRule>
  </conditionalFormatting>
  <conditionalFormatting sqref="AI121">
    <cfRule type="expression" priority="4771" dxfId="3">
      <formula>AND(IF(OR($Q121=1,$Q121=2),1,0),IF($X121&lt;=20,1,0))</formula>
    </cfRule>
    <cfRule type="expression" priority="4772" dxfId="2">
      <formula>AND(IF($Q121=2,1,0),IF($X121&lt;30,1,0))</formula>
    </cfRule>
    <cfRule type="expression" priority="4773" dxfId="1">
      <formula>AND(IF($Q121=3,1,0),IF($X121&lt;30,1,0))</formula>
    </cfRule>
    <cfRule type="expression" priority="4774" dxfId="0">
      <formula>AND(IF($Q121=3,1,IF($Q121=4,1,0)),IF($F121&lt;=85,1,0))</formula>
    </cfRule>
  </conditionalFormatting>
  <conditionalFormatting sqref="AV122">
    <cfRule type="expression" priority="4769" dxfId="19">
      <formula>AV122="X"</formula>
    </cfRule>
    <cfRule type="expression" priority="4770" dxfId="18">
      <formula>AV122="후보"</formula>
    </cfRule>
  </conditionalFormatting>
  <conditionalFormatting sqref="AC122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22">
    <cfRule type="expression" priority="4761" dxfId="3">
      <formula>AND(IF(OR($Q122=1,$Q122=2),1,0),IF($X122&lt;=20,1,0))</formula>
    </cfRule>
    <cfRule type="expression" priority="4762" dxfId="2">
      <formula>AND(IF($Q122=2,1,0),IF($X122&lt;30,1,0))</formula>
    </cfRule>
    <cfRule type="expression" priority="4763" dxfId="1">
      <formula>AND(IF($Q122=3,1,0),IF($X122&lt;30,1,0))</formula>
    </cfRule>
    <cfRule type="expression" priority="4764" dxfId="0">
      <formula>AND(IF($Q122=3,1,IF($Q122=4,1,0)),IF($F122&lt;=85,1,0))</formula>
    </cfRule>
  </conditionalFormatting>
  <conditionalFormatting sqref="X122">
    <cfRule type="expression" priority="4757" dxfId="3">
      <formula>AND(IF(OR($Q122=1,$Q122=2),1,0),IF($X122&lt;=20,1,0))</formula>
    </cfRule>
    <cfRule type="expression" priority="4758" dxfId="2">
      <formula>AND(IF($Q122=2,1,0),IF($X122&lt;30,1,0))</formula>
    </cfRule>
    <cfRule type="expression" priority="4759" dxfId="1">
      <formula>AND(IF($Q122=3,1,0),IF($X122&lt;30,1,0))</formula>
    </cfRule>
    <cfRule type="expression" priority="4760" dxfId="0">
      <formula>AND(IF($Q122=3,1,IF($Q122=4,1,0)),IF($F122&lt;=85,1,0))</formula>
    </cfRule>
  </conditionalFormatting>
  <conditionalFormatting sqref="AI122">
    <cfRule type="expression" priority="4753" dxfId="3">
      <formula>AND(IF(OR($Q122=1,$Q122=2),1,0),IF($X122&lt;=20,1,0))</formula>
    </cfRule>
    <cfRule type="expression" priority="4754" dxfId="2">
      <formula>AND(IF($Q122=2,1,0),IF($X122&lt;30,1,0))</formula>
    </cfRule>
    <cfRule type="expression" priority="4755" dxfId="1">
      <formula>AND(IF($Q122=3,1,0),IF($X122&lt;30,1,0))</formula>
    </cfRule>
    <cfRule type="expression" priority="4756" dxfId="0">
      <formula>AND(IF($Q122=3,1,IF($Q122=4,1,0)),IF($F122&lt;=85,1,0))</formula>
    </cfRule>
  </conditionalFormatting>
  <conditionalFormatting sqref="AV123">
    <cfRule type="expression" priority="4751" dxfId="19">
      <formula>AV123="X"</formula>
    </cfRule>
    <cfRule type="expression" priority="4752" dxfId="18">
      <formula>AV123="후보"</formula>
    </cfRule>
  </conditionalFormatting>
  <conditionalFormatting sqref="AC123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2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23">
    <cfRule type="expression" priority="4743" dxfId="3">
      <formula>AND(IF(OR($Q123=1,$Q123=2),1,0),IF($X123&lt;=20,1,0))</formula>
    </cfRule>
    <cfRule type="expression" priority="4744" dxfId="2">
      <formula>AND(IF($Q123=2,1,0),IF($X123&lt;30,1,0))</formula>
    </cfRule>
    <cfRule type="expression" priority="4745" dxfId="1">
      <formula>AND(IF($Q123=3,1,0),IF($X123&lt;30,1,0))</formula>
    </cfRule>
    <cfRule type="expression" priority="4746" dxfId="0">
      <formula>AND(IF($Q123=3,1,IF($Q123=4,1,0)),IF($F123&lt;=85,1,0))</formula>
    </cfRule>
  </conditionalFormatting>
  <conditionalFormatting sqref="X123">
    <cfRule type="expression" priority="4739" dxfId="3">
      <formula>AND(IF(OR($Q123=1,$Q123=2),1,0),IF($X123&lt;=20,1,0))</formula>
    </cfRule>
    <cfRule type="expression" priority="4740" dxfId="2">
      <formula>AND(IF($Q123=2,1,0),IF($X123&lt;30,1,0))</formula>
    </cfRule>
    <cfRule type="expression" priority="4741" dxfId="1">
      <formula>AND(IF($Q123=3,1,0),IF($X123&lt;30,1,0))</formula>
    </cfRule>
    <cfRule type="expression" priority="4742" dxfId="0">
      <formula>AND(IF($Q123=3,1,IF($Q123=4,1,0)),IF($F123&lt;=85,1,0))</formula>
    </cfRule>
  </conditionalFormatting>
  <conditionalFormatting sqref="AI123">
    <cfRule type="expression" priority="4735" dxfId="3">
      <formula>AND(IF(OR($Q123=1,$Q123=2),1,0),IF($X123&lt;=20,1,0))</formula>
    </cfRule>
    <cfRule type="expression" priority="4736" dxfId="2">
      <formula>AND(IF($Q123=2,1,0),IF($X123&lt;30,1,0))</formula>
    </cfRule>
    <cfRule type="expression" priority="4737" dxfId="1">
      <formula>AND(IF($Q123=3,1,0),IF($X123&lt;30,1,0))</formula>
    </cfRule>
    <cfRule type="expression" priority="4738" dxfId="0">
      <formula>AND(IF($Q123=3,1,IF($Q123=4,1,0)),IF($F123&lt;=85,1,0))</formula>
    </cfRule>
  </conditionalFormatting>
  <conditionalFormatting sqref="AV124">
    <cfRule type="expression" priority="4733" dxfId="19">
      <formula>AV124="X"</formula>
    </cfRule>
    <cfRule type="expression" priority="4734" dxfId="18">
      <formula>AV124="후보"</formula>
    </cfRule>
  </conditionalFormatting>
  <conditionalFormatting sqref="AC124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2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24">
    <cfRule type="expression" priority="4725" dxfId="3">
      <formula>AND(IF(OR($Q124=1,$Q124=2),1,0),IF($X124&lt;=20,1,0))</formula>
    </cfRule>
    <cfRule type="expression" priority="4726" dxfId="2">
      <formula>AND(IF($Q124=2,1,0),IF($X124&lt;30,1,0))</formula>
    </cfRule>
    <cfRule type="expression" priority="4727" dxfId="1">
      <formula>AND(IF($Q124=3,1,0),IF($X124&lt;30,1,0))</formula>
    </cfRule>
    <cfRule type="expression" priority="4728" dxfId="0">
      <formula>AND(IF($Q124=3,1,IF($Q124=4,1,0)),IF($F124&lt;=85,1,0))</formula>
    </cfRule>
  </conditionalFormatting>
  <conditionalFormatting sqref="X124">
    <cfRule type="expression" priority="4721" dxfId="3">
      <formula>AND(IF(OR($Q124=1,$Q124=2),1,0),IF($X124&lt;=20,1,0))</formula>
    </cfRule>
    <cfRule type="expression" priority="4722" dxfId="2">
      <formula>AND(IF($Q124=2,1,0),IF($X124&lt;30,1,0))</formula>
    </cfRule>
    <cfRule type="expression" priority="4723" dxfId="1">
      <formula>AND(IF($Q124=3,1,0),IF($X124&lt;30,1,0))</formula>
    </cfRule>
    <cfRule type="expression" priority="4724" dxfId="0">
      <formula>AND(IF($Q124=3,1,IF($Q124=4,1,0)),IF($F124&lt;=85,1,0))</formula>
    </cfRule>
  </conditionalFormatting>
  <conditionalFormatting sqref="AI124">
    <cfRule type="expression" priority="4717" dxfId="3">
      <formula>AND(IF(OR($Q124=1,$Q124=2),1,0),IF($X124&lt;=20,1,0))</formula>
    </cfRule>
    <cfRule type="expression" priority="4718" dxfId="2">
      <formula>AND(IF($Q124=2,1,0),IF($X124&lt;30,1,0))</formula>
    </cfRule>
    <cfRule type="expression" priority="4719" dxfId="1">
      <formula>AND(IF($Q124=3,1,0),IF($X124&lt;30,1,0))</formula>
    </cfRule>
    <cfRule type="expression" priority="4720" dxfId="0">
      <formula>AND(IF($Q124=3,1,IF($Q124=4,1,0)),IF($F124&lt;=85,1,0))</formula>
    </cfRule>
  </conditionalFormatting>
  <conditionalFormatting sqref="AV125">
    <cfRule type="expression" priority="4715" dxfId="19">
      <formula>AV125="X"</formula>
    </cfRule>
    <cfRule type="expression" priority="4716" dxfId="18">
      <formula>AV125="후보"</formula>
    </cfRule>
  </conditionalFormatting>
  <conditionalFormatting sqref="AC125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2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25">
    <cfRule type="expression" priority="4707" dxfId="3">
      <formula>AND(IF(OR($Q125=1,$Q125=2),1,0),IF($X125&lt;=20,1,0))</formula>
    </cfRule>
    <cfRule type="expression" priority="4708" dxfId="2">
      <formula>AND(IF($Q125=2,1,0),IF($X125&lt;30,1,0))</formula>
    </cfRule>
    <cfRule type="expression" priority="4709" dxfId="1">
      <formula>AND(IF($Q125=3,1,0),IF($X125&lt;30,1,0))</formula>
    </cfRule>
    <cfRule type="expression" priority="4710" dxfId="0">
      <formula>AND(IF($Q125=3,1,IF($Q125=4,1,0)),IF($F125&lt;=85,1,0))</formula>
    </cfRule>
  </conditionalFormatting>
  <conditionalFormatting sqref="X125">
    <cfRule type="expression" priority="4703" dxfId="3">
      <formula>AND(IF(OR($Q125=1,$Q125=2),1,0),IF($X125&lt;=20,1,0))</formula>
    </cfRule>
    <cfRule type="expression" priority="4704" dxfId="2">
      <formula>AND(IF($Q125=2,1,0),IF($X125&lt;30,1,0))</formula>
    </cfRule>
    <cfRule type="expression" priority="4705" dxfId="1">
      <formula>AND(IF($Q125=3,1,0),IF($X125&lt;30,1,0))</formula>
    </cfRule>
    <cfRule type="expression" priority="4706" dxfId="0">
      <formula>AND(IF($Q125=3,1,IF($Q125=4,1,0)),IF($F125&lt;=85,1,0))</formula>
    </cfRule>
  </conditionalFormatting>
  <conditionalFormatting sqref="AI125">
    <cfRule type="expression" priority="4699" dxfId="3">
      <formula>AND(IF(OR($Q125=1,$Q125=2),1,0),IF($X125&lt;=20,1,0))</formula>
    </cfRule>
    <cfRule type="expression" priority="4700" dxfId="2">
      <formula>AND(IF($Q125=2,1,0),IF($X125&lt;30,1,0))</formula>
    </cfRule>
    <cfRule type="expression" priority="4701" dxfId="1">
      <formula>AND(IF($Q125=3,1,0),IF($X125&lt;30,1,0))</formula>
    </cfRule>
    <cfRule type="expression" priority="4702" dxfId="0">
      <formula>AND(IF($Q125=3,1,IF($Q125=4,1,0)),IF($F125&lt;=85,1,0))</formula>
    </cfRule>
  </conditionalFormatting>
  <conditionalFormatting sqref="AV126">
    <cfRule type="expression" priority="4697" dxfId="19">
      <formula>AV126="X"</formula>
    </cfRule>
    <cfRule type="expression" priority="4698" dxfId="18">
      <formula>AV126="후보"</formula>
    </cfRule>
  </conditionalFormatting>
  <conditionalFormatting sqref="AC126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2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26">
    <cfRule type="expression" priority="4689" dxfId="3">
      <formula>AND(IF(OR($Q126=1,$Q126=2),1,0),IF($X126&lt;=20,1,0))</formula>
    </cfRule>
    <cfRule type="expression" priority="4690" dxfId="2">
      <formula>AND(IF($Q126=2,1,0),IF($X126&lt;30,1,0))</formula>
    </cfRule>
    <cfRule type="expression" priority="4691" dxfId="1">
      <formula>AND(IF($Q126=3,1,0),IF($X126&lt;30,1,0))</formula>
    </cfRule>
    <cfRule type="expression" priority="4692" dxfId="0">
      <formula>AND(IF($Q126=3,1,IF($Q126=4,1,0)),IF($F126&lt;=85,1,0))</formula>
    </cfRule>
  </conditionalFormatting>
  <conditionalFormatting sqref="X126">
    <cfRule type="expression" priority="4685" dxfId="3">
      <formula>AND(IF(OR($Q126=1,$Q126=2),1,0),IF($X126&lt;=20,1,0))</formula>
    </cfRule>
    <cfRule type="expression" priority="4686" dxfId="2">
      <formula>AND(IF($Q126=2,1,0),IF($X126&lt;30,1,0))</formula>
    </cfRule>
    <cfRule type="expression" priority="4687" dxfId="1">
      <formula>AND(IF($Q126=3,1,0),IF($X126&lt;30,1,0))</formula>
    </cfRule>
    <cfRule type="expression" priority="4688" dxfId="0">
      <formula>AND(IF($Q126=3,1,IF($Q126=4,1,0)),IF($F126&lt;=85,1,0))</formula>
    </cfRule>
  </conditionalFormatting>
  <conditionalFormatting sqref="AI126">
    <cfRule type="expression" priority="4681" dxfId="3">
      <formula>AND(IF(OR($Q126=1,$Q126=2),1,0),IF($X126&lt;=20,1,0))</formula>
    </cfRule>
    <cfRule type="expression" priority="4682" dxfId="2">
      <formula>AND(IF($Q126=2,1,0),IF($X126&lt;30,1,0))</formula>
    </cfRule>
    <cfRule type="expression" priority="4683" dxfId="1">
      <formula>AND(IF($Q126=3,1,0),IF($X126&lt;30,1,0))</formula>
    </cfRule>
    <cfRule type="expression" priority="4684" dxfId="0">
      <formula>AND(IF($Q126=3,1,IF($Q126=4,1,0)),IF($F126&lt;=85,1,0))</formula>
    </cfRule>
  </conditionalFormatting>
  <conditionalFormatting sqref="AV127">
    <cfRule type="expression" priority="4679" dxfId="19">
      <formula>AV127="X"</formula>
    </cfRule>
    <cfRule type="expression" priority="4680" dxfId="18">
      <formula>AV127="후보"</formula>
    </cfRule>
  </conditionalFormatting>
  <conditionalFormatting sqref="AC127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2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27">
    <cfRule type="expression" priority="4671" dxfId="3">
      <formula>AND(IF(OR($Q127=1,$Q127=2),1,0),IF($X127&lt;=20,1,0))</formula>
    </cfRule>
    <cfRule type="expression" priority="4672" dxfId="2">
      <formula>AND(IF($Q127=2,1,0),IF($X127&lt;30,1,0))</formula>
    </cfRule>
    <cfRule type="expression" priority="4673" dxfId="1">
      <formula>AND(IF($Q127=3,1,0),IF($X127&lt;30,1,0))</formula>
    </cfRule>
    <cfRule type="expression" priority="4674" dxfId="0">
      <formula>AND(IF($Q127=3,1,IF($Q127=4,1,0)),IF($F127&lt;=85,1,0))</formula>
    </cfRule>
  </conditionalFormatting>
  <conditionalFormatting sqref="X127">
    <cfRule type="expression" priority="4667" dxfId="3">
      <formula>AND(IF(OR($Q127=1,$Q127=2),1,0),IF($X127&lt;=20,1,0))</formula>
    </cfRule>
    <cfRule type="expression" priority="4668" dxfId="2">
      <formula>AND(IF($Q127=2,1,0),IF($X127&lt;30,1,0))</formula>
    </cfRule>
    <cfRule type="expression" priority="4669" dxfId="1">
      <formula>AND(IF($Q127=3,1,0),IF($X127&lt;30,1,0))</formula>
    </cfRule>
    <cfRule type="expression" priority="4670" dxfId="0">
      <formula>AND(IF($Q127=3,1,IF($Q127=4,1,0)),IF($F127&lt;=85,1,0))</formula>
    </cfRule>
  </conditionalFormatting>
  <conditionalFormatting sqref="AI127">
    <cfRule type="expression" priority="4663" dxfId="3">
      <formula>AND(IF(OR($Q127=1,$Q127=2),1,0),IF($X127&lt;=20,1,0))</formula>
    </cfRule>
    <cfRule type="expression" priority="4664" dxfId="2">
      <formula>AND(IF($Q127=2,1,0),IF($X127&lt;30,1,0))</formula>
    </cfRule>
    <cfRule type="expression" priority="4665" dxfId="1">
      <formula>AND(IF($Q127=3,1,0),IF($X127&lt;30,1,0))</formula>
    </cfRule>
    <cfRule type="expression" priority="4666" dxfId="0">
      <formula>AND(IF($Q127=3,1,IF($Q127=4,1,0)),IF($F127&lt;=85,1,0))</formula>
    </cfRule>
  </conditionalFormatting>
  <conditionalFormatting sqref="AV128">
    <cfRule type="expression" priority="4661" dxfId="19">
      <formula>AV128="X"</formula>
    </cfRule>
    <cfRule type="expression" priority="4662" dxfId="18">
      <formula>AV128="후보"</formula>
    </cfRule>
  </conditionalFormatting>
  <conditionalFormatting sqref="AC128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2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28">
    <cfRule type="expression" priority="4653" dxfId="3">
      <formula>AND(IF(OR($Q128=1,$Q128=2),1,0),IF($X128&lt;=20,1,0))</formula>
    </cfRule>
    <cfRule type="expression" priority="4654" dxfId="2">
      <formula>AND(IF($Q128=2,1,0),IF($X128&lt;30,1,0))</formula>
    </cfRule>
    <cfRule type="expression" priority="4655" dxfId="1">
      <formula>AND(IF($Q128=3,1,0),IF($X128&lt;30,1,0))</formula>
    </cfRule>
    <cfRule type="expression" priority="4656" dxfId="0">
      <formula>AND(IF($Q128=3,1,IF($Q128=4,1,0)),IF($F128&lt;=85,1,0))</formula>
    </cfRule>
  </conditionalFormatting>
  <conditionalFormatting sqref="X128">
    <cfRule type="expression" priority="4649" dxfId="3">
      <formula>AND(IF(OR($Q128=1,$Q128=2),1,0),IF($X128&lt;=20,1,0))</formula>
    </cfRule>
    <cfRule type="expression" priority="4650" dxfId="2">
      <formula>AND(IF($Q128=2,1,0),IF($X128&lt;30,1,0))</formula>
    </cfRule>
    <cfRule type="expression" priority="4651" dxfId="1">
      <formula>AND(IF($Q128=3,1,0),IF($X128&lt;30,1,0))</formula>
    </cfRule>
    <cfRule type="expression" priority="4652" dxfId="0">
      <formula>AND(IF($Q128=3,1,IF($Q128=4,1,0)),IF($F128&lt;=85,1,0))</formula>
    </cfRule>
  </conditionalFormatting>
  <conditionalFormatting sqref="AI128">
    <cfRule type="expression" priority="4645" dxfId="3">
      <formula>AND(IF(OR($Q128=1,$Q128=2),1,0),IF($X128&lt;=20,1,0))</formula>
    </cfRule>
    <cfRule type="expression" priority="4646" dxfId="2">
      <formula>AND(IF($Q128=2,1,0),IF($X128&lt;30,1,0))</formula>
    </cfRule>
    <cfRule type="expression" priority="4647" dxfId="1">
      <formula>AND(IF($Q128=3,1,0),IF($X128&lt;30,1,0))</formula>
    </cfRule>
    <cfRule type="expression" priority="4648" dxfId="0">
      <formula>AND(IF($Q128=3,1,IF($Q128=4,1,0)),IF($F128&lt;=85,1,0))</formula>
    </cfRule>
  </conditionalFormatting>
  <conditionalFormatting sqref="AV129">
    <cfRule type="expression" priority="4643" dxfId="19">
      <formula>AV129="X"</formula>
    </cfRule>
    <cfRule type="expression" priority="4644" dxfId="18">
      <formula>AV129="후보"</formula>
    </cfRule>
  </conditionalFormatting>
  <conditionalFormatting sqref="AC129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2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29">
    <cfRule type="expression" priority="4635" dxfId="3">
      <formula>AND(IF(OR($Q129=1,$Q129=2),1,0),IF($X129&lt;=20,1,0))</formula>
    </cfRule>
    <cfRule type="expression" priority="4636" dxfId="2">
      <formula>AND(IF($Q129=2,1,0),IF($X129&lt;30,1,0))</formula>
    </cfRule>
    <cfRule type="expression" priority="4637" dxfId="1">
      <formula>AND(IF($Q129=3,1,0),IF($X129&lt;30,1,0))</formula>
    </cfRule>
    <cfRule type="expression" priority="4638" dxfId="0">
      <formula>AND(IF($Q129=3,1,IF($Q129=4,1,0)),IF($F129&lt;=85,1,0))</formula>
    </cfRule>
  </conditionalFormatting>
  <conditionalFormatting sqref="X129">
    <cfRule type="expression" priority="4631" dxfId="3">
      <formula>AND(IF(OR($Q129=1,$Q129=2),1,0),IF($X129&lt;=20,1,0))</formula>
    </cfRule>
    <cfRule type="expression" priority="4632" dxfId="2">
      <formula>AND(IF($Q129=2,1,0),IF($X129&lt;30,1,0))</formula>
    </cfRule>
    <cfRule type="expression" priority="4633" dxfId="1">
      <formula>AND(IF($Q129=3,1,0),IF($X129&lt;30,1,0))</formula>
    </cfRule>
    <cfRule type="expression" priority="4634" dxfId="0">
      <formula>AND(IF($Q129=3,1,IF($Q129=4,1,0)),IF($F129&lt;=85,1,0))</formula>
    </cfRule>
  </conditionalFormatting>
  <conditionalFormatting sqref="AI129">
    <cfRule type="expression" priority="4627" dxfId="3">
      <formula>AND(IF(OR($Q129=1,$Q129=2),1,0),IF($X129&lt;=20,1,0))</formula>
    </cfRule>
    <cfRule type="expression" priority="4628" dxfId="2">
      <formula>AND(IF($Q129=2,1,0),IF($X129&lt;30,1,0))</formula>
    </cfRule>
    <cfRule type="expression" priority="4629" dxfId="1">
      <formula>AND(IF($Q129=3,1,0),IF($X129&lt;30,1,0))</formula>
    </cfRule>
    <cfRule type="expression" priority="4630" dxfId="0">
      <formula>AND(IF($Q129=3,1,IF($Q129=4,1,0)),IF($F129&lt;=85,1,0))</formula>
    </cfRule>
  </conditionalFormatting>
  <conditionalFormatting sqref="AV130">
    <cfRule type="expression" priority="4625" dxfId="19">
      <formula>AV130="X"</formula>
    </cfRule>
    <cfRule type="expression" priority="4626" dxfId="18">
      <formula>AV130="후보"</formula>
    </cfRule>
  </conditionalFormatting>
  <conditionalFormatting sqref="AC130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3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30">
    <cfRule type="expression" priority="4617" dxfId="3">
      <formula>AND(IF(OR($Q130=1,$Q130=2),1,0),IF($X130&lt;=20,1,0))</formula>
    </cfRule>
    <cfRule type="expression" priority="4618" dxfId="2">
      <formula>AND(IF($Q130=2,1,0),IF($X130&lt;30,1,0))</formula>
    </cfRule>
    <cfRule type="expression" priority="4619" dxfId="1">
      <formula>AND(IF($Q130=3,1,0),IF($X130&lt;30,1,0))</formula>
    </cfRule>
    <cfRule type="expression" priority="4620" dxfId="0">
      <formula>AND(IF($Q130=3,1,IF($Q130=4,1,0)),IF($F130&lt;=85,1,0))</formula>
    </cfRule>
  </conditionalFormatting>
  <conditionalFormatting sqref="X130">
    <cfRule type="expression" priority="4613" dxfId="3">
      <formula>AND(IF(OR($Q130=1,$Q130=2),1,0),IF($X130&lt;=20,1,0))</formula>
    </cfRule>
    <cfRule type="expression" priority="4614" dxfId="2">
      <formula>AND(IF($Q130=2,1,0),IF($X130&lt;30,1,0))</formula>
    </cfRule>
    <cfRule type="expression" priority="4615" dxfId="1">
      <formula>AND(IF($Q130=3,1,0),IF($X130&lt;30,1,0))</formula>
    </cfRule>
    <cfRule type="expression" priority="4616" dxfId="0">
      <formula>AND(IF($Q130=3,1,IF($Q130=4,1,0)),IF($F130&lt;=85,1,0))</formula>
    </cfRule>
  </conditionalFormatting>
  <conditionalFormatting sqref="AI130">
    <cfRule type="expression" priority="4609" dxfId="3">
      <formula>AND(IF(OR($Q130=1,$Q130=2),1,0),IF($X130&lt;=20,1,0))</formula>
    </cfRule>
    <cfRule type="expression" priority="4610" dxfId="2">
      <formula>AND(IF($Q130=2,1,0),IF($X130&lt;30,1,0))</formula>
    </cfRule>
    <cfRule type="expression" priority="4611" dxfId="1">
      <formula>AND(IF($Q130=3,1,0),IF($X130&lt;30,1,0))</formula>
    </cfRule>
    <cfRule type="expression" priority="4612" dxfId="0">
      <formula>AND(IF($Q130=3,1,IF($Q130=4,1,0)),IF($F130&lt;=85,1,0))</formula>
    </cfRule>
  </conditionalFormatting>
  <conditionalFormatting sqref="AV131">
    <cfRule type="expression" priority="4607" dxfId="19">
      <formula>AV131="X"</formula>
    </cfRule>
    <cfRule type="expression" priority="4608" dxfId="18">
      <formula>AV131="후보"</formula>
    </cfRule>
  </conditionalFormatting>
  <conditionalFormatting sqref="AC131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3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31">
    <cfRule type="expression" priority="4599" dxfId="3">
      <formula>AND(IF(OR($Q131=1,$Q131=2),1,0),IF($X131&lt;=20,1,0))</formula>
    </cfRule>
    <cfRule type="expression" priority="4600" dxfId="2">
      <formula>AND(IF($Q131=2,1,0),IF($X131&lt;30,1,0))</formula>
    </cfRule>
    <cfRule type="expression" priority="4601" dxfId="1">
      <formula>AND(IF($Q131=3,1,0),IF($X131&lt;30,1,0))</formula>
    </cfRule>
    <cfRule type="expression" priority="4602" dxfId="0">
      <formula>AND(IF($Q131=3,1,IF($Q131=4,1,0)),IF($F131&lt;=85,1,0))</formula>
    </cfRule>
  </conditionalFormatting>
  <conditionalFormatting sqref="X131">
    <cfRule type="expression" priority="4595" dxfId="3">
      <formula>AND(IF(OR($Q131=1,$Q131=2),1,0),IF($X131&lt;=20,1,0))</formula>
    </cfRule>
    <cfRule type="expression" priority="4596" dxfId="2">
      <formula>AND(IF($Q131=2,1,0),IF($X131&lt;30,1,0))</formula>
    </cfRule>
    <cfRule type="expression" priority="4597" dxfId="1">
      <formula>AND(IF($Q131=3,1,0),IF($X131&lt;30,1,0))</formula>
    </cfRule>
    <cfRule type="expression" priority="4598" dxfId="0">
      <formula>AND(IF($Q131=3,1,IF($Q131=4,1,0)),IF($F131&lt;=85,1,0))</formula>
    </cfRule>
  </conditionalFormatting>
  <conditionalFormatting sqref="AI131">
    <cfRule type="expression" priority="4591" dxfId="3">
      <formula>AND(IF(OR($Q131=1,$Q131=2),1,0),IF($X131&lt;=20,1,0))</formula>
    </cfRule>
    <cfRule type="expression" priority="4592" dxfId="2">
      <formula>AND(IF($Q131=2,1,0),IF($X131&lt;30,1,0))</formula>
    </cfRule>
    <cfRule type="expression" priority="4593" dxfId="1">
      <formula>AND(IF($Q131=3,1,0),IF($X131&lt;30,1,0))</formula>
    </cfRule>
    <cfRule type="expression" priority="4594" dxfId="0">
      <formula>AND(IF($Q131=3,1,IF($Q131=4,1,0)),IF($F131&lt;=85,1,0))</formula>
    </cfRule>
  </conditionalFormatting>
  <conditionalFormatting sqref="AV132">
    <cfRule type="expression" priority="4589" dxfId="19">
      <formula>AV132="X"</formula>
    </cfRule>
    <cfRule type="expression" priority="4590" dxfId="18">
      <formula>AV132="후보"</formula>
    </cfRule>
  </conditionalFormatting>
  <conditionalFormatting sqref="AC132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3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32">
    <cfRule type="expression" priority="4581" dxfId="3">
      <formula>AND(IF(OR($Q132=1,$Q132=2),1,0),IF($X132&lt;=20,1,0))</formula>
    </cfRule>
    <cfRule type="expression" priority="4582" dxfId="2">
      <formula>AND(IF($Q132=2,1,0),IF($X132&lt;30,1,0))</formula>
    </cfRule>
    <cfRule type="expression" priority="4583" dxfId="1">
      <formula>AND(IF($Q132=3,1,0),IF($X132&lt;30,1,0))</formula>
    </cfRule>
    <cfRule type="expression" priority="4584" dxfId="0">
      <formula>AND(IF($Q132=3,1,IF($Q132=4,1,0)),IF($F132&lt;=85,1,0))</formula>
    </cfRule>
  </conditionalFormatting>
  <conditionalFormatting sqref="X132">
    <cfRule type="expression" priority="4577" dxfId="3">
      <formula>AND(IF(OR($Q132=1,$Q132=2),1,0),IF($X132&lt;=20,1,0))</formula>
    </cfRule>
    <cfRule type="expression" priority="4578" dxfId="2">
      <formula>AND(IF($Q132=2,1,0),IF($X132&lt;30,1,0))</formula>
    </cfRule>
    <cfRule type="expression" priority="4579" dxfId="1">
      <formula>AND(IF($Q132=3,1,0),IF($X132&lt;30,1,0))</formula>
    </cfRule>
    <cfRule type="expression" priority="4580" dxfId="0">
      <formula>AND(IF($Q132=3,1,IF($Q132=4,1,0)),IF($F132&lt;=85,1,0))</formula>
    </cfRule>
  </conditionalFormatting>
  <conditionalFormatting sqref="AI132">
    <cfRule type="expression" priority="4573" dxfId="3">
      <formula>AND(IF(OR($Q132=1,$Q132=2),1,0),IF($X132&lt;=20,1,0))</formula>
    </cfRule>
    <cfRule type="expression" priority="4574" dxfId="2">
      <formula>AND(IF($Q132=2,1,0),IF($X132&lt;30,1,0))</formula>
    </cfRule>
    <cfRule type="expression" priority="4575" dxfId="1">
      <formula>AND(IF($Q132=3,1,0),IF($X132&lt;30,1,0))</formula>
    </cfRule>
    <cfRule type="expression" priority="4576" dxfId="0">
      <formula>AND(IF($Q132=3,1,IF($Q132=4,1,0)),IF($F132&lt;=85,1,0))</formula>
    </cfRule>
  </conditionalFormatting>
  <conditionalFormatting sqref="AV133">
    <cfRule type="expression" priority="4571" dxfId="19">
      <formula>AV133="X"</formula>
    </cfRule>
    <cfRule type="expression" priority="4572" dxfId="18">
      <formula>AV133="후보"</formula>
    </cfRule>
  </conditionalFormatting>
  <conditionalFormatting sqref="AC133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3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33">
    <cfRule type="expression" priority="4563" dxfId="3">
      <formula>AND(IF(OR($Q133=1,$Q133=2),1,0),IF($X133&lt;=20,1,0))</formula>
    </cfRule>
    <cfRule type="expression" priority="4564" dxfId="2">
      <formula>AND(IF($Q133=2,1,0),IF($X133&lt;30,1,0))</formula>
    </cfRule>
    <cfRule type="expression" priority="4565" dxfId="1">
      <formula>AND(IF($Q133=3,1,0),IF($X133&lt;30,1,0))</formula>
    </cfRule>
    <cfRule type="expression" priority="4566" dxfId="0">
      <formula>AND(IF($Q133=3,1,IF($Q133=4,1,0)),IF($F133&lt;=85,1,0))</formula>
    </cfRule>
  </conditionalFormatting>
  <conditionalFormatting sqref="X133">
    <cfRule type="expression" priority="4559" dxfId="3">
      <formula>AND(IF(OR($Q133=1,$Q133=2),1,0),IF($X133&lt;=20,1,0))</formula>
    </cfRule>
    <cfRule type="expression" priority="4560" dxfId="2">
      <formula>AND(IF($Q133=2,1,0),IF($X133&lt;30,1,0))</formula>
    </cfRule>
    <cfRule type="expression" priority="4561" dxfId="1">
      <formula>AND(IF($Q133=3,1,0),IF($X133&lt;30,1,0))</formula>
    </cfRule>
    <cfRule type="expression" priority="4562" dxfId="0">
      <formula>AND(IF($Q133=3,1,IF($Q133=4,1,0)),IF($F133&lt;=85,1,0))</formula>
    </cfRule>
  </conditionalFormatting>
  <conditionalFormatting sqref="AI133">
    <cfRule type="expression" priority="4555" dxfId="3">
      <formula>AND(IF(OR($Q133=1,$Q133=2),1,0),IF($X133&lt;=20,1,0))</formula>
    </cfRule>
    <cfRule type="expression" priority="4556" dxfId="2">
      <formula>AND(IF($Q133=2,1,0),IF($X133&lt;30,1,0))</formula>
    </cfRule>
    <cfRule type="expression" priority="4557" dxfId="1">
      <formula>AND(IF($Q133=3,1,0),IF($X133&lt;30,1,0))</formula>
    </cfRule>
    <cfRule type="expression" priority="4558" dxfId="0">
      <formula>AND(IF($Q133=3,1,IF($Q133=4,1,0)),IF($F133&lt;=85,1,0))</formula>
    </cfRule>
  </conditionalFormatting>
  <conditionalFormatting sqref="AV134">
    <cfRule type="expression" priority="4553" dxfId="19">
      <formula>AV134="X"</formula>
    </cfRule>
    <cfRule type="expression" priority="4554" dxfId="18">
      <formula>AV134="후보"</formula>
    </cfRule>
  </conditionalFormatting>
  <conditionalFormatting sqref="AC134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3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34">
    <cfRule type="expression" priority="4545" dxfId="3">
      <formula>AND(IF(OR($Q134=1,$Q134=2),1,0),IF($X134&lt;=20,1,0))</formula>
    </cfRule>
    <cfRule type="expression" priority="4546" dxfId="2">
      <formula>AND(IF($Q134=2,1,0),IF($X134&lt;30,1,0))</formula>
    </cfRule>
    <cfRule type="expression" priority="4547" dxfId="1">
      <formula>AND(IF($Q134=3,1,0),IF($X134&lt;30,1,0))</formula>
    </cfRule>
    <cfRule type="expression" priority="4548" dxfId="0">
      <formula>AND(IF($Q134=3,1,IF($Q134=4,1,0)),IF($F134&lt;=85,1,0))</formula>
    </cfRule>
  </conditionalFormatting>
  <conditionalFormatting sqref="X134">
    <cfRule type="expression" priority="4541" dxfId="3">
      <formula>AND(IF(OR($Q134=1,$Q134=2),1,0),IF($X134&lt;=20,1,0))</formula>
    </cfRule>
    <cfRule type="expression" priority="4542" dxfId="2">
      <formula>AND(IF($Q134=2,1,0),IF($X134&lt;30,1,0))</formula>
    </cfRule>
    <cfRule type="expression" priority="4543" dxfId="1">
      <formula>AND(IF($Q134=3,1,0),IF($X134&lt;30,1,0))</formula>
    </cfRule>
    <cfRule type="expression" priority="4544" dxfId="0">
      <formula>AND(IF($Q134=3,1,IF($Q134=4,1,0)),IF($F134&lt;=85,1,0))</formula>
    </cfRule>
  </conditionalFormatting>
  <conditionalFormatting sqref="AI134">
    <cfRule type="expression" priority="4537" dxfId="3">
      <formula>AND(IF(OR($Q134=1,$Q134=2),1,0),IF($X134&lt;=20,1,0))</formula>
    </cfRule>
    <cfRule type="expression" priority="4538" dxfId="2">
      <formula>AND(IF($Q134=2,1,0),IF($X134&lt;30,1,0))</formula>
    </cfRule>
    <cfRule type="expression" priority="4539" dxfId="1">
      <formula>AND(IF($Q134=3,1,0),IF($X134&lt;30,1,0))</formula>
    </cfRule>
    <cfRule type="expression" priority="4540" dxfId="0">
      <formula>AND(IF($Q134=3,1,IF($Q134=4,1,0)),IF($F134&lt;=85,1,0))</formula>
    </cfRule>
  </conditionalFormatting>
  <conditionalFormatting sqref="AV135">
    <cfRule type="expression" priority="4535" dxfId="19">
      <formula>AV135="X"</formula>
    </cfRule>
    <cfRule type="expression" priority="4536" dxfId="18">
      <formula>AV135="후보"</formula>
    </cfRule>
  </conditionalFormatting>
  <conditionalFormatting sqref="AC135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3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35">
    <cfRule type="expression" priority="4527" dxfId="3">
      <formula>AND(IF(OR($Q135=1,$Q135=2),1,0),IF($X135&lt;=20,1,0))</formula>
    </cfRule>
    <cfRule type="expression" priority="4528" dxfId="2">
      <formula>AND(IF($Q135=2,1,0),IF($X135&lt;30,1,0))</formula>
    </cfRule>
    <cfRule type="expression" priority="4529" dxfId="1">
      <formula>AND(IF($Q135=3,1,0),IF($X135&lt;30,1,0))</formula>
    </cfRule>
    <cfRule type="expression" priority="4530" dxfId="0">
      <formula>AND(IF($Q135=3,1,IF($Q135=4,1,0)),IF($F135&lt;=85,1,0))</formula>
    </cfRule>
  </conditionalFormatting>
  <conditionalFormatting sqref="X135">
    <cfRule type="expression" priority="4523" dxfId="3">
      <formula>AND(IF(OR($Q135=1,$Q135=2),1,0),IF($X135&lt;=20,1,0))</formula>
    </cfRule>
    <cfRule type="expression" priority="4524" dxfId="2">
      <formula>AND(IF($Q135=2,1,0),IF($X135&lt;30,1,0))</formula>
    </cfRule>
    <cfRule type="expression" priority="4525" dxfId="1">
      <formula>AND(IF($Q135=3,1,0),IF($X135&lt;30,1,0))</formula>
    </cfRule>
    <cfRule type="expression" priority="4526" dxfId="0">
      <formula>AND(IF($Q135=3,1,IF($Q135=4,1,0)),IF($F135&lt;=85,1,0))</formula>
    </cfRule>
  </conditionalFormatting>
  <conditionalFormatting sqref="AI135">
    <cfRule type="expression" priority="4519" dxfId="3">
      <formula>AND(IF(OR($Q135=1,$Q135=2),1,0),IF($X135&lt;=20,1,0))</formula>
    </cfRule>
    <cfRule type="expression" priority="4520" dxfId="2">
      <formula>AND(IF($Q135=2,1,0),IF($X135&lt;30,1,0))</formula>
    </cfRule>
    <cfRule type="expression" priority="4521" dxfId="1">
      <formula>AND(IF($Q135=3,1,0),IF($X135&lt;30,1,0))</formula>
    </cfRule>
    <cfRule type="expression" priority="4522" dxfId="0">
      <formula>AND(IF($Q135=3,1,IF($Q135=4,1,0)),IF($F135&lt;=85,1,0))</formula>
    </cfRule>
  </conditionalFormatting>
  <conditionalFormatting sqref="AV136">
    <cfRule type="expression" priority="4517" dxfId="19">
      <formula>AV136="X"</formula>
    </cfRule>
    <cfRule type="expression" priority="4518" dxfId="18">
      <formula>AV136="후보"</formula>
    </cfRule>
  </conditionalFormatting>
  <conditionalFormatting sqref="AC136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3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36">
    <cfRule type="expression" priority="4509" dxfId="3">
      <formula>AND(IF(OR($Q136=1,$Q136=2),1,0),IF($X136&lt;=20,1,0))</formula>
    </cfRule>
    <cfRule type="expression" priority="4510" dxfId="2">
      <formula>AND(IF($Q136=2,1,0),IF($X136&lt;30,1,0))</formula>
    </cfRule>
    <cfRule type="expression" priority="4511" dxfId="1">
      <formula>AND(IF($Q136=3,1,0),IF($X136&lt;30,1,0))</formula>
    </cfRule>
    <cfRule type="expression" priority="4512" dxfId="0">
      <formula>AND(IF($Q136=3,1,IF($Q136=4,1,0)),IF($F136&lt;=85,1,0))</formula>
    </cfRule>
  </conditionalFormatting>
  <conditionalFormatting sqref="X136">
    <cfRule type="expression" priority="4505" dxfId="3">
      <formula>AND(IF(OR($Q136=1,$Q136=2),1,0),IF($X136&lt;=20,1,0))</formula>
    </cfRule>
    <cfRule type="expression" priority="4506" dxfId="2">
      <formula>AND(IF($Q136=2,1,0),IF($X136&lt;30,1,0))</formula>
    </cfRule>
    <cfRule type="expression" priority="4507" dxfId="1">
      <formula>AND(IF($Q136=3,1,0),IF($X136&lt;30,1,0))</formula>
    </cfRule>
    <cfRule type="expression" priority="4508" dxfId="0">
      <formula>AND(IF($Q136=3,1,IF($Q136=4,1,0)),IF($F136&lt;=85,1,0))</formula>
    </cfRule>
  </conditionalFormatting>
  <conditionalFormatting sqref="AI136">
    <cfRule type="expression" priority="4501" dxfId="3">
      <formula>AND(IF(OR($Q136=1,$Q136=2),1,0),IF($X136&lt;=20,1,0))</formula>
    </cfRule>
    <cfRule type="expression" priority="4502" dxfId="2">
      <formula>AND(IF($Q136=2,1,0),IF($X136&lt;30,1,0))</formula>
    </cfRule>
    <cfRule type="expression" priority="4503" dxfId="1">
      <formula>AND(IF($Q136=3,1,0),IF($X136&lt;30,1,0))</formula>
    </cfRule>
    <cfRule type="expression" priority="4504" dxfId="0">
      <formula>AND(IF($Q136=3,1,IF($Q136=4,1,0)),IF($F136&lt;=85,1,0))</formula>
    </cfRule>
  </conditionalFormatting>
  <conditionalFormatting sqref="AV137">
    <cfRule type="expression" priority="4499" dxfId="19">
      <formula>AV137="X"</formula>
    </cfRule>
    <cfRule type="expression" priority="4500" dxfId="18">
      <formula>AV137="후보"</formula>
    </cfRule>
  </conditionalFormatting>
  <conditionalFormatting sqref="AC137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3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37">
    <cfRule type="expression" priority="4491" dxfId="3">
      <formula>AND(IF(OR($Q137=1,$Q137=2),1,0),IF($X137&lt;=20,1,0))</formula>
    </cfRule>
    <cfRule type="expression" priority="4492" dxfId="2">
      <formula>AND(IF($Q137=2,1,0),IF($X137&lt;30,1,0))</formula>
    </cfRule>
    <cfRule type="expression" priority="4493" dxfId="1">
      <formula>AND(IF($Q137=3,1,0),IF($X137&lt;30,1,0))</formula>
    </cfRule>
    <cfRule type="expression" priority="4494" dxfId="0">
      <formula>AND(IF($Q137=3,1,IF($Q137=4,1,0)),IF($F137&lt;=85,1,0))</formula>
    </cfRule>
  </conditionalFormatting>
  <conditionalFormatting sqref="X137">
    <cfRule type="expression" priority="4487" dxfId="3">
      <formula>AND(IF(OR($Q137=1,$Q137=2),1,0),IF($X137&lt;=20,1,0))</formula>
    </cfRule>
    <cfRule type="expression" priority="4488" dxfId="2">
      <formula>AND(IF($Q137=2,1,0),IF($X137&lt;30,1,0))</formula>
    </cfRule>
    <cfRule type="expression" priority="4489" dxfId="1">
      <formula>AND(IF($Q137=3,1,0),IF($X137&lt;30,1,0))</formula>
    </cfRule>
    <cfRule type="expression" priority="4490" dxfId="0">
      <formula>AND(IF($Q137=3,1,IF($Q137=4,1,0)),IF($F137&lt;=85,1,0))</formula>
    </cfRule>
  </conditionalFormatting>
  <conditionalFormatting sqref="AI137">
    <cfRule type="expression" priority="4483" dxfId="3">
      <formula>AND(IF(OR($Q137=1,$Q137=2),1,0),IF($X137&lt;=20,1,0))</formula>
    </cfRule>
    <cfRule type="expression" priority="4484" dxfId="2">
      <formula>AND(IF($Q137=2,1,0),IF($X137&lt;30,1,0))</formula>
    </cfRule>
    <cfRule type="expression" priority="4485" dxfId="1">
      <formula>AND(IF($Q137=3,1,0),IF($X137&lt;30,1,0))</formula>
    </cfRule>
    <cfRule type="expression" priority="4486" dxfId="0">
      <formula>AND(IF($Q137=3,1,IF($Q137=4,1,0)),IF($F137&lt;=85,1,0))</formula>
    </cfRule>
  </conditionalFormatting>
  <conditionalFormatting sqref="AV138">
    <cfRule type="expression" priority="4481" dxfId="19">
      <formula>AV138="X"</formula>
    </cfRule>
    <cfRule type="expression" priority="4482" dxfId="18">
      <formula>AV138="후보"</formula>
    </cfRule>
  </conditionalFormatting>
  <conditionalFormatting sqref="AC138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3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38">
    <cfRule type="expression" priority="4473" dxfId="3">
      <formula>AND(IF(OR($Q138=1,$Q138=2),1,0),IF($X138&lt;=20,1,0))</formula>
    </cfRule>
    <cfRule type="expression" priority="4474" dxfId="2">
      <formula>AND(IF($Q138=2,1,0),IF($X138&lt;30,1,0))</formula>
    </cfRule>
    <cfRule type="expression" priority="4475" dxfId="1">
      <formula>AND(IF($Q138=3,1,0),IF($X138&lt;30,1,0))</formula>
    </cfRule>
    <cfRule type="expression" priority="4476" dxfId="0">
      <formula>AND(IF($Q138=3,1,IF($Q138=4,1,0)),IF($F138&lt;=85,1,0))</formula>
    </cfRule>
  </conditionalFormatting>
  <conditionalFormatting sqref="X138">
    <cfRule type="expression" priority="4469" dxfId="3">
      <formula>AND(IF(OR($Q138=1,$Q138=2),1,0),IF($X138&lt;=20,1,0))</formula>
    </cfRule>
    <cfRule type="expression" priority="4470" dxfId="2">
      <formula>AND(IF($Q138=2,1,0),IF($X138&lt;30,1,0))</formula>
    </cfRule>
    <cfRule type="expression" priority="4471" dxfId="1">
      <formula>AND(IF($Q138=3,1,0),IF($X138&lt;30,1,0))</formula>
    </cfRule>
    <cfRule type="expression" priority="4472" dxfId="0">
      <formula>AND(IF($Q138=3,1,IF($Q138=4,1,0)),IF($F138&lt;=85,1,0))</formula>
    </cfRule>
  </conditionalFormatting>
  <conditionalFormatting sqref="AI138">
    <cfRule type="expression" priority="4465" dxfId="3">
      <formula>AND(IF(OR($Q138=1,$Q138=2),1,0),IF($X138&lt;=20,1,0))</formula>
    </cfRule>
    <cfRule type="expression" priority="4466" dxfId="2">
      <formula>AND(IF($Q138=2,1,0),IF($X138&lt;30,1,0))</formula>
    </cfRule>
    <cfRule type="expression" priority="4467" dxfId="1">
      <formula>AND(IF($Q138=3,1,0),IF($X138&lt;30,1,0))</formula>
    </cfRule>
    <cfRule type="expression" priority="4468" dxfId="0">
      <formula>AND(IF($Q138=3,1,IF($Q138=4,1,0)),IF($F138&lt;=85,1,0))</formula>
    </cfRule>
  </conditionalFormatting>
  <conditionalFormatting sqref="AV139">
    <cfRule type="expression" priority="4463" dxfId="19">
      <formula>AV139="X"</formula>
    </cfRule>
    <cfRule type="expression" priority="4464" dxfId="18">
      <formula>AV139="후보"</formula>
    </cfRule>
  </conditionalFormatting>
  <conditionalFormatting sqref="AC139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3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39">
    <cfRule type="expression" priority="4455" dxfId="3">
      <formula>AND(IF(OR($Q139=1,$Q139=2),1,0),IF($X139&lt;=20,1,0))</formula>
    </cfRule>
    <cfRule type="expression" priority="4456" dxfId="2">
      <formula>AND(IF($Q139=2,1,0),IF($X139&lt;30,1,0))</formula>
    </cfRule>
    <cfRule type="expression" priority="4457" dxfId="1">
      <formula>AND(IF($Q139=3,1,0),IF($X139&lt;30,1,0))</formula>
    </cfRule>
    <cfRule type="expression" priority="4458" dxfId="0">
      <formula>AND(IF($Q139=3,1,IF($Q139=4,1,0)),IF($F139&lt;=85,1,0))</formula>
    </cfRule>
  </conditionalFormatting>
  <conditionalFormatting sqref="X139">
    <cfRule type="expression" priority="4451" dxfId="3">
      <formula>AND(IF(OR($Q139=1,$Q139=2),1,0),IF($X139&lt;=20,1,0))</formula>
    </cfRule>
    <cfRule type="expression" priority="4452" dxfId="2">
      <formula>AND(IF($Q139=2,1,0),IF($X139&lt;30,1,0))</formula>
    </cfRule>
    <cfRule type="expression" priority="4453" dxfId="1">
      <formula>AND(IF($Q139=3,1,0),IF($X139&lt;30,1,0))</formula>
    </cfRule>
    <cfRule type="expression" priority="4454" dxfId="0">
      <formula>AND(IF($Q139=3,1,IF($Q139=4,1,0)),IF($F139&lt;=85,1,0))</formula>
    </cfRule>
  </conditionalFormatting>
  <conditionalFormatting sqref="AI139">
    <cfRule type="expression" priority="4447" dxfId="3">
      <formula>AND(IF(OR($Q139=1,$Q139=2),1,0),IF($X139&lt;=20,1,0))</formula>
    </cfRule>
    <cfRule type="expression" priority="4448" dxfId="2">
      <formula>AND(IF($Q139=2,1,0),IF($X139&lt;30,1,0))</formula>
    </cfRule>
    <cfRule type="expression" priority="4449" dxfId="1">
      <formula>AND(IF($Q139=3,1,0),IF($X139&lt;30,1,0))</formula>
    </cfRule>
    <cfRule type="expression" priority="4450" dxfId="0">
      <formula>AND(IF($Q139=3,1,IF($Q139=4,1,0)),IF($F139&lt;=85,1,0))</formula>
    </cfRule>
  </conditionalFormatting>
  <conditionalFormatting sqref="AV140">
    <cfRule type="expression" priority="4445" dxfId="19">
      <formula>AV140="X"</formula>
    </cfRule>
    <cfRule type="expression" priority="4446" dxfId="18">
      <formula>AV140="후보"</formula>
    </cfRule>
  </conditionalFormatting>
  <conditionalFormatting sqref="AC140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4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40">
    <cfRule type="expression" priority="4437" dxfId="3">
      <formula>AND(IF(OR($Q140=1,$Q140=2),1,0),IF($X140&lt;=20,1,0))</formula>
    </cfRule>
    <cfRule type="expression" priority="4438" dxfId="2">
      <formula>AND(IF($Q140=2,1,0),IF($X140&lt;30,1,0))</formula>
    </cfRule>
    <cfRule type="expression" priority="4439" dxfId="1">
      <formula>AND(IF($Q140=3,1,0),IF($X140&lt;30,1,0))</formula>
    </cfRule>
    <cfRule type="expression" priority="4440" dxfId="0">
      <formula>AND(IF($Q140=3,1,IF($Q140=4,1,0)),IF($F140&lt;=85,1,0))</formula>
    </cfRule>
  </conditionalFormatting>
  <conditionalFormatting sqref="X140">
    <cfRule type="expression" priority="4433" dxfId="3">
      <formula>AND(IF(OR($Q140=1,$Q140=2),1,0),IF($X140&lt;=20,1,0))</formula>
    </cfRule>
    <cfRule type="expression" priority="4434" dxfId="2">
      <formula>AND(IF($Q140=2,1,0),IF($X140&lt;30,1,0))</formula>
    </cfRule>
    <cfRule type="expression" priority="4435" dxfId="1">
      <formula>AND(IF($Q140=3,1,0),IF($X140&lt;30,1,0))</formula>
    </cfRule>
    <cfRule type="expression" priority="4436" dxfId="0">
      <formula>AND(IF($Q140=3,1,IF($Q140=4,1,0)),IF($F140&lt;=85,1,0))</formula>
    </cfRule>
  </conditionalFormatting>
  <conditionalFormatting sqref="AI140">
    <cfRule type="expression" priority="4429" dxfId="3">
      <formula>AND(IF(OR($Q140=1,$Q140=2),1,0),IF($X140&lt;=20,1,0))</formula>
    </cfRule>
    <cfRule type="expression" priority="4430" dxfId="2">
      <formula>AND(IF($Q140=2,1,0),IF($X140&lt;30,1,0))</formula>
    </cfRule>
    <cfRule type="expression" priority="4431" dxfId="1">
      <formula>AND(IF($Q140=3,1,0),IF($X140&lt;30,1,0))</formula>
    </cfRule>
    <cfRule type="expression" priority="4432" dxfId="0">
      <formula>AND(IF($Q140=3,1,IF($Q140=4,1,0)),IF($F140&lt;=85,1,0))</formula>
    </cfRule>
  </conditionalFormatting>
  <conditionalFormatting sqref="AV141">
    <cfRule type="expression" priority="4427" dxfId="19">
      <formula>AV141="X"</formula>
    </cfRule>
    <cfRule type="expression" priority="4428" dxfId="18">
      <formula>AV141="후보"</formula>
    </cfRule>
  </conditionalFormatting>
  <conditionalFormatting sqref="AC141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4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41">
    <cfRule type="expression" priority="4419" dxfId="3">
      <formula>AND(IF(OR($Q141=1,$Q141=2),1,0),IF($X141&lt;=20,1,0))</formula>
    </cfRule>
    <cfRule type="expression" priority="4420" dxfId="2">
      <formula>AND(IF($Q141=2,1,0),IF($X141&lt;30,1,0))</formula>
    </cfRule>
    <cfRule type="expression" priority="4421" dxfId="1">
      <formula>AND(IF($Q141=3,1,0),IF($X141&lt;30,1,0))</formula>
    </cfRule>
    <cfRule type="expression" priority="4422" dxfId="0">
      <formula>AND(IF($Q141=3,1,IF($Q141=4,1,0)),IF($F141&lt;=85,1,0))</formula>
    </cfRule>
  </conditionalFormatting>
  <conditionalFormatting sqref="X141">
    <cfRule type="expression" priority="4415" dxfId="3">
      <formula>AND(IF(OR($Q141=1,$Q141=2),1,0),IF($X141&lt;=20,1,0))</formula>
    </cfRule>
    <cfRule type="expression" priority="4416" dxfId="2">
      <formula>AND(IF($Q141=2,1,0),IF($X141&lt;30,1,0))</formula>
    </cfRule>
    <cfRule type="expression" priority="4417" dxfId="1">
      <formula>AND(IF($Q141=3,1,0),IF($X141&lt;30,1,0))</formula>
    </cfRule>
    <cfRule type="expression" priority="4418" dxfId="0">
      <formula>AND(IF($Q141=3,1,IF($Q141=4,1,0)),IF($F141&lt;=85,1,0))</formula>
    </cfRule>
  </conditionalFormatting>
  <conditionalFormatting sqref="AI141">
    <cfRule type="expression" priority="4411" dxfId="3">
      <formula>AND(IF(OR($Q141=1,$Q141=2),1,0),IF($X141&lt;=20,1,0))</formula>
    </cfRule>
    <cfRule type="expression" priority="4412" dxfId="2">
      <formula>AND(IF($Q141=2,1,0),IF($X141&lt;30,1,0))</formula>
    </cfRule>
    <cfRule type="expression" priority="4413" dxfId="1">
      <formula>AND(IF($Q141=3,1,0),IF($X141&lt;30,1,0))</formula>
    </cfRule>
    <cfRule type="expression" priority="4414" dxfId="0">
      <formula>AND(IF($Q141=3,1,IF($Q141=4,1,0)),IF($F141&lt;=85,1,0))</formula>
    </cfRule>
  </conditionalFormatting>
  <conditionalFormatting sqref="AV142">
    <cfRule type="expression" priority="4409" dxfId="19">
      <formula>AV142="X"</formula>
    </cfRule>
    <cfRule type="expression" priority="4410" dxfId="18">
      <formula>AV142="후보"</formula>
    </cfRule>
  </conditionalFormatting>
  <conditionalFormatting sqref="AC142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4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42">
    <cfRule type="expression" priority="4401" dxfId="3">
      <formula>AND(IF(OR($Q142=1,$Q142=2),1,0),IF($X142&lt;=20,1,0))</formula>
    </cfRule>
    <cfRule type="expression" priority="4402" dxfId="2">
      <formula>AND(IF($Q142=2,1,0),IF($X142&lt;30,1,0))</formula>
    </cfRule>
    <cfRule type="expression" priority="4403" dxfId="1">
      <formula>AND(IF($Q142=3,1,0),IF($X142&lt;30,1,0))</formula>
    </cfRule>
    <cfRule type="expression" priority="4404" dxfId="0">
      <formula>AND(IF($Q142=3,1,IF($Q142=4,1,0)),IF($F142&lt;=85,1,0))</formula>
    </cfRule>
  </conditionalFormatting>
  <conditionalFormatting sqref="X142">
    <cfRule type="expression" priority="4397" dxfId="3">
      <formula>AND(IF(OR($Q142=1,$Q142=2),1,0),IF($X142&lt;=20,1,0))</formula>
    </cfRule>
    <cfRule type="expression" priority="4398" dxfId="2">
      <formula>AND(IF($Q142=2,1,0),IF($X142&lt;30,1,0))</formula>
    </cfRule>
    <cfRule type="expression" priority="4399" dxfId="1">
      <formula>AND(IF($Q142=3,1,0),IF($X142&lt;30,1,0))</formula>
    </cfRule>
    <cfRule type="expression" priority="4400" dxfId="0">
      <formula>AND(IF($Q142=3,1,IF($Q142=4,1,0)),IF($F142&lt;=85,1,0))</formula>
    </cfRule>
  </conditionalFormatting>
  <conditionalFormatting sqref="AI142">
    <cfRule type="expression" priority="4393" dxfId="3">
      <formula>AND(IF(OR($Q142=1,$Q142=2),1,0),IF($X142&lt;=20,1,0))</formula>
    </cfRule>
    <cfRule type="expression" priority="4394" dxfId="2">
      <formula>AND(IF($Q142=2,1,0),IF($X142&lt;30,1,0))</formula>
    </cfRule>
    <cfRule type="expression" priority="4395" dxfId="1">
      <formula>AND(IF($Q142=3,1,0),IF($X142&lt;30,1,0))</formula>
    </cfRule>
    <cfRule type="expression" priority="4396" dxfId="0">
      <formula>AND(IF($Q142=3,1,IF($Q142=4,1,0)),IF($F142&lt;=85,1,0))</formula>
    </cfRule>
  </conditionalFormatting>
  <conditionalFormatting sqref="AV143">
    <cfRule type="expression" priority="4391" dxfId="19">
      <formula>AV143="X"</formula>
    </cfRule>
    <cfRule type="expression" priority="4392" dxfId="18">
      <formula>AV143="후보"</formula>
    </cfRule>
  </conditionalFormatting>
  <conditionalFormatting sqref="AC143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4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43">
    <cfRule type="expression" priority="4383" dxfId="3">
      <formula>AND(IF(OR($Q143=1,$Q143=2),1,0),IF($X143&lt;=20,1,0))</formula>
    </cfRule>
    <cfRule type="expression" priority="4384" dxfId="2">
      <formula>AND(IF($Q143=2,1,0),IF($X143&lt;30,1,0))</formula>
    </cfRule>
    <cfRule type="expression" priority="4385" dxfId="1">
      <formula>AND(IF($Q143=3,1,0),IF($X143&lt;30,1,0))</formula>
    </cfRule>
    <cfRule type="expression" priority="4386" dxfId="0">
      <formula>AND(IF($Q143=3,1,IF($Q143=4,1,0)),IF($F143&lt;=85,1,0))</formula>
    </cfRule>
  </conditionalFormatting>
  <conditionalFormatting sqref="X143">
    <cfRule type="expression" priority="4379" dxfId="3">
      <formula>AND(IF(OR($Q143=1,$Q143=2),1,0),IF($X143&lt;=20,1,0))</formula>
    </cfRule>
    <cfRule type="expression" priority="4380" dxfId="2">
      <formula>AND(IF($Q143=2,1,0),IF($X143&lt;30,1,0))</formula>
    </cfRule>
    <cfRule type="expression" priority="4381" dxfId="1">
      <formula>AND(IF($Q143=3,1,0),IF($X143&lt;30,1,0))</formula>
    </cfRule>
    <cfRule type="expression" priority="4382" dxfId="0">
      <formula>AND(IF($Q143=3,1,IF($Q143=4,1,0)),IF($F143&lt;=85,1,0))</formula>
    </cfRule>
  </conditionalFormatting>
  <conditionalFormatting sqref="AI143">
    <cfRule type="expression" priority="4375" dxfId="3">
      <formula>AND(IF(OR($Q143=1,$Q143=2),1,0),IF($X143&lt;=20,1,0))</formula>
    </cfRule>
    <cfRule type="expression" priority="4376" dxfId="2">
      <formula>AND(IF($Q143=2,1,0),IF($X143&lt;30,1,0))</formula>
    </cfRule>
    <cfRule type="expression" priority="4377" dxfId="1">
      <formula>AND(IF($Q143=3,1,0),IF($X143&lt;30,1,0))</formula>
    </cfRule>
    <cfRule type="expression" priority="4378" dxfId="0">
      <formula>AND(IF($Q143=3,1,IF($Q143=4,1,0)),IF($F143&lt;=85,1,0))</formula>
    </cfRule>
  </conditionalFormatting>
  <conditionalFormatting sqref="AV144">
    <cfRule type="expression" priority="4373" dxfId="19">
      <formula>AV144="X"</formula>
    </cfRule>
    <cfRule type="expression" priority="4374" dxfId="18">
      <formula>AV144="후보"</formula>
    </cfRule>
  </conditionalFormatting>
  <conditionalFormatting sqref="AC144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4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44">
    <cfRule type="expression" priority="4365" dxfId="3">
      <formula>AND(IF(OR($Q144=1,$Q144=2),1,0),IF($X144&lt;=20,1,0))</formula>
    </cfRule>
    <cfRule type="expression" priority="4366" dxfId="2">
      <formula>AND(IF($Q144=2,1,0),IF($X144&lt;30,1,0))</formula>
    </cfRule>
    <cfRule type="expression" priority="4367" dxfId="1">
      <formula>AND(IF($Q144=3,1,0),IF($X144&lt;30,1,0))</formula>
    </cfRule>
    <cfRule type="expression" priority="4368" dxfId="0">
      <formula>AND(IF($Q144=3,1,IF($Q144=4,1,0)),IF($F144&lt;=85,1,0))</formula>
    </cfRule>
  </conditionalFormatting>
  <conditionalFormatting sqref="X144">
    <cfRule type="expression" priority="4361" dxfId="3">
      <formula>AND(IF(OR($Q144=1,$Q144=2),1,0),IF($X144&lt;=20,1,0))</formula>
    </cfRule>
    <cfRule type="expression" priority="4362" dxfId="2">
      <formula>AND(IF($Q144=2,1,0),IF($X144&lt;30,1,0))</formula>
    </cfRule>
    <cfRule type="expression" priority="4363" dxfId="1">
      <formula>AND(IF($Q144=3,1,0),IF($X144&lt;30,1,0))</formula>
    </cfRule>
    <cfRule type="expression" priority="4364" dxfId="0">
      <formula>AND(IF($Q144=3,1,IF($Q144=4,1,0)),IF($F144&lt;=85,1,0))</formula>
    </cfRule>
  </conditionalFormatting>
  <conditionalFormatting sqref="AI144">
    <cfRule type="expression" priority="4357" dxfId="3">
      <formula>AND(IF(OR($Q144=1,$Q144=2),1,0),IF($X144&lt;=20,1,0))</formula>
    </cfRule>
    <cfRule type="expression" priority="4358" dxfId="2">
      <formula>AND(IF($Q144=2,1,0),IF($X144&lt;30,1,0))</formula>
    </cfRule>
    <cfRule type="expression" priority="4359" dxfId="1">
      <formula>AND(IF($Q144=3,1,0),IF($X144&lt;30,1,0))</formula>
    </cfRule>
    <cfRule type="expression" priority="4360" dxfId="0">
      <formula>AND(IF($Q144=3,1,IF($Q144=4,1,0)),IF($F144&lt;=85,1,0))</formula>
    </cfRule>
  </conditionalFormatting>
  <conditionalFormatting sqref="AV145">
    <cfRule type="expression" priority="4355" dxfId="19">
      <formula>AV145="X"</formula>
    </cfRule>
    <cfRule type="expression" priority="4356" dxfId="18">
      <formula>AV145="후보"</formula>
    </cfRule>
  </conditionalFormatting>
  <conditionalFormatting sqref="AC145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4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45">
    <cfRule type="expression" priority="4347" dxfId="3">
      <formula>AND(IF(OR($Q145=1,$Q145=2),1,0),IF($X145&lt;=20,1,0))</formula>
    </cfRule>
    <cfRule type="expression" priority="4348" dxfId="2">
      <formula>AND(IF($Q145=2,1,0),IF($X145&lt;30,1,0))</formula>
    </cfRule>
    <cfRule type="expression" priority="4349" dxfId="1">
      <formula>AND(IF($Q145=3,1,0),IF($X145&lt;30,1,0))</formula>
    </cfRule>
    <cfRule type="expression" priority="4350" dxfId="0">
      <formula>AND(IF($Q145=3,1,IF($Q145=4,1,0)),IF($F145&lt;=85,1,0))</formula>
    </cfRule>
  </conditionalFormatting>
  <conditionalFormatting sqref="X145">
    <cfRule type="expression" priority="4343" dxfId="3">
      <formula>AND(IF(OR($Q145=1,$Q145=2),1,0),IF($X145&lt;=20,1,0))</formula>
    </cfRule>
    <cfRule type="expression" priority="4344" dxfId="2">
      <formula>AND(IF($Q145=2,1,0),IF($X145&lt;30,1,0))</formula>
    </cfRule>
    <cfRule type="expression" priority="4345" dxfId="1">
      <formula>AND(IF($Q145=3,1,0),IF($X145&lt;30,1,0))</formula>
    </cfRule>
    <cfRule type="expression" priority="4346" dxfId="0">
      <formula>AND(IF($Q145=3,1,IF($Q145=4,1,0)),IF($F145&lt;=85,1,0))</formula>
    </cfRule>
  </conditionalFormatting>
  <conditionalFormatting sqref="AI145">
    <cfRule type="expression" priority="4339" dxfId="3">
      <formula>AND(IF(OR($Q145=1,$Q145=2),1,0),IF($X145&lt;=20,1,0))</formula>
    </cfRule>
    <cfRule type="expression" priority="4340" dxfId="2">
      <formula>AND(IF($Q145=2,1,0),IF($X145&lt;30,1,0))</formula>
    </cfRule>
    <cfRule type="expression" priority="4341" dxfId="1">
      <formula>AND(IF($Q145=3,1,0),IF($X145&lt;30,1,0))</formula>
    </cfRule>
    <cfRule type="expression" priority="4342" dxfId="0">
      <formula>AND(IF($Q145=3,1,IF($Q145=4,1,0)),IF($F145&lt;=85,1,0))</formula>
    </cfRule>
  </conditionalFormatting>
  <conditionalFormatting sqref="AV146">
    <cfRule type="expression" priority="4337" dxfId="19">
      <formula>AV146="X"</formula>
    </cfRule>
    <cfRule type="expression" priority="4338" dxfId="18">
      <formula>AV146="후보"</formula>
    </cfRule>
  </conditionalFormatting>
  <conditionalFormatting sqref="AC146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4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46">
    <cfRule type="expression" priority="4329" dxfId="3">
      <formula>AND(IF(OR($Q146=1,$Q146=2),1,0),IF($X146&lt;=20,1,0))</formula>
    </cfRule>
    <cfRule type="expression" priority="4330" dxfId="2">
      <formula>AND(IF($Q146=2,1,0),IF($X146&lt;30,1,0))</formula>
    </cfRule>
    <cfRule type="expression" priority="4331" dxfId="1">
      <formula>AND(IF($Q146=3,1,0),IF($X146&lt;30,1,0))</formula>
    </cfRule>
    <cfRule type="expression" priority="4332" dxfId="0">
      <formula>AND(IF($Q146=3,1,IF($Q146=4,1,0)),IF($F146&lt;=85,1,0))</formula>
    </cfRule>
  </conditionalFormatting>
  <conditionalFormatting sqref="X146">
    <cfRule type="expression" priority="4325" dxfId="3">
      <formula>AND(IF(OR($Q146=1,$Q146=2),1,0),IF($X146&lt;=20,1,0))</formula>
    </cfRule>
    <cfRule type="expression" priority="4326" dxfId="2">
      <formula>AND(IF($Q146=2,1,0),IF($X146&lt;30,1,0))</formula>
    </cfRule>
    <cfRule type="expression" priority="4327" dxfId="1">
      <formula>AND(IF($Q146=3,1,0),IF($X146&lt;30,1,0))</formula>
    </cfRule>
    <cfRule type="expression" priority="4328" dxfId="0">
      <formula>AND(IF($Q146=3,1,IF($Q146=4,1,0)),IF($F146&lt;=85,1,0))</formula>
    </cfRule>
  </conditionalFormatting>
  <conditionalFormatting sqref="AI146">
    <cfRule type="expression" priority="4321" dxfId="3">
      <formula>AND(IF(OR($Q146=1,$Q146=2),1,0),IF($X146&lt;=20,1,0))</formula>
    </cfRule>
    <cfRule type="expression" priority="4322" dxfId="2">
      <formula>AND(IF($Q146=2,1,0),IF($X146&lt;30,1,0))</formula>
    </cfRule>
    <cfRule type="expression" priority="4323" dxfId="1">
      <formula>AND(IF($Q146=3,1,0),IF($X146&lt;30,1,0))</formula>
    </cfRule>
    <cfRule type="expression" priority="4324" dxfId="0">
      <formula>AND(IF($Q146=3,1,IF($Q146=4,1,0)),IF($F146&lt;=85,1,0))</formula>
    </cfRule>
  </conditionalFormatting>
  <conditionalFormatting sqref="AV147">
    <cfRule type="expression" priority="4319" dxfId="19">
      <formula>AV147="X"</formula>
    </cfRule>
    <cfRule type="expression" priority="4320" dxfId="18">
      <formula>AV147="후보"</formula>
    </cfRule>
  </conditionalFormatting>
  <conditionalFormatting sqref="AC147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4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47">
    <cfRule type="expression" priority="4311" dxfId="3">
      <formula>AND(IF(OR($Q147=1,$Q147=2),1,0),IF($X147&lt;=20,1,0))</formula>
    </cfRule>
    <cfRule type="expression" priority="4312" dxfId="2">
      <formula>AND(IF($Q147=2,1,0),IF($X147&lt;30,1,0))</formula>
    </cfRule>
    <cfRule type="expression" priority="4313" dxfId="1">
      <formula>AND(IF($Q147=3,1,0),IF($X147&lt;30,1,0))</formula>
    </cfRule>
    <cfRule type="expression" priority="4314" dxfId="0">
      <formula>AND(IF($Q147=3,1,IF($Q147=4,1,0)),IF($F147&lt;=85,1,0))</formula>
    </cfRule>
  </conditionalFormatting>
  <conditionalFormatting sqref="X147">
    <cfRule type="expression" priority="4307" dxfId="3">
      <formula>AND(IF(OR($Q147=1,$Q147=2),1,0),IF($X147&lt;=20,1,0))</formula>
    </cfRule>
    <cfRule type="expression" priority="4308" dxfId="2">
      <formula>AND(IF($Q147=2,1,0),IF($X147&lt;30,1,0))</formula>
    </cfRule>
    <cfRule type="expression" priority="4309" dxfId="1">
      <formula>AND(IF($Q147=3,1,0),IF($X147&lt;30,1,0))</formula>
    </cfRule>
    <cfRule type="expression" priority="4310" dxfId="0">
      <formula>AND(IF($Q147=3,1,IF($Q147=4,1,0)),IF($F147&lt;=85,1,0))</formula>
    </cfRule>
  </conditionalFormatting>
  <conditionalFormatting sqref="AI147">
    <cfRule type="expression" priority="4303" dxfId="3">
      <formula>AND(IF(OR($Q147=1,$Q147=2),1,0),IF($X147&lt;=20,1,0))</formula>
    </cfRule>
    <cfRule type="expression" priority="4304" dxfId="2">
      <formula>AND(IF($Q147=2,1,0),IF($X147&lt;30,1,0))</formula>
    </cfRule>
    <cfRule type="expression" priority="4305" dxfId="1">
      <formula>AND(IF($Q147=3,1,0),IF($X147&lt;30,1,0))</formula>
    </cfRule>
    <cfRule type="expression" priority="4306" dxfId="0">
      <formula>AND(IF($Q147=3,1,IF($Q147=4,1,0)),IF($F147&lt;=85,1,0))</formula>
    </cfRule>
  </conditionalFormatting>
  <conditionalFormatting sqref="AV148">
    <cfRule type="expression" priority="4301" dxfId="19">
      <formula>AV148="X"</formula>
    </cfRule>
    <cfRule type="expression" priority="4302" dxfId="18">
      <formula>AV148="후보"</formula>
    </cfRule>
  </conditionalFormatting>
  <conditionalFormatting sqref="AC148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4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48">
    <cfRule type="expression" priority="4293" dxfId="3">
      <formula>AND(IF(OR($Q148=1,$Q148=2),1,0),IF($X148&lt;=20,1,0))</formula>
    </cfRule>
    <cfRule type="expression" priority="4294" dxfId="2">
      <formula>AND(IF($Q148=2,1,0),IF($X148&lt;30,1,0))</formula>
    </cfRule>
    <cfRule type="expression" priority="4295" dxfId="1">
      <formula>AND(IF($Q148=3,1,0),IF($X148&lt;30,1,0))</formula>
    </cfRule>
    <cfRule type="expression" priority="4296" dxfId="0">
      <formula>AND(IF($Q148=3,1,IF($Q148=4,1,0)),IF($F148&lt;=85,1,0))</formula>
    </cfRule>
  </conditionalFormatting>
  <conditionalFormatting sqref="X148">
    <cfRule type="expression" priority="4289" dxfId="3">
      <formula>AND(IF(OR($Q148=1,$Q148=2),1,0),IF($X148&lt;=20,1,0))</formula>
    </cfRule>
    <cfRule type="expression" priority="4290" dxfId="2">
      <formula>AND(IF($Q148=2,1,0),IF($X148&lt;30,1,0))</formula>
    </cfRule>
    <cfRule type="expression" priority="4291" dxfId="1">
      <formula>AND(IF($Q148=3,1,0),IF($X148&lt;30,1,0))</formula>
    </cfRule>
    <cfRule type="expression" priority="4292" dxfId="0">
      <formula>AND(IF($Q148=3,1,IF($Q148=4,1,0)),IF($F148&lt;=85,1,0))</formula>
    </cfRule>
  </conditionalFormatting>
  <conditionalFormatting sqref="AI148">
    <cfRule type="expression" priority="4285" dxfId="3">
      <formula>AND(IF(OR($Q148=1,$Q148=2),1,0),IF($X148&lt;=20,1,0))</formula>
    </cfRule>
    <cfRule type="expression" priority="4286" dxfId="2">
      <formula>AND(IF($Q148=2,1,0),IF($X148&lt;30,1,0))</formula>
    </cfRule>
    <cfRule type="expression" priority="4287" dxfId="1">
      <formula>AND(IF($Q148=3,1,0),IF($X148&lt;30,1,0))</formula>
    </cfRule>
    <cfRule type="expression" priority="4288" dxfId="0">
      <formula>AND(IF($Q148=3,1,IF($Q148=4,1,0)),IF($F148&lt;=85,1,0))</formula>
    </cfRule>
  </conditionalFormatting>
  <conditionalFormatting sqref="AV149">
    <cfRule type="expression" priority="4283" dxfId="19">
      <formula>AV149="X"</formula>
    </cfRule>
    <cfRule type="expression" priority="4284" dxfId="18">
      <formula>AV149="후보"</formula>
    </cfRule>
  </conditionalFormatting>
  <conditionalFormatting sqref="AC149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4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49">
    <cfRule type="expression" priority="4275" dxfId="3">
      <formula>AND(IF(OR($Q149=1,$Q149=2),1,0),IF($X149&lt;=20,1,0))</formula>
    </cfRule>
    <cfRule type="expression" priority="4276" dxfId="2">
      <formula>AND(IF($Q149=2,1,0),IF($X149&lt;30,1,0))</formula>
    </cfRule>
    <cfRule type="expression" priority="4277" dxfId="1">
      <formula>AND(IF($Q149=3,1,0),IF($X149&lt;30,1,0))</formula>
    </cfRule>
    <cfRule type="expression" priority="4278" dxfId="0">
      <formula>AND(IF($Q149=3,1,IF($Q149=4,1,0)),IF($F149&lt;=85,1,0))</formula>
    </cfRule>
  </conditionalFormatting>
  <conditionalFormatting sqref="X149">
    <cfRule type="expression" priority="4271" dxfId="3">
      <formula>AND(IF(OR($Q149=1,$Q149=2),1,0),IF($X149&lt;=20,1,0))</formula>
    </cfRule>
    <cfRule type="expression" priority="4272" dxfId="2">
      <formula>AND(IF($Q149=2,1,0),IF($X149&lt;30,1,0))</formula>
    </cfRule>
    <cfRule type="expression" priority="4273" dxfId="1">
      <formula>AND(IF($Q149=3,1,0),IF($X149&lt;30,1,0))</formula>
    </cfRule>
    <cfRule type="expression" priority="4274" dxfId="0">
      <formula>AND(IF($Q149=3,1,IF($Q149=4,1,0)),IF($F149&lt;=85,1,0))</formula>
    </cfRule>
  </conditionalFormatting>
  <conditionalFormatting sqref="AI149">
    <cfRule type="expression" priority="4267" dxfId="3">
      <formula>AND(IF(OR($Q149=1,$Q149=2),1,0),IF($X149&lt;=20,1,0))</formula>
    </cfRule>
    <cfRule type="expression" priority="4268" dxfId="2">
      <formula>AND(IF($Q149=2,1,0),IF($X149&lt;30,1,0))</formula>
    </cfRule>
    <cfRule type="expression" priority="4269" dxfId="1">
      <formula>AND(IF($Q149=3,1,0),IF($X149&lt;30,1,0))</formula>
    </cfRule>
    <cfRule type="expression" priority="4270" dxfId="0">
      <formula>AND(IF($Q149=3,1,IF($Q149=4,1,0)),IF($F149&lt;=85,1,0))</formula>
    </cfRule>
  </conditionalFormatting>
  <conditionalFormatting sqref="AV150">
    <cfRule type="expression" priority="4265" dxfId="19">
      <formula>AV150="X"</formula>
    </cfRule>
    <cfRule type="expression" priority="4266" dxfId="18">
      <formula>AV150="후보"</formula>
    </cfRule>
  </conditionalFormatting>
  <conditionalFormatting sqref="AC150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50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50">
    <cfRule type="expression" priority="4257" dxfId="3">
      <formula>AND(IF(OR($Q150=1,$Q150=2),1,0),IF($X150&lt;=20,1,0))</formula>
    </cfRule>
    <cfRule type="expression" priority="4258" dxfId="2">
      <formula>AND(IF($Q150=2,1,0),IF($X150&lt;30,1,0))</formula>
    </cfRule>
    <cfRule type="expression" priority="4259" dxfId="1">
      <formula>AND(IF($Q150=3,1,0),IF($X150&lt;30,1,0))</formula>
    </cfRule>
    <cfRule type="expression" priority="4260" dxfId="0">
      <formula>AND(IF($Q150=3,1,IF($Q150=4,1,0)),IF($F150&lt;=85,1,0))</formula>
    </cfRule>
  </conditionalFormatting>
  <conditionalFormatting sqref="X150">
    <cfRule type="expression" priority="4253" dxfId="3">
      <formula>AND(IF(OR($Q150=1,$Q150=2),1,0),IF($X150&lt;=20,1,0))</formula>
    </cfRule>
    <cfRule type="expression" priority="4254" dxfId="2">
      <formula>AND(IF($Q150=2,1,0),IF($X150&lt;30,1,0))</formula>
    </cfRule>
    <cfRule type="expression" priority="4255" dxfId="1">
      <formula>AND(IF($Q150=3,1,0),IF($X150&lt;30,1,0))</formula>
    </cfRule>
    <cfRule type="expression" priority="4256" dxfId="0">
      <formula>AND(IF($Q150=3,1,IF($Q150=4,1,0)),IF($F150&lt;=85,1,0))</formula>
    </cfRule>
  </conditionalFormatting>
  <conditionalFormatting sqref="AI150">
    <cfRule type="expression" priority="4249" dxfId="3">
      <formula>AND(IF(OR($Q150=1,$Q150=2),1,0),IF($X150&lt;=20,1,0))</formula>
    </cfRule>
    <cfRule type="expression" priority="4250" dxfId="2">
      <formula>AND(IF($Q150=2,1,0),IF($X150&lt;30,1,0))</formula>
    </cfRule>
    <cfRule type="expression" priority="4251" dxfId="1">
      <formula>AND(IF($Q150=3,1,0),IF($X150&lt;30,1,0))</formula>
    </cfRule>
    <cfRule type="expression" priority="4252" dxfId="0">
      <formula>AND(IF($Q150=3,1,IF($Q150=4,1,0)),IF($F150&lt;=85,1,0))</formula>
    </cfRule>
  </conditionalFormatting>
  <conditionalFormatting sqref="AV151">
    <cfRule type="expression" priority="4247" dxfId="19">
      <formula>AV151="X"</formula>
    </cfRule>
    <cfRule type="expression" priority="4248" dxfId="18">
      <formula>AV151="후보"</formula>
    </cfRule>
  </conditionalFormatting>
  <conditionalFormatting sqref="AC151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51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51">
    <cfRule type="expression" priority="4239" dxfId="3">
      <formula>AND(IF(OR($Q151=1,$Q151=2),1,0),IF($X151&lt;=20,1,0))</formula>
    </cfRule>
    <cfRule type="expression" priority="4240" dxfId="2">
      <formula>AND(IF($Q151=2,1,0),IF($X151&lt;30,1,0))</formula>
    </cfRule>
    <cfRule type="expression" priority="4241" dxfId="1">
      <formula>AND(IF($Q151=3,1,0),IF($X151&lt;30,1,0))</formula>
    </cfRule>
    <cfRule type="expression" priority="4242" dxfId="0">
      <formula>AND(IF($Q151=3,1,IF($Q151=4,1,0)),IF($F151&lt;=85,1,0))</formula>
    </cfRule>
  </conditionalFormatting>
  <conditionalFormatting sqref="X151">
    <cfRule type="expression" priority="4235" dxfId="3">
      <formula>AND(IF(OR($Q151=1,$Q151=2),1,0),IF($X151&lt;=20,1,0))</formula>
    </cfRule>
    <cfRule type="expression" priority="4236" dxfId="2">
      <formula>AND(IF($Q151=2,1,0),IF($X151&lt;30,1,0))</formula>
    </cfRule>
    <cfRule type="expression" priority="4237" dxfId="1">
      <formula>AND(IF($Q151=3,1,0),IF($X151&lt;30,1,0))</formula>
    </cfRule>
    <cfRule type="expression" priority="4238" dxfId="0">
      <formula>AND(IF($Q151=3,1,IF($Q151=4,1,0)),IF($F151&lt;=85,1,0))</formula>
    </cfRule>
  </conditionalFormatting>
  <conditionalFormatting sqref="AI151">
    <cfRule type="expression" priority="4231" dxfId="3">
      <formula>AND(IF(OR($Q151=1,$Q151=2),1,0),IF($X151&lt;=20,1,0))</formula>
    </cfRule>
    <cfRule type="expression" priority="4232" dxfId="2">
      <formula>AND(IF($Q151=2,1,0),IF($X151&lt;30,1,0))</formula>
    </cfRule>
    <cfRule type="expression" priority="4233" dxfId="1">
      <formula>AND(IF($Q151=3,1,0),IF($X151&lt;30,1,0))</formula>
    </cfRule>
    <cfRule type="expression" priority="4234" dxfId="0">
      <formula>AND(IF($Q151=3,1,IF($Q151=4,1,0)),IF($F151&lt;=85,1,0))</formula>
    </cfRule>
  </conditionalFormatting>
  <conditionalFormatting sqref="AV152">
    <cfRule type="expression" priority="4229" dxfId="19">
      <formula>AV152="X"</formula>
    </cfRule>
    <cfRule type="expression" priority="4230" dxfId="18">
      <formula>AV152="후보"</formula>
    </cfRule>
  </conditionalFormatting>
  <conditionalFormatting sqref="AC152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52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52">
    <cfRule type="expression" priority="4221" dxfId="3">
      <formula>AND(IF(OR($Q152=1,$Q152=2),1,0),IF($X152&lt;=20,1,0))</formula>
    </cfRule>
    <cfRule type="expression" priority="4222" dxfId="2">
      <formula>AND(IF($Q152=2,1,0),IF($X152&lt;30,1,0))</formula>
    </cfRule>
    <cfRule type="expression" priority="4223" dxfId="1">
      <formula>AND(IF($Q152=3,1,0),IF($X152&lt;30,1,0))</formula>
    </cfRule>
    <cfRule type="expression" priority="4224" dxfId="0">
      <formula>AND(IF($Q152=3,1,IF($Q152=4,1,0)),IF($F152&lt;=85,1,0))</formula>
    </cfRule>
  </conditionalFormatting>
  <conditionalFormatting sqref="X152">
    <cfRule type="expression" priority="4217" dxfId="3">
      <formula>AND(IF(OR($Q152=1,$Q152=2),1,0),IF($X152&lt;=20,1,0))</formula>
    </cfRule>
    <cfRule type="expression" priority="4218" dxfId="2">
      <formula>AND(IF($Q152=2,1,0),IF($X152&lt;30,1,0))</formula>
    </cfRule>
    <cfRule type="expression" priority="4219" dxfId="1">
      <formula>AND(IF($Q152=3,1,0),IF($X152&lt;30,1,0))</formula>
    </cfRule>
    <cfRule type="expression" priority="4220" dxfId="0">
      <formula>AND(IF($Q152=3,1,IF($Q152=4,1,0)),IF($F152&lt;=85,1,0))</formula>
    </cfRule>
  </conditionalFormatting>
  <conditionalFormatting sqref="AI152">
    <cfRule type="expression" priority="4213" dxfId="3">
      <formula>AND(IF(OR($Q152=1,$Q152=2),1,0),IF($X152&lt;=20,1,0))</formula>
    </cfRule>
    <cfRule type="expression" priority="4214" dxfId="2">
      <formula>AND(IF($Q152=2,1,0),IF($X152&lt;30,1,0))</formula>
    </cfRule>
    <cfRule type="expression" priority="4215" dxfId="1">
      <formula>AND(IF($Q152=3,1,0),IF($X152&lt;30,1,0))</formula>
    </cfRule>
    <cfRule type="expression" priority="4216" dxfId="0">
      <formula>AND(IF($Q152=3,1,IF($Q152=4,1,0)),IF($F152&lt;=85,1,0))</formula>
    </cfRule>
  </conditionalFormatting>
  <conditionalFormatting sqref="AV153">
    <cfRule type="expression" priority="4211" dxfId="19">
      <formula>AV153="X"</formula>
    </cfRule>
    <cfRule type="expression" priority="4212" dxfId="18">
      <formula>AV153="후보"</formula>
    </cfRule>
  </conditionalFormatting>
  <conditionalFormatting sqref="AC153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53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53">
    <cfRule type="expression" priority="4203" dxfId="3">
      <formula>AND(IF(OR($Q153=1,$Q153=2),1,0),IF($X153&lt;=20,1,0))</formula>
    </cfRule>
    <cfRule type="expression" priority="4204" dxfId="2">
      <formula>AND(IF($Q153=2,1,0),IF($X153&lt;30,1,0))</formula>
    </cfRule>
    <cfRule type="expression" priority="4205" dxfId="1">
      <formula>AND(IF($Q153=3,1,0),IF($X153&lt;30,1,0))</formula>
    </cfRule>
    <cfRule type="expression" priority="4206" dxfId="0">
      <formula>AND(IF($Q153=3,1,IF($Q153=4,1,0)),IF($F153&lt;=85,1,0))</formula>
    </cfRule>
  </conditionalFormatting>
  <conditionalFormatting sqref="X153">
    <cfRule type="expression" priority="4199" dxfId="3">
      <formula>AND(IF(OR($Q153=1,$Q153=2),1,0),IF($X153&lt;=20,1,0))</formula>
    </cfRule>
    <cfRule type="expression" priority="4200" dxfId="2">
      <formula>AND(IF($Q153=2,1,0),IF($X153&lt;30,1,0))</formula>
    </cfRule>
    <cfRule type="expression" priority="4201" dxfId="1">
      <formula>AND(IF($Q153=3,1,0),IF($X153&lt;30,1,0))</formula>
    </cfRule>
    <cfRule type="expression" priority="4202" dxfId="0">
      <formula>AND(IF($Q153=3,1,IF($Q153=4,1,0)),IF($F153&lt;=85,1,0))</formula>
    </cfRule>
  </conditionalFormatting>
  <conditionalFormatting sqref="AI153">
    <cfRule type="expression" priority="4195" dxfId="3">
      <formula>AND(IF(OR($Q153=1,$Q153=2),1,0),IF($X153&lt;=20,1,0))</formula>
    </cfRule>
    <cfRule type="expression" priority="4196" dxfId="2">
      <formula>AND(IF($Q153=2,1,0),IF($X153&lt;30,1,0))</formula>
    </cfRule>
    <cfRule type="expression" priority="4197" dxfId="1">
      <formula>AND(IF($Q153=3,1,0),IF($X153&lt;30,1,0))</formula>
    </cfRule>
    <cfRule type="expression" priority="4198" dxfId="0">
      <formula>AND(IF($Q153=3,1,IF($Q153=4,1,0)),IF($F153&lt;=85,1,0))</formula>
    </cfRule>
  </conditionalFormatting>
  <conditionalFormatting sqref="AV154">
    <cfRule type="expression" priority="4193" dxfId="19">
      <formula>AV154="X"</formula>
    </cfRule>
    <cfRule type="expression" priority="4194" dxfId="18">
      <formula>AV154="후보"</formula>
    </cfRule>
  </conditionalFormatting>
  <conditionalFormatting sqref="AC154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54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54">
    <cfRule type="expression" priority="4185" dxfId="3">
      <formula>AND(IF(OR($Q154=1,$Q154=2),1,0),IF($X154&lt;=20,1,0))</formula>
    </cfRule>
    <cfRule type="expression" priority="4186" dxfId="2">
      <formula>AND(IF($Q154=2,1,0),IF($X154&lt;30,1,0))</formula>
    </cfRule>
    <cfRule type="expression" priority="4187" dxfId="1">
      <formula>AND(IF($Q154=3,1,0),IF($X154&lt;30,1,0))</formula>
    </cfRule>
    <cfRule type="expression" priority="4188" dxfId="0">
      <formula>AND(IF($Q154=3,1,IF($Q154=4,1,0)),IF($F154&lt;=85,1,0))</formula>
    </cfRule>
  </conditionalFormatting>
  <conditionalFormatting sqref="X154">
    <cfRule type="expression" priority="4181" dxfId="3">
      <formula>AND(IF(OR($Q154=1,$Q154=2),1,0),IF($X154&lt;=20,1,0))</formula>
    </cfRule>
    <cfRule type="expression" priority="4182" dxfId="2">
      <formula>AND(IF($Q154=2,1,0),IF($X154&lt;30,1,0))</formula>
    </cfRule>
    <cfRule type="expression" priority="4183" dxfId="1">
      <formula>AND(IF($Q154=3,1,0),IF($X154&lt;30,1,0))</formula>
    </cfRule>
    <cfRule type="expression" priority="4184" dxfId="0">
      <formula>AND(IF($Q154=3,1,IF($Q154=4,1,0)),IF($F154&lt;=85,1,0))</formula>
    </cfRule>
  </conditionalFormatting>
  <conditionalFormatting sqref="AI154">
    <cfRule type="expression" priority="4177" dxfId="3">
      <formula>AND(IF(OR($Q154=1,$Q154=2),1,0),IF($X154&lt;=20,1,0))</formula>
    </cfRule>
    <cfRule type="expression" priority="4178" dxfId="2">
      <formula>AND(IF($Q154=2,1,0),IF($X154&lt;30,1,0))</formula>
    </cfRule>
    <cfRule type="expression" priority="4179" dxfId="1">
      <formula>AND(IF($Q154=3,1,0),IF($X154&lt;30,1,0))</formula>
    </cfRule>
    <cfRule type="expression" priority="4180" dxfId="0">
      <formula>AND(IF($Q154=3,1,IF($Q154=4,1,0)),IF($F154&lt;=85,1,0))</formula>
    </cfRule>
  </conditionalFormatting>
  <conditionalFormatting sqref="AV155">
    <cfRule type="expression" priority="4175" dxfId="19">
      <formula>AV155="X"</formula>
    </cfRule>
    <cfRule type="expression" priority="4176" dxfId="18">
      <formula>AV155="후보"</formula>
    </cfRule>
  </conditionalFormatting>
  <conditionalFormatting sqref="AC155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55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55">
    <cfRule type="expression" priority="4167" dxfId="3">
      <formula>AND(IF(OR($Q155=1,$Q155=2),1,0),IF($X155&lt;=20,1,0))</formula>
    </cfRule>
    <cfRule type="expression" priority="4168" dxfId="2">
      <formula>AND(IF($Q155=2,1,0),IF($X155&lt;30,1,0))</formula>
    </cfRule>
    <cfRule type="expression" priority="4169" dxfId="1">
      <formula>AND(IF($Q155=3,1,0),IF($X155&lt;30,1,0))</formula>
    </cfRule>
    <cfRule type="expression" priority="4170" dxfId="0">
      <formula>AND(IF($Q155=3,1,IF($Q155=4,1,0)),IF($F155&lt;=85,1,0))</formula>
    </cfRule>
  </conditionalFormatting>
  <conditionalFormatting sqref="X155">
    <cfRule type="expression" priority="4163" dxfId="3">
      <formula>AND(IF(OR($Q155=1,$Q155=2),1,0),IF($X155&lt;=20,1,0))</formula>
    </cfRule>
    <cfRule type="expression" priority="4164" dxfId="2">
      <formula>AND(IF($Q155=2,1,0),IF($X155&lt;30,1,0))</formula>
    </cfRule>
    <cfRule type="expression" priority="4165" dxfId="1">
      <formula>AND(IF($Q155=3,1,0),IF($X155&lt;30,1,0))</formula>
    </cfRule>
    <cfRule type="expression" priority="4166" dxfId="0">
      <formula>AND(IF($Q155=3,1,IF($Q155=4,1,0)),IF($F155&lt;=85,1,0))</formula>
    </cfRule>
  </conditionalFormatting>
  <conditionalFormatting sqref="AI155">
    <cfRule type="expression" priority="4159" dxfId="3">
      <formula>AND(IF(OR($Q155=1,$Q155=2),1,0),IF($X155&lt;=20,1,0))</formula>
    </cfRule>
    <cfRule type="expression" priority="4160" dxfId="2">
      <formula>AND(IF($Q155=2,1,0),IF($X155&lt;30,1,0))</formula>
    </cfRule>
    <cfRule type="expression" priority="4161" dxfId="1">
      <formula>AND(IF($Q155=3,1,0),IF($X155&lt;30,1,0))</formula>
    </cfRule>
    <cfRule type="expression" priority="4162" dxfId="0">
      <formula>AND(IF($Q155=3,1,IF($Q155=4,1,0)),IF($F155&lt;=85,1,0))</formula>
    </cfRule>
  </conditionalFormatting>
  <conditionalFormatting sqref="AV156">
    <cfRule type="expression" priority="4157" dxfId="19">
      <formula>AV156="X"</formula>
    </cfRule>
    <cfRule type="expression" priority="4158" dxfId="18">
      <formula>AV156="후보"</formula>
    </cfRule>
  </conditionalFormatting>
  <conditionalFormatting sqref="AC156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5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56">
    <cfRule type="expression" priority="4149" dxfId="3">
      <formula>AND(IF(OR($Q156=1,$Q156=2),1,0),IF($X156&lt;=20,1,0))</formula>
    </cfRule>
    <cfRule type="expression" priority="4150" dxfId="2">
      <formula>AND(IF($Q156=2,1,0),IF($X156&lt;30,1,0))</formula>
    </cfRule>
    <cfRule type="expression" priority="4151" dxfId="1">
      <formula>AND(IF($Q156=3,1,0),IF($X156&lt;30,1,0))</formula>
    </cfRule>
    <cfRule type="expression" priority="4152" dxfId="0">
      <formula>AND(IF($Q156=3,1,IF($Q156=4,1,0)),IF($F156&lt;=85,1,0))</formula>
    </cfRule>
  </conditionalFormatting>
  <conditionalFormatting sqref="X156">
    <cfRule type="expression" priority="4145" dxfId="3">
      <formula>AND(IF(OR($Q156=1,$Q156=2),1,0),IF($X156&lt;=20,1,0))</formula>
    </cfRule>
    <cfRule type="expression" priority="4146" dxfId="2">
      <formula>AND(IF($Q156=2,1,0),IF($X156&lt;30,1,0))</formula>
    </cfRule>
    <cfRule type="expression" priority="4147" dxfId="1">
      <formula>AND(IF($Q156=3,1,0),IF($X156&lt;30,1,0))</formula>
    </cfRule>
    <cfRule type="expression" priority="4148" dxfId="0">
      <formula>AND(IF($Q156=3,1,IF($Q156=4,1,0)),IF($F156&lt;=85,1,0))</formula>
    </cfRule>
  </conditionalFormatting>
  <conditionalFormatting sqref="AI156">
    <cfRule type="expression" priority="4141" dxfId="3">
      <formula>AND(IF(OR($Q156=1,$Q156=2),1,0),IF($X156&lt;=20,1,0))</formula>
    </cfRule>
    <cfRule type="expression" priority="4142" dxfId="2">
      <formula>AND(IF($Q156=2,1,0),IF($X156&lt;30,1,0))</formula>
    </cfRule>
    <cfRule type="expression" priority="4143" dxfId="1">
      <formula>AND(IF($Q156=3,1,0),IF($X156&lt;30,1,0))</formula>
    </cfRule>
    <cfRule type="expression" priority="4144" dxfId="0">
      <formula>AND(IF($Q156=3,1,IF($Q156=4,1,0)),IF($F156&lt;=85,1,0))</formula>
    </cfRule>
  </conditionalFormatting>
  <conditionalFormatting sqref="AV157">
    <cfRule type="expression" priority="4139" dxfId="19">
      <formula>AV157="X"</formula>
    </cfRule>
    <cfRule type="expression" priority="4140" dxfId="18">
      <formula>AV157="후보"</formula>
    </cfRule>
  </conditionalFormatting>
  <conditionalFormatting sqref="AC157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5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57">
    <cfRule type="expression" priority="4131" dxfId="3">
      <formula>AND(IF(OR($Q157=1,$Q157=2),1,0),IF($X157&lt;=20,1,0))</formula>
    </cfRule>
    <cfRule type="expression" priority="4132" dxfId="2">
      <formula>AND(IF($Q157=2,1,0),IF($X157&lt;30,1,0))</formula>
    </cfRule>
    <cfRule type="expression" priority="4133" dxfId="1">
      <formula>AND(IF($Q157=3,1,0),IF($X157&lt;30,1,0))</formula>
    </cfRule>
    <cfRule type="expression" priority="4134" dxfId="0">
      <formula>AND(IF($Q157=3,1,IF($Q157=4,1,0)),IF($F157&lt;=85,1,0))</formula>
    </cfRule>
  </conditionalFormatting>
  <conditionalFormatting sqref="X157">
    <cfRule type="expression" priority="4127" dxfId="3">
      <formula>AND(IF(OR($Q157=1,$Q157=2),1,0),IF($X157&lt;=20,1,0))</formula>
    </cfRule>
    <cfRule type="expression" priority="4128" dxfId="2">
      <formula>AND(IF($Q157=2,1,0),IF($X157&lt;30,1,0))</formula>
    </cfRule>
    <cfRule type="expression" priority="4129" dxfId="1">
      <formula>AND(IF($Q157=3,1,0),IF($X157&lt;30,1,0))</formula>
    </cfRule>
    <cfRule type="expression" priority="4130" dxfId="0">
      <formula>AND(IF($Q157=3,1,IF($Q157=4,1,0)),IF($F157&lt;=85,1,0))</formula>
    </cfRule>
  </conditionalFormatting>
  <conditionalFormatting sqref="AI157">
    <cfRule type="expression" priority="4123" dxfId="3">
      <formula>AND(IF(OR($Q157=1,$Q157=2),1,0),IF($X157&lt;=20,1,0))</formula>
    </cfRule>
    <cfRule type="expression" priority="4124" dxfId="2">
      <formula>AND(IF($Q157=2,1,0),IF($X157&lt;30,1,0))</formula>
    </cfRule>
    <cfRule type="expression" priority="4125" dxfId="1">
      <formula>AND(IF($Q157=3,1,0),IF($X157&lt;30,1,0))</formula>
    </cfRule>
    <cfRule type="expression" priority="4126" dxfId="0">
      <formula>AND(IF($Q157=3,1,IF($Q157=4,1,0)),IF($F157&lt;=85,1,0))</formula>
    </cfRule>
  </conditionalFormatting>
  <conditionalFormatting sqref="AV158">
    <cfRule type="expression" priority="4121" dxfId="19">
      <formula>AV158="X"</formula>
    </cfRule>
    <cfRule type="expression" priority="4122" dxfId="18">
      <formula>AV158="후보"</formula>
    </cfRule>
  </conditionalFormatting>
  <conditionalFormatting sqref="AC158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5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58">
    <cfRule type="expression" priority="4113" dxfId="3">
      <formula>AND(IF(OR($Q158=1,$Q158=2),1,0),IF($X158&lt;=20,1,0))</formula>
    </cfRule>
    <cfRule type="expression" priority="4114" dxfId="2">
      <formula>AND(IF($Q158=2,1,0),IF($X158&lt;30,1,0))</formula>
    </cfRule>
    <cfRule type="expression" priority="4115" dxfId="1">
      <formula>AND(IF($Q158=3,1,0),IF($X158&lt;30,1,0))</formula>
    </cfRule>
    <cfRule type="expression" priority="4116" dxfId="0">
      <formula>AND(IF($Q158=3,1,IF($Q158=4,1,0)),IF($F158&lt;=85,1,0))</formula>
    </cfRule>
  </conditionalFormatting>
  <conditionalFormatting sqref="X158">
    <cfRule type="expression" priority="4109" dxfId="3">
      <formula>AND(IF(OR($Q158=1,$Q158=2),1,0),IF($X158&lt;=20,1,0))</formula>
    </cfRule>
    <cfRule type="expression" priority="4110" dxfId="2">
      <formula>AND(IF($Q158=2,1,0),IF($X158&lt;30,1,0))</formula>
    </cfRule>
    <cfRule type="expression" priority="4111" dxfId="1">
      <formula>AND(IF($Q158=3,1,0),IF($X158&lt;30,1,0))</formula>
    </cfRule>
    <cfRule type="expression" priority="4112" dxfId="0">
      <formula>AND(IF($Q158=3,1,IF($Q158=4,1,0)),IF($F158&lt;=85,1,0))</formula>
    </cfRule>
  </conditionalFormatting>
  <conditionalFormatting sqref="AI158">
    <cfRule type="expression" priority="4105" dxfId="3">
      <formula>AND(IF(OR($Q158=1,$Q158=2),1,0),IF($X158&lt;=20,1,0))</formula>
    </cfRule>
    <cfRule type="expression" priority="4106" dxfId="2">
      <formula>AND(IF($Q158=2,1,0),IF($X158&lt;30,1,0))</formula>
    </cfRule>
    <cfRule type="expression" priority="4107" dxfId="1">
      <formula>AND(IF($Q158=3,1,0),IF($X158&lt;30,1,0))</formula>
    </cfRule>
    <cfRule type="expression" priority="4108" dxfId="0">
      <formula>AND(IF($Q158=3,1,IF($Q158=4,1,0)),IF($F158&lt;=85,1,0))</formula>
    </cfRule>
  </conditionalFormatting>
  <conditionalFormatting sqref="AV159">
    <cfRule type="expression" priority="4103" dxfId="19">
      <formula>AV159="X"</formula>
    </cfRule>
    <cfRule type="expression" priority="4104" dxfId="18">
      <formula>AV159="후보"</formula>
    </cfRule>
  </conditionalFormatting>
  <conditionalFormatting sqref="AC159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5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59">
    <cfRule type="expression" priority="4095" dxfId="3">
      <formula>AND(IF(OR($Q159=1,$Q159=2),1,0),IF($X159&lt;=20,1,0))</formula>
    </cfRule>
    <cfRule type="expression" priority="4096" dxfId="2">
      <formula>AND(IF($Q159=2,1,0),IF($X159&lt;30,1,0))</formula>
    </cfRule>
    <cfRule type="expression" priority="4097" dxfId="1">
      <formula>AND(IF($Q159=3,1,0),IF($X159&lt;30,1,0))</formula>
    </cfRule>
    <cfRule type="expression" priority="4098" dxfId="0">
      <formula>AND(IF($Q159=3,1,IF($Q159=4,1,0)),IF($F159&lt;=85,1,0))</formula>
    </cfRule>
  </conditionalFormatting>
  <conditionalFormatting sqref="X159">
    <cfRule type="expression" priority="4091" dxfId="3">
      <formula>AND(IF(OR($Q159=1,$Q159=2),1,0),IF($X159&lt;=20,1,0))</formula>
    </cfRule>
    <cfRule type="expression" priority="4092" dxfId="2">
      <formula>AND(IF($Q159=2,1,0),IF($X159&lt;30,1,0))</formula>
    </cfRule>
    <cfRule type="expression" priority="4093" dxfId="1">
      <formula>AND(IF($Q159=3,1,0),IF($X159&lt;30,1,0))</formula>
    </cfRule>
    <cfRule type="expression" priority="4094" dxfId="0">
      <formula>AND(IF($Q159=3,1,IF($Q159=4,1,0)),IF($F159&lt;=85,1,0))</formula>
    </cfRule>
  </conditionalFormatting>
  <conditionalFormatting sqref="AI159">
    <cfRule type="expression" priority="4087" dxfId="3">
      <formula>AND(IF(OR($Q159=1,$Q159=2),1,0),IF($X159&lt;=20,1,0))</formula>
    </cfRule>
    <cfRule type="expression" priority="4088" dxfId="2">
      <formula>AND(IF($Q159=2,1,0),IF($X159&lt;30,1,0))</formula>
    </cfRule>
    <cfRule type="expression" priority="4089" dxfId="1">
      <formula>AND(IF($Q159=3,1,0),IF($X159&lt;30,1,0))</formula>
    </cfRule>
    <cfRule type="expression" priority="4090" dxfId="0">
      <formula>AND(IF($Q159=3,1,IF($Q159=4,1,0)),IF($F159&lt;=85,1,0))</formula>
    </cfRule>
  </conditionalFormatting>
  <conditionalFormatting sqref="AV160">
    <cfRule type="expression" priority="4085" dxfId="19">
      <formula>AV160="X"</formula>
    </cfRule>
    <cfRule type="expression" priority="4086" dxfId="18">
      <formula>AV160="후보"</formula>
    </cfRule>
  </conditionalFormatting>
  <conditionalFormatting sqref="AC16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6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60">
    <cfRule type="expression" priority="4077" dxfId="3">
      <formula>AND(IF(OR($Q160=1,$Q160=2),1,0),IF($X160&lt;=20,1,0))</formula>
    </cfRule>
    <cfRule type="expression" priority="4078" dxfId="2">
      <formula>AND(IF($Q160=2,1,0),IF($X160&lt;30,1,0))</formula>
    </cfRule>
    <cfRule type="expression" priority="4079" dxfId="1">
      <formula>AND(IF($Q160=3,1,0),IF($X160&lt;30,1,0))</formula>
    </cfRule>
    <cfRule type="expression" priority="4080" dxfId="0">
      <formula>AND(IF($Q160=3,1,IF($Q160=4,1,0)),IF($F160&lt;=85,1,0))</formula>
    </cfRule>
  </conditionalFormatting>
  <conditionalFormatting sqref="X160">
    <cfRule type="expression" priority="4073" dxfId="3">
      <formula>AND(IF(OR($Q160=1,$Q160=2),1,0),IF($X160&lt;=20,1,0))</formula>
    </cfRule>
    <cfRule type="expression" priority="4074" dxfId="2">
      <formula>AND(IF($Q160=2,1,0),IF($X160&lt;30,1,0))</formula>
    </cfRule>
    <cfRule type="expression" priority="4075" dxfId="1">
      <formula>AND(IF($Q160=3,1,0),IF($X160&lt;30,1,0))</formula>
    </cfRule>
    <cfRule type="expression" priority="4076" dxfId="0">
      <formula>AND(IF($Q160=3,1,IF($Q160=4,1,0)),IF($F160&lt;=85,1,0))</formula>
    </cfRule>
  </conditionalFormatting>
  <conditionalFormatting sqref="AI160">
    <cfRule type="expression" priority="4069" dxfId="3">
      <formula>AND(IF(OR($Q160=1,$Q160=2),1,0),IF($X160&lt;=20,1,0))</formula>
    </cfRule>
    <cfRule type="expression" priority="4070" dxfId="2">
      <formula>AND(IF($Q160=2,1,0),IF($X160&lt;30,1,0))</formula>
    </cfRule>
    <cfRule type="expression" priority="4071" dxfId="1">
      <formula>AND(IF($Q160=3,1,0),IF($X160&lt;30,1,0))</formula>
    </cfRule>
    <cfRule type="expression" priority="4072" dxfId="0">
      <formula>AND(IF($Q160=3,1,IF($Q160=4,1,0)),IF($F160&lt;=85,1,0))</formula>
    </cfRule>
  </conditionalFormatting>
  <conditionalFormatting sqref="AV161">
    <cfRule type="expression" priority="4067" dxfId="19">
      <formula>AV161="X"</formula>
    </cfRule>
    <cfRule type="expression" priority="4068" dxfId="18">
      <formula>AV161="후보"</formula>
    </cfRule>
  </conditionalFormatting>
  <conditionalFormatting sqref="AC161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6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61">
    <cfRule type="expression" priority="4059" dxfId="3">
      <formula>AND(IF(OR($Q161=1,$Q161=2),1,0),IF($X161&lt;=20,1,0))</formula>
    </cfRule>
    <cfRule type="expression" priority="4060" dxfId="2">
      <formula>AND(IF($Q161=2,1,0),IF($X161&lt;30,1,0))</formula>
    </cfRule>
    <cfRule type="expression" priority="4061" dxfId="1">
      <formula>AND(IF($Q161=3,1,0),IF($X161&lt;30,1,0))</formula>
    </cfRule>
    <cfRule type="expression" priority="4062" dxfId="0">
      <formula>AND(IF($Q161=3,1,IF($Q161=4,1,0)),IF($F161&lt;=85,1,0))</formula>
    </cfRule>
  </conditionalFormatting>
  <conditionalFormatting sqref="X161">
    <cfRule type="expression" priority="4055" dxfId="3">
      <formula>AND(IF(OR($Q161=1,$Q161=2),1,0),IF($X161&lt;=20,1,0))</formula>
    </cfRule>
    <cfRule type="expression" priority="4056" dxfId="2">
      <formula>AND(IF($Q161=2,1,0),IF($X161&lt;30,1,0))</formula>
    </cfRule>
    <cfRule type="expression" priority="4057" dxfId="1">
      <formula>AND(IF($Q161=3,1,0),IF($X161&lt;30,1,0))</formula>
    </cfRule>
    <cfRule type="expression" priority="4058" dxfId="0">
      <formula>AND(IF($Q161=3,1,IF($Q161=4,1,0)),IF($F161&lt;=85,1,0))</formula>
    </cfRule>
  </conditionalFormatting>
  <conditionalFormatting sqref="AI161">
    <cfRule type="expression" priority="4051" dxfId="3">
      <formula>AND(IF(OR($Q161=1,$Q161=2),1,0),IF($X161&lt;=20,1,0))</formula>
    </cfRule>
    <cfRule type="expression" priority="4052" dxfId="2">
      <formula>AND(IF($Q161=2,1,0),IF($X161&lt;30,1,0))</formula>
    </cfRule>
    <cfRule type="expression" priority="4053" dxfId="1">
      <formula>AND(IF($Q161=3,1,0),IF($X161&lt;30,1,0))</formula>
    </cfRule>
    <cfRule type="expression" priority="4054" dxfId="0">
      <formula>AND(IF($Q161=3,1,IF($Q161=4,1,0)),IF($F161&lt;=85,1,0))</formula>
    </cfRule>
  </conditionalFormatting>
  <conditionalFormatting sqref="AV162">
    <cfRule type="expression" priority="4049" dxfId="19">
      <formula>AV162="X"</formula>
    </cfRule>
    <cfRule type="expression" priority="4050" dxfId="18">
      <formula>AV162="후보"</formula>
    </cfRule>
  </conditionalFormatting>
  <conditionalFormatting sqref="AC162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6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62">
    <cfRule type="expression" priority="4041" dxfId="3">
      <formula>AND(IF(OR($Q162=1,$Q162=2),1,0),IF($X162&lt;=20,1,0))</formula>
    </cfRule>
    <cfRule type="expression" priority="4042" dxfId="2">
      <formula>AND(IF($Q162=2,1,0),IF($X162&lt;30,1,0))</formula>
    </cfRule>
    <cfRule type="expression" priority="4043" dxfId="1">
      <formula>AND(IF($Q162=3,1,0),IF($X162&lt;30,1,0))</formula>
    </cfRule>
    <cfRule type="expression" priority="4044" dxfId="0">
      <formula>AND(IF($Q162=3,1,IF($Q162=4,1,0)),IF($F162&lt;=85,1,0))</formula>
    </cfRule>
  </conditionalFormatting>
  <conditionalFormatting sqref="X162">
    <cfRule type="expression" priority="4037" dxfId="3">
      <formula>AND(IF(OR($Q162=1,$Q162=2),1,0),IF($X162&lt;=20,1,0))</formula>
    </cfRule>
    <cfRule type="expression" priority="4038" dxfId="2">
      <formula>AND(IF($Q162=2,1,0),IF($X162&lt;30,1,0))</formula>
    </cfRule>
    <cfRule type="expression" priority="4039" dxfId="1">
      <formula>AND(IF($Q162=3,1,0),IF($X162&lt;30,1,0))</formula>
    </cfRule>
    <cfRule type="expression" priority="4040" dxfId="0">
      <formula>AND(IF($Q162=3,1,IF($Q162=4,1,0)),IF($F162&lt;=85,1,0))</formula>
    </cfRule>
  </conditionalFormatting>
  <conditionalFormatting sqref="AI162">
    <cfRule type="expression" priority="4033" dxfId="3">
      <formula>AND(IF(OR($Q162=1,$Q162=2),1,0),IF($X162&lt;=20,1,0))</formula>
    </cfRule>
    <cfRule type="expression" priority="4034" dxfId="2">
      <formula>AND(IF($Q162=2,1,0),IF($X162&lt;30,1,0))</formula>
    </cfRule>
    <cfRule type="expression" priority="4035" dxfId="1">
      <formula>AND(IF($Q162=3,1,0),IF($X162&lt;30,1,0))</formula>
    </cfRule>
    <cfRule type="expression" priority="4036" dxfId="0">
      <formula>AND(IF($Q162=3,1,IF($Q162=4,1,0)),IF($F162&lt;=85,1,0))</formula>
    </cfRule>
  </conditionalFormatting>
  <conditionalFormatting sqref="AV163">
    <cfRule type="expression" priority="4031" dxfId="19">
      <formula>AV163="X"</formula>
    </cfRule>
    <cfRule type="expression" priority="4032" dxfId="18">
      <formula>AV163="후보"</formula>
    </cfRule>
  </conditionalFormatting>
  <conditionalFormatting sqref="AC163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6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63">
    <cfRule type="expression" priority="4023" dxfId="3">
      <formula>AND(IF(OR($Q163=1,$Q163=2),1,0),IF($X163&lt;=20,1,0))</formula>
    </cfRule>
    <cfRule type="expression" priority="4024" dxfId="2">
      <formula>AND(IF($Q163=2,1,0),IF($X163&lt;30,1,0))</formula>
    </cfRule>
    <cfRule type="expression" priority="4025" dxfId="1">
      <formula>AND(IF($Q163=3,1,0),IF($X163&lt;30,1,0))</formula>
    </cfRule>
    <cfRule type="expression" priority="4026" dxfId="0">
      <formula>AND(IF($Q163=3,1,IF($Q163=4,1,0)),IF($F163&lt;=85,1,0))</formula>
    </cfRule>
  </conditionalFormatting>
  <conditionalFormatting sqref="X163">
    <cfRule type="expression" priority="4019" dxfId="3">
      <formula>AND(IF(OR($Q163=1,$Q163=2),1,0),IF($X163&lt;=20,1,0))</formula>
    </cfRule>
    <cfRule type="expression" priority="4020" dxfId="2">
      <formula>AND(IF($Q163=2,1,0),IF($X163&lt;30,1,0))</formula>
    </cfRule>
    <cfRule type="expression" priority="4021" dxfId="1">
      <formula>AND(IF($Q163=3,1,0),IF($X163&lt;30,1,0))</formula>
    </cfRule>
    <cfRule type="expression" priority="4022" dxfId="0">
      <formula>AND(IF($Q163=3,1,IF($Q163=4,1,0)),IF($F163&lt;=85,1,0))</formula>
    </cfRule>
  </conditionalFormatting>
  <conditionalFormatting sqref="AI163">
    <cfRule type="expression" priority="4015" dxfId="3">
      <formula>AND(IF(OR($Q163=1,$Q163=2),1,0),IF($X163&lt;=20,1,0))</formula>
    </cfRule>
    <cfRule type="expression" priority="4016" dxfId="2">
      <formula>AND(IF($Q163=2,1,0),IF($X163&lt;30,1,0))</formula>
    </cfRule>
    <cfRule type="expression" priority="4017" dxfId="1">
      <formula>AND(IF($Q163=3,1,0),IF($X163&lt;30,1,0))</formula>
    </cfRule>
    <cfRule type="expression" priority="4018" dxfId="0">
      <formula>AND(IF($Q163=3,1,IF($Q163=4,1,0)),IF($F163&lt;=85,1,0))</formula>
    </cfRule>
  </conditionalFormatting>
  <conditionalFormatting sqref="AV164">
    <cfRule type="expression" priority="4013" dxfId="19">
      <formula>AV164="X"</formula>
    </cfRule>
    <cfRule type="expression" priority="4014" dxfId="18">
      <formula>AV164="후보"</formula>
    </cfRule>
  </conditionalFormatting>
  <conditionalFormatting sqref="AC164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6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64">
    <cfRule type="expression" priority="4005" dxfId="3">
      <formula>AND(IF(OR($Q164=1,$Q164=2),1,0),IF($X164&lt;=20,1,0))</formula>
    </cfRule>
    <cfRule type="expression" priority="4006" dxfId="2">
      <formula>AND(IF($Q164=2,1,0),IF($X164&lt;30,1,0))</formula>
    </cfRule>
    <cfRule type="expression" priority="4007" dxfId="1">
      <formula>AND(IF($Q164=3,1,0),IF($X164&lt;30,1,0))</formula>
    </cfRule>
    <cfRule type="expression" priority="4008" dxfId="0">
      <formula>AND(IF($Q164=3,1,IF($Q164=4,1,0)),IF($F164&lt;=85,1,0))</formula>
    </cfRule>
  </conditionalFormatting>
  <conditionalFormatting sqref="X164">
    <cfRule type="expression" priority="4001" dxfId="3">
      <formula>AND(IF(OR($Q164=1,$Q164=2),1,0),IF($X164&lt;=20,1,0))</formula>
    </cfRule>
    <cfRule type="expression" priority="4002" dxfId="2">
      <formula>AND(IF($Q164=2,1,0),IF($X164&lt;30,1,0))</formula>
    </cfRule>
    <cfRule type="expression" priority="4003" dxfId="1">
      <formula>AND(IF($Q164=3,1,0),IF($X164&lt;30,1,0))</formula>
    </cfRule>
    <cfRule type="expression" priority="4004" dxfId="0">
      <formula>AND(IF($Q164=3,1,IF($Q164=4,1,0)),IF($F164&lt;=85,1,0))</formula>
    </cfRule>
  </conditionalFormatting>
  <conditionalFormatting sqref="AI164">
    <cfRule type="expression" priority="3997" dxfId="3">
      <formula>AND(IF(OR($Q164=1,$Q164=2),1,0),IF($X164&lt;=20,1,0))</formula>
    </cfRule>
    <cfRule type="expression" priority="3998" dxfId="2">
      <formula>AND(IF($Q164=2,1,0),IF($X164&lt;30,1,0))</formula>
    </cfRule>
    <cfRule type="expression" priority="3999" dxfId="1">
      <formula>AND(IF($Q164=3,1,0),IF($X164&lt;30,1,0))</formula>
    </cfRule>
    <cfRule type="expression" priority="4000" dxfId="0">
      <formula>AND(IF($Q164=3,1,IF($Q164=4,1,0)),IF($F164&lt;=85,1,0))</formula>
    </cfRule>
  </conditionalFormatting>
  <conditionalFormatting sqref="AV165">
    <cfRule type="expression" priority="3995" dxfId="19">
      <formula>AV165="X"</formula>
    </cfRule>
    <cfRule type="expression" priority="3996" dxfId="18">
      <formula>AV165="후보"</formula>
    </cfRule>
  </conditionalFormatting>
  <conditionalFormatting sqref="AC165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6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65">
    <cfRule type="expression" priority="3987" dxfId="3">
      <formula>AND(IF(OR($Q165=1,$Q165=2),1,0),IF($X165&lt;=20,1,0))</formula>
    </cfRule>
    <cfRule type="expression" priority="3988" dxfId="2">
      <formula>AND(IF($Q165=2,1,0),IF($X165&lt;30,1,0))</formula>
    </cfRule>
    <cfRule type="expression" priority="3989" dxfId="1">
      <formula>AND(IF($Q165=3,1,0),IF($X165&lt;30,1,0))</formula>
    </cfRule>
    <cfRule type="expression" priority="3990" dxfId="0">
      <formula>AND(IF($Q165=3,1,IF($Q165=4,1,0)),IF($F165&lt;=85,1,0))</formula>
    </cfRule>
  </conditionalFormatting>
  <conditionalFormatting sqref="X165">
    <cfRule type="expression" priority="3983" dxfId="3">
      <formula>AND(IF(OR($Q165=1,$Q165=2),1,0),IF($X165&lt;=20,1,0))</formula>
    </cfRule>
    <cfRule type="expression" priority="3984" dxfId="2">
      <formula>AND(IF($Q165=2,1,0),IF($X165&lt;30,1,0))</formula>
    </cfRule>
    <cfRule type="expression" priority="3985" dxfId="1">
      <formula>AND(IF($Q165=3,1,0),IF($X165&lt;30,1,0))</formula>
    </cfRule>
    <cfRule type="expression" priority="3986" dxfId="0">
      <formula>AND(IF($Q165=3,1,IF($Q165=4,1,0)),IF($F165&lt;=85,1,0))</formula>
    </cfRule>
  </conditionalFormatting>
  <conditionalFormatting sqref="AI165">
    <cfRule type="expression" priority="3979" dxfId="3">
      <formula>AND(IF(OR($Q165=1,$Q165=2),1,0),IF($X165&lt;=20,1,0))</formula>
    </cfRule>
    <cfRule type="expression" priority="3980" dxfId="2">
      <formula>AND(IF($Q165=2,1,0),IF($X165&lt;30,1,0))</formula>
    </cfRule>
    <cfRule type="expression" priority="3981" dxfId="1">
      <formula>AND(IF($Q165=3,1,0),IF($X165&lt;30,1,0))</formula>
    </cfRule>
    <cfRule type="expression" priority="3982" dxfId="0">
      <formula>AND(IF($Q165=3,1,IF($Q165=4,1,0)),IF($F165&lt;=85,1,0))</formula>
    </cfRule>
  </conditionalFormatting>
  <conditionalFormatting sqref="AV166">
    <cfRule type="expression" priority="3977" dxfId="19">
      <formula>AV166="X"</formula>
    </cfRule>
    <cfRule type="expression" priority="3978" dxfId="18">
      <formula>AV166="후보"</formula>
    </cfRule>
  </conditionalFormatting>
  <conditionalFormatting sqref="AC16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6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66">
    <cfRule type="expression" priority="3969" dxfId="3">
      <formula>AND(IF(OR($Q166=1,$Q166=2),1,0),IF($X166&lt;=20,1,0))</formula>
    </cfRule>
    <cfRule type="expression" priority="3970" dxfId="2">
      <formula>AND(IF($Q166=2,1,0),IF($X166&lt;30,1,0))</formula>
    </cfRule>
    <cfRule type="expression" priority="3971" dxfId="1">
      <formula>AND(IF($Q166=3,1,0),IF($X166&lt;30,1,0))</formula>
    </cfRule>
    <cfRule type="expression" priority="3972" dxfId="0">
      <formula>AND(IF($Q166=3,1,IF($Q166=4,1,0)),IF($F166&lt;=85,1,0))</formula>
    </cfRule>
  </conditionalFormatting>
  <conditionalFormatting sqref="X166">
    <cfRule type="expression" priority="3965" dxfId="3">
      <formula>AND(IF(OR($Q166=1,$Q166=2),1,0),IF($X166&lt;=20,1,0))</formula>
    </cfRule>
    <cfRule type="expression" priority="3966" dxfId="2">
      <formula>AND(IF($Q166=2,1,0),IF($X166&lt;30,1,0))</formula>
    </cfRule>
    <cfRule type="expression" priority="3967" dxfId="1">
      <formula>AND(IF($Q166=3,1,0),IF($X166&lt;30,1,0))</formula>
    </cfRule>
    <cfRule type="expression" priority="3968" dxfId="0">
      <formula>AND(IF($Q166=3,1,IF($Q166=4,1,0)),IF($F166&lt;=85,1,0))</formula>
    </cfRule>
  </conditionalFormatting>
  <conditionalFormatting sqref="AI166">
    <cfRule type="expression" priority="3961" dxfId="3">
      <formula>AND(IF(OR($Q166=1,$Q166=2),1,0),IF($X166&lt;=20,1,0))</formula>
    </cfRule>
    <cfRule type="expression" priority="3962" dxfId="2">
      <formula>AND(IF($Q166=2,1,0),IF($X166&lt;30,1,0))</formula>
    </cfRule>
    <cfRule type="expression" priority="3963" dxfId="1">
      <formula>AND(IF($Q166=3,1,0),IF($X166&lt;30,1,0))</formula>
    </cfRule>
    <cfRule type="expression" priority="3964" dxfId="0">
      <formula>AND(IF($Q166=3,1,IF($Q166=4,1,0)),IF($F166&lt;=85,1,0))</formula>
    </cfRule>
  </conditionalFormatting>
  <conditionalFormatting sqref="AV167">
    <cfRule type="expression" priority="3959" dxfId="19">
      <formula>AV167="X"</formula>
    </cfRule>
    <cfRule type="expression" priority="3960" dxfId="18">
      <formula>AV167="후보"</formula>
    </cfRule>
  </conditionalFormatting>
  <conditionalFormatting sqref="AC167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6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67">
    <cfRule type="expression" priority="3951" dxfId="3">
      <formula>AND(IF(OR($Q167=1,$Q167=2),1,0),IF($X167&lt;=20,1,0))</formula>
    </cfRule>
    <cfRule type="expression" priority="3952" dxfId="2">
      <formula>AND(IF($Q167=2,1,0),IF($X167&lt;30,1,0))</formula>
    </cfRule>
    <cfRule type="expression" priority="3953" dxfId="1">
      <formula>AND(IF($Q167=3,1,0),IF($X167&lt;30,1,0))</formula>
    </cfRule>
    <cfRule type="expression" priority="3954" dxfId="0">
      <formula>AND(IF($Q167=3,1,IF($Q167=4,1,0)),IF($F167&lt;=85,1,0))</formula>
    </cfRule>
  </conditionalFormatting>
  <conditionalFormatting sqref="X167">
    <cfRule type="expression" priority="3947" dxfId="3">
      <formula>AND(IF(OR($Q167=1,$Q167=2),1,0),IF($X167&lt;=20,1,0))</formula>
    </cfRule>
    <cfRule type="expression" priority="3948" dxfId="2">
      <formula>AND(IF($Q167=2,1,0),IF($X167&lt;30,1,0))</formula>
    </cfRule>
    <cfRule type="expression" priority="3949" dxfId="1">
      <formula>AND(IF($Q167=3,1,0),IF($X167&lt;30,1,0))</formula>
    </cfRule>
    <cfRule type="expression" priority="3950" dxfId="0">
      <formula>AND(IF($Q167=3,1,IF($Q167=4,1,0)),IF($F167&lt;=85,1,0))</formula>
    </cfRule>
  </conditionalFormatting>
  <conditionalFormatting sqref="AI167">
    <cfRule type="expression" priority="3943" dxfId="3">
      <formula>AND(IF(OR($Q167=1,$Q167=2),1,0),IF($X167&lt;=20,1,0))</formula>
    </cfRule>
    <cfRule type="expression" priority="3944" dxfId="2">
      <formula>AND(IF($Q167=2,1,0),IF($X167&lt;30,1,0))</formula>
    </cfRule>
    <cfRule type="expression" priority="3945" dxfId="1">
      <formula>AND(IF($Q167=3,1,0),IF($X167&lt;30,1,0))</formula>
    </cfRule>
    <cfRule type="expression" priority="3946" dxfId="0">
      <formula>AND(IF($Q167=3,1,IF($Q167=4,1,0)),IF($F167&lt;=85,1,0))</formula>
    </cfRule>
  </conditionalFormatting>
  <conditionalFormatting sqref="AV168">
    <cfRule type="expression" priority="3941" dxfId="19">
      <formula>AV168="X"</formula>
    </cfRule>
    <cfRule type="expression" priority="3942" dxfId="18">
      <formula>AV168="후보"</formula>
    </cfRule>
  </conditionalFormatting>
  <conditionalFormatting sqref="AC16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6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68">
    <cfRule type="expression" priority="3933" dxfId="3">
      <formula>AND(IF(OR($Q168=1,$Q168=2),1,0),IF($X168&lt;=20,1,0))</formula>
    </cfRule>
    <cfRule type="expression" priority="3934" dxfId="2">
      <formula>AND(IF($Q168=2,1,0),IF($X168&lt;30,1,0))</formula>
    </cfRule>
    <cfRule type="expression" priority="3935" dxfId="1">
      <formula>AND(IF($Q168=3,1,0),IF($X168&lt;30,1,0))</formula>
    </cfRule>
    <cfRule type="expression" priority="3936" dxfId="0">
      <formula>AND(IF($Q168=3,1,IF($Q168=4,1,0)),IF($F168&lt;=85,1,0))</formula>
    </cfRule>
  </conditionalFormatting>
  <conditionalFormatting sqref="X168">
    <cfRule type="expression" priority="3929" dxfId="3">
      <formula>AND(IF(OR($Q168=1,$Q168=2),1,0),IF($X168&lt;=20,1,0))</formula>
    </cfRule>
    <cfRule type="expression" priority="3930" dxfId="2">
      <formula>AND(IF($Q168=2,1,0),IF($X168&lt;30,1,0))</formula>
    </cfRule>
    <cfRule type="expression" priority="3931" dxfId="1">
      <formula>AND(IF($Q168=3,1,0),IF($X168&lt;30,1,0))</formula>
    </cfRule>
    <cfRule type="expression" priority="3932" dxfId="0">
      <formula>AND(IF($Q168=3,1,IF($Q168=4,1,0)),IF($F168&lt;=85,1,0))</formula>
    </cfRule>
  </conditionalFormatting>
  <conditionalFormatting sqref="AI168">
    <cfRule type="expression" priority="3925" dxfId="3">
      <formula>AND(IF(OR($Q168=1,$Q168=2),1,0),IF($X168&lt;=20,1,0))</formula>
    </cfRule>
    <cfRule type="expression" priority="3926" dxfId="2">
      <formula>AND(IF($Q168=2,1,0),IF($X168&lt;30,1,0))</formula>
    </cfRule>
    <cfRule type="expression" priority="3927" dxfId="1">
      <formula>AND(IF($Q168=3,1,0),IF($X168&lt;30,1,0))</formula>
    </cfRule>
    <cfRule type="expression" priority="3928" dxfId="0">
      <formula>AND(IF($Q168=3,1,IF($Q168=4,1,0)),IF($F168&lt;=85,1,0))</formula>
    </cfRule>
  </conditionalFormatting>
  <conditionalFormatting sqref="AV169">
    <cfRule type="expression" priority="3923" dxfId="19">
      <formula>AV169="X"</formula>
    </cfRule>
    <cfRule type="expression" priority="3924" dxfId="18">
      <formula>AV169="후보"</formula>
    </cfRule>
  </conditionalFormatting>
  <conditionalFormatting sqref="AC169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69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69">
    <cfRule type="expression" priority="3915" dxfId="3">
      <formula>AND(IF(OR($Q169=1,$Q169=2),1,0),IF($X169&lt;=20,1,0))</formula>
    </cfRule>
    <cfRule type="expression" priority="3916" dxfId="2">
      <formula>AND(IF($Q169=2,1,0),IF($X169&lt;30,1,0))</formula>
    </cfRule>
    <cfRule type="expression" priority="3917" dxfId="1">
      <formula>AND(IF($Q169=3,1,0),IF($X169&lt;30,1,0))</formula>
    </cfRule>
    <cfRule type="expression" priority="3918" dxfId="0">
      <formula>AND(IF($Q169=3,1,IF($Q169=4,1,0)),IF($F169&lt;=85,1,0))</formula>
    </cfRule>
  </conditionalFormatting>
  <conditionalFormatting sqref="X169">
    <cfRule type="expression" priority="3911" dxfId="3">
      <formula>AND(IF(OR($Q169=1,$Q169=2),1,0),IF($X169&lt;=20,1,0))</formula>
    </cfRule>
    <cfRule type="expression" priority="3912" dxfId="2">
      <formula>AND(IF($Q169=2,1,0),IF($X169&lt;30,1,0))</formula>
    </cfRule>
    <cfRule type="expression" priority="3913" dxfId="1">
      <formula>AND(IF($Q169=3,1,0),IF($X169&lt;30,1,0))</formula>
    </cfRule>
    <cfRule type="expression" priority="3914" dxfId="0">
      <formula>AND(IF($Q169=3,1,IF($Q169=4,1,0)),IF($F169&lt;=85,1,0))</formula>
    </cfRule>
  </conditionalFormatting>
  <conditionalFormatting sqref="AI169">
    <cfRule type="expression" priority="3907" dxfId="3">
      <formula>AND(IF(OR($Q169=1,$Q169=2),1,0),IF($X169&lt;=20,1,0))</formula>
    </cfRule>
    <cfRule type="expression" priority="3908" dxfId="2">
      <formula>AND(IF($Q169=2,1,0),IF($X169&lt;30,1,0))</formula>
    </cfRule>
    <cfRule type="expression" priority="3909" dxfId="1">
      <formula>AND(IF($Q169=3,1,0),IF($X169&lt;30,1,0))</formula>
    </cfRule>
    <cfRule type="expression" priority="3910" dxfId="0">
      <formula>AND(IF($Q169=3,1,IF($Q169=4,1,0)),IF($F169&lt;=85,1,0))</formula>
    </cfRule>
  </conditionalFormatting>
  <conditionalFormatting sqref="AV170">
    <cfRule type="expression" priority="3905" dxfId="19">
      <formula>AV170="X"</formula>
    </cfRule>
    <cfRule type="expression" priority="3906" dxfId="18">
      <formula>AV170="후보"</formula>
    </cfRule>
  </conditionalFormatting>
  <conditionalFormatting sqref="AC170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7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70">
    <cfRule type="expression" priority="3897" dxfId="3">
      <formula>AND(IF(OR($Q170=1,$Q170=2),1,0),IF($X170&lt;=20,1,0))</formula>
    </cfRule>
    <cfRule type="expression" priority="3898" dxfId="2">
      <formula>AND(IF($Q170=2,1,0),IF($X170&lt;30,1,0))</formula>
    </cfRule>
    <cfRule type="expression" priority="3899" dxfId="1">
      <formula>AND(IF($Q170=3,1,0),IF($X170&lt;30,1,0))</formula>
    </cfRule>
    <cfRule type="expression" priority="3900" dxfId="0">
      <formula>AND(IF($Q170=3,1,IF($Q170=4,1,0)),IF($F170&lt;=85,1,0))</formula>
    </cfRule>
  </conditionalFormatting>
  <conditionalFormatting sqref="X170">
    <cfRule type="expression" priority="3893" dxfId="3">
      <formula>AND(IF(OR($Q170=1,$Q170=2),1,0),IF($X170&lt;=20,1,0))</formula>
    </cfRule>
    <cfRule type="expression" priority="3894" dxfId="2">
      <formula>AND(IF($Q170=2,1,0),IF($X170&lt;30,1,0))</formula>
    </cfRule>
    <cfRule type="expression" priority="3895" dxfId="1">
      <formula>AND(IF($Q170=3,1,0),IF($X170&lt;30,1,0))</formula>
    </cfRule>
    <cfRule type="expression" priority="3896" dxfId="0">
      <formula>AND(IF($Q170=3,1,IF($Q170=4,1,0)),IF($F170&lt;=85,1,0))</formula>
    </cfRule>
  </conditionalFormatting>
  <conditionalFormatting sqref="AI170">
    <cfRule type="expression" priority="3889" dxfId="3">
      <formula>AND(IF(OR($Q170=1,$Q170=2),1,0),IF($X170&lt;=20,1,0))</formula>
    </cfRule>
    <cfRule type="expression" priority="3890" dxfId="2">
      <formula>AND(IF($Q170=2,1,0),IF($X170&lt;30,1,0))</formula>
    </cfRule>
    <cfRule type="expression" priority="3891" dxfId="1">
      <formula>AND(IF($Q170=3,1,0),IF($X170&lt;30,1,0))</formula>
    </cfRule>
    <cfRule type="expression" priority="3892" dxfId="0">
      <formula>AND(IF($Q170=3,1,IF($Q170=4,1,0)),IF($F170&lt;=85,1,0))</formula>
    </cfRule>
  </conditionalFormatting>
  <conditionalFormatting sqref="AV171">
    <cfRule type="expression" priority="3887" dxfId="19">
      <formula>AV171="X"</formula>
    </cfRule>
    <cfRule type="expression" priority="3888" dxfId="18">
      <formula>AV171="후보"</formula>
    </cfRule>
  </conditionalFormatting>
  <conditionalFormatting sqref="AC171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71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71">
    <cfRule type="expression" priority="3879" dxfId="3">
      <formula>AND(IF(OR($Q171=1,$Q171=2),1,0),IF($X171&lt;=20,1,0))</formula>
    </cfRule>
    <cfRule type="expression" priority="3880" dxfId="2">
      <formula>AND(IF($Q171=2,1,0),IF($X171&lt;30,1,0))</formula>
    </cfRule>
    <cfRule type="expression" priority="3881" dxfId="1">
      <formula>AND(IF($Q171=3,1,0),IF($X171&lt;30,1,0))</formula>
    </cfRule>
    <cfRule type="expression" priority="3882" dxfId="0">
      <formula>AND(IF($Q171=3,1,IF($Q171=4,1,0)),IF($F171&lt;=85,1,0))</formula>
    </cfRule>
  </conditionalFormatting>
  <conditionalFormatting sqref="X171">
    <cfRule type="expression" priority="3875" dxfId="3">
      <formula>AND(IF(OR($Q171=1,$Q171=2),1,0),IF($X171&lt;=20,1,0))</formula>
    </cfRule>
    <cfRule type="expression" priority="3876" dxfId="2">
      <formula>AND(IF($Q171=2,1,0),IF($X171&lt;30,1,0))</formula>
    </cfRule>
    <cfRule type="expression" priority="3877" dxfId="1">
      <formula>AND(IF($Q171=3,1,0),IF($X171&lt;30,1,0))</formula>
    </cfRule>
    <cfRule type="expression" priority="3878" dxfId="0">
      <formula>AND(IF($Q171=3,1,IF($Q171=4,1,0)),IF($F171&lt;=85,1,0))</formula>
    </cfRule>
  </conditionalFormatting>
  <conditionalFormatting sqref="AI171">
    <cfRule type="expression" priority="3871" dxfId="3">
      <formula>AND(IF(OR($Q171=1,$Q171=2),1,0),IF($X171&lt;=20,1,0))</formula>
    </cfRule>
    <cfRule type="expression" priority="3872" dxfId="2">
      <formula>AND(IF($Q171=2,1,0),IF($X171&lt;30,1,0))</formula>
    </cfRule>
    <cfRule type="expression" priority="3873" dxfId="1">
      <formula>AND(IF($Q171=3,1,0),IF($X171&lt;30,1,0))</formula>
    </cfRule>
    <cfRule type="expression" priority="3874" dxfId="0">
      <formula>AND(IF($Q171=3,1,IF($Q171=4,1,0)),IF($F171&lt;=85,1,0))</formula>
    </cfRule>
  </conditionalFormatting>
  <conditionalFormatting sqref="AV172">
    <cfRule type="expression" priority="3869" dxfId="19">
      <formula>AV172="X"</formula>
    </cfRule>
    <cfRule type="expression" priority="3870" dxfId="18">
      <formula>AV172="후보"</formula>
    </cfRule>
  </conditionalFormatting>
  <conditionalFormatting sqref="AC172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7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72">
    <cfRule type="expression" priority="3861" dxfId="3">
      <formula>AND(IF(OR($Q172=1,$Q172=2),1,0),IF($X172&lt;=20,1,0))</formula>
    </cfRule>
    <cfRule type="expression" priority="3862" dxfId="2">
      <formula>AND(IF($Q172=2,1,0),IF($X172&lt;30,1,0))</formula>
    </cfRule>
    <cfRule type="expression" priority="3863" dxfId="1">
      <formula>AND(IF($Q172=3,1,0),IF($X172&lt;30,1,0))</formula>
    </cfRule>
    <cfRule type="expression" priority="3864" dxfId="0">
      <formula>AND(IF($Q172=3,1,IF($Q172=4,1,0)),IF($F172&lt;=85,1,0))</formula>
    </cfRule>
  </conditionalFormatting>
  <conditionalFormatting sqref="X172">
    <cfRule type="expression" priority="3857" dxfId="3">
      <formula>AND(IF(OR($Q172=1,$Q172=2),1,0),IF($X172&lt;=20,1,0))</formula>
    </cfRule>
    <cfRule type="expression" priority="3858" dxfId="2">
      <formula>AND(IF($Q172=2,1,0),IF($X172&lt;30,1,0))</formula>
    </cfRule>
    <cfRule type="expression" priority="3859" dxfId="1">
      <formula>AND(IF($Q172=3,1,0),IF($X172&lt;30,1,0))</formula>
    </cfRule>
    <cfRule type="expression" priority="3860" dxfId="0">
      <formula>AND(IF($Q172=3,1,IF($Q172=4,1,0)),IF($F172&lt;=85,1,0))</formula>
    </cfRule>
  </conditionalFormatting>
  <conditionalFormatting sqref="AI172">
    <cfRule type="expression" priority="3853" dxfId="3">
      <formula>AND(IF(OR($Q172=1,$Q172=2),1,0),IF($X172&lt;=20,1,0))</formula>
    </cfRule>
    <cfRule type="expression" priority="3854" dxfId="2">
      <formula>AND(IF($Q172=2,1,0),IF($X172&lt;30,1,0))</formula>
    </cfRule>
    <cfRule type="expression" priority="3855" dxfId="1">
      <formula>AND(IF($Q172=3,1,0),IF($X172&lt;30,1,0))</formula>
    </cfRule>
    <cfRule type="expression" priority="3856" dxfId="0">
      <formula>AND(IF($Q172=3,1,IF($Q172=4,1,0)),IF($F172&lt;=85,1,0))</formula>
    </cfRule>
  </conditionalFormatting>
  <conditionalFormatting sqref="AV173">
    <cfRule type="expression" priority="3851" dxfId="19">
      <formula>AV173="X"</formula>
    </cfRule>
    <cfRule type="expression" priority="3852" dxfId="18">
      <formula>AV173="후보"</formula>
    </cfRule>
  </conditionalFormatting>
  <conditionalFormatting sqref="AC173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7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73">
    <cfRule type="expression" priority="3843" dxfId="3">
      <formula>AND(IF(OR($Q173=1,$Q173=2),1,0),IF($X173&lt;=20,1,0))</formula>
    </cfRule>
    <cfRule type="expression" priority="3844" dxfId="2">
      <formula>AND(IF($Q173=2,1,0),IF($X173&lt;30,1,0))</formula>
    </cfRule>
    <cfRule type="expression" priority="3845" dxfId="1">
      <formula>AND(IF($Q173=3,1,0),IF($X173&lt;30,1,0))</formula>
    </cfRule>
    <cfRule type="expression" priority="3846" dxfId="0">
      <formula>AND(IF($Q173=3,1,IF($Q173=4,1,0)),IF($F173&lt;=85,1,0))</formula>
    </cfRule>
  </conditionalFormatting>
  <conditionalFormatting sqref="X173">
    <cfRule type="expression" priority="3839" dxfId="3">
      <formula>AND(IF(OR($Q173=1,$Q173=2),1,0),IF($X173&lt;=20,1,0))</formula>
    </cfRule>
    <cfRule type="expression" priority="3840" dxfId="2">
      <formula>AND(IF($Q173=2,1,0),IF($X173&lt;30,1,0))</formula>
    </cfRule>
    <cfRule type="expression" priority="3841" dxfId="1">
      <formula>AND(IF($Q173=3,1,0),IF($X173&lt;30,1,0))</formula>
    </cfRule>
    <cfRule type="expression" priority="3842" dxfId="0">
      <formula>AND(IF($Q173=3,1,IF($Q173=4,1,0)),IF($F173&lt;=85,1,0))</formula>
    </cfRule>
  </conditionalFormatting>
  <conditionalFormatting sqref="AI173">
    <cfRule type="expression" priority="3835" dxfId="3">
      <formula>AND(IF(OR($Q173=1,$Q173=2),1,0),IF($X173&lt;=20,1,0))</formula>
    </cfRule>
    <cfRule type="expression" priority="3836" dxfId="2">
      <formula>AND(IF($Q173=2,1,0),IF($X173&lt;30,1,0))</formula>
    </cfRule>
    <cfRule type="expression" priority="3837" dxfId="1">
      <formula>AND(IF($Q173=3,1,0),IF($X173&lt;30,1,0))</formula>
    </cfRule>
    <cfRule type="expression" priority="3838" dxfId="0">
      <formula>AND(IF($Q173=3,1,IF($Q173=4,1,0)),IF($F173&lt;=85,1,0))</formula>
    </cfRule>
  </conditionalFormatting>
  <conditionalFormatting sqref="AV174">
    <cfRule type="expression" priority="3833" dxfId="19">
      <formula>AV174="X"</formula>
    </cfRule>
    <cfRule type="expression" priority="3834" dxfId="18">
      <formula>AV174="후보"</formula>
    </cfRule>
  </conditionalFormatting>
  <conditionalFormatting sqref="AC174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7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74">
    <cfRule type="expression" priority="3825" dxfId="3">
      <formula>AND(IF(OR($Q174=1,$Q174=2),1,0),IF($X174&lt;=20,1,0))</formula>
    </cfRule>
    <cfRule type="expression" priority="3826" dxfId="2">
      <formula>AND(IF($Q174=2,1,0),IF($X174&lt;30,1,0))</formula>
    </cfRule>
    <cfRule type="expression" priority="3827" dxfId="1">
      <formula>AND(IF($Q174=3,1,0),IF($X174&lt;30,1,0))</formula>
    </cfRule>
    <cfRule type="expression" priority="3828" dxfId="0">
      <formula>AND(IF($Q174=3,1,IF($Q174=4,1,0)),IF($F174&lt;=85,1,0))</formula>
    </cfRule>
  </conditionalFormatting>
  <conditionalFormatting sqref="X174">
    <cfRule type="expression" priority="3821" dxfId="3">
      <formula>AND(IF(OR($Q174=1,$Q174=2),1,0),IF($X174&lt;=20,1,0))</formula>
    </cfRule>
    <cfRule type="expression" priority="3822" dxfId="2">
      <formula>AND(IF($Q174=2,1,0),IF($X174&lt;30,1,0))</formula>
    </cfRule>
    <cfRule type="expression" priority="3823" dxfId="1">
      <formula>AND(IF($Q174=3,1,0),IF($X174&lt;30,1,0))</formula>
    </cfRule>
    <cfRule type="expression" priority="3824" dxfId="0">
      <formula>AND(IF($Q174=3,1,IF($Q174=4,1,0)),IF($F174&lt;=85,1,0))</formula>
    </cfRule>
  </conditionalFormatting>
  <conditionalFormatting sqref="AI174">
    <cfRule type="expression" priority="3817" dxfId="3">
      <formula>AND(IF(OR($Q174=1,$Q174=2),1,0),IF($X174&lt;=20,1,0))</formula>
    </cfRule>
    <cfRule type="expression" priority="3818" dxfId="2">
      <formula>AND(IF($Q174=2,1,0),IF($X174&lt;30,1,0))</formula>
    </cfRule>
    <cfRule type="expression" priority="3819" dxfId="1">
      <formula>AND(IF($Q174=3,1,0),IF($X174&lt;30,1,0))</formula>
    </cfRule>
    <cfRule type="expression" priority="3820" dxfId="0">
      <formula>AND(IF($Q174=3,1,IF($Q174=4,1,0)),IF($F174&lt;=85,1,0))</formula>
    </cfRule>
  </conditionalFormatting>
  <conditionalFormatting sqref="AV175">
    <cfRule type="expression" priority="3815" dxfId="19">
      <formula>AV175="X"</formula>
    </cfRule>
    <cfRule type="expression" priority="3816" dxfId="18">
      <formula>AV175="후보"</formula>
    </cfRule>
  </conditionalFormatting>
  <conditionalFormatting sqref="AC175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7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75">
    <cfRule type="expression" priority="3807" dxfId="3">
      <formula>AND(IF(OR($Q175=1,$Q175=2),1,0),IF($X175&lt;=20,1,0))</formula>
    </cfRule>
    <cfRule type="expression" priority="3808" dxfId="2">
      <formula>AND(IF($Q175=2,1,0),IF($X175&lt;30,1,0))</formula>
    </cfRule>
    <cfRule type="expression" priority="3809" dxfId="1">
      <formula>AND(IF($Q175=3,1,0),IF($X175&lt;30,1,0))</formula>
    </cfRule>
    <cfRule type="expression" priority="3810" dxfId="0">
      <formula>AND(IF($Q175=3,1,IF($Q175=4,1,0)),IF($F175&lt;=85,1,0))</formula>
    </cfRule>
  </conditionalFormatting>
  <conditionalFormatting sqref="X175">
    <cfRule type="expression" priority="3803" dxfId="3">
      <formula>AND(IF(OR($Q175=1,$Q175=2),1,0),IF($X175&lt;=20,1,0))</formula>
    </cfRule>
    <cfRule type="expression" priority="3804" dxfId="2">
      <formula>AND(IF($Q175=2,1,0),IF($X175&lt;30,1,0))</formula>
    </cfRule>
    <cfRule type="expression" priority="3805" dxfId="1">
      <formula>AND(IF($Q175=3,1,0),IF($X175&lt;30,1,0))</formula>
    </cfRule>
    <cfRule type="expression" priority="3806" dxfId="0">
      <formula>AND(IF($Q175=3,1,IF($Q175=4,1,0)),IF($F175&lt;=85,1,0))</formula>
    </cfRule>
  </conditionalFormatting>
  <conditionalFormatting sqref="AI175">
    <cfRule type="expression" priority="3799" dxfId="3">
      <formula>AND(IF(OR($Q175=1,$Q175=2),1,0),IF($X175&lt;=20,1,0))</formula>
    </cfRule>
    <cfRule type="expression" priority="3800" dxfId="2">
      <formula>AND(IF($Q175=2,1,0),IF($X175&lt;30,1,0))</formula>
    </cfRule>
    <cfRule type="expression" priority="3801" dxfId="1">
      <formula>AND(IF($Q175=3,1,0),IF($X175&lt;30,1,0))</formula>
    </cfRule>
    <cfRule type="expression" priority="3802" dxfId="0">
      <formula>AND(IF($Q175=3,1,IF($Q175=4,1,0)),IF($F175&lt;=85,1,0))</formula>
    </cfRule>
  </conditionalFormatting>
  <conditionalFormatting sqref="AV176">
    <cfRule type="expression" priority="3797" dxfId="19">
      <formula>AV176="X"</formula>
    </cfRule>
    <cfRule type="expression" priority="3798" dxfId="18">
      <formula>AV176="후보"</formula>
    </cfRule>
  </conditionalFormatting>
  <conditionalFormatting sqref="AC176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7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76">
    <cfRule type="expression" priority="3789" dxfId="3">
      <formula>AND(IF(OR($Q176=1,$Q176=2),1,0),IF($X176&lt;=20,1,0))</formula>
    </cfRule>
    <cfRule type="expression" priority="3790" dxfId="2">
      <formula>AND(IF($Q176=2,1,0),IF($X176&lt;30,1,0))</formula>
    </cfRule>
    <cfRule type="expression" priority="3791" dxfId="1">
      <formula>AND(IF($Q176=3,1,0),IF($X176&lt;30,1,0))</formula>
    </cfRule>
    <cfRule type="expression" priority="3792" dxfId="0">
      <formula>AND(IF($Q176=3,1,IF($Q176=4,1,0)),IF($F176&lt;=85,1,0))</formula>
    </cfRule>
  </conditionalFormatting>
  <conditionalFormatting sqref="X176">
    <cfRule type="expression" priority="3785" dxfId="3">
      <formula>AND(IF(OR($Q176=1,$Q176=2),1,0),IF($X176&lt;=20,1,0))</formula>
    </cfRule>
    <cfRule type="expression" priority="3786" dxfId="2">
      <formula>AND(IF($Q176=2,1,0),IF($X176&lt;30,1,0))</formula>
    </cfRule>
    <cfRule type="expression" priority="3787" dxfId="1">
      <formula>AND(IF($Q176=3,1,0),IF($X176&lt;30,1,0))</formula>
    </cfRule>
    <cfRule type="expression" priority="3788" dxfId="0">
      <formula>AND(IF($Q176=3,1,IF($Q176=4,1,0)),IF($F176&lt;=85,1,0))</formula>
    </cfRule>
  </conditionalFormatting>
  <conditionalFormatting sqref="AI176">
    <cfRule type="expression" priority="3781" dxfId="3">
      <formula>AND(IF(OR($Q176=1,$Q176=2),1,0),IF($X176&lt;=20,1,0))</formula>
    </cfRule>
    <cfRule type="expression" priority="3782" dxfId="2">
      <formula>AND(IF($Q176=2,1,0),IF($X176&lt;30,1,0))</formula>
    </cfRule>
    <cfRule type="expression" priority="3783" dxfId="1">
      <formula>AND(IF($Q176=3,1,0),IF($X176&lt;30,1,0))</formula>
    </cfRule>
    <cfRule type="expression" priority="3784" dxfId="0">
      <formula>AND(IF($Q176=3,1,IF($Q176=4,1,0)),IF($F176&lt;=85,1,0))</formula>
    </cfRule>
  </conditionalFormatting>
  <conditionalFormatting sqref="AV177">
    <cfRule type="expression" priority="3779" dxfId="19">
      <formula>AV177="X"</formula>
    </cfRule>
    <cfRule type="expression" priority="3780" dxfId="18">
      <formula>AV177="후보"</formula>
    </cfRule>
  </conditionalFormatting>
  <conditionalFormatting sqref="AC177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7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77">
    <cfRule type="expression" priority="3771" dxfId="3">
      <formula>AND(IF(OR($Q177=1,$Q177=2),1,0),IF($X177&lt;=20,1,0))</formula>
    </cfRule>
    <cfRule type="expression" priority="3772" dxfId="2">
      <formula>AND(IF($Q177=2,1,0),IF($X177&lt;30,1,0))</formula>
    </cfRule>
    <cfRule type="expression" priority="3773" dxfId="1">
      <formula>AND(IF($Q177=3,1,0),IF($X177&lt;30,1,0))</formula>
    </cfRule>
    <cfRule type="expression" priority="3774" dxfId="0">
      <formula>AND(IF($Q177=3,1,IF($Q177=4,1,0)),IF($F177&lt;=85,1,0))</formula>
    </cfRule>
  </conditionalFormatting>
  <conditionalFormatting sqref="X177">
    <cfRule type="expression" priority="3767" dxfId="3">
      <formula>AND(IF(OR($Q177=1,$Q177=2),1,0),IF($X177&lt;=20,1,0))</formula>
    </cfRule>
    <cfRule type="expression" priority="3768" dxfId="2">
      <formula>AND(IF($Q177=2,1,0),IF($X177&lt;30,1,0))</formula>
    </cfRule>
    <cfRule type="expression" priority="3769" dxfId="1">
      <formula>AND(IF($Q177=3,1,0),IF($X177&lt;30,1,0))</formula>
    </cfRule>
    <cfRule type="expression" priority="3770" dxfId="0">
      <formula>AND(IF($Q177=3,1,IF($Q177=4,1,0)),IF($F177&lt;=85,1,0))</formula>
    </cfRule>
  </conditionalFormatting>
  <conditionalFormatting sqref="AI177">
    <cfRule type="expression" priority="3763" dxfId="3">
      <formula>AND(IF(OR($Q177=1,$Q177=2),1,0),IF($X177&lt;=20,1,0))</formula>
    </cfRule>
    <cfRule type="expression" priority="3764" dxfId="2">
      <formula>AND(IF($Q177=2,1,0),IF($X177&lt;30,1,0))</formula>
    </cfRule>
    <cfRule type="expression" priority="3765" dxfId="1">
      <formula>AND(IF($Q177=3,1,0),IF($X177&lt;30,1,0))</formula>
    </cfRule>
    <cfRule type="expression" priority="3766" dxfId="0">
      <formula>AND(IF($Q177=3,1,IF($Q177=4,1,0)),IF($F177&lt;=85,1,0))</formula>
    </cfRule>
  </conditionalFormatting>
  <conditionalFormatting sqref="AV178">
    <cfRule type="expression" priority="3761" dxfId="19">
      <formula>AV178="X"</formula>
    </cfRule>
    <cfRule type="expression" priority="3762" dxfId="18">
      <formula>AV178="후보"</formula>
    </cfRule>
  </conditionalFormatting>
  <conditionalFormatting sqref="AC178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7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78">
    <cfRule type="expression" priority="3753" dxfId="3">
      <formula>AND(IF(OR($Q178=1,$Q178=2),1,0),IF($X178&lt;=20,1,0))</formula>
    </cfRule>
    <cfRule type="expression" priority="3754" dxfId="2">
      <formula>AND(IF($Q178=2,1,0),IF($X178&lt;30,1,0))</formula>
    </cfRule>
    <cfRule type="expression" priority="3755" dxfId="1">
      <formula>AND(IF($Q178=3,1,0),IF($X178&lt;30,1,0))</formula>
    </cfRule>
    <cfRule type="expression" priority="3756" dxfId="0">
      <formula>AND(IF($Q178=3,1,IF($Q178=4,1,0)),IF($F178&lt;=85,1,0))</formula>
    </cfRule>
  </conditionalFormatting>
  <conditionalFormatting sqref="X178">
    <cfRule type="expression" priority="3749" dxfId="3">
      <formula>AND(IF(OR($Q178=1,$Q178=2),1,0),IF($X178&lt;=20,1,0))</formula>
    </cfRule>
    <cfRule type="expression" priority="3750" dxfId="2">
      <formula>AND(IF($Q178=2,1,0),IF($X178&lt;30,1,0))</formula>
    </cfRule>
    <cfRule type="expression" priority="3751" dxfId="1">
      <formula>AND(IF($Q178=3,1,0),IF($X178&lt;30,1,0))</formula>
    </cfRule>
    <cfRule type="expression" priority="3752" dxfId="0">
      <formula>AND(IF($Q178=3,1,IF($Q178=4,1,0)),IF($F178&lt;=85,1,0))</formula>
    </cfRule>
  </conditionalFormatting>
  <conditionalFormatting sqref="AI178">
    <cfRule type="expression" priority="3745" dxfId="3">
      <formula>AND(IF(OR($Q178=1,$Q178=2),1,0),IF($X178&lt;=20,1,0))</formula>
    </cfRule>
    <cfRule type="expression" priority="3746" dxfId="2">
      <formula>AND(IF($Q178=2,1,0),IF($X178&lt;30,1,0))</formula>
    </cfRule>
    <cfRule type="expression" priority="3747" dxfId="1">
      <formula>AND(IF($Q178=3,1,0),IF($X178&lt;30,1,0))</formula>
    </cfRule>
    <cfRule type="expression" priority="3748" dxfId="0">
      <formula>AND(IF($Q178=3,1,IF($Q178=4,1,0)),IF($F178&lt;=85,1,0))</formula>
    </cfRule>
  </conditionalFormatting>
  <conditionalFormatting sqref="AV179">
    <cfRule type="expression" priority="3743" dxfId="19">
      <formula>AV179="X"</formula>
    </cfRule>
    <cfRule type="expression" priority="3744" dxfId="18">
      <formula>AV179="후보"</formula>
    </cfRule>
  </conditionalFormatting>
  <conditionalFormatting sqref="AC179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7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79">
    <cfRule type="expression" priority="3735" dxfId="3">
      <formula>AND(IF(OR($Q179=1,$Q179=2),1,0),IF($X179&lt;=20,1,0))</formula>
    </cfRule>
    <cfRule type="expression" priority="3736" dxfId="2">
      <formula>AND(IF($Q179=2,1,0),IF($X179&lt;30,1,0))</formula>
    </cfRule>
    <cfRule type="expression" priority="3737" dxfId="1">
      <formula>AND(IF($Q179=3,1,0),IF($X179&lt;30,1,0))</formula>
    </cfRule>
    <cfRule type="expression" priority="3738" dxfId="0">
      <formula>AND(IF($Q179=3,1,IF($Q179=4,1,0)),IF($F179&lt;=85,1,0))</formula>
    </cfRule>
  </conditionalFormatting>
  <conditionalFormatting sqref="X179">
    <cfRule type="expression" priority="3731" dxfId="3">
      <formula>AND(IF(OR($Q179=1,$Q179=2),1,0),IF($X179&lt;=20,1,0))</formula>
    </cfRule>
    <cfRule type="expression" priority="3732" dxfId="2">
      <formula>AND(IF($Q179=2,1,0),IF($X179&lt;30,1,0))</formula>
    </cfRule>
    <cfRule type="expression" priority="3733" dxfId="1">
      <formula>AND(IF($Q179=3,1,0),IF($X179&lt;30,1,0))</formula>
    </cfRule>
    <cfRule type="expression" priority="3734" dxfId="0">
      <formula>AND(IF($Q179=3,1,IF($Q179=4,1,0)),IF($F179&lt;=85,1,0))</formula>
    </cfRule>
  </conditionalFormatting>
  <conditionalFormatting sqref="AI179">
    <cfRule type="expression" priority="3727" dxfId="3">
      <formula>AND(IF(OR($Q179=1,$Q179=2),1,0),IF($X179&lt;=20,1,0))</formula>
    </cfRule>
    <cfRule type="expression" priority="3728" dxfId="2">
      <formula>AND(IF($Q179=2,1,0),IF($X179&lt;30,1,0))</formula>
    </cfRule>
    <cfRule type="expression" priority="3729" dxfId="1">
      <formula>AND(IF($Q179=3,1,0),IF($X179&lt;30,1,0))</formula>
    </cfRule>
    <cfRule type="expression" priority="3730" dxfId="0">
      <formula>AND(IF($Q179=3,1,IF($Q179=4,1,0)),IF($F179&lt;=85,1,0))</formula>
    </cfRule>
  </conditionalFormatting>
  <conditionalFormatting sqref="AV180">
    <cfRule type="expression" priority="3725" dxfId="19">
      <formula>AV180="X"</formula>
    </cfRule>
    <cfRule type="expression" priority="3726" dxfId="18">
      <formula>AV180="후보"</formula>
    </cfRule>
  </conditionalFormatting>
  <conditionalFormatting sqref="AC180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8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80">
    <cfRule type="expression" priority="3717" dxfId="3">
      <formula>AND(IF(OR($Q180=1,$Q180=2),1,0),IF($X180&lt;=20,1,0))</formula>
    </cfRule>
    <cfRule type="expression" priority="3718" dxfId="2">
      <formula>AND(IF($Q180=2,1,0),IF($X180&lt;30,1,0))</formula>
    </cfRule>
    <cfRule type="expression" priority="3719" dxfId="1">
      <formula>AND(IF($Q180=3,1,0),IF($X180&lt;30,1,0))</formula>
    </cfRule>
    <cfRule type="expression" priority="3720" dxfId="0">
      <formula>AND(IF($Q180=3,1,IF($Q180=4,1,0)),IF($F180&lt;=85,1,0))</formula>
    </cfRule>
  </conditionalFormatting>
  <conditionalFormatting sqref="X180">
    <cfRule type="expression" priority="3713" dxfId="3">
      <formula>AND(IF(OR($Q180=1,$Q180=2),1,0),IF($X180&lt;=20,1,0))</formula>
    </cfRule>
    <cfRule type="expression" priority="3714" dxfId="2">
      <formula>AND(IF($Q180=2,1,0),IF($X180&lt;30,1,0))</formula>
    </cfRule>
    <cfRule type="expression" priority="3715" dxfId="1">
      <formula>AND(IF($Q180=3,1,0),IF($X180&lt;30,1,0))</formula>
    </cfRule>
    <cfRule type="expression" priority="3716" dxfId="0">
      <formula>AND(IF($Q180=3,1,IF($Q180=4,1,0)),IF($F180&lt;=85,1,0))</formula>
    </cfRule>
  </conditionalFormatting>
  <conditionalFormatting sqref="AI180">
    <cfRule type="expression" priority="3709" dxfId="3">
      <formula>AND(IF(OR($Q180=1,$Q180=2),1,0),IF($X180&lt;=20,1,0))</formula>
    </cfRule>
    <cfRule type="expression" priority="3710" dxfId="2">
      <formula>AND(IF($Q180=2,1,0),IF($X180&lt;30,1,0))</formula>
    </cfRule>
    <cfRule type="expression" priority="3711" dxfId="1">
      <formula>AND(IF($Q180=3,1,0),IF($X180&lt;30,1,0))</formula>
    </cfRule>
    <cfRule type="expression" priority="3712" dxfId="0">
      <formula>AND(IF($Q180=3,1,IF($Q180=4,1,0)),IF($F180&lt;=85,1,0))</formula>
    </cfRule>
  </conditionalFormatting>
  <conditionalFormatting sqref="AV181">
    <cfRule type="expression" priority="3707" dxfId="19">
      <formula>AV181="X"</formula>
    </cfRule>
    <cfRule type="expression" priority="3708" dxfId="18">
      <formula>AV181="후보"</formula>
    </cfRule>
  </conditionalFormatting>
  <conditionalFormatting sqref="AC181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8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81">
    <cfRule type="expression" priority="3699" dxfId="3">
      <formula>AND(IF(OR($Q181=1,$Q181=2),1,0),IF($X181&lt;=20,1,0))</formula>
    </cfRule>
    <cfRule type="expression" priority="3700" dxfId="2">
      <formula>AND(IF($Q181=2,1,0),IF($X181&lt;30,1,0))</formula>
    </cfRule>
    <cfRule type="expression" priority="3701" dxfId="1">
      <formula>AND(IF($Q181=3,1,0),IF($X181&lt;30,1,0))</formula>
    </cfRule>
    <cfRule type="expression" priority="3702" dxfId="0">
      <formula>AND(IF($Q181=3,1,IF($Q181=4,1,0)),IF($F181&lt;=85,1,0))</formula>
    </cfRule>
  </conditionalFormatting>
  <conditionalFormatting sqref="X181">
    <cfRule type="expression" priority="3695" dxfId="3">
      <formula>AND(IF(OR($Q181=1,$Q181=2),1,0),IF($X181&lt;=20,1,0))</formula>
    </cfRule>
    <cfRule type="expression" priority="3696" dxfId="2">
      <formula>AND(IF($Q181=2,1,0),IF($X181&lt;30,1,0))</formula>
    </cfRule>
    <cfRule type="expression" priority="3697" dxfId="1">
      <formula>AND(IF($Q181=3,1,0),IF($X181&lt;30,1,0))</formula>
    </cfRule>
    <cfRule type="expression" priority="3698" dxfId="0">
      <formula>AND(IF($Q181=3,1,IF($Q181=4,1,0)),IF($F181&lt;=85,1,0))</formula>
    </cfRule>
  </conditionalFormatting>
  <conditionalFormatting sqref="AI181">
    <cfRule type="expression" priority="3691" dxfId="3">
      <formula>AND(IF(OR($Q181=1,$Q181=2),1,0),IF($X181&lt;=20,1,0))</formula>
    </cfRule>
    <cfRule type="expression" priority="3692" dxfId="2">
      <formula>AND(IF($Q181=2,1,0),IF($X181&lt;30,1,0))</formula>
    </cfRule>
    <cfRule type="expression" priority="3693" dxfId="1">
      <formula>AND(IF($Q181=3,1,0),IF($X181&lt;30,1,0))</formula>
    </cfRule>
    <cfRule type="expression" priority="3694" dxfId="0">
      <formula>AND(IF($Q181=3,1,IF($Q181=4,1,0)),IF($F181&lt;=85,1,0))</formula>
    </cfRule>
  </conditionalFormatting>
  <conditionalFormatting sqref="AV182">
    <cfRule type="expression" priority="3689" dxfId="19">
      <formula>AV182="X"</formula>
    </cfRule>
    <cfRule type="expression" priority="3690" dxfId="18">
      <formula>AV182="후보"</formula>
    </cfRule>
  </conditionalFormatting>
  <conditionalFormatting sqref="AC182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8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82">
    <cfRule type="expression" priority="3681" dxfId="3">
      <formula>AND(IF(OR($Q182=1,$Q182=2),1,0),IF($X182&lt;=20,1,0))</formula>
    </cfRule>
    <cfRule type="expression" priority="3682" dxfId="2">
      <formula>AND(IF($Q182=2,1,0),IF($X182&lt;30,1,0))</formula>
    </cfRule>
    <cfRule type="expression" priority="3683" dxfId="1">
      <formula>AND(IF($Q182=3,1,0),IF($X182&lt;30,1,0))</formula>
    </cfRule>
    <cfRule type="expression" priority="3684" dxfId="0">
      <formula>AND(IF($Q182=3,1,IF($Q182=4,1,0)),IF($F182&lt;=85,1,0))</formula>
    </cfRule>
  </conditionalFormatting>
  <conditionalFormatting sqref="X182">
    <cfRule type="expression" priority="3677" dxfId="3">
      <formula>AND(IF(OR($Q182=1,$Q182=2),1,0),IF($X182&lt;=20,1,0))</formula>
    </cfRule>
    <cfRule type="expression" priority="3678" dxfId="2">
      <formula>AND(IF($Q182=2,1,0),IF($X182&lt;30,1,0))</formula>
    </cfRule>
    <cfRule type="expression" priority="3679" dxfId="1">
      <formula>AND(IF($Q182=3,1,0),IF($X182&lt;30,1,0))</formula>
    </cfRule>
    <cfRule type="expression" priority="3680" dxfId="0">
      <formula>AND(IF($Q182=3,1,IF($Q182=4,1,0)),IF($F182&lt;=85,1,0))</formula>
    </cfRule>
  </conditionalFormatting>
  <conditionalFormatting sqref="AI182">
    <cfRule type="expression" priority="3673" dxfId="3">
      <formula>AND(IF(OR($Q182=1,$Q182=2),1,0),IF($X182&lt;=20,1,0))</formula>
    </cfRule>
    <cfRule type="expression" priority="3674" dxfId="2">
      <formula>AND(IF($Q182=2,1,0),IF($X182&lt;30,1,0))</formula>
    </cfRule>
    <cfRule type="expression" priority="3675" dxfId="1">
      <formula>AND(IF($Q182=3,1,0),IF($X182&lt;30,1,0))</formula>
    </cfRule>
    <cfRule type="expression" priority="3676" dxfId="0">
      <formula>AND(IF($Q182=3,1,IF($Q182=4,1,0)),IF($F182&lt;=85,1,0))</formula>
    </cfRule>
  </conditionalFormatting>
  <conditionalFormatting sqref="AV183">
    <cfRule type="expression" priority="3671" dxfId="19">
      <formula>AV183="X"</formula>
    </cfRule>
    <cfRule type="expression" priority="3672" dxfId="18">
      <formula>AV183="후보"</formula>
    </cfRule>
  </conditionalFormatting>
  <conditionalFormatting sqref="AC183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3">
    <cfRule type="expression" priority="3663" dxfId="3">
      <formula>AND(IF(OR($Q183=1,$Q183=2),1,0),IF($X183&lt;=20,1,0))</formula>
    </cfRule>
    <cfRule type="expression" priority="3664" dxfId="2">
      <formula>AND(IF($Q183=2,1,0),IF($X183&lt;30,1,0))</formula>
    </cfRule>
    <cfRule type="expression" priority="3665" dxfId="1">
      <formula>AND(IF($Q183=3,1,0),IF($X183&lt;30,1,0))</formula>
    </cfRule>
    <cfRule type="expression" priority="3666" dxfId="0">
      <formula>AND(IF($Q183=3,1,IF($Q183=4,1,0)),IF($F183&lt;=85,1,0))</formula>
    </cfRule>
  </conditionalFormatting>
  <conditionalFormatting sqref="X183">
    <cfRule type="expression" priority="3659" dxfId="3">
      <formula>AND(IF(OR($Q183=1,$Q183=2),1,0),IF($X183&lt;=20,1,0))</formula>
    </cfRule>
    <cfRule type="expression" priority="3660" dxfId="2">
      <formula>AND(IF($Q183=2,1,0),IF($X183&lt;30,1,0))</formula>
    </cfRule>
    <cfRule type="expression" priority="3661" dxfId="1">
      <formula>AND(IF($Q183=3,1,0),IF($X183&lt;30,1,0))</formula>
    </cfRule>
    <cfRule type="expression" priority="3662" dxfId="0">
      <formula>AND(IF($Q183=3,1,IF($Q183=4,1,0)),IF($F183&lt;=85,1,0))</formula>
    </cfRule>
  </conditionalFormatting>
  <conditionalFormatting sqref="AI183">
    <cfRule type="expression" priority="3655" dxfId="3">
      <formula>AND(IF(OR($Q183=1,$Q183=2),1,0),IF($X183&lt;=20,1,0))</formula>
    </cfRule>
    <cfRule type="expression" priority="3656" dxfId="2">
      <formula>AND(IF($Q183=2,1,0),IF($X183&lt;30,1,0))</formula>
    </cfRule>
    <cfRule type="expression" priority="3657" dxfId="1">
      <formula>AND(IF($Q183=3,1,0),IF($X183&lt;30,1,0))</formula>
    </cfRule>
    <cfRule type="expression" priority="3658" dxfId="0">
      <formula>AND(IF($Q183=3,1,IF($Q183=4,1,0)),IF($F183&lt;=85,1,0))</formula>
    </cfRule>
  </conditionalFormatting>
  <conditionalFormatting sqref="AV184">
    <cfRule type="expression" priority="3653" dxfId="19">
      <formula>AV184="X"</formula>
    </cfRule>
    <cfRule type="expression" priority="3654" dxfId="18">
      <formula>AV184="후보"</formula>
    </cfRule>
  </conditionalFormatting>
  <conditionalFormatting sqref="AC184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8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84">
    <cfRule type="expression" priority="3645" dxfId="3">
      <formula>AND(IF(OR($Q184=1,$Q184=2),1,0),IF($X184&lt;=20,1,0))</formula>
    </cfRule>
    <cfRule type="expression" priority="3646" dxfId="2">
      <formula>AND(IF($Q184=2,1,0),IF($X184&lt;30,1,0))</formula>
    </cfRule>
    <cfRule type="expression" priority="3647" dxfId="1">
      <formula>AND(IF($Q184=3,1,0),IF($X184&lt;30,1,0))</formula>
    </cfRule>
    <cfRule type="expression" priority="3648" dxfId="0">
      <formula>AND(IF($Q184=3,1,IF($Q184=4,1,0)),IF($F184&lt;=85,1,0))</formula>
    </cfRule>
  </conditionalFormatting>
  <conditionalFormatting sqref="X184">
    <cfRule type="expression" priority="3641" dxfId="3">
      <formula>AND(IF(OR($Q184=1,$Q184=2),1,0),IF($X184&lt;=20,1,0))</formula>
    </cfRule>
    <cfRule type="expression" priority="3642" dxfId="2">
      <formula>AND(IF($Q184=2,1,0),IF($X184&lt;30,1,0))</formula>
    </cfRule>
    <cfRule type="expression" priority="3643" dxfId="1">
      <formula>AND(IF($Q184=3,1,0),IF($X184&lt;30,1,0))</formula>
    </cfRule>
    <cfRule type="expression" priority="3644" dxfId="0">
      <formula>AND(IF($Q184=3,1,IF($Q184=4,1,0)),IF($F184&lt;=85,1,0))</formula>
    </cfRule>
  </conditionalFormatting>
  <conditionalFormatting sqref="AI184">
    <cfRule type="expression" priority="3637" dxfId="3">
      <formula>AND(IF(OR($Q184=1,$Q184=2),1,0),IF($X184&lt;=20,1,0))</formula>
    </cfRule>
    <cfRule type="expression" priority="3638" dxfId="2">
      <formula>AND(IF($Q184=2,1,0),IF($X184&lt;30,1,0))</formula>
    </cfRule>
    <cfRule type="expression" priority="3639" dxfId="1">
      <formula>AND(IF($Q184=3,1,0),IF($X184&lt;30,1,0))</formula>
    </cfRule>
    <cfRule type="expression" priority="3640" dxfId="0">
      <formula>AND(IF($Q184=3,1,IF($Q184=4,1,0)),IF($F184&lt;=85,1,0))</formula>
    </cfRule>
  </conditionalFormatting>
  <conditionalFormatting sqref="AV185">
    <cfRule type="expression" priority="3635" dxfId="19">
      <formula>AV185="X"</formula>
    </cfRule>
    <cfRule type="expression" priority="3636" dxfId="18">
      <formula>AV185="후보"</formula>
    </cfRule>
  </conditionalFormatting>
  <conditionalFormatting sqref="AC185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8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85">
    <cfRule type="expression" priority="3627" dxfId="3">
      <formula>AND(IF(OR($Q185=1,$Q185=2),1,0),IF($X185&lt;=20,1,0))</formula>
    </cfRule>
    <cfRule type="expression" priority="3628" dxfId="2">
      <formula>AND(IF($Q185=2,1,0),IF($X185&lt;30,1,0))</formula>
    </cfRule>
    <cfRule type="expression" priority="3629" dxfId="1">
      <formula>AND(IF($Q185=3,1,0),IF($X185&lt;30,1,0))</formula>
    </cfRule>
    <cfRule type="expression" priority="3630" dxfId="0">
      <formula>AND(IF($Q185=3,1,IF($Q185=4,1,0)),IF($F185&lt;=85,1,0))</formula>
    </cfRule>
  </conditionalFormatting>
  <conditionalFormatting sqref="X185">
    <cfRule type="expression" priority="3623" dxfId="3">
      <formula>AND(IF(OR($Q185=1,$Q185=2),1,0),IF($X185&lt;=20,1,0))</formula>
    </cfRule>
    <cfRule type="expression" priority="3624" dxfId="2">
      <formula>AND(IF($Q185=2,1,0),IF($X185&lt;30,1,0))</formula>
    </cfRule>
    <cfRule type="expression" priority="3625" dxfId="1">
      <formula>AND(IF($Q185=3,1,0),IF($X185&lt;30,1,0))</formula>
    </cfRule>
    <cfRule type="expression" priority="3626" dxfId="0">
      <formula>AND(IF($Q185=3,1,IF($Q185=4,1,0)),IF($F185&lt;=85,1,0))</formula>
    </cfRule>
  </conditionalFormatting>
  <conditionalFormatting sqref="AI185">
    <cfRule type="expression" priority="3619" dxfId="3">
      <formula>AND(IF(OR($Q185=1,$Q185=2),1,0),IF($X185&lt;=20,1,0))</formula>
    </cfRule>
    <cfRule type="expression" priority="3620" dxfId="2">
      <formula>AND(IF($Q185=2,1,0),IF($X185&lt;30,1,0))</formula>
    </cfRule>
    <cfRule type="expression" priority="3621" dxfId="1">
      <formula>AND(IF($Q185=3,1,0),IF($X185&lt;30,1,0))</formula>
    </cfRule>
    <cfRule type="expression" priority="3622" dxfId="0">
      <formula>AND(IF($Q185=3,1,IF($Q185=4,1,0)),IF($F185&lt;=85,1,0))</formula>
    </cfRule>
  </conditionalFormatting>
  <conditionalFormatting sqref="AV186">
    <cfRule type="expression" priority="3617" dxfId="19">
      <formula>AV186="X"</formula>
    </cfRule>
    <cfRule type="expression" priority="3618" dxfId="18">
      <formula>AV186="후보"</formula>
    </cfRule>
  </conditionalFormatting>
  <conditionalFormatting sqref="AC186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8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86">
    <cfRule type="expression" priority="3609" dxfId="3">
      <formula>AND(IF(OR($Q186=1,$Q186=2),1,0),IF($X186&lt;=20,1,0))</formula>
    </cfRule>
    <cfRule type="expression" priority="3610" dxfId="2">
      <formula>AND(IF($Q186=2,1,0),IF($X186&lt;30,1,0))</formula>
    </cfRule>
    <cfRule type="expression" priority="3611" dxfId="1">
      <formula>AND(IF($Q186=3,1,0),IF($X186&lt;30,1,0))</formula>
    </cfRule>
    <cfRule type="expression" priority="3612" dxfId="0">
      <formula>AND(IF($Q186=3,1,IF($Q186=4,1,0)),IF($F186&lt;=85,1,0))</formula>
    </cfRule>
  </conditionalFormatting>
  <conditionalFormatting sqref="X186">
    <cfRule type="expression" priority="3605" dxfId="3">
      <formula>AND(IF(OR($Q186=1,$Q186=2),1,0),IF($X186&lt;=20,1,0))</formula>
    </cfRule>
    <cfRule type="expression" priority="3606" dxfId="2">
      <formula>AND(IF($Q186=2,1,0),IF($X186&lt;30,1,0))</formula>
    </cfRule>
    <cfRule type="expression" priority="3607" dxfId="1">
      <formula>AND(IF($Q186=3,1,0),IF($X186&lt;30,1,0))</formula>
    </cfRule>
    <cfRule type="expression" priority="3608" dxfId="0">
      <formula>AND(IF($Q186=3,1,IF($Q186=4,1,0)),IF($F186&lt;=85,1,0))</formula>
    </cfRule>
  </conditionalFormatting>
  <conditionalFormatting sqref="AI186">
    <cfRule type="expression" priority="3601" dxfId="3">
      <formula>AND(IF(OR($Q186=1,$Q186=2),1,0),IF($X186&lt;=20,1,0))</formula>
    </cfRule>
    <cfRule type="expression" priority="3602" dxfId="2">
      <formula>AND(IF($Q186=2,1,0),IF($X186&lt;30,1,0))</formula>
    </cfRule>
    <cfRule type="expression" priority="3603" dxfId="1">
      <formula>AND(IF($Q186=3,1,0),IF($X186&lt;30,1,0))</formula>
    </cfRule>
    <cfRule type="expression" priority="3604" dxfId="0">
      <formula>AND(IF($Q186=3,1,IF($Q186=4,1,0)),IF($F186&lt;=85,1,0))</formula>
    </cfRule>
  </conditionalFormatting>
  <conditionalFormatting sqref="AV187">
    <cfRule type="expression" priority="3599" dxfId="19">
      <formula>AV187="X"</formula>
    </cfRule>
    <cfRule type="expression" priority="3600" dxfId="18">
      <formula>AV187="후보"</formula>
    </cfRule>
  </conditionalFormatting>
  <conditionalFormatting sqref="AC187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8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87">
    <cfRule type="expression" priority="3591" dxfId="3">
      <formula>AND(IF(OR($Q187=1,$Q187=2),1,0),IF($X187&lt;=20,1,0))</formula>
    </cfRule>
    <cfRule type="expression" priority="3592" dxfId="2">
      <formula>AND(IF($Q187=2,1,0),IF($X187&lt;30,1,0))</formula>
    </cfRule>
    <cfRule type="expression" priority="3593" dxfId="1">
      <formula>AND(IF($Q187=3,1,0),IF($X187&lt;30,1,0))</formula>
    </cfRule>
    <cfRule type="expression" priority="3594" dxfId="0">
      <formula>AND(IF($Q187=3,1,IF($Q187=4,1,0)),IF($F187&lt;=85,1,0))</formula>
    </cfRule>
  </conditionalFormatting>
  <conditionalFormatting sqref="X187">
    <cfRule type="expression" priority="3587" dxfId="3">
      <formula>AND(IF(OR($Q187=1,$Q187=2),1,0),IF($X187&lt;=20,1,0))</formula>
    </cfRule>
    <cfRule type="expression" priority="3588" dxfId="2">
      <formula>AND(IF($Q187=2,1,0),IF($X187&lt;30,1,0))</formula>
    </cfRule>
    <cfRule type="expression" priority="3589" dxfId="1">
      <formula>AND(IF($Q187=3,1,0),IF($X187&lt;30,1,0))</formula>
    </cfRule>
    <cfRule type="expression" priority="3590" dxfId="0">
      <formula>AND(IF($Q187=3,1,IF($Q187=4,1,0)),IF($F187&lt;=85,1,0))</formula>
    </cfRule>
  </conditionalFormatting>
  <conditionalFormatting sqref="AI187">
    <cfRule type="expression" priority="3583" dxfId="3">
      <formula>AND(IF(OR($Q187=1,$Q187=2),1,0),IF($X187&lt;=20,1,0))</formula>
    </cfRule>
    <cfRule type="expression" priority="3584" dxfId="2">
      <formula>AND(IF($Q187=2,1,0),IF($X187&lt;30,1,0))</formula>
    </cfRule>
    <cfRule type="expression" priority="3585" dxfId="1">
      <formula>AND(IF($Q187=3,1,0),IF($X187&lt;30,1,0))</formula>
    </cfRule>
    <cfRule type="expression" priority="3586" dxfId="0">
      <formula>AND(IF($Q187=3,1,IF($Q187=4,1,0)),IF($F187&lt;=85,1,0))</formula>
    </cfRule>
  </conditionalFormatting>
  <conditionalFormatting sqref="AV188">
    <cfRule type="expression" priority="3581" dxfId="19">
      <formula>AV188="X"</formula>
    </cfRule>
    <cfRule type="expression" priority="3582" dxfId="18">
      <formula>AV188="후보"</formula>
    </cfRule>
  </conditionalFormatting>
  <conditionalFormatting sqref="AC188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8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88">
    <cfRule type="expression" priority="3573" dxfId="3">
      <formula>AND(IF(OR($Q188=1,$Q188=2),1,0),IF($X188&lt;=20,1,0))</formula>
    </cfRule>
    <cfRule type="expression" priority="3574" dxfId="2">
      <formula>AND(IF($Q188=2,1,0),IF($X188&lt;30,1,0))</formula>
    </cfRule>
    <cfRule type="expression" priority="3575" dxfId="1">
      <formula>AND(IF($Q188=3,1,0),IF($X188&lt;30,1,0))</formula>
    </cfRule>
    <cfRule type="expression" priority="3576" dxfId="0">
      <formula>AND(IF($Q188=3,1,IF($Q188=4,1,0)),IF($F188&lt;=85,1,0))</formula>
    </cfRule>
  </conditionalFormatting>
  <conditionalFormatting sqref="X188">
    <cfRule type="expression" priority="3569" dxfId="3">
      <formula>AND(IF(OR($Q188=1,$Q188=2),1,0),IF($X188&lt;=20,1,0))</formula>
    </cfRule>
    <cfRule type="expression" priority="3570" dxfId="2">
      <formula>AND(IF($Q188=2,1,0),IF($X188&lt;30,1,0))</formula>
    </cfRule>
    <cfRule type="expression" priority="3571" dxfId="1">
      <formula>AND(IF($Q188=3,1,0),IF($X188&lt;30,1,0))</formula>
    </cfRule>
    <cfRule type="expression" priority="3572" dxfId="0">
      <formula>AND(IF($Q188=3,1,IF($Q188=4,1,0)),IF($F188&lt;=85,1,0))</formula>
    </cfRule>
  </conditionalFormatting>
  <conditionalFormatting sqref="AI188">
    <cfRule type="expression" priority="3565" dxfId="3">
      <formula>AND(IF(OR($Q188=1,$Q188=2),1,0),IF($X188&lt;=20,1,0))</formula>
    </cfRule>
    <cfRule type="expression" priority="3566" dxfId="2">
      <formula>AND(IF($Q188=2,1,0),IF($X188&lt;30,1,0))</formula>
    </cfRule>
    <cfRule type="expression" priority="3567" dxfId="1">
      <formula>AND(IF($Q188=3,1,0),IF($X188&lt;30,1,0))</formula>
    </cfRule>
    <cfRule type="expression" priority="3568" dxfId="0">
      <formula>AND(IF($Q188=3,1,IF($Q188=4,1,0)),IF($F188&lt;=85,1,0))</formula>
    </cfRule>
  </conditionalFormatting>
  <conditionalFormatting sqref="AV189">
    <cfRule type="expression" priority="3563" dxfId="19">
      <formula>AV189="X"</formula>
    </cfRule>
    <cfRule type="expression" priority="3564" dxfId="18">
      <formula>AV189="후보"</formula>
    </cfRule>
  </conditionalFormatting>
  <conditionalFormatting sqref="AC189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8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89">
    <cfRule type="expression" priority="3555" dxfId="3">
      <formula>AND(IF(OR($Q189=1,$Q189=2),1,0),IF($X189&lt;=20,1,0))</formula>
    </cfRule>
    <cfRule type="expression" priority="3556" dxfId="2">
      <formula>AND(IF($Q189=2,1,0),IF($X189&lt;30,1,0))</formula>
    </cfRule>
    <cfRule type="expression" priority="3557" dxfId="1">
      <formula>AND(IF($Q189=3,1,0),IF($X189&lt;30,1,0))</formula>
    </cfRule>
    <cfRule type="expression" priority="3558" dxfId="0">
      <formula>AND(IF($Q189=3,1,IF($Q189=4,1,0)),IF($F189&lt;=85,1,0))</formula>
    </cfRule>
  </conditionalFormatting>
  <conditionalFormatting sqref="X189">
    <cfRule type="expression" priority="3551" dxfId="3">
      <formula>AND(IF(OR($Q189=1,$Q189=2),1,0),IF($X189&lt;=20,1,0))</formula>
    </cfRule>
    <cfRule type="expression" priority="3552" dxfId="2">
      <formula>AND(IF($Q189=2,1,0),IF($X189&lt;30,1,0))</formula>
    </cfRule>
    <cfRule type="expression" priority="3553" dxfId="1">
      <formula>AND(IF($Q189=3,1,0),IF($X189&lt;30,1,0))</formula>
    </cfRule>
    <cfRule type="expression" priority="3554" dxfId="0">
      <formula>AND(IF($Q189=3,1,IF($Q189=4,1,0)),IF($F189&lt;=85,1,0))</formula>
    </cfRule>
  </conditionalFormatting>
  <conditionalFormatting sqref="AI189">
    <cfRule type="expression" priority="3547" dxfId="3">
      <formula>AND(IF(OR($Q189=1,$Q189=2),1,0),IF($X189&lt;=20,1,0))</formula>
    </cfRule>
    <cfRule type="expression" priority="3548" dxfId="2">
      <formula>AND(IF($Q189=2,1,0),IF($X189&lt;30,1,0))</formula>
    </cfRule>
    <cfRule type="expression" priority="3549" dxfId="1">
      <formula>AND(IF($Q189=3,1,0),IF($X189&lt;30,1,0))</formula>
    </cfRule>
    <cfRule type="expression" priority="3550" dxfId="0">
      <formula>AND(IF($Q189=3,1,IF($Q189=4,1,0)),IF($F189&lt;=85,1,0))</formula>
    </cfRule>
  </conditionalFormatting>
  <conditionalFormatting sqref="AV190">
    <cfRule type="expression" priority="3545" dxfId="19">
      <formula>AV190="X"</formula>
    </cfRule>
    <cfRule type="expression" priority="3546" dxfId="18">
      <formula>AV190="후보"</formula>
    </cfRule>
  </conditionalFormatting>
  <conditionalFormatting sqref="AC190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9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90">
    <cfRule type="expression" priority="3537" dxfId="3">
      <formula>AND(IF(OR($Q190=1,$Q190=2),1,0),IF($X190&lt;=20,1,0))</formula>
    </cfRule>
    <cfRule type="expression" priority="3538" dxfId="2">
      <formula>AND(IF($Q190=2,1,0),IF($X190&lt;30,1,0))</formula>
    </cfRule>
    <cfRule type="expression" priority="3539" dxfId="1">
      <formula>AND(IF($Q190=3,1,0),IF($X190&lt;30,1,0))</formula>
    </cfRule>
    <cfRule type="expression" priority="3540" dxfId="0">
      <formula>AND(IF($Q190=3,1,IF($Q190=4,1,0)),IF($F190&lt;=85,1,0))</formula>
    </cfRule>
  </conditionalFormatting>
  <conditionalFormatting sqref="X190">
    <cfRule type="expression" priority="3533" dxfId="3">
      <formula>AND(IF(OR($Q190=1,$Q190=2),1,0),IF($X190&lt;=20,1,0))</formula>
    </cfRule>
    <cfRule type="expression" priority="3534" dxfId="2">
      <formula>AND(IF($Q190=2,1,0),IF($X190&lt;30,1,0))</formula>
    </cfRule>
    <cfRule type="expression" priority="3535" dxfId="1">
      <formula>AND(IF($Q190=3,1,0),IF($X190&lt;30,1,0))</formula>
    </cfRule>
    <cfRule type="expression" priority="3536" dxfId="0">
      <formula>AND(IF($Q190=3,1,IF($Q190=4,1,0)),IF($F190&lt;=85,1,0))</formula>
    </cfRule>
  </conditionalFormatting>
  <conditionalFormatting sqref="AI190">
    <cfRule type="expression" priority="3529" dxfId="3">
      <formula>AND(IF(OR($Q190=1,$Q190=2),1,0),IF($X190&lt;=20,1,0))</formula>
    </cfRule>
    <cfRule type="expression" priority="3530" dxfId="2">
      <formula>AND(IF($Q190=2,1,0),IF($X190&lt;30,1,0))</formula>
    </cfRule>
    <cfRule type="expression" priority="3531" dxfId="1">
      <formula>AND(IF($Q190=3,1,0),IF($X190&lt;30,1,0))</formula>
    </cfRule>
    <cfRule type="expression" priority="3532" dxfId="0">
      <formula>AND(IF($Q190=3,1,IF($Q190=4,1,0)),IF($F190&lt;=85,1,0))</formula>
    </cfRule>
  </conditionalFormatting>
  <conditionalFormatting sqref="AV191">
    <cfRule type="expression" priority="3527" dxfId="19">
      <formula>AV191="X"</formula>
    </cfRule>
    <cfRule type="expression" priority="3528" dxfId="18">
      <formula>AV191="후보"</formula>
    </cfRule>
  </conditionalFormatting>
  <conditionalFormatting sqref="AC191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9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91">
    <cfRule type="expression" priority="3519" dxfId="3">
      <formula>AND(IF(OR($Q191=1,$Q191=2),1,0),IF($X191&lt;=20,1,0))</formula>
    </cfRule>
    <cfRule type="expression" priority="3520" dxfId="2">
      <formula>AND(IF($Q191=2,1,0),IF($X191&lt;30,1,0))</formula>
    </cfRule>
    <cfRule type="expression" priority="3521" dxfId="1">
      <formula>AND(IF($Q191=3,1,0),IF($X191&lt;30,1,0))</formula>
    </cfRule>
    <cfRule type="expression" priority="3522" dxfId="0">
      <formula>AND(IF($Q191=3,1,IF($Q191=4,1,0)),IF($F191&lt;=85,1,0))</formula>
    </cfRule>
  </conditionalFormatting>
  <conditionalFormatting sqref="X191">
    <cfRule type="expression" priority="3515" dxfId="3">
      <formula>AND(IF(OR($Q191=1,$Q191=2),1,0),IF($X191&lt;=20,1,0))</formula>
    </cfRule>
    <cfRule type="expression" priority="3516" dxfId="2">
      <formula>AND(IF($Q191=2,1,0),IF($X191&lt;30,1,0))</formula>
    </cfRule>
    <cfRule type="expression" priority="3517" dxfId="1">
      <formula>AND(IF($Q191=3,1,0),IF($X191&lt;30,1,0))</formula>
    </cfRule>
    <cfRule type="expression" priority="3518" dxfId="0">
      <formula>AND(IF($Q191=3,1,IF($Q191=4,1,0)),IF($F191&lt;=85,1,0))</formula>
    </cfRule>
  </conditionalFormatting>
  <conditionalFormatting sqref="AI191">
    <cfRule type="expression" priority="3511" dxfId="3">
      <formula>AND(IF(OR($Q191=1,$Q191=2),1,0),IF($X191&lt;=20,1,0))</formula>
    </cfRule>
    <cfRule type="expression" priority="3512" dxfId="2">
      <formula>AND(IF($Q191=2,1,0),IF($X191&lt;30,1,0))</formula>
    </cfRule>
    <cfRule type="expression" priority="3513" dxfId="1">
      <formula>AND(IF($Q191=3,1,0),IF($X191&lt;30,1,0))</formula>
    </cfRule>
    <cfRule type="expression" priority="3514" dxfId="0">
      <formula>AND(IF($Q191=3,1,IF($Q191=4,1,0)),IF($F191&lt;=85,1,0))</formula>
    </cfRule>
  </conditionalFormatting>
  <conditionalFormatting sqref="AV192">
    <cfRule type="expression" priority="3509" dxfId="19">
      <formula>AV192="X"</formula>
    </cfRule>
    <cfRule type="expression" priority="3510" dxfId="18">
      <formula>AV192="후보"</formula>
    </cfRule>
  </conditionalFormatting>
  <conditionalFormatting sqref="AC192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92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92">
    <cfRule type="expression" priority="3501" dxfId="3">
      <formula>AND(IF(OR($Q192=1,$Q192=2),1,0),IF($X192&lt;=20,1,0))</formula>
    </cfRule>
    <cfRule type="expression" priority="3502" dxfId="2">
      <formula>AND(IF($Q192=2,1,0),IF($X192&lt;30,1,0))</formula>
    </cfRule>
    <cfRule type="expression" priority="3503" dxfId="1">
      <formula>AND(IF($Q192=3,1,0),IF($X192&lt;30,1,0))</formula>
    </cfRule>
    <cfRule type="expression" priority="3504" dxfId="0">
      <formula>AND(IF($Q192=3,1,IF($Q192=4,1,0)),IF($F192&lt;=85,1,0))</formula>
    </cfRule>
  </conditionalFormatting>
  <conditionalFormatting sqref="X192">
    <cfRule type="expression" priority="3497" dxfId="3">
      <formula>AND(IF(OR($Q192=1,$Q192=2),1,0),IF($X192&lt;=20,1,0))</formula>
    </cfRule>
    <cfRule type="expression" priority="3498" dxfId="2">
      <formula>AND(IF($Q192=2,1,0),IF($X192&lt;30,1,0))</formula>
    </cfRule>
    <cfRule type="expression" priority="3499" dxfId="1">
      <formula>AND(IF($Q192=3,1,0),IF($X192&lt;30,1,0))</formula>
    </cfRule>
    <cfRule type="expression" priority="3500" dxfId="0">
      <formula>AND(IF($Q192=3,1,IF($Q192=4,1,0)),IF($F192&lt;=85,1,0))</formula>
    </cfRule>
  </conditionalFormatting>
  <conditionalFormatting sqref="AI192">
    <cfRule type="expression" priority="3493" dxfId="3">
      <formula>AND(IF(OR($Q192=1,$Q192=2),1,0),IF($X192&lt;=20,1,0))</formula>
    </cfRule>
    <cfRule type="expression" priority="3494" dxfId="2">
      <formula>AND(IF($Q192=2,1,0),IF($X192&lt;30,1,0))</formula>
    </cfRule>
    <cfRule type="expression" priority="3495" dxfId="1">
      <formula>AND(IF($Q192=3,1,0),IF($X192&lt;30,1,0))</formula>
    </cfRule>
    <cfRule type="expression" priority="3496" dxfId="0">
      <formula>AND(IF($Q192=3,1,IF($Q192=4,1,0)),IF($F192&lt;=85,1,0))</formula>
    </cfRule>
  </conditionalFormatting>
  <conditionalFormatting sqref="AV193">
    <cfRule type="expression" priority="3491" dxfId="19">
      <formula>AV193="X"</formula>
    </cfRule>
    <cfRule type="expression" priority="3492" dxfId="18">
      <formula>AV193="후보"</formula>
    </cfRule>
  </conditionalFormatting>
  <conditionalFormatting sqref="AC19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93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93">
    <cfRule type="expression" priority="3483" dxfId="3">
      <formula>AND(IF(OR($Q193=1,$Q193=2),1,0),IF($X193&lt;=20,1,0))</formula>
    </cfRule>
    <cfRule type="expression" priority="3484" dxfId="2">
      <formula>AND(IF($Q193=2,1,0),IF($X193&lt;30,1,0))</formula>
    </cfRule>
    <cfRule type="expression" priority="3485" dxfId="1">
      <formula>AND(IF($Q193=3,1,0),IF($X193&lt;30,1,0))</formula>
    </cfRule>
    <cfRule type="expression" priority="3486" dxfId="0">
      <formula>AND(IF($Q193=3,1,IF($Q193=4,1,0)),IF($F193&lt;=85,1,0))</formula>
    </cfRule>
  </conditionalFormatting>
  <conditionalFormatting sqref="X193">
    <cfRule type="expression" priority="3479" dxfId="3">
      <formula>AND(IF(OR($Q193=1,$Q193=2),1,0),IF($X193&lt;=20,1,0))</formula>
    </cfRule>
    <cfRule type="expression" priority="3480" dxfId="2">
      <formula>AND(IF($Q193=2,1,0),IF($X193&lt;30,1,0))</formula>
    </cfRule>
    <cfRule type="expression" priority="3481" dxfId="1">
      <formula>AND(IF($Q193=3,1,0),IF($X193&lt;30,1,0))</formula>
    </cfRule>
    <cfRule type="expression" priority="3482" dxfId="0">
      <formula>AND(IF($Q193=3,1,IF($Q193=4,1,0)),IF($F193&lt;=85,1,0))</formula>
    </cfRule>
  </conditionalFormatting>
  <conditionalFormatting sqref="AI193">
    <cfRule type="expression" priority="3475" dxfId="3">
      <formula>AND(IF(OR($Q193=1,$Q193=2),1,0),IF($X193&lt;=20,1,0))</formula>
    </cfRule>
    <cfRule type="expression" priority="3476" dxfId="2">
      <formula>AND(IF($Q193=2,1,0),IF($X193&lt;30,1,0))</formula>
    </cfRule>
    <cfRule type="expression" priority="3477" dxfId="1">
      <formula>AND(IF($Q193=3,1,0),IF($X193&lt;30,1,0))</formula>
    </cfRule>
    <cfRule type="expression" priority="3478" dxfId="0">
      <formula>AND(IF($Q193=3,1,IF($Q193=4,1,0)),IF($F193&lt;=85,1,0))</formula>
    </cfRule>
  </conditionalFormatting>
  <conditionalFormatting sqref="AV194">
    <cfRule type="expression" priority="3473" dxfId="19">
      <formula>AV194="X"</formula>
    </cfRule>
    <cfRule type="expression" priority="3474" dxfId="18">
      <formula>AV194="후보"</formula>
    </cfRule>
  </conditionalFormatting>
  <conditionalFormatting sqref="AC194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94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94">
    <cfRule type="expression" priority="3465" dxfId="3">
      <formula>AND(IF(OR($Q194=1,$Q194=2),1,0),IF($X194&lt;=20,1,0))</formula>
    </cfRule>
    <cfRule type="expression" priority="3466" dxfId="2">
      <formula>AND(IF($Q194=2,1,0),IF($X194&lt;30,1,0))</formula>
    </cfRule>
    <cfRule type="expression" priority="3467" dxfId="1">
      <formula>AND(IF($Q194=3,1,0),IF($X194&lt;30,1,0))</formula>
    </cfRule>
    <cfRule type="expression" priority="3468" dxfId="0">
      <formula>AND(IF($Q194=3,1,IF($Q194=4,1,0)),IF($F194&lt;=85,1,0))</formula>
    </cfRule>
  </conditionalFormatting>
  <conditionalFormatting sqref="X194">
    <cfRule type="expression" priority="3461" dxfId="3">
      <formula>AND(IF(OR($Q194=1,$Q194=2),1,0),IF($X194&lt;=20,1,0))</formula>
    </cfRule>
    <cfRule type="expression" priority="3462" dxfId="2">
      <formula>AND(IF($Q194=2,1,0),IF($X194&lt;30,1,0))</formula>
    </cfRule>
    <cfRule type="expression" priority="3463" dxfId="1">
      <formula>AND(IF($Q194=3,1,0),IF($X194&lt;30,1,0))</formula>
    </cfRule>
    <cfRule type="expression" priority="3464" dxfId="0">
      <formula>AND(IF($Q194=3,1,IF($Q194=4,1,0)),IF($F194&lt;=85,1,0))</formula>
    </cfRule>
  </conditionalFormatting>
  <conditionalFormatting sqref="AI194">
    <cfRule type="expression" priority="3457" dxfId="3">
      <formula>AND(IF(OR($Q194=1,$Q194=2),1,0),IF($X194&lt;=20,1,0))</formula>
    </cfRule>
    <cfRule type="expression" priority="3458" dxfId="2">
      <formula>AND(IF($Q194=2,1,0),IF($X194&lt;30,1,0))</formula>
    </cfRule>
    <cfRule type="expression" priority="3459" dxfId="1">
      <formula>AND(IF($Q194=3,1,0),IF($X194&lt;30,1,0))</formula>
    </cfRule>
    <cfRule type="expression" priority="3460" dxfId="0">
      <formula>AND(IF($Q194=3,1,IF($Q194=4,1,0)),IF($F194&lt;=85,1,0))</formula>
    </cfRule>
  </conditionalFormatting>
  <conditionalFormatting sqref="AV195">
    <cfRule type="expression" priority="3455" dxfId="19">
      <formula>AV195="X"</formula>
    </cfRule>
    <cfRule type="expression" priority="3456" dxfId="18">
      <formula>AV195="후보"</formula>
    </cfRule>
  </conditionalFormatting>
  <conditionalFormatting sqref="AC19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95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95">
    <cfRule type="expression" priority="3447" dxfId="3">
      <formula>AND(IF(OR($Q195=1,$Q195=2),1,0),IF($X195&lt;=20,1,0))</formula>
    </cfRule>
    <cfRule type="expression" priority="3448" dxfId="2">
      <formula>AND(IF($Q195=2,1,0),IF($X195&lt;30,1,0))</formula>
    </cfRule>
    <cfRule type="expression" priority="3449" dxfId="1">
      <formula>AND(IF($Q195=3,1,0),IF($X195&lt;30,1,0))</formula>
    </cfRule>
    <cfRule type="expression" priority="3450" dxfId="0">
      <formula>AND(IF($Q195=3,1,IF($Q195=4,1,0)),IF($F195&lt;=85,1,0))</formula>
    </cfRule>
  </conditionalFormatting>
  <conditionalFormatting sqref="X195">
    <cfRule type="expression" priority="3443" dxfId="3">
      <formula>AND(IF(OR($Q195=1,$Q195=2),1,0),IF($X195&lt;=20,1,0))</formula>
    </cfRule>
    <cfRule type="expression" priority="3444" dxfId="2">
      <formula>AND(IF($Q195=2,1,0),IF($X195&lt;30,1,0))</formula>
    </cfRule>
    <cfRule type="expression" priority="3445" dxfId="1">
      <formula>AND(IF($Q195=3,1,0),IF($X195&lt;30,1,0))</formula>
    </cfRule>
    <cfRule type="expression" priority="3446" dxfId="0">
      <formula>AND(IF($Q195=3,1,IF($Q195=4,1,0)),IF($F195&lt;=85,1,0))</formula>
    </cfRule>
  </conditionalFormatting>
  <conditionalFormatting sqref="AI195">
    <cfRule type="expression" priority="3439" dxfId="3">
      <formula>AND(IF(OR($Q195=1,$Q195=2),1,0),IF($X195&lt;=20,1,0))</formula>
    </cfRule>
    <cfRule type="expression" priority="3440" dxfId="2">
      <formula>AND(IF($Q195=2,1,0),IF($X195&lt;30,1,0))</formula>
    </cfRule>
    <cfRule type="expression" priority="3441" dxfId="1">
      <formula>AND(IF($Q195=3,1,0),IF($X195&lt;30,1,0))</formula>
    </cfRule>
    <cfRule type="expression" priority="3442" dxfId="0">
      <formula>AND(IF($Q195=3,1,IF($Q195=4,1,0)),IF($F195&lt;=85,1,0))</formula>
    </cfRule>
  </conditionalFormatting>
  <conditionalFormatting sqref="AV196">
    <cfRule type="expression" priority="3437" dxfId="19">
      <formula>AV196="X"</formula>
    </cfRule>
    <cfRule type="expression" priority="3438" dxfId="18">
      <formula>AV196="후보"</formula>
    </cfRule>
  </conditionalFormatting>
  <conditionalFormatting sqref="AC196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96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96">
    <cfRule type="expression" priority="3429" dxfId="3">
      <formula>AND(IF(OR($Q196=1,$Q196=2),1,0),IF($X196&lt;=20,1,0))</formula>
    </cfRule>
    <cfRule type="expression" priority="3430" dxfId="2">
      <formula>AND(IF($Q196=2,1,0),IF($X196&lt;30,1,0))</formula>
    </cfRule>
    <cfRule type="expression" priority="3431" dxfId="1">
      <formula>AND(IF($Q196=3,1,0),IF($X196&lt;30,1,0))</formula>
    </cfRule>
    <cfRule type="expression" priority="3432" dxfId="0">
      <formula>AND(IF($Q196=3,1,IF($Q196=4,1,0)),IF($F196&lt;=85,1,0))</formula>
    </cfRule>
  </conditionalFormatting>
  <conditionalFormatting sqref="X196">
    <cfRule type="expression" priority="3425" dxfId="3">
      <formula>AND(IF(OR($Q196=1,$Q196=2),1,0),IF($X196&lt;=20,1,0))</formula>
    </cfRule>
    <cfRule type="expression" priority="3426" dxfId="2">
      <formula>AND(IF($Q196=2,1,0),IF($X196&lt;30,1,0))</formula>
    </cfRule>
    <cfRule type="expression" priority="3427" dxfId="1">
      <formula>AND(IF($Q196=3,1,0),IF($X196&lt;30,1,0))</formula>
    </cfRule>
    <cfRule type="expression" priority="3428" dxfId="0">
      <formula>AND(IF($Q196=3,1,IF($Q196=4,1,0)),IF($F196&lt;=85,1,0))</formula>
    </cfRule>
  </conditionalFormatting>
  <conditionalFormatting sqref="AI196">
    <cfRule type="expression" priority="3421" dxfId="3">
      <formula>AND(IF(OR($Q196=1,$Q196=2),1,0),IF($X196&lt;=20,1,0))</formula>
    </cfRule>
    <cfRule type="expression" priority="3422" dxfId="2">
      <formula>AND(IF($Q196=2,1,0),IF($X196&lt;30,1,0))</formula>
    </cfRule>
    <cfRule type="expression" priority="3423" dxfId="1">
      <formula>AND(IF($Q196=3,1,0),IF($X196&lt;30,1,0))</formula>
    </cfRule>
    <cfRule type="expression" priority="3424" dxfId="0">
      <formula>AND(IF($Q196=3,1,IF($Q196=4,1,0)),IF($F196&lt;=85,1,0))</formula>
    </cfRule>
  </conditionalFormatting>
  <conditionalFormatting sqref="AV197">
    <cfRule type="expression" priority="3419" dxfId="19">
      <formula>AV197="X"</formula>
    </cfRule>
    <cfRule type="expression" priority="3420" dxfId="18">
      <formula>AV197="후보"</formula>
    </cfRule>
  </conditionalFormatting>
  <conditionalFormatting sqref="AC197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97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97">
    <cfRule type="expression" priority="3411" dxfId="3">
      <formula>AND(IF(OR($Q197=1,$Q197=2),1,0),IF($X197&lt;=20,1,0))</formula>
    </cfRule>
    <cfRule type="expression" priority="3412" dxfId="2">
      <formula>AND(IF($Q197=2,1,0),IF($X197&lt;30,1,0))</formula>
    </cfRule>
    <cfRule type="expression" priority="3413" dxfId="1">
      <formula>AND(IF($Q197=3,1,0),IF($X197&lt;30,1,0))</formula>
    </cfRule>
    <cfRule type="expression" priority="3414" dxfId="0">
      <formula>AND(IF($Q197=3,1,IF($Q197=4,1,0)),IF($F197&lt;=85,1,0))</formula>
    </cfRule>
  </conditionalFormatting>
  <conditionalFormatting sqref="X197">
    <cfRule type="expression" priority="3407" dxfId="3">
      <formula>AND(IF(OR($Q197=1,$Q197=2),1,0),IF($X197&lt;=20,1,0))</formula>
    </cfRule>
    <cfRule type="expression" priority="3408" dxfId="2">
      <formula>AND(IF($Q197=2,1,0),IF($X197&lt;30,1,0))</formula>
    </cfRule>
    <cfRule type="expression" priority="3409" dxfId="1">
      <formula>AND(IF($Q197=3,1,0),IF($X197&lt;30,1,0))</formula>
    </cfRule>
    <cfRule type="expression" priority="3410" dxfId="0">
      <formula>AND(IF($Q197=3,1,IF($Q197=4,1,0)),IF($F197&lt;=85,1,0))</formula>
    </cfRule>
  </conditionalFormatting>
  <conditionalFormatting sqref="AI197">
    <cfRule type="expression" priority="3403" dxfId="3">
      <formula>AND(IF(OR($Q197=1,$Q197=2),1,0),IF($X197&lt;=20,1,0))</formula>
    </cfRule>
    <cfRule type="expression" priority="3404" dxfId="2">
      <formula>AND(IF($Q197=2,1,0),IF($X197&lt;30,1,0))</formula>
    </cfRule>
    <cfRule type="expression" priority="3405" dxfId="1">
      <formula>AND(IF($Q197=3,1,0),IF($X197&lt;30,1,0))</formula>
    </cfRule>
    <cfRule type="expression" priority="3406" dxfId="0">
      <formula>AND(IF($Q197=3,1,IF($Q197=4,1,0)),IF($F197&lt;=85,1,0))</formula>
    </cfRule>
  </conditionalFormatting>
  <conditionalFormatting sqref="AV198">
    <cfRule type="expression" priority="3401" dxfId="19">
      <formula>AV198="X"</formula>
    </cfRule>
    <cfRule type="expression" priority="3402" dxfId="18">
      <formula>AV198="후보"</formula>
    </cfRule>
  </conditionalFormatting>
  <conditionalFormatting sqref="AC198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98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98">
    <cfRule type="expression" priority="3393" dxfId="3">
      <formula>AND(IF(OR($Q198=1,$Q198=2),1,0),IF($X198&lt;=20,1,0))</formula>
    </cfRule>
    <cfRule type="expression" priority="3394" dxfId="2">
      <formula>AND(IF($Q198=2,1,0),IF($X198&lt;30,1,0))</formula>
    </cfRule>
    <cfRule type="expression" priority="3395" dxfId="1">
      <formula>AND(IF($Q198=3,1,0),IF($X198&lt;30,1,0))</formula>
    </cfRule>
    <cfRule type="expression" priority="3396" dxfId="0">
      <formula>AND(IF($Q198=3,1,IF($Q198=4,1,0)),IF($F198&lt;=85,1,0))</formula>
    </cfRule>
  </conditionalFormatting>
  <conditionalFormatting sqref="X198">
    <cfRule type="expression" priority="3389" dxfId="3">
      <formula>AND(IF(OR($Q198=1,$Q198=2),1,0),IF($X198&lt;=20,1,0))</formula>
    </cfRule>
    <cfRule type="expression" priority="3390" dxfId="2">
      <formula>AND(IF($Q198=2,1,0),IF($X198&lt;30,1,0))</formula>
    </cfRule>
    <cfRule type="expression" priority="3391" dxfId="1">
      <formula>AND(IF($Q198=3,1,0),IF($X198&lt;30,1,0))</formula>
    </cfRule>
    <cfRule type="expression" priority="3392" dxfId="0">
      <formula>AND(IF($Q198=3,1,IF($Q198=4,1,0)),IF($F198&lt;=85,1,0))</formula>
    </cfRule>
  </conditionalFormatting>
  <conditionalFormatting sqref="AI198">
    <cfRule type="expression" priority="3385" dxfId="3">
      <formula>AND(IF(OR($Q198=1,$Q198=2),1,0),IF($X198&lt;=20,1,0))</formula>
    </cfRule>
    <cfRule type="expression" priority="3386" dxfId="2">
      <formula>AND(IF($Q198=2,1,0),IF($X198&lt;30,1,0))</formula>
    </cfRule>
    <cfRule type="expression" priority="3387" dxfId="1">
      <formula>AND(IF($Q198=3,1,0),IF($X198&lt;30,1,0))</formula>
    </cfRule>
    <cfRule type="expression" priority="3388" dxfId="0">
      <formula>AND(IF($Q198=3,1,IF($Q198=4,1,0)),IF($F198&lt;=85,1,0))</formula>
    </cfRule>
  </conditionalFormatting>
  <conditionalFormatting sqref="AV199">
    <cfRule type="expression" priority="3383" dxfId="19">
      <formula>AV199="X"</formula>
    </cfRule>
    <cfRule type="expression" priority="3384" dxfId="18">
      <formula>AV199="후보"</formula>
    </cfRule>
  </conditionalFormatting>
  <conditionalFormatting sqref="AC199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99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99">
    <cfRule type="expression" priority="3375" dxfId="3">
      <formula>AND(IF(OR($Q199=1,$Q199=2),1,0),IF($X199&lt;=20,1,0))</formula>
    </cfRule>
    <cfRule type="expression" priority="3376" dxfId="2">
      <formula>AND(IF($Q199=2,1,0),IF($X199&lt;30,1,0))</formula>
    </cfRule>
    <cfRule type="expression" priority="3377" dxfId="1">
      <formula>AND(IF($Q199=3,1,0),IF($X199&lt;30,1,0))</formula>
    </cfRule>
    <cfRule type="expression" priority="3378" dxfId="0">
      <formula>AND(IF($Q199=3,1,IF($Q199=4,1,0)),IF($F199&lt;=85,1,0))</formula>
    </cfRule>
  </conditionalFormatting>
  <conditionalFormatting sqref="X199">
    <cfRule type="expression" priority="3371" dxfId="3">
      <formula>AND(IF(OR($Q199=1,$Q199=2),1,0),IF($X199&lt;=20,1,0))</formula>
    </cfRule>
    <cfRule type="expression" priority="3372" dxfId="2">
      <formula>AND(IF($Q199=2,1,0),IF($X199&lt;30,1,0))</formula>
    </cfRule>
    <cfRule type="expression" priority="3373" dxfId="1">
      <formula>AND(IF($Q199=3,1,0),IF($X199&lt;30,1,0))</formula>
    </cfRule>
    <cfRule type="expression" priority="3374" dxfId="0">
      <formula>AND(IF($Q199=3,1,IF($Q199=4,1,0)),IF($F199&lt;=85,1,0))</formula>
    </cfRule>
  </conditionalFormatting>
  <conditionalFormatting sqref="AI199">
    <cfRule type="expression" priority="3367" dxfId="3">
      <formula>AND(IF(OR($Q199=1,$Q199=2),1,0),IF($X199&lt;=20,1,0))</formula>
    </cfRule>
    <cfRule type="expression" priority="3368" dxfId="2">
      <formula>AND(IF($Q199=2,1,0),IF($X199&lt;30,1,0))</formula>
    </cfRule>
    <cfRule type="expression" priority="3369" dxfId="1">
      <formula>AND(IF($Q199=3,1,0),IF($X199&lt;30,1,0))</formula>
    </cfRule>
    <cfRule type="expression" priority="3370" dxfId="0">
      <formula>AND(IF($Q199=3,1,IF($Q199=4,1,0)),IF($F199&lt;=85,1,0))</formula>
    </cfRule>
  </conditionalFormatting>
  <conditionalFormatting sqref="AV200">
    <cfRule type="expression" priority="3365" dxfId="19">
      <formula>AV200="X"</formula>
    </cfRule>
    <cfRule type="expression" priority="3366" dxfId="18">
      <formula>AV200="후보"</formula>
    </cfRule>
  </conditionalFormatting>
  <conditionalFormatting sqref="AC200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200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200">
    <cfRule type="expression" priority="3357" dxfId="3">
      <formula>AND(IF(OR($Q200=1,$Q200=2),1,0),IF($X200&lt;=20,1,0))</formula>
    </cfRule>
    <cfRule type="expression" priority="3358" dxfId="2">
      <formula>AND(IF($Q200=2,1,0),IF($X200&lt;30,1,0))</formula>
    </cfRule>
    <cfRule type="expression" priority="3359" dxfId="1">
      <formula>AND(IF($Q200=3,1,0),IF($X200&lt;30,1,0))</formula>
    </cfRule>
    <cfRule type="expression" priority="3360" dxfId="0">
      <formula>AND(IF($Q200=3,1,IF($Q200=4,1,0)),IF($F200&lt;=85,1,0))</formula>
    </cfRule>
  </conditionalFormatting>
  <conditionalFormatting sqref="X200">
    <cfRule type="expression" priority="3353" dxfId="3">
      <formula>AND(IF(OR($Q200=1,$Q200=2),1,0),IF($X200&lt;=20,1,0))</formula>
    </cfRule>
    <cfRule type="expression" priority="3354" dxfId="2">
      <formula>AND(IF($Q200=2,1,0),IF($X200&lt;30,1,0))</formula>
    </cfRule>
    <cfRule type="expression" priority="3355" dxfId="1">
      <formula>AND(IF($Q200=3,1,0),IF($X200&lt;30,1,0))</formula>
    </cfRule>
    <cfRule type="expression" priority="3356" dxfId="0">
      <formula>AND(IF($Q200=3,1,IF($Q200=4,1,0)),IF($F200&lt;=85,1,0))</formula>
    </cfRule>
  </conditionalFormatting>
  <conditionalFormatting sqref="AI200">
    <cfRule type="expression" priority="3349" dxfId="3">
      <formula>AND(IF(OR($Q200=1,$Q200=2),1,0),IF($X200&lt;=20,1,0))</formula>
    </cfRule>
    <cfRule type="expression" priority="3350" dxfId="2">
      <formula>AND(IF($Q200=2,1,0),IF($X200&lt;30,1,0))</formula>
    </cfRule>
    <cfRule type="expression" priority="3351" dxfId="1">
      <formula>AND(IF($Q200=3,1,0),IF($X200&lt;30,1,0))</formula>
    </cfRule>
    <cfRule type="expression" priority="3352" dxfId="0">
      <formula>AND(IF($Q200=3,1,IF($Q200=4,1,0)),IF($F200&lt;=85,1,0))</formula>
    </cfRule>
  </conditionalFormatting>
  <conditionalFormatting sqref="AV201">
    <cfRule type="expression" priority="3347" dxfId="19">
      <formula>AV201="X"</formula>
    </cfRule>
    <cfRule type="expression" priority="3348" dxfId="18">
      <formula>AV201="후보"</formula>
    </cfRule>
  </conditionalFormatting>
  <conditionalFormatting sqref="AC201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201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201">
    <cfRule type="expression" priority="3339" dxfId="3">
      <formula>AND(IF(OR($Q201=1,$Q201=2),1,0),IF($X201&lt;=20,1,0))</formula>
    </cfRule>
    <cfRule type="expression" priority="3340" dxfId="2">
      <formula>AND(IF($Q201=2,1,0),IF($X201&lt;30,1,0))</formula>
    </cfRule>
    <cfRule type="expression" priority="3341" dxfId="1">
      <formula>AND(IF($Q201=3,1,0),IF($X201&lt;30,1,0))</formula>
    </cfRule>
    <cfRule type="expression" priority="3342" dxfId="0">
      <formula>AND(IF($Q201=3,1,IF($Q201=4,1,0)),IF($F201&lt;=85,1,0))</formula>
    </cfRule>
  </conditionalFormatting>
  <conditionalFormatting sqref="X201">
    <cfRule type="expression" priority="3335" dxfId="3">
      <formula>AND(IF(OR($Q201=1,$Q201=2),1,0),IF($X201&lt;=20,1,0))</formula>
    </cfRule>
    <cfRule type="expression" priority="3336" dxfId="2">
      <formula>AND(IF($Q201=2,1,0),IF($X201&lt;30,1,0))</formula>
    </cfRule>
    <cfRule type="expression" priority="3337" dxfId="1">
      <formula>AND(IF($Q201=3,1,0),IF($X201&lt;30,1,0))</formula>
    </cfRule>
    <cfRule type="expression" priority="3338" dxfId="0">
      <formula>AND(IF($Q201=3,1,IF($Q201=4,1,0)),IF($F201&lt;=85,1,0))</formula>
    </cfRule>
  </conditionalFormatting>
  <conditionalFormatting sqref="AI201">
    <cfRule type="expression" priority="3331" dxfId="3">
      <formula>AND(IF(OR($Q201=1,$Q201=2),1,0),IF($X201&lt;=20,1,0))</formula>
    </cfRule>
    <cfRule type="expression" priority="3332" dxfId="2">
      <formula>AND(IF($Q201=2,1,0),IF($X201&lt;30,1,0))</formula>
    </cfRule>
    <cfRule type="expression" priority="3333" dxfId="1">
      <formula>AND(IF($Q201=3,1,0),IF($X201&lt;30,1,0))</formula>
    </cfRule>
    <cfRule type="expression" priority="3334" dxfId="0">
      <formula>AND(IF($Q201=3,1,IF($Q201=4,1,0)),IF($F201&lt;=85,1,0))</formula>
    </cfRule>
  </conditionalFormatting>
  <conditionalFormatting sqref="AV202">
    <cfRule type="expression" priority="3329" dxfId="19">
      <formula>AV202="X"</formula>
    </cfRule>
    <cfRule type="expression" priority="3330" dxfId="18">
      <formula>AV202="후보"</formula>
    </cfRule>
  </conditionalFormatting>
  <conditionalFormatting sqref="AC202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202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202">
    <cfRule type="expression" priority="3321" dxfId="3">
      <formula>AND(IF(OR($Q202=1,$Q202=2),1,0),IF($X202&lt;=20,1,0))</formula>
    </cfRule>
    <cfRule type="expression" priority="3322" dxfId="2">
      <formula>AND(IF($Q202=2,1,0),IF($X202&lt;30,1,0))</formula>
    </cfRule>
    <cfRule type="expression" priority="3323" dxfId="1">
      <formula>AND(IF($Q202=3,1,0),IF($X202&lt;30,1,0))</formula>
    </cfRule>
    <cfRule type="expression" priority="3324" dxfId="0">
      <formula>AND(IF($Q202=3,1,IF($Q202=4,1,0)),IF($F202&lt;=85,1,0))</formula>
    </cfRule>
  </conditionalFormatting>
  <conditionalFormatting sqref="X202">
    <cfRule type="expression" priority="3317" dxfId="3">
      <formula>AND(IF(OR($Q202=1,$Q202=2),1,0),IF($X202&lt;=20,1,0))</formula>
    </cfRule>
    <cfRule type="expression" priority="3318" dxfId="2">
      <formula>AND(IF($Q202=2,1,0),IF($X202&lt;30,1,0))</formula>
    </cfRule>
    <cfRule type="expression" priority="3319" dxfId="1">
      <formula>AND(IF($Q202=3,1,0),IF($X202&lt;30,1,0))</formula>
    </cfRule>
    <cfRule type="expression" priority="3320" dxfId="0">
      <formula>AND(IF($Q202=3,1,IF($Q202=4,1,0)),IF($F202&lt;=85,1,0))</formula>
    </cfRule>
  </conditionalFormatting>
  <conditionalFormatting sqref="AI202">
    <cfRule type="expression" priority="3313" dxfId="3">
      <formula>AND(IF(OR($Q202=1,$Q202=2),1,0),IF($X202&lt;=20,1,0))</formula>
    </cfRule>
    <cfRule type="expression" priority="3314" dxfId="2">
      <formula>AND(IF($Q202=2,1,0),IF($X202&lt;30,1,0))</formula>
    </cfRule>
    <cfRule type="expression" priority="3315" dxfId="1">
      <formula>AND(IF($Q202=3,1,0),IF($X202&lt;30,1,0))</formula>
    </cfRule>
    <cfRule type="expression" priority="3316" dxfId="0">
      <formula>AND(IF($Q202=3,1,IF($Q202=4,1,0)),IF($F202&lt;=85,1,0))</formula>
    </cfRule>
  </conditionalFormatting>
  <conditionalFormatting sqref="AV203">
    <cfRule type="expression" priority="3311" dxfId="19">
      <formula>AV203="X"</formula>
    </cfRule>
    <cfRule type="expression" priority="3312" dxfId="18">
      <formula>AV203="후보"</formula>
    </cfRule>
  </conditionalFormatting>
  <conditionalFormatting sqref="AC203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203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203">
    <cfRule type="expression" priority="3303" dxfId="3">
      <formula>AND(IF(OR($Q203=1,$Q203=2),1,0),IF($X203&lt;=20,1,0))</formula>
    </cfRule>
    <cfRule type="expression" priority="3304" dxfId="2">
      <formula>AND(IF($Q203=2,1,0),IF($X203&lt;30,1,0))</formula>
    </cfRule>
    <cfRule type="expression" priority="3305" dxfId="1">
      <formula>AND(IF($Q203=3,1,0),IF($X203&lt;30,1,0))</formula>
    </cfRule>
    <cfRule type="expression" priority="3306" dxfId="0">
      <formula>AND(IF($Q203=3,1,IF($Q203=4,1,0)),IF($F203&lt;=85,1,0))</formula>
    </cfRule>
  </conditionalFormatting>
  <conditionalFormatting sqref="X203">
    <cfRule type="expression" priority="3299" dxfId="3">
      <formula>AND(IF(OR($Q203=1,$Q203=2),1,0),IF($X203&lt;=20,1,0))</formula>
    </cfRule>
    <cfRule type="expression" priority="3300" dxfId="2">
      <formula>AND(IF($Q203=2,1,0),IF($X203&lt;30,1,0))</formula>
    </cfRule>
    <cfRule type="expression" priority="3301" dxfId="1">
      <formula>AND(IF($Q203=3,1,0),IF($X203&lt;30,1,0))</formula>
    </cfRule>
    <cfRule type="expression" priority="3302" dxfId="0">
      <formula>AND(IF($Q203=3,1,IF($Q203=4,1,0)),IF($F203&lt;=85,1,0))</formula>
    </cfRule>
  </conditionalFormatting>
  <conditionalFormatting sqref="AI203">
    <cfRule type="expression" priority="3295" dxfId="3">
      <formula>AND(IF(OR($Q203=1,$Q203=2),1,0),IF($X203&lt;=20,1,0))</formula>
    </cfRule>
    <cfRule type="expression" priority="3296" dxfId="2">
      <formula>AND(IF($Q203=2,1,0),IF($X203&lt;30,1,0))</formula>
    </cfRule>
    <cfRule type="expression" priority="3297" dxfId="1">
      <formula>AND(IF($Q203=3,1,0),IF($X203&lt;30,1,0))</formula>
    </cfRule>
    <cfRule type="expression" priority="3298" dxfId="0">
      <formula>AND(IF($Q203=3,1,IF($Q203=4,1,0)),IF($F203&lt;=85,1,0))</formula>
    </cfRule>
  </conditionalFormatting>
  <conditionalFormatting sqref="AV204">
    <cfRule type="expression" priority="3293" dxfId="19">
      <formula>AV204="X"</formula>
    </cfRule>
    <cfRule type="expression" priority="3294" dxfId="18">
      <formula>AV204="후보"</formula>
    </cfRule>
  </conditionalFormatting>
  <conditionalFormatting sqref="AC204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204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204">
    <cfRule type="expression" priority="3285" dxfId="3">
      <formula>AND(IF(OR($Q204=1,$Q204=2),1,0),IF($X204&lt;=20,1,0))</formula>
    </cfRule>
    <cfRule type="expression" priority="3286" dxfId="2">
      <formula>AND(IF($Q204=2,1,0),IF($X204&lt;30,1,0))</formula>
    </cfRule>
    <cfRule type="expression" priority="3287" dxfId="1">
      <formula>AND(IF($Q204=3,1,0),IF($X204&lt;30,1,0))</formula>
    </cfRule>
    <cfRule type="expression" priority="3288" dxfId="0">
      <formula>AND(IF($Q204=3,1,IF($Q204=4,1,0)),IF($F204&lt;=85,1,0))</formula>
    </cfRule>
  </conditionalFormatting>
  <conditionalFormatting sqref="X204">
    <cfRule type="expression" priority="3281" dxfId="3">
      <formula>AND(IF(OR($Q204=1,$Q204=2),1,0),IF($X204&lt;=20,1,0))</formula>
    </cfRule>
    <cfRule type="expression" priority="3282" dxfId="2">
      <formula>AND(IF($Q204=2,1,0),IF($X204&lt;30,1,0))</formula>
    </cfRule>
    <cfRule type="expression" priority="3283" dxfId="1">
      <formula>AND(IF($Q204=3,1,0),IF($X204&lt;30,1,0))</formula>
    </cfRule>
    <cfRule type="expression" priority="3284" dxfId="0">
      <formula>AND(IF($Q204=3,1,IF($Q204=4,1,0)),IF($F204&lt;=85,1,0))</formula>
    </cfRule>
  </conditionalFormatting>
  <conditionalFormatting sqref="AI204">
    <cfRule type="expression" priority="3277" dxfId="3">
      <formula>AND(IF(OR($Q204=1,$Q204=2),1,0),IF($X204&lt;=20,1,0))</formula>
    </cfRule>
    <cfRule type="expression" priority="3278" dxfId="2">
      <formula>AND(IF($Q204=2,1,0),IF($X204&lt;30,1,0))</formula>
    </cfRule>
    <cfRule type="expression" priority="3279" dxfId="1">
      <formula>AND(IF($Q204=3,1,0),IF($X204&lt;30,1,0))</formula>
    </cfRule>
    <cfRule type="expression" priority="3280" dxfId="0">
      <formula>AND(IF($Q204=3,1,IF($Q204=4,1,0)),IF($F204&lt;=85,1,0))</formula>
    </cfRule>
  </conditionalFormatting>
  <conditionalFormatting sqref="AV205">
    <cfRule type="expression" priority="3275" dxfId="19">
      <formula>AV205="X"</formula>
    </cfRule>
    <cfRule type="expression" priority="3276" dxfId="18">
      <formula>AV205="후보"</formula>
    </cfRule>
  </conditionalFormatting>
  <conditionalFormatting sqref="AC205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205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205">
    <cfRule type="expression" priority="3267" dxfId="3">
      <formula>AND(IF(OR($Q205=1,$Q205=2),1,0),IF($X205&lt;=20,1,0))</formula>
    </cfRule>
    <cfRule type="expression" priority="3268" dxfId="2">
      <formula>AND(IF($Q205=2,1,0),IF($X205&lt;30,1,0))</formula>
    </cfRule>
    <cfRule type="expression" priority="3269" dxfId="1">
      <formula>AND(IF($Q205=3,1,0),IF($X205&lt;30,1,0))</formula>
    </cfRule>
    <cfRule type="expression" priority="3270" dxfId="0">
      <formula>AND(IF($Q205=3,1,IF($Q205=4,1,0)),IF($F205&lt;=85,1,0))</formula>
    </cfRule>
  </conditionalFormatting>
  <conditionalFormatting sqref="X205">
    <cfRule type="expression" priority="3263" dxfId="3">
      <formula>AND(IF(OR($Q205=1,$Q205=2),1,0),IF($X205&lt;=20,1,0))</formula>
    </cfRule>
    <cfRule type="expression" priority="3264" dxfId="2">
      <formula>AND(IF($Q205=2,1,0),IF($X205&lt;30,1,0))</formula>
    </cfRule>
    <cfRule type="expression" priority="3265" dxfId="1">
      <formula>AND(IF($Q205=3,1,0),IF($X205&lt;30,1,0))</formula>
    </cfRule>
    <cfRule type="expression" priority="3266" dxfId="0">
      <formula>AND(IF($Q205=3,1,IF($Q205=4,1,0)),IF($F205&lt;=85,1,0))</formula>
    </cfRule>
  </conditionalFormatting>
  <conditionalFormatting sqref="AI205">
    <cfRule type="expression" priority="3259" dxfId="3">
      <formula>AND(IF(OR($Q205=1,$Q205=2),1,0),IF($X205&lt;=20,1,0))</formula>
    </cfRule>
    <cfRule type="expression" priority="3260" dxfId="2">
      <formula>AND(IF($Q205=2,1,0),IF($X205&lt;30,1,0))</formula>
    </cfRule>
    <cfRule type="expression" priority="3261" dxfId="1">
      <formula>AND(IF($Q205=3,1,0),IF($X205&lt;30,1,0))</formula>
    </cfRule>
    <cfRule type="expression" priority="3262" dxfId="0">
      <formula>AND(IF($Q205=3,1,IF($Q205=4,1,0)),IF($F205&lt;=85,1,0))</formula>
    </cfRule>
  </conditionalFormatting>
  <conditionalFormatting sqref="AV206">
    <cfRule type="expression" priority="3257" dxfId="19">
      <formula>AV206="X"</formula>
    </cfRule>
    <cfRule type="expression" priority="3258" dxfId="18">
      <formula>AV206="후보"</formula>
    </cfRule>
  </conditionalFormatting>
  <conditionalFormatting sqref="AC206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06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06">
    <cfRule type="expression" priority="3249" dxfId="3">
      <formula>AND(IF(OR($Q206=1,$Q206=2),1,0),IF($X206&lt;=20,1,0))</formula>
    </cfRule>
    <cfRule type="expression" priority="3250" dxfId="2">
      <formula>AND(IF($Q206=2,1,0),IF($X206&lt;30,1,0))</formula>
    </cfRule>
    <cfRule type="expression" priority="3251" dxfId="1">
      <formula>AND(IF($Q206=3,1,0),IF($X206&lt;30,1,0))</formula>
    </cfRule>
    <cfRule type="expression" priority="3252" dxfId="0">
      <formula>AND(IF($Q206=3,1,IF($Q206=4,1,0)),IF($F206&lt;=85,1,0))</formula>
    </cfRule>
  </conditionalFormatting>
  <conditionalFormatting sqref="X206">
    <cfRule type="expression" priority="3245" dxfId="3">
      <formula>AND(IF(OR($Q206=1,$Q206=2),1,0),IF($X206&lt;=20,1,0))</formula>
    </cfRule>
    <cfRule type="expression" priority="3246" dxfId="2">
      <formula>AND(IF($Q206=2,1,0),IF($X206&lt;30,1,0))</formula>
    </cfRule>
    <cfRule type="expression" priority="3247" dxfId="1">
      <formula>AND(IF($Q206=3,1,0),IF($X206&lt;30,1,0))</formula>
    </cfRule>
    <cfRule type="expression" priority="3248" dxfId="0">
      <formula>AND(IF($Q206=3,1,IF($Q206=4,1,0)),IF($F206&lt;=85,1,0))</formula>
    </cfRule>
  </conditionalFormatting>
  <conditionalFormatting sqref="AI206">
    <cfRule type="expression" priority="3241" dxfId="3">
      <formula>AND(IF(OR($Q206=1,$Q206=2),1,0),IF($X206&lt;=20,1,0))</formula>
    </cfRule>
    <cfRule type="expression" priority="3242" dxfId="2">
      <formula>AND(IF($Q206=2,1,0),IF($X206&lt;30,1,0))</formula>
    </cfRule>
    <cfRule type="expression" priority="3243" dxfId="1">
      <formula>AND(IF($Q206=3,1,0),IF($X206&lt;30,1,0))</formula>
    </cfRule>
    <cfRule type="expression" priority="3244" dxfId="0">
      <formula>AND(IF($Q206=3,1,IF($Q206=4,1,0)),IF($F206&lt;=85,1,0))</formula>
    </cfRule>
  </conditionalFormatting>
  <conditionalFormatting sqref="AV207">
    <cfRule type="expression" priority="3239" dxfId="19">
      <formula>AV207="X"</formula>
    </cfRule>
    <cfRule type="expression" priority="3240" dxfId="18">
      <formula>AV207="후보"</formula>
    </cfRule>
  </conditionalFormatting>
  <conditionalFormatting sqref="AC207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207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207">
    <cfRule type="expression" priority="3231" dxfId="3">
      <formula>AND(IF(OR($Q207=1,$Q207=2),1,0),IF($X207&lt;=20,1,0))</formula>
    </cfRule>
    <cfRule type="expression" priority="3232" dxfId="2">
      <formula>AND(IF($Q207=2,1,0),IF($X207&lt;30,1,0))</formula>
    </cfRule>
    <cfRule type="expression" priority="3233" dxfId="1">
      <formula>AND(IF($Q207=3,1,0),IF($X207&lt;30,1,0))</formula>
    </cfRule>
    <cfRule type="expression" priority="3234" dxfId="0">
      <formula>AND(IF($Q207=3,1,IF($Q207=4,1,0)),IF($F207&lt;=85,1,0))</formula>
    </cfRule>
  </conditionalFormatting>
  <conditionalFormatting sqref="X207">
    <cfRule type="expression" priority="3227" dxfId="3">
      <formula>AND(IF(OR($Q207=1,$Q207=2),1,0),IF($X207&lt;=20,1,0))</formula>
    </cfRule>
    <cfRule type="expression" priority="3228" dxfId="2">
      <formula>AND(IF($Q207=2,1,0),IF($X207&lt;30,1,0))</formula>
    </cfRule>
    <cfRule type="expression" priority="3229" dxfId="1">
      <formula>AND(IF($Q207=3,1,0),IF($X207&lt;30,1,0))</formula>
    </cfRule>
    <cfRule type="expression" priority="3230" dxfId="0">
      <formula>AND(IF($Q207=3,1,IF($Q207=4,1,0)),IF($F207&lt;=85,1,0))</formula>
    </cfRule>
  </conditionalFormatting>
  <conditionalFormatting sqref="AI207">
    <cfRule type="expression" priority="3223" dxfId="3">
      <formula>AND(IF(OR($Q207=1,$Q207=2),1,0),IF($X207&lt;=20,1,0))</formula>
    </cfRule>
    <cfRule type="expression" priority="3224" dxfId="2">
      <formula>AND(IF($Q207=2,1,0),IF($X207&lt;30,1,0))</formula>
    </cfRule>
    <cfRule type="expression" priority="3225" dxfId="1">
      <formula>AND(IF($Q207=3,1,0),IF($X207&lt;30,1,0))</formula>
    </cfRule>
    <cfRule type="expression" priority="3226" dxfId="0">
      <formula>AND(IF($Q207=3,1,IF($Q207=4,1,0)),IF($F207&lt;=85,1,0))</formula>
    </cfRule>
  </conditionalFormatting>
  <conditionalFormatting sqref="AV208">
    <cfRule type="expression" priority="3221" dxfId="19">
      <formula>AV208="X"</formula>
    </cfRule>
    <cfRule type="expression" priority="3222" dxfId="18">
      <formula>AV208="후보"</formula>
    </cfRule>
  </conditionalFormatting>
  <conditionalFormatting sqref="AC208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208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208">
    <cfRule type="expression" priority="3213" dxfId="3">
      <formula>AND(IF(OR($Q208=1,$Q208=2),1,0),IF($X208&lt;=20,1,0))</formula>
    </cfRule>
    <cfRule type="expression" priority="3214" dxfId="2">
      <formula>AND(IF($Q208=2,1,0),IF($X208&lt;30,1,0))</formula>
    </cfRule>
    <cfRule type="expression" priority="3215" dxfId="1">
      <formula>AND(IF($Q208=3,1,0),IF($X208&lt;30,1,0))</formula>
    </cfRule>
    <cfRule type="expression" priority="3216" dxfId="0">
      <formula>AND(IF($Q208=3,1,IF($Q208=4,1,0)),IF($F208&lt;=85,1,0))</formula>
    </cfRule>
  </conditionalFormatting>
  <conditionalFormatting sqref="X208">
    <cfRule type="expression" priority="3209" dxfId="3">
      <formula>AND(IF(OR($Q208=1,$Q208=2),1,0),IF($X208&lt;=20,1,0))</formula>
    </cfRule>
    <cfRule type="expression" priority="3210" dxfId="2">
      <formula>AND(IF($Q208=2,1,0),IF($X208&lt;30,1,0))</formula>
    </cfRule>
    <cfRule type="expression" priority="3211" dxfId="1">
      <formula>AND(IF($Q208=3,1,0),IF($X208&lt;30,1,0))</formula>
    </cfRule>
    <cfRule type="expression" priority="3212" dxfId="0">
      <formula>AND(IF($Q208=3,1,IF($Q208=4,1,0)),IF($F208&lt;=85,1,0))</formula>
    </cfRule>
  </conditionalFormatting>
  <conditionalFormatting sqref="AI208">
    <cfRule type="expression" priority="3205" dxfId="3">
      <formula>AND(IF(OR($Q208=1,$Q208=2),1,0),IF($X208&lt;=20,1,0))</formula>
    </cfRule>
    <cfRule type="expression" priority="3206" dxfId="2">
      <formula>AND(IF($Q208=2,1,0),IF($X208&lt;30,1,0))</formula>
    </cfRule>
    <cfRule type="expression" priority="3207" dxfId="1">
      <formula>AND(IF($Q208=3,1,0),IF($X208&lt;30,1,0))</formula>
    </cfRule>
    <cfRule type="expression" priority="3208" dxfId="0">
      <formula>AND(IF($Q208=3,1,IF($Q208=4,1,0)),IF($F208&lt;=85,1,0))</formula>
    </cfRule>
  </conditionalFormatting>
  <conditionalFormatting sqref="AV209">
    <cfRule type="expression" priority="3203" dxfId="19">
      <formula>AV209="X"</formula>
    </cfRule>
    <cfRule type="expression" priority="3204" dxfId="18">
      <formula>AV209="후보"</formula>
    </cfRule>
  </conditionalFormatting>
  <conditionalFormatting sqref="AC209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20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209">
    <cfRule type="expression" priority="3195" dxfId="3">
      <formula>AND(IF(OR($Q209=1,$Q209=2),1,0),IF($X209&lt;=20,1,0))</formula>
    </cfRule>
    <cfRule type="expression" priority="3196" dxfId="2">
      <formula>AND(IF($Q209=2,1,0),IF($X209&lt;30,1,0))</formula>
    </cfRule>
    <cfRule type="expression" priority="3197" dxfId="1">
      <formula>AND(IF($Q209=3,1,0),IF($X209&lt;30,1,0))</formula>
    </cfRule>
    <cfRule type="expression" priority="3198" dxfId="0">
      <formula>AND(IF($Q209=3,1,IF($Q209=4,1,0)),IF($F209&lt;=85,1,0))</formula>
    </cfRule>
  </conditionalFormatting>
  <conditionalFormatting sqref="X209">
    <cfRule type="expression" priority="3191" dxfId="3">
      <formula>AND(IF(OR($Q209=1,$Q209=2),1,0),IF($X209&lt;=20,1,0))</formula>
    </cfRule>
    <cfRule type="expression" priority="3192" dxfId="2">
      <formula>AND(IF($Q209=2,1,0),IF($X209&lt;30,1,0))</formula>
    </cfRule>
    <cfRule type="expression" priority="3193" dxfId="1">
      <formula>AND(IF($Q209=3,1,0),IF($X209&lt;30,1,0))</formula>
    </cfRule>
    <cfRule type="expression" priority="3194" dxfId="0">
      <formula>AND(IF($Q209=3,1,IF($Q209=4,1,0)),IF($F209&lt;=85,1,0))</formula>
    </cfRule>
  </conditionalFormatting>
  <conditionalFormatting sqref="AI209">
    <cfRule type="expression" priority="3187" dxfId="3">
      <formula>AND(IF(OR($Q209=1,$Q209=2),1,0),IF($X209&lt;=20,1,0))</formula>
    </cfRule>
    <cfRule type="expression" priority="3188" dxfId="2">
      <formula>AND(IF($Q209=2,1,0),IF($X209&lt;30,1,0))</formula>
    </cfRule>
    <cfRule type="expression" priority="3189" dxfId="1">
      <formula>AND(IF($Q209=3,1,0),IF($X209&lt;30,1,0))</formula>
    </cfRule>
    <cfRule type="expression" priority="3190" dxfId="0">
      <formula>AND(IF($Q209=3,1,IF($Q209=4,1,0)),IF($F209&lt;=85,1,0))</formula>
    </cfRule>
  </conditionalFormatting>
  <conditionalFormatting sqref="AV210">
    <cfRule type="expression" priority="3185" dxfId="19">
      <formula>AV210="X"</formula>
    </cfRule>
    <cfRule type="expression" priority="3186" dxfId="18">
      <formula>AV210="후보"</formula>
    </cfRule>
  </conditionalFormatting>
  <conditionalFormatting sqref="AC210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21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210">
    <cfRule type="expression" priority="3177" dxfId="3">
      <formula>AND(IF(OR($Q210=1,$Q210=2),1,0),IF($X210&lt;=20,1,0))</formula>
    </cfRule>
    <cfRule type="expression" priority="3178" dxfId="2">
      <formula>AND(IF($Q210=2,1,0),IF($X210&lt;30,1,0))</formula>
    </cfRule>
    <cfRule type="expression" priority="3179" dxfId="1">
      <formula>AND(IF($Q210=3,1,0),IF($X210&lt;30,1,0))</formula>
    </cfRule>
    <cfRule type="expression" priority="3180" dxfId="0">
      <formula>AND(IF($Q210=3,1,IF($Q210=4,1,0)),IF($F210&lt;=85,1,0))</formula>
    </cfRule>
  </conditionalFormatting>
  <conditionalFormatting sqref="X210">
    <cfRule type="expression" priority="3173" dxfId="3">
      <formula>AND(IF(OR($Q210=1,$Q210=2),1,0),IF($X210&lt;=20,1,0))</formula>
    </cfRule>
    <cfRule type="expression" priority="3174" dxfId="2">
      <formula>AND(IF($Q210=2,1,0),IF($X210&lt;30,1,0))</formula>
    </cfRule>
    <cfRule type="expression" priority="3175" dxfId="1">
      <formula>AND(IF($Q210=3,1,0),IF($X210&lt;30,1,0))</formula>
    </cfRule>
    <cfRule type="expression" priority="3176" dxfId="0">
      <formula>AND(IF($Q210=3,1,IF($Q210=4,1,0)),IF($F210&lt;=85,1,0))</formula>
    </cfRule>
  </conditionalFormatting>
  <conditionalFormatting sqref="AI210">
    <cfRule type="expression" priority="3169" dxfId="3">
      <formula>AND(IF(OR($Q210=1,$Q210=2),1,0),IF($X210&lt;=20,1,0))</formula>
    </cfRule>
    <cfRule type="expression" priority="3170" dxfId="2">
      <formula>AND(IF($Q210=2,1,0),IF($X210&lt;30,1,0))</formula>
    </cfRule>
    <cfRule type="expression" priority="3171" dxfId="1">
      <formula>AND(IF($Q210=3,1,0),IF($X210&lt;30,1,0))</formula>
    </cfRule>
    <cfRule type="expression" priority="3172" dxfId="0">
      <formula>AND(IF($Q210=3,1,IF($Q210=4,1,0)),IF($F210&lt;=85,1,0))</formula>
    </cfRule>
  </conditionalFormatting>
  <conditionalFormatting sqref="AV211">
    <cfRule type="expression" priority="3167" dxfId="19">
      <formula>AV211="X"</formula>
    </cfRule>
    <cfRule type="expression" priority="3168" dxfId="18">
      <formula>AV211="후보"</formula>
    </cfRule>
  </conditionalFormatting>
  <conditionalFormatting sqref="AC211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21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211">
    <cfRule type="expression" priority="3159" dxfId="3">
      <formula>AND(IF(OR($Q211=1,$Q211=2),1,0),IF($X211&lt;=20,1,0))</formula>
    </cfRule>
    <cfRule type="expression" priority="3160" dxfId="2">
      <formula>AND(IF($Q211=2,1,0),IF($X211&lt;30,1,0))</formula>
    </cfRule>
    <cfRule type="expression" priority="3161" dxfId="1">
      <formula>AND(IF($Q211=3,1,0),IF($X211&lt;30,1,0))</formula>
    </cfRule>
    <cfRule type="expression" priority="3162" dxfId="0">
      <formula>AND(IF($Q211=3,1,IF($Q211=4,1,0)),IF($F211&lt;=85,1,0))</formula>
    </cfRule>
  </conditionalFormatting>
  <conditionalFormatting sqref="X211">
    <cfRule type="expression" priority="3155" dxfId="3">
      <formula>AND(IF(OR($Q211=1,$Q211=2),1,0),IF($X211&lt;=20,1,0))</formula>
    </cfRule>
    <cfRule type="expression" priority="3156" dxfId="2">
      <formula>AND(IF($Q211=2,1,0),IF($X211&lt;30,1,0))</formula>
    </cfRule>
    <cfRule type="expression" priority="3157" dxfId="1">
      <formula>AND(IF($Q211=3,1,0),IF($X211&lt;30,1,0))</formula>
    </cfRule>
    <cfRule type="expression" priority="3158" dxfId="0">
      <formula>AND(IF($Q211=3,1,IF($Q211=4,1,0)),IF($F211&lt;=85,1,0))</formula>
    </cfRule>
  </conditionalFormatting>
  <conditionalFormatting sqref="AI211">
    <cfRule type="expression" priority="3151" dxfId="3">
      <formula>AND(IF(OR($Q211=1,$Q211=2),1,0),IF($X211&lt;=20,1,0))</formula>
    </cfRule>
    <cfRule type="expression" priority="3152" dxfId="2">
      <formula>AND(IF($Q211=2,1,0),IF($X211&lt;30,1,0))</formula>
    </cfRule>
    <cfRule type="expression" priority="3153" dxfId="1">
      <formula>AND(IF($Q211=3,1,0),IF($X211&lt;30,1,0))</formula>
    </cfRule>
    <cfRule type="expression" priority="3154" dxfId="0">
      <formula>AND(IF($Q211=3,1,IF($Q211=4,1,0)),IF($F211&lt;=85,1,0))</formula>
    </cfRule>
  </conditionalFormatting>
  <conditionalFormatting sqref="AV212">
    <cfRule type="expression" priority="3149" dxfId="19">
      <formula>AV212="X"</formula>
    </cfRule>
    <cfRule type="expression" priority="3150" dxfId="18">
      <formula>AV212="후보"</formula>
    </cfRule>
  </conditionalFormatting>
  <conditionalFormatting sqref="AC212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212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212">
    <cfRule type="expression" priority="3141" dxfId="3">
      <formula>AND(IF(OR($Q212=1,$Q212=2),1,0),IF($X212&lt;=20,1,0))</formula>
    </cfRule>
    <cfRule type="expression" priority="3142" dxfId="2">
      <formula>AND(IF($Q212=2,1,0),IF($X212&lt;30,1,0))</formula>
    </cfRule>
    <cfRule type="expression" priority="3143" dxfId="1">
      <formula>AND(IF($Q212=3,1,0),IF($X212&lt;30,1,0))</formula>
    </cfRule>
    <cfRule type="expression" priority="3144" dxfId="0">
      <formula>AND(IF($Q212=3,1,IF($Q212=4,1,0)),IF($F212&lt;=85,1,0))</formula>
    </cfRule>
  </conditionalFormatting>
  <conditionalFormatting sqref="X212">
    <cfRule type="expression" priority="3137" dxfId="3">
      <formula>AND(IF(OR($Q212=1,$Q212=2),1,0),IF($X212&lt;=20,1,0))</formula>
    </cfRule>
    <cfRule type="expression" priority="3138" dxfId="2">
      <formula>AND(IF($Q212=2,1,0),IF($X212&lt;30,1,0))</formula>
    </cfRule>
    <cfRule type="expression" priority="3139" dxfId="1">
      <formula>AND(IF($Q212=3,1,0),IF($X212&lt;30,1,0))</formula>
    </cfRule>
    <cfRule type="expression" priority="3140" dxfId="0">
      <formula>AND(IF($Q212=3,1,IF($Q212=4,1,0)),IF($F212&lt;=85,1,0))</formula>
    </cfRule>
  </conditionalFormatting>
  <conditionalFormatting sqref="AI212">
    <cfRule type="expression" priority="3133" dxfId="3">
      <formula>AND(IF(OR($Q212=1,$Q212=2),1,0),IF($X212&lt;=20,1,0))</formula>
    </cfRule>
    <cfRule type="expression" priority="3134" dxfId="2">
      <formula>AND(IF($Q212=2,1,0),IF($X212&lt;30,1,0))</formula>
    </cfRule>
    <cfRule type="expression" priority="3135" dxfId="1">
      <formula>AND(IF($Q212=3,1,0),IF($X212&lt;30,1,0))</formula>
    </cfRule>
    <cfRule type="expression" priority="3136" dxfId="0">
      <formula>AND(IF($Q212=3,1,IF($Q212=4,1,0)),IF($F212&lt;=85,1,0))</formula>
    </cfRule>
  </conditionalFormatting>
  <conditionalFormatting sqref="AV213">
    <cfRule type="expression" priority="3131" dxfId="19">
      <formula>AV213="X"</formula>
    </cfRule>
    <cfRule type="expression" priority="3132" dxfId="18">
      <formula>AV213="후보"</formula>
    </cfRule>
  </conditionalFormatting>
  <conditionalFormatting sqref="AC213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213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213">
    <cfRule type="expression" priority="3123" dxfId="3">
      <formula>AND(IF(OR($Q213=1,$Q213=2),1,0),IF($X213&lt;=20,1,0))</formula>
    </cfRule>
    <cfRule type="expression" priority="3124" dxfId="2">
      <formula>AND(IF($Q213=2,1,0),IF($X213&lt;30,1,0))</formula>
    </cfRule>
    <cfRule type="expression" priority="3125" dxfId="1">
      <formula>AND(IF($Q213=3,1,0),IF($X213&lt;30,1,0))</formula>
    </cfRule>
    <cfRule type="expression" priority="3126" dxfId="0">
      <formula>AND(IF($Q213=3,1,IF($Q213=4,1,0)),IF($F213&lt;=85,1,0))</formula>
    </cfRule>
  </conditionalFormatting>
  <conditionalFormatting sqref="X213">
    <cfRule type="expression" priority="3119" dxfId="3">
      <formula>AND(IF(OR($Q213=1,$Q213=2),1,0),IF($X213&lt;=20,1,0))</formula>
    </cfRule>
    <cfRule type="expression" priority="3120" dxfId="2">
      <formula>AND(IF($Q213=2,1,0),IF($X213&lt;30,1,0))</formula>
    </cfRule>
    <cfRule type="expression" priority="3121" dxfId="1">
      <formula>AND(IF($Q213=3,1,0),IF($X213&lt;30,1,0))</formula>
    </cfRule>
    <cfRule type="expression" priority="3122" dxfId="0">
      <formula>AND(IF($Q213=3,1,IF($Q213=4,1,0)),IF($F213&lt;=85,1,0))</formula>
    </cfRule>
  </conditionalFormatting>
  <conditionalFormatting sqref="AI213">
    <cfRule type="expression" priority="3115" dxfId="3">
      <formula>AND(IF(OR($Q213=1,$Q213=2),1,0),IF($X213&lt;=20,1,0))</formula>
    </cfRule>
    <cfRule type="expression" priority="3116" dxfId="2">
      <formula>AND(IF($Q213=2,1,0),IF($X213&lt;30,1,0))</formula>
    </cfRule>
    <cfRule type="expression" priority="3117" dxfId="1">
      <formula>AND(IF($Q213=3,1,0),IF($X213&lt;30,1,0))</formula>
    </cfRule>
    <cfRule type="expression" priority="3118" dxfId="0">
      <formula>AND(IF($Q213=3,1,IF($Q213=4,1,0)),IF($F213&lt;=85,1,0))</formula>
    </cfRule>
  </conditionalFormatting>
  <conditionalFormatting sqref="AV214">
    <cfRule type="expression" priority="3113" dxfId="19">
      <formula>AV214="X"</formula>
    </cfRule>
    <cfRule type="expression" priority="3114" dxfId="18">
      <formula>AV214="후보"</formula>
    </cfRule>
  </conditionalFormatting>
  <conditionalFormatting sqref="AC214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214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214">
    <cfRule type="expression" priority="3105" dxfId="3">
      <formula>AND(IF(OR($Q214=1,$Q214=2),1,0),IF($X214&lt;=20,1,0))</formula>
    </cfRule>
    <cfRule type="expression" priority="3106" dxfId="2">
      <formula>AND(IF($Q214=2,1,0),IF($X214&lt;30,1,0))</formula>
    </cfRule>
    <cfRule type="expression" priority="3107" dxfId="1">
      <formula>AND(IF($Q214=3,1,0),IF($X214&lt;30,1,0))</formula>
    </cfRule>
    <cfRule type="expression" priority="3108" dxfId="0">
      <formula>AND(IF($Q214=3,1,IF($Q214=4,1,0)),IF($F214&lt;=85,1,0))</formula>
    </cfRule>
  </conditionalFormatting>
  <conditionalFormatting sqref="X214">
    <cfRule type="expression" priority="3101" dxfId="3">
      <formula>AND(IF(OR($Q214=1,$Q214=2),1,0),IF($X214&lt;=20,1,0))</formula>
    </cfRule>
    <cfRule type="expression" priority="3102" dxfId="2">
      <formula>AND(IF($Q214=2,1,0),IF($X214&lt;30,1,0))</formula>
    </cfRule>
    <cfRule type="expression" priority="3103" dxfId="1">
      <formula>AND(IF($Q214=3,1,0),IF($X214&lt;30,1,0))</formula>
    </cfRule>
    <cfRule type="expression" priority="3104" dxfId="0">
      <formula>AND(IF($Q214=3,1,IF($Q214=4,1,0)),IF($F214&lt;=85,1,0))</formula>
    </cfRule>
  </conditionalFormatting>
  <conditionalFormatting sqref="AI214">
    <cfRule type="expression" priority="3097" dxfId="3">
      <formula>AND(IF(OR($Q214=1,$Q214=2),1,0),IF($X214&lt;=20,1,0))</formula>
    </cfRule>
    <cfRule type="expression" priority="3098" dxfId="2">
      <formula>AND(IF($Q214=2,1,0),IF($X214&lt;30,1,0))</formula>
    </cfRule>
    <cfRule type="expression" priority="3099" dxfId="1">
      <formula>AND(IF($Q214=3,1,0),IF($X214&lt;30,1,0))</formula>
    </cfRule>
    <cfRule type="expression" priority="3100" dxfId="0">
      <formula>AND(IF($Q214=3,1,IF($Q214=4,1,0)),IF($F214&lt;=85,1,0))</formula>
    </cfRule>
  </conditionalFormatting>
  <conditionalFormatting sqref="AV215">
    <cfRule type="expression" priority="3095" dxfId="19">
      <formula>AV215="X"</formula>
    </cfRule>
    <cfRule type="expression" priority="3096" dxfId="18">
      <formula>AV215="후보"</formula>
    </cfRule>
  </conditionalFormatting>
  <conditionalFormatting sqref="AC215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21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215">
    <cfRule type="expression" priority="3087" dxfId="3">
      <formula>AND(IF(OR($Q215=1,$Q215=2),1,0),IF($X215&lt;=20,1,0))</formula>
    </cfRule>
    <cfRule type="expression" priority="3088" dxfId="2">
      <formula>AND(IF($Q215=2,1,0),IF($X215&lt;30,1,0))</formula>
    </cfRule>
    <cfRule type="expression" priority="3089" dxfId="1">
      <formula>AND(IF($Q215=3,1,0),IF($X215&lt;30,1,0))</formula>
    </cfRule>
    <cfRule type="expression" priority="3090" dxfId="0">
      <formula>AND(IF($Q215=3,1,IF($Q215=4,1,0)),IF($F215&lt;=85,1,0))</formula>
    </cfRule>
  </conditionalFormatting>
  <conditionalFormatting sqref="X215">
    <cfRule type="expression" priority="3083" dxfId="3">
      <formula>AND(IF(OR($Q215=1,$Q215=2),1,0),IF($X215&lt;=20,1,0))</formula>
    </cfRule>
    <cfRule type="expression" priority="3084" dxfId="2">
      <formula>AND(IF($Q215=2,1,0),IF($X215&lt;30,1,0))</formula>
    </cfRule>
    <cfRule type="expression" priority="3085" dxfId="1">
      <formula>AND(IF($Q215=3,1,0),IF($X215&lt;30,1,0))</formula>
    </cfRule>
    <cfRule type="expression" priority="3086" dxfId="0">
      <formula>AND(IF($Q215=3,1,IF($Q215=4,1,0)),IF($F215&lt;=85,1,0))</formula>
    </cfRule>
  </conditionalFormatting>
  <conditionalFormatting sqref="AI215">
    <cfRule type="expression" priority="3079" dxfId="3">
      <formula>AND(IF(OR($Q215=1,$Q215=2),1,0),IF($X215&lt;=20,1,0))</formula>
    </cfRule>
    <cfRule type="expression" priority="3080" dxfId="2">
      <formula>AND(IF($Q215=2,1,0),IF($X215&lt;30,1,0))</formula>
    </cfRule>
    <cfRule type="expression" priority="3081" dxfId="1">
      <formula>AND(IF($Q215=3,1,0),IF($X215&lt;30,1,0))</formula>
    </cfRule>
    <cfRule type="expression" priority="3082" dxfId="0">
      <formula>AND(IF($Q215=3,1,IF($Q215=4,1,0)),IF($F215&lt;=85,1,0))</formula>
    </cfRule>
  </conditionalFormatting>
  <conditionalFormatting sqref="AV216">
    <cfRule type="expression" priority="3077" dxfId="19">
      <formula>AV216="X"</formula>
    </cfRule>
    <cfRule type="expression" priority="3078" dxfId="18">
      <formula>AV216="후보"</formula>
    </cfRule>
  </conditionalFormatting>
  <conditionalFormatting sqref="AC216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1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16">
    <cfRule type="expression" priority="3069" dxfId="3">
      <formula>AND(IF(OR($Q216=1,$Q216=2),1,0),IF($X216&lt;=20,1,0))</formula>
    </cfRule>
    <cfRule type="expression" priority="3070" dxfId="2">
      <formula>AND(IF($Q216=2,1,0),IF($X216&lt;30,1,0))</formula>
    </cfRule>
    <cfRule type="expression" priority="3071" dxfId="1">
      <formula>AND(IF($Q216=3,1,0),IF($X216&lt;30,1,0))</formula>
    </cfRule>
    <cfRule type="expression" priority="3072" dxfId="0">
      <formula>AND(IF($Q216=3,1,IF($Q216=4,1,0)),IF($F216&lt;=85,1,0))</formula>
    </cfRule>
  </conditionalFormatting>
  <conditionalFormatting sqref="X216">
    <cfRule type="expression" priority="3065" dxfId="3">
      <formula>AND(IF(OR($Q216=1,$Q216=2),1,0),IF($X216&lt;=20,1,0))</formula>
    </cfRule>
    <cfRule type="expression" priority="3066" dxfId="2">
      <formula>AND(IF($Q216=2,1,0),IF($X216&lt;30,1,0))</formula>
    </cfRule>
    <cfRule type="expression" priority="3067" dxfId="1">
      <formula>AND(IF($Q216=3,1,0),IF($X216&lt;30,1,0))</formula>
    </cfRule>
    <cfRule type="expression" priority="3068" dxfId="0">
      <formula>AND(IF($Q216=3,1,IF($Q216=4,1,0)),IF($F216&lt;=85,1,0))</formula>
    </cfRule>
  </conditionalFormatting>
  <conditionalFormatting sqref="AI216">
    <cfRule type="expression" priority="3061" dxfId="3">
      <formula>AND(IF(OR($Q216=1,$Q216=2),1,0),IF($X216&lt;=20,1,0))</formula>
    </cfRule>
    <cfRule type="expression" priority="3062" dxfId="2">
      <formula>AND(IF($Q216=2,1,0),IF($X216&lt;30,1,0))</formula>
    </cfRule>
    <cfRule type="expression" priority="3063" dxfId="1">
      <formula>AND(IF($Q216=3,1,0),IF($X216&lt;30,1,0))</formula>
    </cfRule>
    <cfRule type="expression" priority="3064" dxfId="0">
      <formula>AND(IF($Q216=3,1,IF($Q216=4,1,0)),IF($F216&lt;=85,1,0))</formula>
    </cfRule>
  </conditionalFormatting>
  <conditionalFormatting sqref="AV217">
    <cfRule type="expression" priority="3059" dxfId="19">
      <formula>AV217="X"</formula>
    </cfRule>
    <cfRule type="expression" priority="3060" dxfId="18">
      <formula>AV217="후보"</formula>
    </cfRule>
  </conditionalFormatting>
  <conditionalFormatting sqref="AC217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7">
    <cfRule type="expression" priority="3051" dxfId="3">
      <formula>AND(IF(OR($Q217=1,$Q217=2),1,0),IF($X217&lt;=20,1,0))</formula>
    </cfRule>
    <cfRule type="expression" priority="3052" dxfId="2">
      <formula>AND(IF($Q217=2,1,0),IF($X217&lt;30,1,0))</formula>
    </cfRule>
    <cfRule type="expression" priority="3053" dxfId="1">
      <formula>AND(IF($Q217=3,1,0),IF($X217&lt;30,1,0))</formula>
    </cfRule>
    <cfRule type="expression" priority="3054" dxfId="0">
      <formula>AND(IF($Q217=3,1,IF($Q217=4,1,0)),IF($F217&lt;=85,1,0))</formula>
    </cfRule>
  </conditionalFormatting>
  <conditionalFormatting sqref="X217">
    <cfRule type="expression" priority="3047" dxfId="3">
      <formula>AND(IF(OR($Q217=1,$Q217=2),1,0),IF($X217&lt;=20,1,0))</formula>
    </cfRule>
    <cfRule type="expression" priority="3048" dxfId="2">
      <formula>AND(IF($Q217=2,1,0),IF($X217&lt;30,1,0))</formula>
    </cfRule>
    <cfRule type="expression" priority="3049" dxfId="1">
      <formula>AND(IF($Q217=3,1,0),IF($X217&lt;30,1,0))</formula>
    </cfRule>
    <cfRule type="expression" priority="3050" dxfId="0">
      <formula>AND(IF($Q217=3,1,IF($Q217=4,1,0)),IF($F217&lt;=85,1,0))</formula>
    </cfRule>
  </conditionalFormatting>
  <conditionalFormatting sqref="AI217">
    <cfRule type="expression" priority="3043" dxfId="3">
      <formula>AND(IF(OR($Q217=1,$Q217=2),1,0),IF($X217&lt;=20,1,0))</formula>
    </cfRule>
    <cfRule type="expression" priority="3044" dxfId="2">
      <formula>AND(IF($Q217=2,1,0),IF($X217&lt;30,1,0))</formula>
    </cfRule>
    <cfRule type="expression" priority="3045" dxfId="1">
      <formula>AND(IF($Q217=3,1,0),IF($X217&lt;30,1,0))</formula>
    </cfRule>
    <cfRule type="expression" priority="3046" dxfId="0">
      <formula>AND(IF($Q217=3,1,IF($Q217=4,1,0)),IF($F217&lt;=85,1,0))</formula>
    </cfRule>
  </conditionalFormatting>
  <conditionalFormatting sqref="AV218">
    <cfRule type="expression" priority="3041" dxfId="19">
      <formula>AV218="X"</formula>
    </cfRule>
    <cfRule type="expression" priority="3042" dxfId="18">
      <formula>AV218="후보"</formula>
    </cfRule>
  </conditionalFormatting>
  <conditionalFormatting sqref="AC21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1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18">
    <cfRule type="expression" priority="3033" dxfId="3">
      <formula>AND(IF(OR($Q218=1,$Q218=2),1,0),IF($X218&lt;=20,1,0))</formula>
    </cfRule>
    <cfRule type="expression" priority="3034" dxfId="2">
      <formula>AND(IF($Q218=2,1,0),IF($X218&lt;30,1,0))</formula>
    </cfRule>
    <cfRule type="expression" priority="3035" dxfId="1">
      <formula>AND(IF($Q218=3,1,0),IF($X218&lt;30,1,0))</formula>
    </cfRule>
    <cfRule type="expression" priority="3036" dxfId="0">
      <formula>AND(IF($Q218=3,1,IF($Q218=4,1,0)),IF($F218&lt;=85,1,0))</formula>
    </cfRule>
  </conditionalFormatting>
  <conditionalFormatting sqref="X218">
    <cfRule type="expression" priority="3029" dxfId="3">
      <formula>AND(IF(OR($Q218=1,$Q218=2),1,0),IF($X218&lt;=20,1,0))</formula>
    </cfRule>
    <cfRule type="expression" priority="3030" dxfId="2">
      <formula>AND(IF($Q218=2,1,0),IF($X218&lt;30,1,0))</formula>
    </cfRule>
    <cfRule type="expression" priority="3031" dxfId="1">
      <formula>AND(IF($Q218=3,1,0),IF($X218&lt;30,1,0))</formula>
    </cfRule>
    <cfRule type="expression" priority="3032" dxfId="0">
      <formula>AND(IF($Q218=3,1,IF($Q218=4,1,0)),IF($F218&lt;=85,1,0))</formula>
    </cfRule>
  </conditionalFormatting>
  <conditionalFormatting sqref="AI218">
    <cfRule type="expression" priority="3025" dxfId="3">
      <formula>AND(IF(OR($Q218=1,$Q218=2),1,0),IF($X218&lt;=20,1,0))</formula>
    </cfRule>
    <cfRule type="expression" priority="3026" dxfId="2">
      <formula>AND(IF($Q218=2,1,0),IF($X218&lt;30,1,0))</formula>
    </cfRule>
    <cfRule type="expression" priority="3027" dxfId="1">
      <formula>AND(IF($Q218=3,1,0),IF($X218&lt;30,1,0))</formula>
    </cfRule>
    <cfRule type="expression" priority="3028" dxfId="0">
      <formula>AND(IF($Q218=3,1,IF($Q218=4,1,0)),IF($F218&lt;=85,1,0))</formula>
    </cfRule>
  </conditionalFormatting>
  <conditionalFormatting sqref="AV219">
    <cfRule type="expression" priority="3023" dxfId="19">
      <formula>AV219="X"</formula>
    </cfRule>
    <cfRule type="expression" priority="3024" dxfId="18">
      <formula>AV219="후보"</formula>
    </cfRule>
  </conditionalFormatting>
  <conditionalFormatting sqref="AC219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1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19">
    <cfRule type="expression" priority="3015" dxfId="3">
      <formula>AND(IF(OR($Q219=1,$Q219=2),1,0),IF($X219&lt;=20,1,0))</formula>
    </cfRule>
    <cfRule type="expression" priority="3016" dxfId="2">
      <formula>AND(IF($Q219=2,1,0),IF($X219&lt;30,1,0))</formula>
    </cfRule>
    <cfRule type="expression" priority="3017" dxfId="1">
      <formula>AND(IF($Q219=3,1,0),IF($X219&lt;30,1,0))</formula>
    </cfRule>
    <cfRule type="expression" priority="3018" dxfId="0">
      <formula>AND(IF($Q219=3,1,IF($Q219=4,1,0)),IF($F219&lt;=85,1,0))</formula>
    </cfRule>
  </conditionalFormatting>
  <conditionalFormatting sqref="X219">
    <cfRule type="expression" priority="3011" dxfId="3">
      <formula>AND(IF(OR($Q219=1,$Q219=2),1,0),IF($X219&lt;=20,1,0))</formula>
    </cfRule>
    <cfRule type="expression" priority="3012" dxfId="2">
      <formula>AND(IF($Q219=2,1,0),IF($X219&lt;30,1,0))</formula>
    </cfRule>
    <cfRule type="expression" priority="3013" dxfId="1">
      <formula>AND(IF($Q219=3,1,0),IF($X219&lt;30,1,0))</formula>
    </cfRule>
    <cfRule type="expression" priority="3014" dxfId="0">
      <formula>AND(IF($Q219=3,1,IF($Q219=4,1,0)),IF($F219&lt;=85,1,0))</formula>
    </cfRule>
  </conditionalFormatting>
  <conditionalFormatting sqref="AI219">
    <cfRule type="expression" priority="3007" dxfId="3">
      <formula>AND(IF(OR($Q219=1,$Q219=2),1,0),IF($X219&lt;=20,1,0))</formula>
    </cfRule>
    <cfRule type="expression" priority="3008" dxfId="2">
      <formula>AND(IF($Q219=2,1,0),IF($X219&lt;30,1,0))</formula>
    </cfRule>
    <cfRule type="expression" priority="3009" dxfId="1">
      <formula>AND(IF($Q219=3,1,0),IF($X219&lt;30,1,0))</formula>
    </cfRule>
    <cfRule type="expression" priority="3010" dxfId="0">
      <formula>AND(IF($Q219=3,1,IF($Q219=4,1,0)),IF($F219&lt;=85,1,0))</formula>
    </cfRule>
  </conditionalFormatting>
  <conditionalFormatting sqref="AV220">
    <cfRule type="expression" priority="3005" dxfId="19">
      <formula>AV220="X"</formula>
    </cfRule>
    <cfRule type="expression" priority="3006" dxfId="18">
      <formula>AV220="후보"</formula>
    </cfRule>
  </conditionalFormatting>
  <conditionalFormatting sqref="AC220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2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20">
    <cfRule type="expression" priority="2997" dxfId="3">
      <formula>AND(IF(OR($Q220=1,$Q220=2),1,0),IF($X220&lt;=20,1,0))</formula>
    </cfRule>
    <cfRule type="expression" priority="2998" dxfId="2">
      <formula>AND(IF($Q220=2,1,0),IF($X220&lt;30,1,0))</formula>
    </cfRule>
    <cfRule type="expression" priority="2999" dxfId="1">
      <formula>AND(IF($Q220=3,1,0),IF($X220&lt;30,1,0))</formula>
    </cfRule>
    <cfRule type="expression" priority="3000" dxfId="0">
      <formula>AND(IF($Q220=3,1,IF($Q220=4,1,0)),IF($F220&lt;=85,1,0))</formula>
    </cfRule>
  </conditionalFormatting>
  <conditionalFormatting sqref="X220">
    <cfRule type="expression" priority="2993" dxfId="3">
      <formula>AND(IF(OR($Q220=1,$Q220=2),1,0),IF($X220&lt;=20,1,0))</formula>
    </cfRule>
    <cfRule type="expression" priority="2994" dxfId="2">
      <formula>AND(IF($Q220=2,1,0),IF($X220&lt;30,1,0))</formula>
    </cfRule>
    <cfRule type="expression" priority="2995" dxfId="1">
      <formula>AND(IF($Q220=3,1,0),IF($X220&lt;30,1,0))</formula>
    </cfRule>
    <cfRule type="expression" priority="2996" dxfId="0">
      <formula>AND(IF($Q220=3,1,IF($Q220=4,1,0)),IF($F220&lt;=85,1,0))</formula>
    </cfRule>
  </conditionalFormatting>
  <conditionalFormatting sqref="AI220">
    <cfRule type="expression" priority="2989" dxfId="3">
      <formula>AND(IF(OR($Q220=1,$Q220=2),1,0),IF($X220&lt;=20,1,0))</formula>
    </cfRule>
    <cfRule type="expression" priority="2990" dxfId="2">
      <formula>AND(IF($Q220=2,1,0),IF($X220&lt;30,1,0))</formula>
    </cfRule>
    <cfRule type="expression" priority="2991" dxfId="1">
      <formula>AND(IF($Q220=3,1,0),IF($X220&lt;30,1,0))</formula>
    </cfRule>
    <cfRule type="expression" priority="2992" dxfId="0">
      <formula>AND(IF($Q220=3,1,IF($Q220=4,1,0)),IF($F220&lt;=85,1,0))</formula>
    </cfRule>
  </conditionalFormatting>
  <conditionalFormatting sqref="AV221">
    <cfRule type="expression" priority="2987" dxfId="19">
      <formula>AV221="X"</formula>
    </cfRule>
    <cfRule type="expression" priority="2988" dxfId="18">
      <formula>AV221="후보"</formula>
    </cfRule>
  </conditionalFormatting>
  <conditionalFormatting sqref="AC221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21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21">
    <cfRule type="expression" priority="2979" dxfId="3">
      <formula>AND(IF(OR($Q221=1,$Q221=2),1,0),IF($X221&lt;=20,1,0))</formula>
    </cfRule>
    <cfRule type="expression" priority="2980" dxfId="2">
      <formula>AND(IF($Q221=2,1,0),IF($X221&lt;30,1,0))</formula>
    </cfRule>
    <cfRule type="expression" priority="2981" dxfId="1">
      <formula>AND(IF($Q221=3,1,0),IF($X221&lt;30,1,0))</formula>
    </cfRule>
    <cfRule type="expression" priority="2982" dxfId="0">
      <formula>AND(IF($Q221=3,1,IF($Q221=4,1,0)),IF($F221&lt;=85,1,0))</formula>
    </cfRule>
  </conditionalFormatting>
  <conditionalFormatting sqref="X221">
    <cfRule type="expression" priority="2975" dxfId="3">
      <formula>AND(IF(OR($Q221=1,$Q221=2),1,0),IF($X221&lt;=20,1,0))</formula>
    </cfRule>
    <cfRule type="expression" priority="2976" dxfId="2">
      <formula>AND(IF($Q221=2,1,0),IF($X221&lt;30,1,0))</formula>
    </cfRule>
    <cfRule type="expression" priority="2977" dxfId="1">
      <formula>AND(IF($Q221=3,1,0),IF($X221&lt;30,1,0))</formula>
    </cfRule>
    <cfRule type="expression" priority="2978" dxfId="0">
      <formula>AND(IF($Q221=3,1,IF($Q221=4,1,0)),IF($F221&lt;=85,1,0))</formula>
    </cfRule>
  </conditionalFormatting>
  <conditionalFormatting sqref="AI221">
    <cfRule type="expression" priority="2971" dxfId="3">
      <formula>AND(IF(OR($Q221=1,$Q221=2),1,0),IF($X221&lt;=20,1,0))</formula>
    </cfRule>
    <cfRule type="expression" priority="2972" dxfId="2">
      <formula>AND(IF($Q221=2,1,0),IF($X221&lt;30,1,0))</formula>
    </cfRule>
    <cfRule type="expression" priority="2973" dxfId="1">
      <formula>AND(IF($Q221=3,1,0),IF($X221&lt;30,1,0))</formula>
    </cfRule>
    <cfRule type="expression" priority="2974" dxfId="0">
      <formula>AND(IF($Q221=3,1,IF($Q221=4,1,0)),IF($F221&lt;=85,1,0))</formula>
    </cfRule>
  </conditionalFormatting>
  <conditionalFormatting sqref="AV222">
    <cfRule type="expression" priority="2969" dxfId="19">
      <formula>AV222="X"</formula>
    </cfRule>
    <cfRule type="expression" priority="2970" dxfId="18">
      <formula>AV222="후보"</formula>
    </cfRule>
  </conditionalFormatting>
  <conditionalFormatting sqref="AC222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22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22">
    <cfRule type="expression" priority="2961" dxfId="3">
      <formula>AND(IF(OR($Q222=1,$Q222=2),1,0),IF($X222&lt;=20,1,0))</formula>
    </cfRule>
    <cfRule type="expression" priority="2962" dxfId="2">
      <formula>AND(IF($Q222=2,1,0),IF($X222&lt;30,1,0))</formula>
    </cfRule>
    <cfRule type="expression" priority="2963" dxfId="1">
      <formula>AND(IF($Q222=3,1,0),IF($X222&lt;30,1,0))</formula>
    </cfRule>
    <cfRule type="expression" priority="2964" dxfId="0">
      <formula>AND(IF($Q222=3,1,IF($Q222=4,1,0)),IF($F222&lt;=85,1,0))</formula>
    </cfRule>
  </conditionalFormatting>
  <conditionalFormatting sqref="X222">
    <cfRule type="expression" priority="2957" dxfId="3">
      <formula>AND(IF(OR($Q222=1,$Q222=2),1,0),IF($X222&lt;=20,1,0))</formula>
    </cfRule>
    <cfRule type="expression" priority="2958" dxfId="2">
      <formula>AND(IF($Q222=2,1,0),IF($X222&lt;30,1,0))</formula>
    </cfRule>
    <cfRule type="expression" priority="2959" dxfId="1">
      <formula>AND(IF($Q222=3,1,0),IF($X222&lt;30,1,0))</formula>
    </cfRule>
    <cfRule type="expression" priority="2960" dxfId="0">
      <formula>AND(IF($Q222=3,1,IF($Q222=4,1,0)),IF($F222&lt;=85,1,0))</formula>
    </cfRule>
  </conditionalFormatting>
  <conditionalFormatting sqref="AI222">
    <cfRule type="expression" priority="2953" dxfId="3">
      <formula>AND(IF(OR($Q222=1,$Q222=2),1,0),IF($X222&lt;=20,1,0))</formula>
    </cfRule>
    <cfRule type="expression" priority="2954" dxfId="2">
      <formula>AND(IF($Q222=2,1,0),IF($X222&lt;30,1,0))</formula>
    </cfRule>
    <cfRule type="expression" priority="2955" dxfId="1">
      <formula>AND(IF($Q222=3,1,0),IF($X222&lt;30,1,0))</formula>
    </cfRule>
    <cfRule type="expression" priority="2956" dxfId="0">
      <formula>AND(IF($Q222=3,1,IF($Q222=4,1,0)),IF($F222&lt;=85,1,0))</formula>
    </cfRule>
  </conditionalFormatting>
  <conditionalFormatting sqref="AV223">
    <cfRule type="expression" priority="2951" dxfId="19">
      <formula>AV223="X"</formula>
    </cfRule>
    <cfRule type="expression" priority="2952" dxfId="18">
      <formula>AV223="후보"</formula>
    </cfRule>
  </conditionalFormatting>
  <conditionalFormatting sqref="AC223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23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23">
    <cfRule type="expression" priority="2943" dxfId="3">
      <formula>AND(IF(OR($Q223=1,$Q223=2),1,0),IF($X223&lt;=20,1,0))</formula>
    </cfRule>
    <cfRule type="expression" priority="2944" dxfId="2">
      <formula>AND(IF($Q223=2,1,0),IF($X223&lt;30,1,0))</formula>
    </cfRule>
    <cfRule type="expression" priority="2945" dxfId="1">
      <formula>AND(IF($Q223=3,1,0),IF($X223&lt;30,1,0))</formula>
    </cfRule>
    <cfRule type="expression" priority="2946" dxfId="0">
      <formula>AND(IF($Q223=3,1,IF($Q223=4,1,0)),IF($F223&lt;=85,1,0))</formula>
    </cfRule>
  </conditionalFormatting>
  <conditionalFormatting sqref="X223">
    <cfRule type="expression" priority="2939" dxfId="3">
      <formula>AND(IF(OR($Q223=1,$Q223=2),1,0),IF($X223&lt;=20,1,0))</formula>
    </cfRule>
    <cfRule type="expression" priority="2940" dxfId="2">
      <formula>AND(IF($Q223=2,1,0),IF($X223&lt;30,1,0))</formula>
    </cfRule>
    <cfRule type="expression" priority="2941" dxfId="1">
      <formula>AND(IF($Q223=3,1,0),IF($X223&lt;30,1,0))</formula>
    </cfRule>
    <cfRule type="expression" priority="2942" dxfId="0">
      <formula>AND(IF($Q223=3,1,IF($Q223=4,1,0)),IF($F223&lt;=85,1,0))</formula>
    </cfRule>
  </conditionalFormatting>
  <conditionalFormatting sqref="AI223">
    <cfRule type="expression" priority="2935" dxfId="3">
      <formula>AND(IF(OR($Q223=1,$Q223=2),1,0),IF($X223&lt;=20,1,0))</formula>
    </cfRule>
    <cfRule type="expression" priority="2936" dxfId="2">
      <formula>AND(IF($Q223=2,1,0),IF($X223&lt;30,1,0))</formula>
    </cfRule>
    <cfRule type="expression" priority="2937" dxfId="1">
      <formula>AND(IF($Q223=3,1,0),IF($X223&lt;30,1,0))</formula>
    </cfRule>
    <cfRule type="expression" priority="2938" dxfId="0">
      <formula>AND(IF($Q223=3,1,IF($Q223=4,1,0)),IF($F223&lt;=85,1,0))</formula>
    </cfRule>
  </conditionalFormatting>
  <conditionalFormatting sqref="AV224">
    <cfRule type="expression" priority="2933" dxfId="19">
      <formula>AV224="X"</formula>
    </cfRule>
    <cfRule type="expression" priority="2934" dxfId="18">
      <formula>AV224="후보"</formula>
    </cfRule>
  </conditionalFormatting>
  <conditionalFormatting sqref="AC224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24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24">
    <cfRule type="expression" priority="2925" dxfId="3">
      <formula>AND(IF(OR($Q224=1,$Q224=2),1,0),IF($X224&lt;=20,1,0))</formula>
    </cfRule>
    <cfRule type="expression" priority="2926" dxfId="2">
      <formula>AND(IF($Q224=2,1,0),IF($X224&lt;30,1,0))</formula>
    </cfRule>
    <cfRule type="expression" priority="2927" dxfId="1">
      <formula>AND(IF($Q224=3,1,0),IF($X224&lt;30,1,0))</formula>
    </cfRule>
    <cfRule type="expression" priority="2928" dxfId="0">
      <formula>AND(IF($Q224=3,1,IF($Q224=4,1,0)),IF($F224&lt;=85,1,0))</formula>
    </cfRule>
  </conditionalFormatting>
  <conditionalFormatting sqref="X224">
    <cfRule type="expression" priority="2921" dxfId="3">
      <formula>AND(IF(OR($Q224=1,$Q224=2),1,0),IF($X224&lt;=20,1,0))</formula>
    </cfRule>
    <cfRule type="expression" priority="2922" dxfId="2">
      <formula>AND(IF($Q224=2,1,0),IF($X224&lt;30,1,0))</formula>
    </cfRule>
    <cfRule type="expression" priority="2923" dxfId="1">
      <formula>AND(IF($Q224=3,1,0),IF($X224&lt;30,1,0))</formula>
    </cfRule>
    <cfRule type="expression" priority="2924" dxfId="0">
      <formula>AND(IF($Q224=3,1,IF($Q224=4,1,0)),IF($F224&lt;=85,1,0))</formula>
    </cfRule>
  </conditionalFormatting>
  <conditionalFormatting sqref="AI224">
    <cfRule type="expression" priority="2917" dxfId="3">
      <formula>AND(IF(OR($Q224=1,$Q224=2),1,0),IF($X224&lt;=20,1,0))</formula>
    </cfRule>
    <cfRule type="expression" priority="2918" dxfId="2">
      <formula>AND(IF($Q224=2,1,0),IF($X224&lt;30,1,0))</formula>
    </cfRule>
    <cfRule type="expression" priority="2919" dxfId="1">
      <formula>AND(IF($Q224=3,1,0),IF($X224&lt;30,1,0))</formula>
    </cfRule>
    <cfRule type="expression" priority="2920" dxfId="0">
      <formula>AND(IF($Q224=3,1,IF($Q224=4,1,0)),IF($F224&lt;=85,1,0))</formula>
    </cfRule>
  </conditionalFormatting>
  <conditionalFormatting sqref="AV225">
    <cfRule type="expression" priority="2915" dxfId="19">
      <formula>AV225="X"</formula>
    </cfRule>
    <cfRule type="expression" priority="2916" dxfId="18">
      <formula>AV225="후보"</formula>
    </cfRule>
  </conditionalFormatting>
  <conditionalFormatting sqref="AC225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25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25">
    <cfRule type="expression" priority="2907" dxfId="3">
      <formula>AND(IF(OR($Q225=1,$Q225=2),1,0),IF($X225&lt;=20,1,0))</formula>
    </cfRule>
    <cfRule type="expression" priority="2908" dxfId="2">
      <formula>AND(IF($Q225=2,1,0),IF($X225&lt;30,1,0))</formula>
    </cfRule>
    <cfRule type="expression" priority="2909" dxfId="1">
      <formula>AND(IF($Q225=3,1,0),IF($X225&lt;30,1,0))</formula>
    </cfRule>
    <cfRule type="expression" priority="2910" dxfId="0">
      <formula>AND(IF($Q225=3,1,IF($Q225=4,1,0)),IF($F225&lt;=85,1,0))</formula>
    </cfRule>
  </conditionalFormatting>
  <conditionalFormatting sqref="X225">
    <cfRule type="expression" priority="2903" dxfId="3">
      <formula>AND(IF(OR($Q225=1,$Q225=2),1,0),IF($X225&lt;=20,1,0))</formula>
    </cfRule>
    <cfRule type="expression" priority="2904" dxfId="2">
      <formula>AND(IF($Q225=2,1,0),IF($X225&lt;30,1,0))</formula>
    </cfRule>
    <cfRule type="expression" priority="2905" dxfId="1">
      <formula>AND(IF($Q225=3,1,0),IF($X225&lt;30,1,0))</formula>
    </cfRule>
    <cfRule type="expression" priority="2906" dxfId="0">
      <formula>AND(IF($Q225=3,1,IF($Q225=4,1,0)),IF($F225&lt;=85,1,0))</formula>
    </cfRule>
  </conditionalFormatting>
  <conditionalFormatting sqref="AI225">
    <cfRule type="expression" priority="2899" dxfId="3">
      <formula>AND(IF(OR($Q225=1,$Q225=2),1,0),IF($X225&lt;=20,1,0))</formula>
    </cfRule>
    <cfRule type="expression" priority="2900" dxfId="2">
      <formula>AND(IF($Q225=2,1,0),IF($X225&lt;30,1,0))</formula>
    </cfRule>
    <cfRule type="expression" priority="2901" dxfId="1">
      <formula>AND(IF($Q225=3,1,0),IF($X225&lt;30,1,0))</formula>
    </cfRule>
    <cfRule type="expression" priority="2902" dxfId="0">
      <formula>AND(IF($Q225=3,1,IF($Q225=4,1,0)),IF($F225&lt;=85,1,0))</formula>
    </cfRule>
  </conditionalFormatting>
  <conditionalFormatting sqref="AV226">
    <cfRule type="expression" priority="2897" dxfId="19">
      <formula>AV226="X"</formula>
    </cfRule>
    <cfRule type="expression" priority="2898" dxfId="18">
      <formula>AV226="후보"</formula>
    </cfRule>
  </conditionalFormatting>
  <conditionalFormatting sqref="AC226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26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26">
    <cfRule type="expression" priority="2889" dxfId="3">
      <formula>AND(IF(OR($Q226=1,$Q226=2),1,0),IF($X226&lt;=20,1,0))</formula>
    </cfRule>
    <cfRule type="expression" priority="2890" dxfId="2">
      <formula>AND(IF($Q226=2,1,0),IF($X226&lt;30,1,0))</formula>
    </cfRule>
    <cfRule type="expression" priority="2891" dxfId="1">
      <formula>AND(IF($Q226=3,1,0),IF($X226&lt;30,1,0))</formula>
    </cfRule>
    <cfRule type="expression" priority="2892" dxfId="0">
      <formula>AND(IF($Q226=3,1,IF($Q226=4,1,0)),IF($F226&lt;=85,1,0))</formula>
    </cfRule>
  </conditionalFormatting>
  <conditionalFormatting sqref="X226">
    <cfRule type="expression" priority="2885" dxfId="3">
      <formula>AND(IF(OR($Q226=1,$Q226=2),1,0),IF($X226&lt;=20,1,0))</formula>
    </cfRule>
    <cfRule type="expression" priority="2886" dxfId="2">
      <formula>AND(IF($Q226=2,1,0),IF($X226&lt;30,1,0))</formula>
    </cfRule>
    <cfRule type="expression" priority="2887" dxfId="1">
      <formula>AND(IF($Q226=3,1,0),IF($X226&lt;30,1,0))</formula>
    </cfRule>
    <cfRule type="expression" priority="2888" dxfId="0">
      <formula>AND(IF($Q226=3,1,IF($Q226=4,1,0)),IF($F226&lt;=85,1,0))</formula>
    </cfRule>
  </conditionalFormatting>
  <conditionalFormatting sqref="AI226">
    <cfRule type="expression" priority="2881" dxfId="3">
      <formula>AND(IF(OR($Q226=1,$Q226=2),1,0),IF($X226&lt;=20,1,0))</formula>
    </cfRule>
    <cfRule type="expression" priority="2882" dxfId="2">
      <formula>AND(IF($Q226=2,1,0),IF($X226&lt;30,1,0))</formula>
    </cfRule>
    <cfRule type="expression" priority="2883" dxfId="1">
      <formula>AND(IF($Q226=3,1,0),IF($X226&lt;30,1,0))</formula>
    </cfRule>
    <cfRule type="expression" priority="2884" dxfId="0">
      <formula>AND(IF($Q226=3,1,IF($Q226=4,1,0)),IF($F226&lt;=85,1,0))</formula>
    </cfRule>
  </conditionalFormatting>
  <conditionalFormatting sqref="AV227">
    <cfRule type="expression" priority="2879" dxfId="19">
      <formula>AV227="X"</formula>
    </cfRule>
    <cfRule type="expression" priority="2880" dxfId="18">
      <formula>AV227="후보"</formula>
    </cfRule>
  </conditionalFormatting>
  <conditionalFormatting sqref="AC227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27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27">
    <cfRule type="expression" priority="2871" dxfId="3">
      <formula>AND(IF(OR($Q227=1,$Q227=2),1,0),IF($X227&lt;=20,1,0))</formula>
    </cfRule>
    <cfRule type="expression" priority="2872" dxfId="2">
      <formula>AND(IF($Q227=2,1,0),IF($X227&lt;30,1,0))</formula>
    </cfRule>
    <cfRule type="expression" priority="2873" dxfId="1">
      <formula>AND(IF($Q227=3,1,0),IF($X227&lt;30,1,0))</formula>
    </cfRule>
    <cfRule type="expression" priority="2874" dxfId="0">
      <formula>AND(IF($Q227=3,1,IF($Q227=4,1,0)),IF($F227&lt;=85,1,0))</formula>
    </cfRule>
  </conditionalFormatting>
  <conditionalFormatting sqref="X227">
    <cfRule type="expression" priority="2867" dxfId="3">
      <formula>AND(IF(OR($Q227=1,$Q227=2),1,0),IF($X227&lt;=20,1,0))</formula>
    </cfRule>
    <cfRule type="expression" priority="2868" dxfId="2">
      <formula>AND(IF($Q227=2,1,0),IF($X227&lt;30,1,0))</formula>
    </cfRule>
    <cfRule type="expression" priority="2869" dxfId="1">
      <formula>AND(IF($Q227=3,1,0),IF($X227&lt;30,1,0))</formula>
    </cfRule>
    <cfRule type="expression" priority="2870" dxfId="0">
      <formula>AND(IF($Q227=3,1,IF($Q227=4,1,0)),IF($F227&lt;=85,1,0))</formula>
    </cfRule>
  </conditionalFormatting>
  <conditionalFormatting sqref="AI227">
    <cfRule type="expression" priority="2863" dxfId="3">
      <formula>AND(IF(OR($Q227=1,$Q227=2),1,0),IF($X227&lt;=20,1,0))</formula>
    </cfRule>
    <cfRule type="expression" priority="2864" dxfId="2">
      <formula>AND(IF($Q227=2,1,0),IF($X227&lt;30,1,0))</formula>
    </cfRule>
    <cfRule type="expression" priority="2865" dxfId="1">
      <formula>AND(IF($Q227=3,1,0),IF($X227&lt;30,1,0))</formula>
    </cfRule>
    <cfRule type="expression" priority="2866" dxfId="0">
      <formula>AND(IF($Q227=3,1,IF($Q227=4,1,0)),IF($F227&lt;=85,1,0))</formula>
    </cfRule>
  </conditionalFormatting>
  <conditionalFormatting sqref="AV228">
    <cfRule type="expression" priority="2861" dxfId="19">
      <formula>AV228="X"</formula>
    </cfRule>
    <cfRule type="expression" priority="2862" dxfId="18">
      <formula>AV228="후보"</formula>
    </cfRule>
  </conditionalFormatting>
  <conditionalFormatting sqref="AC228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8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8">
    <cfRule type="expression" priority="2853" dxfId="3">
      <formula>AND(IF(OR($Q228=1,$Q228=2),1,0),IF($X228&lt;=20,1,0))</formula>
    </cfRule>
    <cfRule type="expression" priority="2854" dxfId="2">
      <formula>AND(IF($Q228=2,1,0),IF($X228&lt;30,1,0))</formula>
    </cfRule>
    <cfRule type="expression" priority="2855" dxfId="1">
      <formula>AND(IF($Q228=3,1,0),IF($X228&lt;30,1,0))</formula>
    </cfRule>
    <cfRule type="expression" priority="2856" dxfId="0">
      <formula>AND(IF($Q228=3,1,IF($Q228=4,1,0)),IF($F228&lt;=85,1,0))</formula>
    </cfRule>
  </conditionalFormatting>
  <conditionalFormatting sqref="X228">
    <cfRule type="expression" priority="2849" dxfId="3">
      <formula>AND(IF(OR($Q228=1,$Q228=2),1,0),IF($X228&lt;=20,1,0))</formula>
    </cfRule>
    <cfRule type="expression" priority="2850" dxfId="2">
      <formula>AND(IF($Q228=2,1,0),IF($X228&lt;30,1,0))</formula>
    </cfRule>
    <cfRule type="expression" priority="2851" dxfId="1">
      <formula>AND(IF($Q228=3,1,0),IF($X228&lt;30,1,0))</formula>
    </cfRule>
    <cfRule type="expression" priority="2852" dxfId="0">
      <formula>AND(IF($Q228=3,1,IF($Q228=4,1,0)),IF($F228&lt;=85,1,0))</formula>
    </cfRule>
  </conditionalFormatting>
  <conditionalFormatting sqref="AI228">
    <cfRule type="expression" priority="2845" dxfId="3">
      <formula>AND(IF(OR($Q228=1,$Q228=2),1,0),IF($X228&lt;=20,1,0))</formula>
    </cfRule>
    <cfRule type="expression" priority="2846" dxfId="2">
      <formula>AND(IF($Q228=2,1,0),IF($X228&lt;30,1,0))</formula>
    </cfRule>
    <cfRule type="expression" priority="2847" dxfId="1">
      <formula>AND(IF($Q228=3,1,0),IF($X228&lt;30,1,0))</formula>
    </cfRule>
    <cfRule type="expression" priority="2848" dxfId="0">
      <formula>AND(IF($Q228=3,1,IF($Q228=4,1,0)),IF($F228&lt;=85,1,0))</formula>
    </cfRule>
  </conditionalFormatting>
  <conditionalFormatting sqref="AV229">
    <cfRule type="expression" priority="2843" dxfId="19">
      <formula>AV229="X"</formula>
    </cfRule>
    <cfRule type="expression" priority="2844" dxfId="18">
      <formula>AV229="후보"</formula>
    </cfRule>
  </conditionalFormatting>
  <conditionalFormatting sqref="AC229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29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29">
    <cfRule type="expression" priority="2835" dxfId="3">
      <formula>AND(IF(OR($Q229=1,$Q229=2),1,0),IF($X229&lt;=20,1,0))</formula>
    </cfRule>
    <cfRule type="expression" priority="2836" dxfId="2">
      <formula>AND(IF($Q229=2,1,0),IF($X229&lt;30,1,0))</formula>
    </cfRule>
    <cfRule type="expression" priority="2837" dxfId="1">
      <formula>AND(IF($Q229=3,1,0),IF($X229&lt;30,1,0))</formula>
    </cfRule>
    <cfRule type="expression" priority="2838" dxfId="0">
      <formula>AND(IF($Q229=3,1,IF($Q229=4,1,0)),IF($F229&lt;=85,1,0))</formula>
    </cfRule>
  </conditionalFormatting>
  <conditionalFormatting sqref="X229">
    <cfRule type="expression" priority="2831" dxfId="3">
      <formula>AND(IF(OR($Q229=1,$Q229=2),1,0),IF($X229&lt;=20,1,0))</formula>
    </cfRule>
    <cfRule type="expression" priority="2832" dxfId="2">
      <formula>AND(IF($Q229=2,1,0),IF($X229&lt;30,1,0))</formula>
    </cfRule>
    <cfRule type="expression" priority="2833" dxfId="1">
      <formula>AND(IF($Q229=3,1,0),IF($X229&lt;30,1,0))</formula>
    </cfRule>
    <cfRule type="expression" priority="2834" dxfId="0">
      <formula>AND(IF($Q229=3,1,IF($Q229=4,1,0)),IF($F229&lt;=85,1,0))</formula>
    </cfRule>
  </conditionalFormatting>
  <conditionalFormatting sqref="AI229">
    <cfRule type="expression" priority="2827" dxfId="3">
      <formula>AND(IF(OR($Q229=1,$Q229=2),1,0),IF($X229&lt;=20,1,0))</formula>
    </cfRule>
    <cfRule type="expression" priority="2828" dxfId="2">
      <formula>AND(IF($Q229=2,1,0),IF($X229&lt;30,1,0))</formula>
    </cfRule>
    <cfRule type="expression" priority="2829" dxfId="1">
      <formula>AND(IF($Q229=3,1,0),IF($X229&lt;30,1,0))</formula>
    </cfRule>
    <cfRule type="expression" priority="2830" dxfId="0">
      <formula>AND(IF($Q229=3,1,IF($Q229=4,1,0)),IF($F229&lt;=85,1,0))</formula>
    </cfRule>
  </conditionalFormatting>
  <conditionalFormatting sqref="AV230">
    <cfRule type="expression" priority="2825" dxfId="19">
      <formula>AV230="X"</formula>
    </cfRule>
    <cfRule type="expression" priority="2826" dxfId="18">
      <formula>AV230="후보"</formula>
    </cfRule>
  </conditionalFormatting>
  <conditionalFormatting sqref="AC23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30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30">
    <cfRule type="expression" priority="2817" dxfId="3">
      <formula>AND(IF(OR($Q230=1,$Q230=2),1,0),IF($X230&lt;=20,1,0))</formula>
    </cfRule>
    <cfRule type="expression" priority="2818" dxfId="2">
      <formula>AND(IF($Q230=2,1,0),IF($X230&lt;30,1,0))</formula>
    </cfRule>
    <cfRule type="expression" priority="2819" dxfId="1">
      <formula>AND(IF($Q230=3,1,0),IF($X230&lt;30,1,0))</formula>
    </cfRule>
    <cfRule type="expression" priority="2820" dxfId="0">
      <formula>AND(IF($Q230=3,1,IF($Q230=4,1,0)),IF($F230&lt;=85,1,0))</formula>
    </cfRule>
  </conditionalFormatting>
  <conditionalFormatting sqref="X230">
    <cfRule type="expression" priority="2813" dxfId="3">
      <formula>AND(IF(OR($Q230=1,$Q230=2),1,0),IF($X230&lt;=20,1,0))</formula>
    </cfRule>
    <cfRule type="expression" priority="2814" dxfId="2">
      <formula>AND(IF($Q230=2,1,0),IF($X230&lt;30,1,0))</formula>
    </cfRule>
    <cfRule type="expression" priority="2815" dxfId="1">
      <formula>AND(IF($Q230=3,1,0),IF($X230&lt;30,1,0))</formula>
    </cfRule>
    <cfRule type="expression" priority="2816" dxfId="0">
      <formula>AND(IF($Q230=3,1,IF($Q230=4,1,0)),IF($F230&lt;=85,1,0))</formula>
    </cfRule>
  </conditionalFormatting>
  <conditionalFormatting sqref="AI230">
    <cfRule type="expression" priority="2809" dxfId="3">
      <formula>AND(IF(OR($Q230=1,$Q230=2),1,0),IF($X230&lt;=20,1,0))</formula>
    </cfRule>
    <cfRule type="expression" priority="2810" dxfId="2">
      <formula>AND(IF($Q230=2,1,0),IF($X230&lt;30,1,0))</formula>
    </cfRule>
    <cfRule type="expression" priority="2811" dxfId="1">
      <formula>AND(IF($Q230=3,1,0),IF($X230&lt;30,1,0))</formula>
    </cfRule>
    <cfRule type="expression" priority="2812" dxfId="0">
      <formula>AND(IF($Q230=3,1,IF($Q230=4,1,0)),IF($F230&lt;=85,1,0))</formula>
    </cfRule>
  </conditionalFormatting>
  <conditionalFormatting sqref="AV231">
    <cfRule type="expression" priority="2807" dxfId="19">
      <formula>AV231="X"</formula>
    </cfRule>
    <cfRule type="expression" priority="2808" dxfId="18">
      <formula>AV231="후보"</formula>
    </cfRule>
  </conditionalFormatting>
  <conditionalFormatting sqref="AC231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31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31">
    <cfRule type="expression" priority="2799" dxfId="3">
      <formula>AND(IF(OR($Q231=1,$Q231=2),1,0),IF($X231&lt;=20,1,0))</formula>
    </cfRule>
    <cfRule type="expression" priority="2800" dxfId="2">
      <formula>AND(IF($Q231=2,1,0),IF($X231&lt;30,1,0))</formula>
    </cfRule>
    <cfRule type="expression" priority="2801" dxfId="1">
      <formula>AND(IF($Q231=3,1,0),IF($X231&lt;30,1,0))</formula>
    </cfRule>
    <cfRule type="expression" priority="2802" dxfId="0">
      <formula>AND(IF($Q231=3,1,IF($Q231=4,1,0)),IF($F231&lt;=85,1,0))</formula>
    </cfRule>
  </conditionalFormatting>
  <conditionalFormatting sqref="X231">
    <cfRule type="expression" priority="2795" dxfId="3">
      <formula>AND(IF(OR($Q231=1,$Q231=2),1,0),IF($X231&lt;=20,1,0))</formula>
    </cfRule>
    <cfRule type="expression" priority="2796" dxfId="2">
      <formula>AND(IF($Q231=2,1,0),IF($X231&lt;30,1,0))</formula>
    </cfRule>
    <cfRule type="expression" priority="2797" dxfId="1">
      <formula>AND(IF($Q231=3,1,0),IF($X231&lt;30,1,0))</formula>
    </cfRule>
    <cfRule type="expression" priority="2798" dxfId="0">
      <formula>AND(IF($Q231=3,1,IF($Q231=4,1,0)),IF($F231&lt;=85,1,0))</formula>
    </cfRule>
  </conditionalFormatting>
  <conditionalFormatting sqref="AI231">
    <cfRule type="expression" priority="2791" dxfId="3">
      <formula>AND(IF(OR($Q231=1,$Q231=2),1,0),IF($X231&lt;=20,1,0))</formula>
    </cfRule>
    <cfRule type="expression" priority="2792" dxfId="2">
      <formula>AND(IF($Q231=2,1,0),IF($X231&lt;30,1,0))</formula>
    </cfRule>
    <cfRule type="expression" priority="2793" dxfId="1">
      <formula>AND(IF($Q231=3,1,0),IF($X231&lt;30,1,0))</formula>
    </cfRule>
    <cfRule type="expression" priority="2794" dxfId="0">
      <formula>AND(IF($Q231=3,1,IF($Q231=4,1,0)),IF($F231&lt;=85,1,0))</formula>
    </cfRule>
  </conditionalFormatting>
  <conditionalFormatting sqref="AV232">
    <cfRule type="expression" priority="2789" dxfId="19">
      <formula>AV232="X"</formula>
    </cfRule>
    <cfRule type="expression" priority="2790" dxfId="18">
      <formula>AV232="후보"</formula>
    </cfRule>
  </conditionalFormatting>
  <conditionalFormatting sqref="AC23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3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32">
    <cfRule type="expression" priority="2781" dxfId="3">
      <formula>AND(IF(OR($Q232=1,$Q232=2),1,0),IF($X232&lt;=20,1,0))</formula>
    </cfRule>
    <cfRule type="expression" priority="2782" dxfId="2">
      <formula>AND(IF($Q232=2,1,0),IF($X232&lt;30,1,0))</formula>
    </cfRule>
    <cfRule type="expression" priority="2783" dxfId="1">
      <formula>AND(IF($Q232=3,1,0),IF($X232&lt;30,1,0))</formula>
    </cfRule>
    <cfRule type="expression" priority="2784" dxfId="0">
      <formula>AND(IF($Q232=3,1,IF($Q232=4,1,0)),IF($F232&lt;=85,1,0))</formula>
    </cfRule>
  </conditionalFormatting>
  <conditionalFormatting sqref="X232">
    <cfRule type="expression" priority="2777" dxfId="3">
      <formula>AND(IF(OR($Q232=1,$Q232=2),1,0),IF($X232&lt;=20,1,0))</formula>
    </cfRule>
    <cfRule type="expression" priority="2778" dxfId="2">
      <formula>AND(IF($Q232=2,1,0),IF($X232&lt;30,1,0))</formula>
    </cfRule>
    <cfRule type="expression" priority="2779" dxfId="1">
      <formula>AND(IF($Q232=3,1,0),IF($X232&lt;30,1,0))</formula>
    </cfRule>
    <cfRule type="expression" priority="2780" dxfId="0">
      <formula>AND(IF($Q232=3,1,IF($Q232=4,1,0)),IF($F232&lt;=85,1,0))</formula>
    </cfRule>
  </conditionalFormatting>
  <conditionalFormatting sqref="AI232">
    <cfRule type="expression" priority="2773" dxfId="3">
      <formula>AND(IF(OR($Q232=1,$Q232=2),1,0),IF($X232&lt;=20,1,0))</formula>
    </cfRule>
    <cfRule type="expression" priority="2774" dxfId="2">
      <formula>AND(IF($Q232=2,1,0),IF($X232&lt;30,1,0))</formula>
    </cfRule>
    <cfRule type="expression" priority="2775" dxfId="1">
      <formula>AND(IF($Q232=3,1,0),IF($X232&lt;30,1,0))</formula>
    </cfRule>
    <cfRule type="expression" priority="2776" dxfId="0">
      <formula>AND(IF($Q232=3,1,IF($Q232=4,1,0)),IF($F232&lt;=85,1,0))</formula>
    </cfRule>
  </conditionalFormatting>
  <conditionalFormatting sqref="AV233">
    <cfRule type="expression" priority="2771" dxfId="19">
      <formula>AV233="X"</formula>
    </cfRule>
    <cfRule type="expression" priority="2772" dxfId="18">
      <formula>AV233="후보"</formula>
    </cfRule>
  </conditionalFormatting>
  <conditionalFormatting sqref="AC233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3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33">
    <cfRule type="expression" priority="2763" dxfId="3">
      <formula>AND(IF(OR($Q233=1,$Q233=2),1,0),IF($X233&lt;=20,1,0))</formula>
    </cfRule>
    <cfRule type="expression" priority="2764" dxfId="2">
      <formula>AND(IF($Q233=2,1,0),IF($X233&lt;30,1,0))</formula>
    </cfRule>
    <cfRule type="expression" priority="2765" dxfId="1">
      <formula>AND(IF($Q233=3,1,0),IF($X233&lt;30,1,0))</formula>
    </cfRule>
    <cfRule type="expression" priority="2766" dxfId="0">
      <formula>AND(IF($Q233=3,1,IF($Q233=4,1,0)),IF($F233&lt;=85,1,0))</formula>
    </cfRule>
  </conditionalFormatting>
  <conditionalFormatting sqref="X233">
    <cfRule type="expression" priority="2759" dxfId="3">
      <formula>AND(IF(OR($Q233=1,$Q233=2),1,0),IF($X233&lt;=20,1,0))</formula>
    </cfRule>
    <cfRule type="expression" priority="2760" dxfId="2">
      <formula>AND(IF($Q233=2,1,0),IF($X233&lt;30,1,0))</formula>
    </cfRule>
    <cfRule type="expression" priority="2761" dxfId="1">
      <formula>AND(IF($Q233=3,1,0),IF($X233&lt;30,1,0))</formula>
    </cfRule>
    <cfRule type="expression" priority="2762" dxfId="0">
      <formula>AND(IF($Q233=3,1,IF($Q233=4,1,0)),IF($F233&lt;=85,1,0))</formula>
    </cfRule>
  </conditionalFormatting>
  <conditionalFormatting sqref="AI233">
    <cfRule type="expression" priority="2755" dxfId="3">
      <formula>AND(IF(OR($Q233=1,$Q233=2),1,0),IF($X233&lt;=20,1,0))</formula>
    </cfRule>
    <cfRule type="expression" priority="2756" dxfId="2">
      <formula>AND(IF($Q233=2,1,0),IF($X233&lt;30,1,0))</formula>
    </cfRule>
    <cfRule type="expression" priority="2757" dxfId="1">
      <formula>AND(IF($Q233=3,1,0),IF($X233&lt;30,1,0))</formula>
    </cfRule>
    <cfRule type="expression" priority="2758" dxfId="0">
      <formula>AND(IF($Q233=3,1,IF($Q233=4,1,0)),IF($F233&lt;=85,1,0))</formula>
    </cfRule>
  </conditionalFormatting>
  <conditionalFormatting sqref="AV234">
    <cfRule type="expression" priority="2753" dxfId="19">
      <formula>AV234="X"</formula>
    </cfRule>
    <cfRule type="expression" priority="2754" dxfId="18">
      <formula>AV234="후보"</formula>
    </cfRule>
  </conditionalFormatting>
  <conditionalFormatting sqref="AC234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3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34">
    <cfRule type="expression" priority="2745" dxfId="3">
      <formula>AND(IF(OR($Q234=1,$Q234=2),1,0),IF($X234&lt;=20,1,0))</formula>
    </cfRule>
    <cfRule type="expression" priority="2746" dxfId="2">
      <formula>AND(IF($Q234=2,1,0),IF($X234&lt;30,1,0))</formula>
    </cfRule>
    <cfRule type="expression" priority="2747" dxfId="1">
      <formula>AND(IF($Q234=3,1,0),IF($X234&lt;30,1,0))</formula>
    </cfRule>
    <cfRule type="expression" priority="2748" dxfId="0">
      <formula>AND(IF($Q234=3,1,IF($Q234=4,1,0)),IF($F234&lt;=85,1,0))</formula>
    </cfRule>
  </conditionalFormatting>
  <conditionalFormatting sqref="X234">
    <cfRule type="expression" priority="2741" dxfId="3">
      <formula>AND(IF(OR($Q234=1,$Q234=2),1,0),IF($X234&lt;=20,1,0))</formula>
    </cfRule>
    <cfRule type="expression" priority="2742" dxfId="2">
      <formula>AND(IF($Q234=2,1,0),IF($X234&lt;30,1,0))</formula>
    </cfRule>
    <cfRule type="expression" priority="2743" dxfId="1">
      <formula>AND(IF($Q234=3,1,0),IF($X234&lt;30,1,0))</formula>
    </cfRule>
    <cfRule type="expression" priority="2744" dxfId="0">
      <formula>AND(IF($Q234=3,1,IF($Q234=4,1,0)),IF($F234&lt;=85,1,0))</formula>
    </cfRule>
  </conditionalFormatting>
  <conditionalFormatting sqref="AI234">
    <cfRule type="expression" priority="2737" dxfId="3">
      <formula>AND(IF(OR($Q234=1,$Q234=2),1,0),IF($X234&lt;=20,1,0))</formula>
    </cfRule>
    <cfRule type="expression" priority="2738" dxfId="2">
      <formula>AND(IF($Q234=2,1,0),IF($X234&lt;30,1,0))</formula>
    </cfRule>
    <cfRule type="expression" priority="2739" dxfId="1">
      <formula>AND(IF($Q234=3,1,0),IF($X234&lt;30,1,0))</formula>
    </cfRule>
    <cfRule type="expression" priority="2740" dxfId="0">
      <formula>AND(IF($Q234=3,1,IF($Q234=4,1,0)),IF($F234&lt;=85,1,0))</formula>
    </cfRule>
  </conditionalFormatting>
  <conditionalFormatting sqref="AV235">
    <cfRule type="expression" priority="2735" dxfId="19">
      <formula>AV235="X"</formula>
    </cfRule>
    <cfRule type="expression" priority="2736" dxfId="18">
      <formula>AV235="후보"</formula>
    </cfRule>
  </conditionalFormatting>
  <conditionalFormatting sqref="AC235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3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35">
    <cfRule type="expression" priority="2727" dxfId="3">
      <formula>AND(IF(OR($Q235=1,$Q235=2),1,0),IF($X235&lt;=20,1,0))</formula>
    </cfRule>
    <cfRule type="expression" priority="2728" dxfId="2">
      <formula>AND(IF($Q235=2,1,0),IF($X235&lt;30,1,0))</formula>
    </cfRule>
    <cfRule type="expression" priority="2729" dxfId="1">
      <formula>AND(IF($Q235=3,1,0),IF($X235&lt;30,1,0))</formula>
    </cfRule>
    <cfRule type="expression" priority="2730" dxfId="0">
      <formula>AND(IF($Q235=3,1,IF($Q235=4,1,0)),IF($F235&lt;=85,1,0))</formula>
    </cfRule>
  </conditionalFormatting>
  <conditionalFormatting sqref="X235">
    <cfRule type="expression" priority="2723" dxfId="3">
      <formula>AND(IF(OR($Q235=1,$Q235=2),1,0),IF($X235&lt;=20,1,0))</formula>
    </cfRule>
    <cfRule type="expression" priority="2724" dxfId="2">
      <formula>AND(IF($Q235=2,1,0),IF($X235&lt;30,1,0))</formula>
    </cfRule>
    <cfRule type="expression" priority="2725" dxfId="1">
      <formula>AND(IF($Q235=3,1,0),IF($X235&lt;30,1,0))</formula>
    </cfRule>
    <cfRule type="expression" priority="2726" dxfId="0">
      <formula>AND(IF($Q235=3,1,IF($Q235=4,1,0)),IF($F235&lt;=85,1,0))</formula>
    </cfRule>
  </conditionalFormatting>
  <conditionalFormatting sqref="AI235">
    <cfRule type="expression" priority="2719" dxfId="3">
      <formula>AND(IF(OR($Q235=1,$Q235=2),1,0),IF($X235&lt;=20,1,0))</formula>
    </cfRule>
    <cfRule type="expression" priority="2720" dxfId="2">
      <formula>AND(IF($Q235=2,1,0),IF($X235&lt;30,1,0))</formula>
    </cfRule>
    <cfRule type="expression" priority="2721" dxfId="1">
      <formula>AND(IF($Q235=3,1,0),IF($X235&lt;30,1,0))</formula>
    </cfRule>
    <cfRule type="expression" priority="2722" dxfId="0">
      <formula>AND(IF($Q235=3,1,IF($Q235=4,1,0)),IF($F235&lt;=85,1,0))</formula>
    </cfRule>
  </conditionalFormatting>
  <conditionalFormatting sqref="AV236">
    <cfRule type="expression" priority="2717" dxfId="19">
      <formula>AV236="X"</formula>
    </cfRule>
    <cfRule type="expression" priority="2718" dxfId="18">
      <formula>AV236="후보"</formula>
    </cfRule>
  </conditionalFormatting>
  <conditionalFormatting sqref="AC236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3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36">
    <cfRule type="expression" priority="2709" dxfId="3">
      <formula>AND(IF(OR($Q236=1,$Q236=2),1,0),IF($X236&lt;=20,1,0))</formula>
    </cfRule>
    <cfRule type="expression" priority="2710" dxfId="2">
      <formula>AND(IF($Q236=2,1,0),IF($X236&lt;30,1,0))</formula>
    </cfRule>
    <cfRule type="expression" priority="2711" dxfId="1">
      <formula>AND(IF($Q236=3,1,0),IF($X236&lt;30,1,0))</formula>
    </cfRule>
    <cfRule type="expression" priority="2712" dxfId="0">
      <formula>AND(IF($Q236=3,1,IF($Q236=4,1,0)),IF($F236&lt;=85,1,0))</formula>
    </cfRule>
  </conditionalFormatting>
  <conditionalFormatting sqref="X236">
    <cfRule type="expression" priority="2705" dxfId="3">
      <formula>AND(IF(OR($Q236=1,$Q236=2),1,0),IF($X236&lt;=20,1,0))</formula>
    </cfRule>
    <cfRule type="expression" priority="2706" dxfId="2">
      <formula>AND(IF($Q236=2,1,0),IF($X236&lt;30,1,0))</formula>
    </cfRule>
    <cfRule type="expression" priority="2707" dxfId="1">
      <formula>AND(IF($Q236=3,1,0),IF($X236&lt;30,1,0))</formula>
    </cfRule>
    <cfRule type="expression" priority="2708" dxfId="0">
      <formula>AND(IF($Q236=3,1,IF($Q236=4,1,0)),IF($F236&lt;=85,1,0))</formula>
    </cfRule>
  </conditionalFormatting>
  <conditionalFormatting sqref="AI236">
    <cfRule type="expression" priority="2701" dxfId="3">
      <formula>AND(IF(OR($Q236=1,$Q236=2),1,0),IF($X236&lt;=20,1,0))</formula>
    </cfRule>
    <cfRule type="expression" priority="2702" dxfId="2">
      <formula>AND(IF($Q236=2,1,0),IF($X236&lt;30,1,0))</formula>
    </cfRule>
    <cfRule type="expression" priority="2703" dxfId="1">
      <formula>AND(IF($Q236=3,1,0),IF($X236&lt;30,1,0))</formula>
    </cfRule>
    <cfRule type="expression" priority="2704" dxfId="0">
      <formula>AND(IF($Q236=3,1,IF($Q236=4,1,0)),IF($F236&lt;=85,1,0))</formula>
    </cfRule>
  </conditionalFormatting>
  <conditionalFormatting sqref="AV237">
    <cfRule type="expression" priority="2699" dxfId="19">
      <formula>AV237="X"</formula>
    </cfRule>
    <cfRule type="expression" priority="2700" dxfId="18">
      <formula>AV237="후보"</formula>
    </cfRule>
  </conditionalFormatting>
  <conditionalFormatting sqref="AC237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3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37">
    <cfRule type="expression" priority="2691" dxfId="3">
      <formula>AND(IF(OR($Q237=1,$Q237=2),1,0),IF($X237&lt;=20,1,0))</formula>
    </cfRule>
    <cfRule type="expression" priority="2692" dxfId="2">
      <formula>AND(IF($Q237=2,1,0),IF($X237&lt;30,1,0))</formula>
    </cfRule>
    <cfRule type="expression" priority="2693" dxfId="1">
      <formula>AND(IF($Q237=3,1,0),IF($X237&lt;30,1,0))</formula>
    </cfRule>
    <cfRule type="expression" priority="2694" dxfId="0">
      <formula>AND(IF($Q237=3,1,IF($Q237=4,1,0)),IF($F237&lt;=85,1,0))</formula>
    </cfRule>
  </conditionalFormatting>
  <conditionalFormatting sqref="X237">
    <cfRule type="expression" priority="2687" dxfId="3">
      <formula>AND(IF(OR($Q237=1,$Q237=2),1,0),IF($X237&lt;=20,1,0))</formula>
    </cfRule>
    <cfRule type="expression" priority="2688" dxfId="2">
      <formula>AND(IF($Q237=2,1,0),IF($X237&lt;30,1,0))</formula>
    </cfRule>
    <cfRule type="expression" priority="2689" dxfId="1">
      <formula>AND(IF($Q237=3,1,0),IF($X237&lt;30,1,0))</formula>
    </cfRule>
    <cfRule type="expression" priority="2690" dxfId="0">
      <formula>AND(IF($Q237=3,1,IF($Q237=4,1,0)),IF($F237&lt;=85,1,0))</formula>
    </cfRule>
  </conditionalFormatting>
  <conditionalFormatting sqref="AI237">
    <cfRule type="expression" priority="2683" dxfId="3">
      <formula>AND(IF(OR($Q237=1,$Q237=2),1,0),IF($X237&lt;=20,1,0))</formula>
    </cfRule>
    <cfRule type="expression" priority="2684" dxfId="2">
      <formula>AND(IF($Q237=2,1,0),IF($X237&lt;30,1,0))</formula>
    </cfRule>
    <cfRule type="expression" priority="2685" dxfId="1">
      <formula>AND(IF($Q237=3,1,0),IF($X237&lt;30,1,0))</formula>
    </cfRule>
    <cfRule type="expression" priority="2686" dxfId="0">
      <formula>AND(IF($Q237=3,1,IF($Q237=4,1,0)),IF($F237&lt;=85,1,0))</formula>
    </cfRule>
  </conditionalFormatting>
  <conditionalFormatting sqref="AV238">
    <cfRule type="expression" priority="2681" dxfId="19">
      <formula>AV238="X"</formula>
    </cfRule>
    <cfRule type="expression" priority="2682" dxfId="18">
      <formula>AV238="후보"</formula>
    </cfRule>
  </conditionalFormatting>
  <conditionalFormatting sqref="AC238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3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38">
    <cfRule type="expression" priority="2673" dxfId="3">
      <formula>AND(IF(OR($Q238=1,$Q238=2),1,0),IF($X238&lt;=20,1,0))</formula>
    </cfRule>
    <cfRule type="expression" priority="2674" dxfId="2">
      <formula>AND(IF($Q238=2,1,0),IF($X238&lt;30,1,0))</formula>
    </cfRule>
    <cfRule type="expression" priority="2675" dxfId="1">
      <formula>AND(IF($Q238=3,1,0),IF($X238&lt;30,1,0))</formula>
    </cfRule>
    <cfRule type="expression" priority="2676" dxfId="0">
      <formula>AND(IF($Q238=3,1,IF($Q238=4,1,0)),IF($F238&lt;=85,1,0))</formula>
    </cfRule>
  </conditionalFormatting>
  <conditionalFormatting sqref="X238">
    <cfRule type="expression" priority="2669" dxfId="3">
      <formula>AND(IF(OR($Q238=1,$Q238=2),1,0),IF($X238&lt;=20,1,0))</formula>
    </cfRule>
    <cfRule type="expression" priority="2670" dxfId="2">
      <formula>AND(IF($Q238=2,1,0),IF($X238&lt;30,1,0))</formula>
    </cfRule>
    <cfRule type="expression" priority="2671" dxfId="1">
      <formula>AND(IF($Q238=3,1,0),IF($X238&lt;30,1,0))</formula>
    </cfRule>
    <cfRule type="expression" priority="2672" dxfId="0">
      <formula>AND(IF($Q238=3,1,IF($Q238=4,1,0)),IF($F238&lt;=85,1,0))</formula>
    </cfRule>
  </conditionalFormatting>
  <conditionalFormatting sqref="AI238">
    <cfRule type="expression" priority="2665" dxfId="3">
      <formula>AND(IF(OR($Q238=1,$Q238=2),1,0),IF($X238&lt;=20,1,0))</formula>
    </cfRule>
    <cfRule type="expression" priority="2666" dxfId="2">
      <formula>AND(IF($Q238=2,1,0),IF($X238&lt;30,1,0))</formula>
    </cfRule>
    <cfRule type="expression" priority="2667" dxfId="1">
      <formula>AND(IF($Q238=3,1,0),IF($X238&lt;30,1,0))</formula>
    </cfRule>
    <cfRule type="expression" priority="2668" dxfId="0">
      <formula>AND(IF($Q238=3,1,IF($Q238=4,1,0)),IF($F238&lt;=85,1,0))</formula>
    </cfRule>
  </conditionalFormatting>
  <conditionalFormatting sqref="AV239">
    <cfRule type="expression" priority="2663" dxfId="19">
      <formula>AV239="X"</formula>
    </cfRule>
    <cfRule type="expression" priority="2664" dxfId="18">
      <formula>AV239="후보"</formula>
    </cfRule>
  </conditionalFormatting>
  <conditionalFormatting sqref="AC239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3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39">
    <cfRule type="expression" priority="2655" dxfId="3">
      <formula>AND(IF(OR($Q239=1,$Q239=2),1,0),IF($X239&lt;=20,1,0))</formula>
    </cfRule>
    <cfRule type="expression" priority="2656" dxfId="2">
      <formula>AND(IF($Q239=2,1,0),IF($X239&lt;30,1,0))</formula>
    </cfRule>
    <cfRule type="expression" priority="2657" dxfId="1">
      <formula>AND(IF($Q239=3,1,0),IF($X239&lt;30,1,0))</formula>
    </cfRule>
    <cfRule type="expression" priority="2658" dxfId="0">
      <formula>AND(IF($Q239=3,1,IF($Q239=4,1,0)),IF($F239&lt;=85,1,0))</formula>
    </cfRule>
  </conditionalFormatting>
  <conditionalFormatting sqref="X239">
    <cfRule type="expression" priority="2651" dxfId="3">
      <formula>AND(IF(OR($Q239=1,$Q239=2),1,0),IF($X239&lt;=20,1,0))</formula>
    </cfRule>
    <cfRule type="expression" priority="2652" dxfId="2">
      <formula>AND(IF($Q239=2,1,0),IF($X239&lt;30,1,0))</formula>
    </cfRule>
    <cfRule type="expression" priority="2653" dxfId="1">
      <formula>AND(IF($Q239=3,1,0),IF($X239&lt;30,1,0))</formula>
    </cfRule>
    <cfRule type="expression" priority="2654" dxfId="0">
      <formula>AND(IF($Q239=3,1,IF($Q239=4,1,0)),IF($F239&lt;=85,1,0))</formula>
    </cfRule>
  </conditionalFormatting>
  <conditionalFormatting sqref="AI239">
    <cfRule type="expression" priority="2647" dxfId="3">
      <formula>AND(IF(OR($Q239=1,$Q239=2),1,0),IF($X239&lt;=20,1,0))</formula>
    </cfRule>
    <cfRule type="expression" priority="2648" dxfId="2">
      <formula>AND(IF($Q239=2,1,0),IF($X239&lt;30,1,0))</formula>
    </cfRule>
    <cfRule type="expression" priority="2649" dxfId="1">
      <formula>AND(IF($Q239=3,1,0),IF($X239&lt;30,1,0))</formula>
    </cfRule>
    <cfRule type="expression" priority="2650" dxfId="0">
      <formula>AND(IF($Q239=3,1,IF($Q239=4,1,0)),IF($F239&lt;=85,1,0))</formula>
    </cfRule>
  </conditionalFormatting>
  <conditionalFormatting sqref="AV240">
    <cfRule type="expression" priority="2645" dxfId="19">
      <formula>AV240="X"</formula>
    </cfRule>
    <cfRule type="expression" priority="2646" dxfId="18">
      <formula>AV240="후보"</formula>
    </cfRule>
  </conditionalFormatting>
  <conditionalFormatting sqref="AC240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4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40">
    <cfRule type="expression" priority="2637" dxfId="3">
      <formula>AND(IF(OR($Q240=1,$Q240=2),1,0),IF($X240&lt;=20,1,0))</formula>
    </cfRule>
    <cfRule type="expression" priority="2638" dxfId="2">
      <formula>AND(IF($Q240=2,1,0),IF($X240&lt;30,1,0))</formula>
    </cfRule>
    <cfRule type="expression" priority="2639" dxfId="1">
      <formula>AND(IF($Q240=3,1,0),IF($X240&lt;30,1,0))</formula>
    </cfRule>
    <cfRule type="expression" priority="2640" dxfId="0">
      <formula>AND(IF($Q240=3,1,IF($Q240=4,1,0)),IF($F240&lt;=85,1,0))</formula>
    </cfRule>
  </conditionalFormatting>
  <conditionalFormatting sqref="X240">
    <cfRule type="expression" priority="2633" dxfId="3">
      <formula>AND(IF(OR($Q240=1,$Q240=2),1,0),IF($X240&lt;=20,1,0))</formula>
    </cfRule>
    <cfRule type="expression" priority="2634" dxfId="2">
      <formula>AND(IF($Q240=2,1,0),IF($X240&lt;30,1,0))</formula>
    </cfRule>
    <cfRule type="expression" priority="2635" dxfId="1">
      <formula>AND(IF($Q240=3,1,0),IF($X240&lt;30,1,0))</formula>
    </cfRule>
    <cfRule type="expression" priority="2636" dxfId="0">
      <formula>AND(IF($Q240=3,1,IF($Q240=4,1,0)),IF($F240&lt;=85,1,0))</formula>
    </cfRule>
  </conditionalFormatting>
  <conditionalFormatting sqref="AI240">
    <cfRule type="expression" priority="2629" dxfId="3">
      <formula>AND(IF(OR($Q240=1,$Q240=2),1,0),IF($X240&lt;=20,1,0))</formula>
    </cfRule>
    <cfRule type="expression" priority="2630" dxfId="2">
      <formula>AND(IF($Q240=2,1,0),IF($X240&lt;30,1,0))</formula>
    </cfRule>
    <cfRule type="expression" priority="2631" dxfId="1">
      <formula>AND(IF($Q240=3,1,0),IF($X240&lt;30,1,0))</formula>
    </cfRule>
    <cfRule type="expression" priority="2632" dxfId="0">
      <formula>AND(IF($Q240=3,1,IF($Q240=4,1,0)),IF($F240&lt;=85,1,0))</formula>
    </cfRule>
  </conditionalFormatting>
  <conditionalFormatting sqref="AV241">
    <cfRule type="expression" priority="2627" dxfId="19">
      <formula>AV241="X"</formula>
    </cfRule>
    <cfRule type="expression" priority="2628" dxfId="18">
      <formula>AV241="후보"</formula>
    </cfRule>
  </conditionalFormatting>
  <conditionalFormatting sqref="AC241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4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41">
    <cfRule type="expression" priority="2619" dxfId="3">
      <formula>AND(IF(OR($Q241=1,$Q241=2),1,0),IF($X241&lt;=20,1,0))</formula>
    </cfRule>
    <cfRule type="expression" priority="2620" dxfId="2">
      <formula>AND(IF($Q241=2,1,0),IF($X241&lt;30,1,0))</formula>
    </cfRule>
    <cfRule type="expression" priority="2621" dxfId="1">
      <formula>AND(IF($Q241=3,1,0),IF($X241&lt;30,1,0))</formula>
    </cfRule>
    <cfRule type="expression" priority="2622" dxfId="0">
      <formula>AND(IF($Q241=3,1,IF($Q241=4,1,0)),IF($F241&lt;=85,1,0))</formula>
    </cfRule>
  </conditionalFormatting>
  <conditionalFormatting sqref="X241">
    <cfRule type="expression" priority="2615" dxfId="3">
      <formula>AND(IF(OR($Q241=1,$Q241=2),1,0),IF($X241&lt;=20,1,0))</formula>
    </cfRule>
    <cfRule type="expression" priority="2616" dxfId="2">
      <formula>AND(IF($Q241=2,1,0),IF($X241&lt;30,1,0))</formula>
    </cfRule>
    <cfRule type="expression" priority="2617" dxfId="1">
      <formula>AND(IF($Q241=3,1,0),IF($X241&lt;30,1,0))</formula>
    </cfRule>
    <cfRule type="expression" priority="2618" dxfId="0">
      <formula>AND(IF($Q241=3,1,IF($Q241=4,1,0)),IF($F241&lt;=85,1,0))</formula>
    </cfRule>
  </conditionalFormatting>
  <conditionalFormatting sqref="AI241">
    <cfRule type="expression" priority="2611" dxfId="3">
      <formula>AND(IF(OR($Q241=1,$Q241=2),1,0),IF($X241&lt;=20,1,0))</formula>
    </cfRule>
    <cfRule type="expression" priority="2612" dxfId="2">
      <formula>AND(IF($Q241=2,1,0),IF($X241&lt;30,1,0))</formula>
    </cfRule>
    <cfRule type="expression" priority="2613" dxfId="1">
      <formula>AND(IF($Q241=3,1,0),IF($X241&lt;30,1,0))</formula>
    </cfRule>
    <cfRule type="expression" priority="2614" dxfId="0">
      <formula>AND(IF($Q241=3,1,IF($Q241=4,1,0)),IF($F241&lt;=85,1,0))</formula>
    </cfRule>
  </conditionalFormatting>
  <conditionalFormatting sqref="AV242">
    <cfRule type="expression" priority="2609" dxfId="19">
      <formula>AV242="X"</formula>
    </cfRule>
    <cfRule type="expression" priority="2610" dxfId="18">
      <formula>AV242="후보"</formula>
    </cfRule>
  </conditionalFormatting>
  <conditionalFormatting sqref="AC242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4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42">
    <cfRule type="expression" priority="2601" dxfId="3">
      <formula>AND(IF(OR($Q242=1,$Q242=2),1,0),IF($X242&lt;=20,1,0))</formula>
    </cfRule>
    <cfRule type="expression" priority="2602" dxfId="2">
      <formula>AND(IF($Q242=2,1,0),IF($X242&lt;30,1,0))</formula>
    </cfRule>
    <cfRule type="expression" priority="2603" dxfId="1">
      <formula>AND(IF($Q242=3,1,0),IF($X242&lt;30,1,0))</formula>
    </cfRule>
    <cfRule type="expression" priority="2604" dxfId="0">
      <formula>AND(IF($Q242=3,1,IF($Q242=4,1,0)),IF($F242&lt;=85,1,0))</formula>
    </cfRule>
  </conditionalFormatting>
  <conditionalFormatting sqref="X242">
    <cfRule type="expression" priority="2597" dxfId="3">
      <formula>AND(IF(OR($Q242=1,$Q242=2),1,0),IF($X242&lt;=20,1,0))</formula>
    </cfRule>
    <cfRule type="expression" priority="2598" dxfId="2">
      <formula>AND(IF($Q242=2,1,0),IF($X242&lt;30,1,0))</formula>
    </cfRule>
    <cfRule type="expression" priority="2599" dxfId="1">
      <formula>AND(IF($Q242=3,1,0),IF($X242&lt;30,1,0))</formula>
    </cfRule>
    <cfRule type="expression" priority="2600" dxfId="0">
      <formula>AND(IF($Q242=3,1,IF($Q242=4,1,0)),IF($F242&lt;=85,1,0))</formula>
    </cfRule>
  </conditionalFormatting>
  <conditionalFormatting sqref="AI242">
    <cfRule type="expression" priority="2593" dxfId="3">
      <formula>AND(IF(OR($Q242=1,$Q242=2),1,0),IF($X242&lt;=20,1,0))</formula>
    </cfRule>
    <cfRule type="expression" priority="2594" dxfId="2">
      <formula>AND(IF($Q242=2,1,0),IF($X242&lt;30,1,0))</formula>
    </cfRule>
    <cfRule type="expression" priority="2595" dxfId="1">
      <formula>AND(IF($Q242=3,1,0),IF($X242&lt;30,1,0))</formula>
    </cfRule>
    <cfRule type="expression" priority="2596" dxfId="0">
      <formula>AND(IF($Q242=3,1,IF($Q242=4,1,0)),IF($F242&lt;=85,1,0))</formula>
    </cfRule>
  </conditionalFormatting>
  <conditionalFormatting sqref="AV243">
    <cfRule type="expression" priority="2591" dxfId="19">
      <formula>AV243="X"</formula>
    </cfRule>
    <cfRule type="expression" priority="2592" dxfId="18">
      <formula>AV243="후보"</formula>
    </cfRule>
  </conditionalFormatting>
  <conditionalFormatting sqref="AC243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4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43">
    <cfRule type="expression" priority="2583" dxfId="3">
      <formula>AND(IF(OR($Q243=1,$Q243=2),1,0),IF($X243&lt;=20,1,0))</formula>
    </cfRule>
    <cfRule type="expression" priority="2584" dxfId="2">
      <formula>AND(IF($Q243=2,1,0),IF($X243&lt;30,1,0))</formula>
    </cfRule>
    <cfRule type="expression" priority="2585" dxfId="1">
      <formula>AND(IF($Q243=3,1,0),IF($X243&lt;30,1,0))</formula>
    </cfRule>
    <cfRule type="expression" priority="2586" dxfId="0">
      <formula>AND(IF($Q243=3,1,IF($Q243=4,1,0)),IF($F243&lt;=85,1,0))</formula>
    </cfRule>
  </conditionalFormatting>
  <conditionalFormatting sqref="X243">
    <cfRule type="expression" priority="2579" dxfId="3">
      <formula>AND(IF(OR($Q243=1,$Q243=2),1,0),IF($X243&lt;=20,1,0))</formula>
    </cfRule>
    <cfRule type="expression" priority="2580" dxfId="2">
      <formula>AND(IF($Q243=2,1,0),IF($X243&lt;30,1,0))</formula>
    </cfRule>
    <cfRule type="expression" priority="2581" dxfId="1">
      <formula>AND(IF($Q243=3,1,0),IF($X243&lt;30,1,0))</formula>
    </cfRule>
    <cfRule type="expression" priority="2582" dxfId="0">
      <formula>AND(IF($Q243=3,1,IF($Q243=4,1,0)),IF($F243&lt;=85,1,0))</formula>
    </cfRule>
  </conditionalFormatting>
  <conditionalFormatting sqref="AI243">
    <cfRule type="expression" priority="2575" dxfId="3">
      <formula>AND(IF(OR($Q243=1,$Q243=2),1,0),IF($X243&lt;=20,1,0))</formula>
    </cfRule>
    <cfRule type="expression" priority="2576" dxfId="2">
      <formula>AND(IF($Q243=2,1,0),IF($X243&lt;30,1,0))</formula>
    </cfRule>
    <cfRule type="expression" priority="2577" dxfId="1">
      <formula>AND(IF($Q243=3,1,0),IF($X243&lt;30,1,0))</formula>
    </cfRule>
    <cfRule type="expression" priority="2578" dxfId="0">
      <formula>AND(IF($Q243=3,1,IF($Q243=4,1,0)),IF($F243&lt;=85,1,0))</formula>
    </cfRule>
  </conditionalFormatting>
  <conditionalFormatting sqref="AV244">
    <cfRule type="expression" priority="2573" dxfId="19">
      <formula>AV244="X"</formula>
    </cfRule>
    <cfRule type="expression" priority="2574" dxfId="18">
      <formula>AV244="후보"</formula>
    </cfRule>
  </conditionalFormatting>
  <conditionalFormatting sqref="AC244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4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44">
    <cfRule type="expression" priority="2565" dxfId="3">
      <formula>AND(IF(OR($Q244=1,$Q244=2),1,0),IF($X244&lt;=20,1,0))</formula>
    </cfRule>
    <cfRule type="expression" priority="2566" dxfId="2">
      <formula>AND(IF($Q244=2,1,0),IF($X244&lt;30,1,0))</formula>
    </cfRule>
    <cfRule type="expression" priority="2567" dxfId="1">
      <formula>AND(IF($Q244=3,1,0),IF($X244&lt;30,1,0))</formula>
    </cfRule>
    <cfRule type="expression" priority="2568" dxfId="0">
      <formula>AND(IF($Q244=3,1,IF($Q244=4,1,0)),IF($F244&lt;=85,1,0))</formula>
    </cfRule>
  </conditionalFormatting>
  <conditionalFormatting sqref="X244">
    <cfRule type="expression" priority="2561" dxfId="3">
      <formula>AND(IF(OR($Q244=1,$Q244=2),1,0),IF($X244&lt;=20,1,0))</formula>
    </cfRule>
    <cfRule type="expression" priority="2562" dxfId="2">
      <formula>AND(IF($Q244=2,1,0),IF($X244&lt;30,1,0))</formula>
    </cfRule>
    <cfRule type="expression" priority="2563" dxfId="1">
      <formula>AND(IF($Q244=3,1,0),IF($X244&lt;30,1,0))</formula>
    </cfRule>
    <cfRule type="expression" priority="2564" dxfId="0">
      <formula>AND(IF($Q244=3,1,IF($Q244=4,1,0)),IF($F244&lt;=85,1,0))</formula>
    </cfRule>
  </conditionalFormatting>
  <conditionalFormatting sqref="AI244">
    <cfRule type="expression" priority="2557" dxfId="3">
      <formula>AND(IF(OR($Q244=1,$Q244=2),1,0),IF($X244&lt;=20,1,0))</formula>
    </cfRule>
    <cfRule type="expression" priority="2558" dxfId="2">
      <formula>AND(IF($Q244=2,1,0),IF($X244&lt;30,1,0))</formula>
    </cfRule>
    <cfRule type="expression" priority="2559" dxfId="1">
      <formula>AND(IF($Q244=3,1,0),IF($X244&lt;30,1,0))</formula>
    </cfRule>
    <cfRule type="expression" priority="2560" dxfId="0">
      <formula>AND(IF($Q244=3,1,IF($Q244=4,1,0)),IF($F244&lt;=85,1,0))</formula>
    </cfRule>
  </conditionalFormatting>
  <conditionalFormatting sqref="AV245">
    <cfRule type="expression" priority="2555" dxfId="19">
      <formula>AV245="X"</formula>
    </cfRule>
    <cfRule type="expression" priority="2556" dxfId="18">
      <formula>AV245="후보"</formula>
    </cfRule>
  </conditionalFormatting>
  <conditionalFormatting sqref="AC245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45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45">
    <cfRule type="expression" priority="2547" dxfId="3">
      <formula>AND(IF(OR($Q245=1,$Q245=2),1,0),IF($X245&lt;=20,1,0))</formula>
    </cfRule>
    <cfRule type="expression" priority="2548" dxfId="2">
      <formula>AND(IF($Q245=2,1,0),IF($X245&lt;30,1,0))</formula>
    </cfRule>
    <cfRule type="expression" priority="2549" dxfId="1">
      <formula>AND(IF($Q245=3,1,0),IF($X245&lt;30,1,0))</formula>
    </cfRule>
    <cfRule type="expression" priority="2550" dxfId="0">
      <formula>AND(IF($Q245=3,1,IF($Q245=4,1,0)),IF($F245&lt;=85,1,0))</formula>
    </cfRule>
  </conditionalFormatting>
  <conditionalFormatting sqref="X245">
    <cfRule type="expression" priority="2543" dxfId="3">
      <formula>AND(IF(OR($Q245=1,$Q245=2),1,0),IF($X245&lt;=20,1,0))</formula>
    </cfRule>
    <cfRule type="expression" priority="2544" dxfId="2">
      <formula>AND(IF($Q245=2,1,0),IF($X245&lt;30,1,0))</formula>
    </cfRule>
    <cfRule type="expression" priority="2545" dxfId="1">
      <formula>AND(IF($Q245=3,1,0),IF($X245&lt;30,1,0))</formula>
    </cfRule>
    <cfRule type="expression" priority="2546" dxfId="0">
      <formula>AND(IF($Q245=3,1,IF($Q245=4,1,0)),IF($F245&lt;=85,1,0))</formula>
    </cfRule>
  </conditionalFormatting>
  <conditionalFormatting sqref="AI245">
    <cfRule type="expression" priority="2539" dxfId="3">
      <formula>AND(IF(OR($Q245=1,$Q245=2),1,0),IF($X245&lt;=20,1,0))</formula>
    </cfRule>
    <cfRule type="expression" priority="2540" dxfId="2">
      <formula>AND(IF($Q245=2,1,0),IF($X245&lt;30,1,0))</formula>
    </cfRule>
    <cfRule type="expression" priority="2541" dxfId="1">
      <formula>AND(IF($Q245=3,1,0),IF($X245&lt;30,1,0))</formula>
    </cfRule>
    <cfRule type="expression" priority="2542" dxfId="0">
      <formula>AND(IF($Q245=3,1,IF($Q245=4,1,0)),IF($F245&lt;=85,1,0))</formula>
    </cfRule>
  </conditionalFormatting>
  <conditionalFormatting sqref="AV246">
    <cfRule type="expression" priority="2537" dxfId="19">
      <formula>AV246="X"</formula>
    </cfRule>
    <cfRule type="expression" priority="2538" dxfId="18">
      <formula>AV246="후보"</formula>
    </cfRule>
  </conditionalFormatting>
  <conditionalFormatting sqref="AC246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46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46">
    <cfRule type="expression" priority="2529" dxfId="3">
      <formula>AND(IF(OR($Q246=1,$Q246=2),1,0),IF($X246&lt;=20,1,0))</formula>
    </cfRule>
    <cfRule type="expression" priority="2530" dxfId="2">
      <formula>AND(IF($Q246=2,1,0),IF($X246&lt;30,1,0))</formula>
    </cfRule>
    <cfRule type="expression" priority="2531" dxfId="1">
      <formula>AND(IF($Q246=3,1,0),IF($X246&lt;30,1,0))</formula>
    </cfRule>
    <cfRule type="expression" priority="2532" dxfId="0">
      <formula>AND(IF($Q246=3,1,IF($Q246=4,1,0)),IF($F246&lt;=85,1,0))</formula>
    </cfRule>
  </conditionalFormatting>
  <conditionalFormatting sqref="X246">
    <cfRule type="expression" priority="2525" dxfId="3">
      <formula>AND(IF(OR($Q246=1,$Q246=2),1,0),IF($X246&lt;=20,1,0))</formula>
    </cfRule>
    <cfRule type="expression" priority="2526" dxfId="2">
      <formula>AND(IF($Q246=2,1,0),IF($X246&lt;30,1,0))</formula>
    </cfRule>
    <cfRule type="expression" priority="2527" dxfId="1">
      <formula>AND(IF($Q246=3,1,0),IF($X246&lt;30,1,0))</formula>
    </cfRule>
    <cfRule type="expression" priority="2528" dxfId="0">
      <formula>AND(IF($Q246=3,1,IF($Q246=4,1,0)),IF($F246&lt;=85,1,0))</formula>
    </cfRule>
  </conditionalFormatting>
  <conditionalFormatting sqref="AI246">
    <cfRule type="expression" priority="2521" dxfId="3">
      <formula>AND(IF(OR($Q246=1,$Q246=2),1,0),IF($X246&lt;=20,1,0))</formula>
    </cfRule>
    <cfRule type="expression" priority="2522" dxfId="2">
      <formula>AND(IF($Q246=2,1,0),IF($X246&lt;30,1,0))</formula>
    </cfRule>
    <cfRule type="expression" priority="2523" dxfId="1">
      <formula>AND(IF($Q246=3,1,0),IF($X246&lt;30,1,0))</formula>
    </cfRule>
    <cfRule type="expression" priority="2524" dxfId="0">
      <formula>AND(IF($Q246=3,1,IF($Q246=4,1,0)),IF($F246&lt;=85,1,0))</formula>
    </cfRule>
  </conditionalFormatting>
  <conditionalFormatting sqref="AV247">
    <cfRule type="expression" priority="2519" dxfId="19">
      <formula>AV247="X"</formula>
    </cfRule>
    <cfRule type="expression" priority="2520" dxfId="18">
      <formula>AV247="후보"</formula>
    </cfRule>
  </conditionalFormatting>
  <conditionalFormatting sqref="AC247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47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47">
    <cfRule type="expression" priority="2511" dxfId="3">
      <formula>AND(IF(OR($Q247=1,$Q247=2),1,0),IF($X247&lt;=20,1,0))</formula>
    </cfRule>
    <cfRule type="expression" priority="2512" dxfId="2">
      <formula>AND(IF($Q247=2,1,0),IF($X247&lt;30,1,0))</formula>
    </cfRule>
    <cfRule type="expression" priority="2513" dxfId="1">
      <formula>AND(IF($Q247=3,1,0),IF($X247&lt;30,1,0))</formula>
    </cfRule>
    <cfRule type="expression" priority="2514" dxfId="0">
      <formula>AND(IF($Q247=3,1,IF($Q247=4,1,0)),IF($F247&lt;=85,1,0))</formula>
    </cfRule>
  </conditionalFormatting>
  <conditionalFormatting sqref="X247">
    <cfRule type="expression" priority="2507" dxfId="3">
      <formula>AND(IF(OR($Q247=1,$Q247=2),1,0),IF($X247&lt;=20,1,0))</formula>
    </cfRule>
    <cfRule type="expression" priority="2508" dxfId="2">
      <formula>AND(IF($Q247=2,1,0),IF($X247&lt;30,1,0))</formula>
    </cfRule>
    <cfRule type="expression" priority="2509" dxfId="1">
      <formula>AND(IF($Q247=3,1,0),IF($X247&lt;30,1,0))</formula>
    </cfRule>
    <cfRule type="expression" priority="2510" dxfId="0">
      <formula>AND(IF($Q247=3,1,IF($Q247=4,1,0)),IF($F247&lt;=85,1,0))</formula>
    </cfRule>
  </conditionalFormatting>
  <conditionalFormatting sqref="AI247">
    <cfRule type="expression" priority="2503" dxfId="3">
      <formula>AND(IF(OR($Q247=1,$Q247=2),1,0),IF($X247&lt;=20,1,0))</formula>
    </cfRule>
    <cfRule type="expression" priority="2504" dxfId="2">
      <formula>AND(IF($Q247=2,1,0),IF($X247&lt;30,1,0))</formula>
    </cfRule>
    <cfRule type="expression" priority="2505" dxfId="1">
      <formula>AND(IF($Q247=3,1,0),IF($X247&lt;30,1,0))</formula>
    </cfRule>
    <cfRule type="expression" priority="2506" dxfId="0">
      <formula>AND(IF($Q247=3,1,IF($Q247=4,1,0)),IF($F247&lt;=85,1,0))</formula>
    </cfRule>
  </conditionalFormatting>
  <conditionalFormatting sqref="AV248">
    <cfRule type="expression" priority="2501" dxfId="19">
      <formula>AV248="X"</formula>
    </cfRule>
    <cfRule type="expression" priority="2502" dxfId="18">
      <formula>AV248="후보"</formula>
    </cfRule>
  </conditionalFormatting>
  <conditionalFormatting sqref="AC248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48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48">
    <cfRule type="expression" priority="2493" dxfId="3">
      <formula>AND(IF(OR($Q248=1,$Q248=2),1,0),IF($X248&lt;=20,1,0))</formula>
    </cfRule>
    <cfRule type="expression" priority="2494" dxfId="2">
      <formula>AND(IF($Q248=2,1,0),IF($X248&lt;30,1,0))</formula>
    </cfRule>
    <cfRule type="expression" priority="2495" dxfId="1">
      <formula>AND(IF($Q248=3,1,0),IF($X248&lt;30,1,0))</formula>
    </cfRule>
    <cfRule type="expression" priority="2496" dxfId="0">
      <formula>AND(IF($Q248=3,1,IF($Q248=4,1,0)),IF($F248&lt;=85,1,0))</formula>
    </cfRule>
  </conditionalFormatting>
  <conditionalFormatting sqref="X248">
    <cfRule type="expression" priority="2489" dxfId="3">
      <formula>AND(IF(OR($Q248=1,$Q248=2),1,0),IF($X248&lt;=20,1,0))</formula>
    </cfRule>
    <cfRule type="expression" priority="2490" dxfId="2">
      <formula>AND(IF($Q248=2,1,0),IF($X248&lt;30,1,0))</formula>
    </cfRule>
    <cfRule type="expression" priority="2491" dxfId="1">
      <formula>AND(IF($Q248=3,1,0),IF($X248&lt;30,1,0))</formula>
    </cfRule>
    <cfRule type="expression" priority="2492" dxfId="0">
      <formula>AND(IF($Q248=3,1,IF($Q248=4,1,0)),IF($F248&lt;=85,1,0))</formula>
    </cfRule>
  </conditionalFormatting>
  <conditionalFormatting sqref="AI248">
    <cfRule type="expression" priority="2485" dxfId="3">
      <formula>AND(IF(OR($Q248=1,$Q248=2),1,0),IF($X248&lt;=20,1,0))</formula>
    </cfRule>
    <cfRule type="expression" priority="2486" dxfId="2">
      <formula>AND(IF($Q248=2,1,0),IF($X248&lt;30,1,0))</formula>
    </cfRule>
    <cfRule type="expression" priority="2487" dxfId="1">
      <formula>AND(IF($Q248=3,1,0),IF($X248&lt;30,1,0))</formula>
    </cfRule>
    <cfRule type="expression" priority="2488" dxfId="0">
      <formula>AND(IF($Q248=3,1,IF($Q248=4,1,0)),IF($F248&lt;=85,1,0))</formula>
    </cfRule>
  </conditionalFormatting>
  <conditionalFormatting sqref="AV249">
    <cfRule type="expression" priority="2483" dxfId="19">
      <formula>AV249="X"</formula>
    </cfRule>
    <cfRule type="expression" priority="2484" dxfId="18">
      <formula>AV249="후보"</formula>
    </cfRule>
  </conditionalFormatting>
  <conditionalFormatting sqref="AC249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4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49">
    <cfRule type="expression" priority="2475" dxfId="3">
      <formula>AND(IF(OR($Q249=1,$Q249=2),1,0),IF($X249&lt;=20,1,0))</formula>
    </cfRule>
    <cfRule type="expression" priority="2476" dxfId="2">
      <formula>AND(IF($Q249=2,1,0),IF($X249&lt;30,1,0))</formula>
    </cfRule>
    <cfRule type="expression" priority="2477" dxfId="1">
      <formula>AND(IF($Q249=3,1,0),IF($X249&lt;30,1,0))</formula>
    </cfRule>
    <cfRule type="expression" priority="2478" dxfId="0">
      <formula>AND(IF($Q249=3,1,IF($Q249=4,1,0)),IF($F249&lt;=85,1,0))</formula>
    </cfRule>
  </conditionalFormatting>
  <conditionalFormatting sqref="X249">
    <cfRule type="expression" priority="2471" dxfId="3">
      <formula>AND(IF(OR($Q249=1,$Q249=2),1,0),IF($X249&lt;=20,1,0))</formula>
    </cfRule>
    <cfRule type="expression" priority="2472" dxfId="2">
      <formula>AND(IF($Q249=2,1,0),IF($X249&lt;30,1,0))</formula>
    </cfRule>
    <cfRule type="expression" priority="2473" dxfId="1">
      <formula>AND(IF($Q249=3,1,0),IF($X249&lt;30,1,0))</formula>
    </cfRule>
    <cfRule type="expression" priority="2474" dxfId="0">
      <formula>AND(IF($Q249=3,1,IF($Q249=4,1,0)),IF($F249&lt;=85,1,0))</formula>
    </cfRule>
  </conditionalFormatting>
  <conditionalFormatting sqref="AI249">
    <cfRule type="expression" priority="2467" dxfId="3">
      <formula>AND(IF(OR($Q249=1,$Q249=2),1,0),IF($X249&lt;=20,1,0))</formula>
    </cfRule>
    <cfRule type="expression" priority="2468" dxfId="2">
      <formula>AND(IF($Q249=2,1,0),IF($X249&lt;30,1,0))</formula>
    </cfRule>
    <cfRule type="expression" priority="2469" dxfId="1">
      <formula>AND(IF($Q249=3,1,0),IF($X249&lt;30,1,0))</formula>
    </cfRule>
    <cfRule type="expression" priority="2470" dxfId="0">
      <formula>AND(IF($Q249=3,1,IF($Q249=4,1,0)),IF($F249&lt;=85,1,0))</formula>
    </cfRule>
  </conditionalFormatting>
  <conditionalFormatting sqref="AV250">
    <cfRule type="expression" priority="2465" dxfId="19">
      <formula>AV250="X"</formula>
    </cfRule>
    <cfRule type="expression" priority="2466" dxfId="18">
      <formula>AV250="후보"</formula>
    </cfRule>
  </conditionalFormatting>
  <conditionalFormatting sqref="AC250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5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50">
    <cfRule type="expression" priority="2457" dxfId="3">
      <formula>AND(IF(OR($Q250=1,$Q250=2),1,0),IF($X250&lt;=20,1,0))</formula>
    </cfRule>
    <cfRule type="expression" priority="2458" dxfId="2">
      <formula>AND(IF($Q250=2,1,0),IF($X250&lt;30,1,0))</formula>
    </cfRule>
    <cfRule type="expression" priority="2459" dxfId="1">
      <formula>AND(IF($Q250=3,1,0),IF($X250&lt;30,1,0))</formula>
    </cfRule>
    <cfRule type="expression" priority="2460" dxfId="0">
      <formula>AND(IF($Q250=3,1,IF($Q250=4,1,0)),IF($F250&lt;=85,1,0))</formula>
    </cfRule>
  </conditionalFormatting>
  <conditionalFormatting sqref="X250">
    <cfRule type="expression" priority="2453" dxfId="3">
      <formula>AND(IF(OR($Q250=1,$Q250=2),1,0),IF($X250&lt;=20,1,0))</formula>
    </cfRule>
    <cfRule type="expression" priority="2454" dxfId="2">
      <formula>AND(IF($Q250=2,1,0),IF($X250&lt;30,1,0))</formula>
    </cfRule>
    <cfRule type="expression" priority="2455" dxfId="1">
      <formula>AND(IF($Q250=3,1,0),IF($X250&lt;30,1,0))</formula>
    </cfRule>
    <cfRule type="expression" priority="2456" dxfId="0">
      <formula>AND(IF($Q250=3,1,IF($Q250=4,1,0)),IF($F250&lt;=85,1,0))</formula>
    </cfRule>
  </conditionalFormatting>
  <conditionalFormatting sqref="AI250">
    <cfRule type="expression" priority="2449" dxfId="3">
      <formula>AND(IF(OR($Q250=1,$Q250=2),1,0),IF($X250&lt;=20,1,0))</formula>
    </cfRule>
    <cfRule type="expression" priority="2450" dxfId="2">
      <formula>AND(IF($Q250=2,1,0),IF($X250&lt;30,1,0))</formula>
    </cfRule>
    <cfRule type="expression" priority="2451" dxfId="1">
      <formula>AND(IF($Q250=3,1,0),IF($X250&lt;30,1,0))</formula>
    </cfRule>
    <cfRule type="expression" priority="2452" dxfId="0">
      <formula>AND(IF($Q250=3,1,IF($Q250=4,1,0)),IF($F250&lt;=85,1,0))</formula>
    </cfRule>
  </conditionalFormatting>
  <conditionalFormatting sqref="AV251">
    <cfRule type="expression" priority="2447" dxfId="19">
      <formula>AV251="X"</formula>
    </cfRule>
    <cfRule type="expression" priority="2448" dxfId="18">
      <formula>AV251="후보"</formula>
    </cfRule>
  </conditionalFormatting>
  <conditionalFormatting sqref="AC251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5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51">
    <cfRule type="expression" priority="2439" dxfId="3">
      <formula>AND(IF(OR($Q251=1,$Q251=2),1,0),IF($X251&lt;=20,1,0))</formula>
    </cfRule>
    <cfRule type="expression" priority="2440" dxfId="2">
      <formula>AND(IF($Q251=2,1,0),IF($X251&lt;30,1,0))</formula>
    </cfRule>
    <cfRule type="expression" priority="2441" dxfId="1">
      <formula>AND(IF($Q251=3,1,0),IF($X251&lt;30,1,0))</formula>
    </cfRule>
    <cfRule type="expression" priority="2442" dxfId="0">
      <formula>AND(IF($Q251=3,1,IF($Q251=4,1,0)),IF($F251&lt;=85,1,0))</formula>
    </cfRule>
  </conditionalFormatting>
  <conditionalFormatting sqref="X251">
    <cfRule type="expression" priority="2435" dxfId="3">
      <formula>AND(IF(OR($Q251=1,$Q251=2),1,0),IF($X251&lt;=20,1,0))</formula>
    </cfRule>
    <cfRule type="expression" priority="2436" dxfId="2">
      <formula>AND(IF($Q251=2,1,0),IF($X251&lt;30,1,0))</formula>
    </cfRule>
    <cfRule type="expression" priority="2437" dxfId="1">
      <formula>AND(IF($Q251=3,1,0),IF($X251&lt;30,1,0))</formula>
    </cfRule>
    <cfRule type="expression" priority="2438" dxfId="0">
      <formula>AND(IF($Q251=3,1,IF($Q251=4,1,0)),IF($F251&lt;=85,1,0))</formula>
    </cfRule>
  </conditionalFormatting>
  <conditionalFormatting sqref="AI251">
    <cfRule type="expression" priority="2431" dxfId="3">
      <formula>AND(IF(OR($Q251=1,$Q251=2),1,0),IF($X251&lt;=20,1,0))</formula>
    </cfRule>
    <cfRule type="expression" priority="2432" dxfId="2">
      <formula>AND(IF($Q251=2,1,0),IF($X251&lt;30,1,0))</formula>
    </cfRule>
    <cfRule type="expression" priority="2433" dxfId="1">
      <formula>AND(IF($Q251=3,1,0),IF($X251&lt;30,1,0))</formula>
    </cfRule>
    <cfRule type="expression" priority="2434" dxfId="0">
      <formula>AND(IF($Q251=3,1,IF($Q251=4,1,0)),IF($F251&lt;=85,1,0))</formula>
    </cfRule>
  </conditionalFormatting>
  <conditionalFormatting sqref="AV252">
    <cfRule type="expression" priority="2429" dxfId="19">
      <formula>AV252="X"</formula>
    </cfRule>
    <cfRule type="expression" priority="2430" dxfId="18">
      <formula>AV252="후보"</formula>
    </cfRule>
  </conditionalFormatting>
  <conditionalFormatting sqref="AC252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5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52">
    <cfRule type="expression" priority="2421" dxfId="3">
      <formula>AND(IF(OR($Q252=1,$Q252=2),1,0),IF($X252&lt;=20,1,0))</formula>
    </cfRule>
    <cfRule type="expression" priority="2422" dxfId="2">
      <formula>AND(IF($Q252=2,1,0),IF($X252&lt;30,1,0))</formula>
    </cfRule>
    <cfRule type="expression" priority="2423" dxfId="1">
      <formula>AND(IF($Q252=3,1,0),IF($X252&lt;30,1,0))</formula>
    </cfRule>
    <cfRule type="expression" priority="2424" dxfId="0">
      <formula>AND(IF($Q252=3,1,IF($Q252=4,1,0)),IF($F252&lt;=85,1,0))</formula>
    </cfRule>
  </conditionalFormatting>
  <conditionalFormatting sqref="X252">
    <cfRule type="expression" priority="2417" dxfId="3">
      <formula>AND(IF(OR($Q252=1,$Q252=2),1,0),IF($X252&lt;=20,1,0))</formula>
    </cfRule>
    <cfRule type="expression" priority="2418" dxfId="2">
      <formula>AND(IF($Q252=2,1,0),IF($X252&lt;30,1,0))</formula>
    </cfRule>
    <cfRule type="expression" priority="2419" dxfId="1">
      <formula>AND(IF($Q252=3,1,0),IF($X252&lt;30,1,0))</formula>
    </cfRule>
    <cfRule type="expression" priority="2420" dxfId="0">
      <formula>AND(IF($Q252=3,1,IF($Q252=4,1,0)),IF($F252&lt;=85,1,0))</formula>
    </cfRule>
  </conditionalFormatting>
  <conditionalFormatting sqref="AI252">
    <cfRule type="expression" priority="2413" dxfId="3">
      <formula>AND(IF(OR($Q252=1,$Q252=2),1,0),IF($X252&lt;=20,1,0))</formula>
    </cfRule>
    <cfRule type="expression" priority="2414" dxfId="2">
      <formula>AND(IF($Q252=2,1,0),IF($X252&lt;30,1,0))</formula>
    </cfRule>
    <cfRule type="expression" priority="2415" dxfId="1">
      <formula>AND(IF($Q252=3,1,0),IF($X252&lt;30,1,0))</formula>
    </cfRule>
    <cfRule type="expression" priority="2416" dxfId="0">
      <formula>AND(IF($Q252=3,1,IF($Q252=4,1,0)),IF($F252&lt;=85,1,0))</formula>
    </cfRule>
  </conditionalFormatting>
  <conditionalFormatting sqref="AV253">
    <cfRule type="expression" priority="2411" dxfId="19">
      <formula>AV253="X"</formula>
    </cfRule>
    <cfRule type="expression" priority="2412" dxfId="18">
      <formula>AV253="후보"</formula>
    </cfRule>
  </conditionalFormatting>
  <conditionalFormatting sqref="AC253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5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53">
    <cfRule type="expression" priority="2403" dxfId="3">
      <formula>AND(IF(OR($Q253=1,$Q253=2),1,0),IF($X253&lt;=20,1,0))</formula>
    </cfRule>
    <cfRule type="expression" priority="2404" dxfId="2">
      <formula>AND(IF($Q253=2,1,0),IF($X253&lt;30,1,0))</formula>
    </cfRule>
    <cfRule type="expression" priority="2405" dxfId="1">
      <formula>AND(IF($Q253=3,1,0),IF($X253&lt;30,1,0))</formula>
    </cfRule>
    <cfRule type="expression" priority="2406" dxfId="0">
      <formula>AND(IF($Q253=3,1,IF($Q253=4,1,0)),IF($F253&lt;=85,1,0))</formula>
    </cfRule>
  </conditionalFormatting>
  <conditionalFormatting sqref="X253">
    <cfRule type="expression" priority="2399" dxfId="3">
      <formula>AND(IF(OR($Q253=1,$Q253=2),1,0),IF($X253&lt;=20,1,0))</formula>
    </cfRule>
    <cfRule type="expression" priority="2400" dxfId="2">
      <formula>AND(IF($Q253=2,1,0),IF($X253&lt;30,1,0))</formula>
    </cfRule>
    <cfRule type="expression" priority="2401" dxfId="1">
      <formula>AND(IF($Q253=3,1,0),IF($X253&lt;30,1,0))</formula>
    </cfRule>
    <cfRule type="expression" priority="2402" dxfId="0">
      <formula>AND(IF($Q253=3,1,IF($Q253=4,1,0)),IF($F253&lt;=85,1,0))</formula>
    </cfRule>
  </conditionalFormatting>
  <conditionalFormatting sqref="AI253">
    <cfRule type="expression" priority="2395" dxfId="3">
      <formula>AND(IF(OR($Q253=1,$Q253=2),1,0),IF($X253&lt;=20,1,0))</formula>
    </cfRule>
    <cfRule type="expression" priority="2396" dxfId="2">
      <formula>AND(IF($Q253=2,1,0),IF($X253&lt;30,1,0))</formula>
    </cfRule>
    <cfRule type="expression" priority="2397" dxfId="1">
      <formula>AND(IF($Q253=3,1,0),IF($X253&lt;30,1,0))</formula>
    </cfRule>
    <cfRule type="expression" priority="2398" dxfId="0">
      <formula>AND(IF($Q253=3,1,IF($Q253=4,1,0)),IF($F253&lt;=85,1,0))</formula>
    </cfRule>
  </conditionalFormatting>
  <conditionalFormatting sqref="AV254">
    <cfRule type="expression" priority="2393" dxfId="19">
      <formula>AV254="X"</formula>
    </cfRule>
    <cfRule type="expression" priority="2394" dxfId="18">
      <formula>AV254="후보"</formula>
    </cfRule>
  </conditionalFormatting>
  <conditionalFormatting sqref="AC254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54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54">
    <cfRule type="expression" priority="2385" dxfId="3">
      <formula>AND(IF(OR($Q254=1,$Q254=2),1,0),IF($X254&lt;=20,1,0))</formula>
    </cfRule>
    <cfRule type="expression" priority="2386" dxfId="2">
      <formula>AND(IF($Q254=2,1,0),IF($X254&lt;30,1,0))</formula>
    </cfRule>
    <cfRule type="expression" priority="2387" dxfId="1">
      <formula>AND(IF($Q254=3,1,0),IF($X254&lt;30,1,0))</formula>
    </cfRule>
    <cfRule type="expression" priority="2388" dxfId="0">
      <formula>AND(IF($Q254=3,1,IF($Q254=4,1,0)),IF($F254&lt;=85,1,0))</formula>
    </cfRule>
  </conditionalFormatting>
  <conditionalFormatting sqref="X254">
    <cfRule type="expression" priority="2381" dxfId="3">
      <formula>AND(IF(OR($Q254=1,$Q254=2),1,0),IF($X254&lt;=20,1,0))</formula>
    </cfRule>
    <cfRule type="expression" priority="2382" dxfId="2">
      <formula>AND(IF($Q254=2,1,0),IF($X254&lt;30,1,0))</formula>
    </cfRule>
    <cfRule type="expression" priority="2383" dxfId="1">
      <formula>AND(IF($Q254=3,1,0),IF($X254&lt;30,1,0))</formula>
    </cfRule>
    <cfRule type="expression" priority="2384" dxfId="0">
      <formula>AND(IF($Q254=3,1,IF($Q254=4,1,0)),IF($F254&lt;=85,1,0))</formula>
    </cfRule>
  </conditionalFormatting>
  <conditionalFormatting sqref="AI254">
    <cfRule type="expression" priority="2377" dxfId="3">
      <formula>AND(IF(OR($Q254=1,$Q254=2),1,0),IF($X254&lt;=20,1,0))</formula>
    </cfRule>
    <cfRule type="expression" priority="2378" dxfId="2">
      <formula>AND(IF($Q254=2,1,0),IF($X254&lt;30,1,0))</formula>
    </cfRule>
    <cfRule type="expression" priority="2379" dxfId="1">
      <formula>AND(IF($Q254=3,1,0),IF($X254&lt;30,1,0))</formula>
    </cfRule>
    <cfRule type="expression" priority="2380" dxfId="0">
      <formula>AND(IF($Q254=3,1,IF($Q254=4,1,0)),IF($F254&lt;=85,1,0))</formula>
    </cfRule>
  </conditionalFormatting>
  <conditionalFormatting sqref="AV255">
    <cfRule type="expression" priority="2375" dxfId="19">
      <formula>AV255="X"</formula>
    </cfRule>
    <cfRule type="expression" priority="2376" dxfId="18">
      <formula>AV255="후보"</formula>
    </cfRule>
  </conditionalFormatting>
  <conditionalFormatting sqref="AC255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55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55">
    <cfRule type="expression" priority="2367" dxfId="3">
      <formula>AND(IF(OR($Q255=1,$Q255=2),1,0),IF($X255&lt;=20,1,0))</formula>
    </cfRule>
    <cfRule type="expression" priority="2368" dxfId="2">
      <formula>AND(IF($Q255=2,1,0),IF($X255&lt;30,1,0))</formula>
    </cfRule>
    <cfRule type="expression" priority="2369" dxfId="1">
      <formula>AND(IF($Q255=3,1,0),IF($X255&lt;30,1,0))</formula>
    </cfRule>
    <cfRule type="expression" priority="2370" dxfId="0">
      <formula>AND(IF($Q255=3,1,IF($Q255=4,1,0)),IF($F255&lt;=85,1,0))</formula>
    </cfRule>
  </conditionalFormatting>
  <conditionalFormatting sqref="X255">
    <cfRule type="expression" priority="2363" dxfId="3">
      <formula>AND(IF(OR($Q255=1,$Q255=2),1,0),IF($X255&lt;=20,1,0))</formula>
    </cfRule>
    <cfRule type="expression" priority="2364" dxfId="2">
      <formula>AND(IF($Q255=2,1,0),IF($X255&lt;30,1,0))</formula>
    </cfRule>
    <cfRule type="expression" priority="2365" dxfId="1">
      <formula>AND(IF($Q255=3,1,0),IF($X255&lt;30,1,0))</formula>
    </cfRule>
    <cfRule type="expression" priority="2366" dxfId="0">
      <formula>AND(IF($Q255=3,1,IF($Q255=4,1,0)),IF($F255&lt;=85,1,0))</formula>
    </cfRule>
  </conditionalFormatting>
  <conditionalFormatting sqref="AI255">
    <cfRule type="expression" priority="2359" dxfId="3">
      <formula>AND(IF(OR($Q255=1,$Q255=2),1,0),IF($X255&lt;=20,1,0))</formula>
    </cfRule>
    <cfRule type="expression" priority="2360" dxfId="2">
      <formula>AND(IF($Q255=2,1,0),IF($X255&lt;30,1,0))</formula>
    </cfRule>
    <cfRule type="expression" priority="2361" dxfId="1">
      <formula>AND(IF($Q255=3,1,0),IF($X255&lt;30,1,0))</formula>
    </cfRule>
    <cfRule type="expression" priority="2362" dxfId="0">
      <formula>AND(IF($Q255=3,1,IF($Q255=4,1,0)),IF($F255&lt;=85,1,0))</formula>
    </cfRule>
  </conditionalFormatting>
  <conditionalFormatting sqref="AV256">
    <cfRule type="expression" priority="2357" dxfId="19">
      <formula>AV256="X"</formula>
    </cfRule>
    <cfRule type="expression" priority="2358" dxfId="18">
      <formula>AV256="후보"</formula>
    </cfRule>
  </conditionalFormatting>
  <conditionalFormatting sqref="AC256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56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56">
    <cfRule type="expression" priority="2349" dxfId="3">
      <formula>AND(IF(OR($Q256=1,$Q256=2),1,0),IF($X256&lt;=20,1,0))</formula>
    </cfRule>
    <cfRule type="expression" priority="2350" dxfId="2">
      <formula>AND(IF($Q256=2,1,0),IF($X256&lt;30,1,0))</formula>
    </cfRule>
    <cfRule type="expression" priority="2351" dxfId="1">
      <formula>AND(IF($Q256=3,1,0),IF($X256&lt;30,1,0))</formula>
    </cfRule>
    <cfRule type="expression" priority="2352" dxfId="0">
      <formula>AND(IF($Q256=3,1,IF($Q256=4,1,0)),IF($F256&lt;=85,1,0))</formula>
    </cfRule>
  </conditionalFormatting>
  <conditionalFormatting sqref="X256">
    <cfRule type="expression" priority="2345" dxfId="3">
      <formula>AND(IF(OR($Q256=1,$Q256=2),1,0),IF($X256&lt;=20,1,0))</formula>
    </cfRule>
    <cfRule type="expression" priority="2346" dxfId="2">
      <formula>AND(IF($Q256=2,1,0),IF($X256&lt;30,1,0))</formula>
    </cfRule>
    <cfRule type="expression" priority="2347" dxfId="1">
      <formula>AND(IF($Q256=3,1,0),IF($X256&lt;30,1,0))</formula>
    </cfRule>
    <cfRule type="expression" priority="2348" dxfId="0">
      <formula>AND(IF($Q256=3,1,IF($Q256=4,1,0)),IF($F256&lt;=85,1,0))</formula>
    </cfRule>
  </conditionalFormatting>
  <conditionalFormatting sqref="AI256">
    <cfRule type="expression" priority="2341" dxfId="3">
      <formula>AND(IF(OR($Q256=1,$Q256=2),1,0),IF($X256&lt;=20,1,0))</formula>
    </cfRule>
    <cfRule type="expression" priority="2342" dxfId="2">
      <formula>AND(IF($Q256=2,1,0),IF($X256&lt;30,1,0))</formula>
    </cfRule>
    <cfRule type="expression" priority="2343" dxfId="1">
      <formula>AND(IF($Q256=3,1,0),IF($X256&lt;30,1,0))</formula>
    </cfRule>
    <cfRule type="expression" priority="2344" dxfId="0">
      <formula>AND(IF($Q256=3,1,IF($Q256=4,1,0)),IF($F256&lt;=85,1,0))</formula>
    </cfRule>
  </conditionalFormatting>
  <conditionalFormatting sqref="AV257">
    <cfRule type="expression" priority="2339" dxfId="19">
      <formula>AV257="X"</formula>
    </cfRule>
    <cfRule type="expression" priority="2340" dxfId="18">
      <formula>AV257="후보"</formula>
    </cfRule>
  </conditionalFormatting>
  <conditionalFormatting sqref="AC257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5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57">
    <cfRule type="expression" priority="2331" dxfId="3">
      <formula>AND(IF(OR($Q257=1,$Q257=2),1,0),IF($X257&lt;=20,1,0))</formula>
    </cfRule>
    <cfRule type="expression" priority="2332" dxfId="2">
      <formula>AND(IF($Q257=2,1,0),IF($X257&lt;30,1,0))</formula>
    </cfRule>
    <cfRule type="expression" priority="2333" dxfId="1">
      <formula>AND(IF($Q257=3,1,0),IF($X257&lt;30,1,0))</formula>
    </cfRule>
    <cfRule type="expression" priority="2334" dxfId="0">
      <formula>AND(IF($Q257=3,1,IF($Q257=4,1,0)),IF($F257&lt;=85,1,0))</formula>
    </cfRule>
  </conditionalFormatting>
  <conditionalFormatting sqref="X257">
    <cfRule type="expression" priority="2327" dxfId="3">
      <formula>AND(IF(OR($Q257=1,$Q257=2),1,0),IF($X257&lt;=20,1,0))</formula>
    </cfRule>
    <cfRule type="expression" priority="2328" dxfId="2">
      <formula>AND(IF($Q257=2,1,0),IF($X257&lt;30,1,0))</formula>
    </cfRule>
    <cfRule type="expression" priority="2329" dxfId="1">
      <formula>AND(IF($Q257=3,1,0),IF($X257&lt;30,1,0))</formula>
    </cfRule>
    <cfRule type="expression" priority="2330" dxfId="0">
      <formula>AND(IF($Q257=3,1,IF($Q257=4,1,0)),IF($F257&lt;=85,1,0))</formula>
    </cfRule>
  </conditionalFormatting>
  <conditionalFormatting sqref="AI257">
    <cfRule type="expression" priority="2323" dxfId="3">
      <formula>AND(IF(OR($Q257=1,$Q257=2),1,0),IF($X257&lt;=20,1,0))</formula>
    </cfRule>
    <cfRule type="expression" priority="2324" dxfId="2">
      <formula>AND(IF($Q257=2,1,0),IF($X257&lt;30,1,0))</formula>
    </cfRule>
    <cfRule type="expression" priority="2325" dxfId="1">
      <formula>AND(IF($Q257=3,1,0),IF($X257&lt;30,1,0))</formula>
    </cfRule>
    <cfRule type="expression" priority="2326" dxfId="0">
      <formula>AND(IF($Q257=3,1,IF($Q257=4,1,0)),IF($F257&lt;=85,1,0))</formula>
    </cfRule>
  </conditionalFormatting>
  <conditionalFormatting sqref="AV258">
    <cfRule type="expression" priority="2321" dxfId="19">
      <formula>AV258="X"</formula>
    </cfRule>
    <cfRule type="expression" priority="2322" dxfId="18">
      <formula>AV258="후보"</formula>
    </cfRule>
  </conditionalFormatting>
  <conditionalFormatting sqref="AC258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58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58">
    <cfRule type="expression" priority="2313" dxfId="3">
      <formula>AND(IF(OR($Q258=1,$Q258=2),1,0),IF($X258&lt;=20,1,0))</formula>
    </cfRule>
    <cfRule type="expression" priority="2314" dxfId="2">
      <formula>AND(IF($Q258=2,1,0),IF($X258&lt;30,1,0))</formula>
    </cfRule>
    <cfRule type="expression" priority="2315" dxfId="1">
      <formula>AND(IF($Q258=3,1,0),IF($X258&lt;30,1,0))</formula>
    </cfRule>
    <cfRule type="expression" priority="2316" dxfId="0">
      <formula>AND(IF($Q258=3,1,IF($Q258=4,1,0)),IF($F258&lt;=85,1,0))</formula>
    </cfRule>
  </conditionalFormatting>
  <conditionalFormatting sqref="X258">
    <cfRule type="expression" priority="2309" dxfId="3">
      <formula>AND(IF(OR($Q258=1,$Q258=2),1,0),IF($X258&lt;=20,1,0))</formula>
    </cfRule>
    <cfRule type="expression" priority="2310" dxfId="2">
      <formula>AND(IF($Q258=2,1,0),IF($X258&lt;30,1,0))</formula>
    </cfRule>
    <cfRule type="expression" priority="2311" dxfId="1">
      <formula>AND(IF($Q258=3,1,0),IF($X258&lt;30,1,0))</formula>
    </cfRule>
    <cfRule type="expression" priority="2312" dxfId="0">
      <formula>AND(IF($Q258=3,1,IF($Q258=4,1,0)),IF($F258&lt;=85,1,0))</formula>
    </cfRule>
  </conditionalFormatting>
  <conditionalFormatting sqref="AI258">
    <cfRule type="expression" priority="2305" dxfId="3">
      <formula>AND(IF(OR($Q258=1,$Q258=2),1,0),IF($X258&lt;=20,1,0))</formula>
    </cfRule>
    <cfRule type="expression" priority="2306" dxfId="2">
      <formula>AND(IF($Q258=2,1,0),IF($X258&lt;30,1,0))</formula>
    </cfRule>
    <cfRule type="expression" priority="2307" dxfId="1">
      <formula>AND(IF($Q258=3,1,0),IF($X258&lt;30,1,0))</formula>
    </cfRule>
    <cfRule type="expression" priority="2308" dxfId="0">
      <formula>AND(IF($Q258=3,1,IF($Q258=4,1,0)),IF($F258&lt;=85,1,0))</formula>
    </cfRule>
  </conditionalFormatting>
  <conditionalFormatting sqref="AV259">
    <cfRule type="expression" priority="2303" dxfId="19">
      <formula>AV259="X"</formula>
    </cfRule>
    <cfRule type="expression" priority="2304" dxfId="18">
      <formula>AV259="후보"</formula>
    </cfRule>
  </conditionalFormatting>
  <conditionalFormatting sqref="AC259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59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59">
    <cfRule type="expression" priority="2295" dxfId="3">
      <formula>AND(IF(OR($Q259=1,$Q259=2),1,0),IF($X259&lt;=20,1,0))</formula>
    </cfRule>
    <cfRule type="expression" priority="2296" dxfId="2">
      <formula>AND(IF($Q259=2,1,0),IF($X259&lt;30,1,0))</formula>
    </cfRule>
    <cfRule type="expression" priority="2297" dxfId="1">
      <formula>AND(IF($Q259=3,1,0),IF($X259&lt;30,1,0))</formula>
    </cfRule>
    <cfRule type="expression" priority="2298" dxfId="0">
      <formula>AND(IF($Q259=3,1,IF($Q259=4,1,0)),IF($F259&lt;=85,1,0))</formula>
    </cfRule>
  </conditionalFormatting>
  <conditionalFormatting sqref="X259">
    <cfRule type="expression" priority="2291" dxfId="3">
      <formula>AND(IF(OR($Q259=1,$Q259=2),1,0),IF($X259&lt;=20,1,0))</formula>
    </cfRule>
    <cfRule type="expression" priority="2292" dxfId="2">
      <formula>AND(IF($Q259=2,1,0),IF($X259&lt;30,1,0))</formula>
    </cfRule>
    <cfRule type="expression" priority="2293" dxfId="1">
      <formula>AND(IF($Q259=3,1,0),IF($X259&lt;30,1,0))</formula>
    </cfRule>
    <cfRule type="expression" priority="2294" dxfId="0">
      <formula>AND(IF($Q259=3,1,IF($Q259=4,1,0)),IF($F259&lt;=85,1,0))</formula>
    </cfRule>
  </conditionalFormatting>
  <conditionalFormatting sqref="AI259">
    <cfRule type="expression" priority="2287" dxfId="3">
      <formula>AND(IF(OR($Q259=1,$Q259=2),1,0),IF($X259&lt;=20,1,0))</formula>
    </cfRule>
    <cfRule type="expression" priority="2288" dxfId="2">
      <formula>AND(IF($Q259=2,1,0),IF($X259&lt;30,1,0))</formula>
    </cfRule>
    <cfRule type="expression" priority="2289" dxfId="1">
      <formula>AND(IF($Q259=3,1,0),IF($X259&lt;30,1,0))</formula>
    </cfRule>
    <cfRule type="expression" priority="2290" dxfId="0">
      <formula>AND(IF($Q259=3,1,IF($Q259=4,1,0)),IF($F259&lt;=85,1,0))</formula>
    </cfRule>
  </conditionalFormatting>
  <conditionalFormatting sqref="AV260">
    <cfRule type="expression" priority="2285" dxfId="19">
      <formula>AV260="X"</formula>
    </cfRule>
    <cfRule type="expression" priority="2286" dxfId="18">
      <formula>AV260="후보"</formula>
    </cfRule>
  </conditionalFormatting>
  <conditionalFormatting sqref="AC260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60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60">
    <cfRule type="expression" priority="2277" dxfId="3">
      <formula>AND(IF(OR($Q260=1,$Q260=2),1,0),IF($X260&lt;=20,1,0))</formula>
    </cfRule>
    <cfRule type="expression" priority="2278" dxfId="2">
      <formula>AND(IF($Q260=2,1,0),IF($X260&lt;30,1,0))</formula>
    </cfRule>
    <cfRule type="expression" priority="2279" dxfId="1">
      <formula>AND(IF($Q260=3,1,0),IF($X260&lt;30,1,0))</formula>
    </cfRule>
    <cfRule type="expression" priority="2280" dxfId="0">
      <formula>AND(IF($Q260=3,1,IF($Q260=4,1,0)),IF($F260&lt;=85,1,0))</formula>
    </cfRule>
  </conditionalFormatting>
  <conditionalFormatting sqref="X260">
    <cfRule type="expression" priority="2273" dxfId="3">
      <formula>AND(IF(OR($Q260=1,$Q260=2),1,0),IF($X260&lt;=20,1,0))</formula>
    </cfRule>
    <cfRule type="expression" priority="2274" dxfId="2">
      <formula>AND(IF($Q260=2,1,0),IF($X260&lt;30,1,0))</formula>
    </cfRule>
    <cfRule type="expression" priority="2275" dxfId="1">
      <formula>AND(IF($Q260=3,1,0),IF($X260&lt;30,1,0))</formula>
    </cfRule>
    <cfRule type="expression" priority="2276" dxfId="0">
      <formula>AND(IF($Q260=3,1,IF($Q260=4,1,0)),IF($F260&lt;=85,1,0))</formula>
    </cfRule>
  </conditionalFormatting>
  <conditionalFormatting sqref="AI260">
    <cfRule type="expression" priority="2269" dxfId="3">
      <formula>AND(IF(OR($Q260=1,$Q260=2),1,0),IF($X260&lt;=20,1,0))</formula>
    </cfRule>
    <cfRule type="expression" priority="2270" dxfId="2">
      <formula>AND(IF($Q260=2,1,0),IF($X260&lt;30,1,0))</formula>
    </cfRule>
    <cfRule type="expression" priority="2271" dxfId="1">
      <formula>AND(IF($Q260=3,1,0),IF($X260&lt;30,1,0))</formula>
    </cfRule>
    <cfRule type="expression" priority="2272" dxfId="0">
      <formula>AND(IF($Q260=3,1,IF($Q260=4,1,0)),IF($F260&lt;=85,1,0))</formula>
    </cfRule>
  </conditionalFormatting>
  <conditionalFormatting sqref="AV261">
    <cfRule type="expression" priority="2267" dxfId="19">
      <formula>AV261="X"</formula>
    </cfRule>
    <cfRule type="expression" priority="2268" dxfId="18">
      <formula>AV261="후보"</formula>
    </cfRule>
  </conditionalFormatting>
  <conditionalFormatting sqref="AC26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6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61">
    <cfRule type="expression" priority="2259" dxfId="3">
      <formula>AND(IF(OR($Q261=1,$Q261=2),1,0),IF($X261&lt;=20,1,0))</formula>
    </cfRule>
    <cfRule type="expression" priority="2260" dxfId="2">
      <formula>AND(IF($Q261=2,1,0),IF($X261&lt;30,1,0))</formula>
    </cfRule>
    <cfRule type="expression" priority="2261" dxfId="1">
      <formula>AND(IF($Q261=3,1,0),IF($X261&lt;30,1,0))</formula>
    </cfRule>
    <cfRule type="expression" priority="2262" dxfId="0">
      <formula>AND(IF($Q261=3,1,IF($Q261=4,1,0)),IF($F261&lt;=85,1,0))</formula>
    </cfRule>
  </conditionalFormatting>
  <conditionalFormatting sqref="X261">
    <cfRule type="expression" priority="2255" dxfId="3">
      <formula>AND(IF(OR($Q261=1,$Q261=2),1,0),IF($X261&lt;=20,1,0))</formula>
    </cfRule>
    <cfRule type="expression" priority="2256" dxfId="2">
      <formula>AND(IF($Q261=2,1,0),IF($X261&lt;30,1,0))</formula>
    </cfRule>
    <cfRule type="expression" priority="2257" dxfId="1">
      <formula>AND(IF($Q261=3,1,0),IF($X261&lt;30,1,0))</formula>
    </cfRule>
    <cfRule type="expression" priority="2258" dxfId="0">
      <formula>AND(IF($Q261=3,1,IF($Q261=4,1,0)),IF($F261&lt;=85,1,0))</formula>
    </cfRule>
  </conditionalFormatting>
  <conditionalFormatting sqref="AI261">
    <cfRule type="expression" priority="2251" dxfId="3">
      <formula>AND(IF(OR($Q261=1,$Q261=2),1,0),IF($X261&lt;=20,1,0))</formula>
    </cfRule>
    <cfRule type="expression" priority="2252" dxfId="2">
      <formula>AND(IF($Q261=2,1,0),IF($X261&lt;30,1,0))</formula>
    </cfRule>
    <cfRule type="expression" priority="2253" dxfId="1">
      <formula>AND(IF($Q261=3,1,0),IF($X261&lt;30,1,0))</formula>
    </cfRule>
    <cfRule type="expression" priority="2254" dxfId="0">
      <formula>AND(IF($Q261=3,1,IF($Q261=4,1,0)),IF($F261&lt;=85,1,0))</formula>
    </cfRule>
  </conditionalFormatting>
  <conditionalFormatting sqref="AV262">
    <cfRule type="expression" priority="2249" dxfId="19">
      <formula>AV262="X"</formula>
    </cfRule>
    <cfRule type="expression" priority="2250" dxfId="18">
      <formula>AV262="후보"</formula>
    </cfRule>
  </conditionalFormatting>
  <conditionalFormatting sqref="AC26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62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62">
    <cfRule type="expression" priority="2241" dxfId="3">
      <formula>AND(IF(OR($Q262=1,$Q262=2),1,0),IF($X262&lt;=20,1,0))</formula>
    </cfRule>
    <cfRule type="expression" priority="2242" dxfId="2">
      <formula>AND(IF($Q262=2,1,0),IF($X262&lt;30,1,0))</formula>
    </cfRule>
    <cfRule type="expression" priority="2243" dxfId="1">
      <formula>AND(IF($Q262=3,1,0),IF($X262&lt;30,1,0))</formula>
    </cfRule>
    <cfRule type="expression" priority="2244" dxfId="0">
      <formula>AND(IF($Q262=3,1,IF($Q262=4,1,0)),IF($F262&lt;=85,1,0))</formula>
    </cfRule>
  </conditionalFormatting>
  <conditionalFormatting sqref="X262">
    <cfRule type="expression" priority="2237" dxfId="3">
      <formula>AND(IF(OR($Q262=1,$Q262=2),1,0),IF($X262&lt;=20,1,0))</formula>
    </cfRule>
    <cfRule type="expression" priority="2238" dxfId="2">
      <formula>AND(IF($Q262=2,1,0),IF($X262&lt;30,1,0))</formula>
    </cfRule>
    <cfRule type="expression" priority="2239" dxfId="1">
      <formula>AND(IF($Q262=3,1,0),IF($X262&lt;30,1,0))</formula>
    </cfRule>
    <cfRule type="expression" priority="2240" dxfId="0">
      <formula>AND(IF($Q262=3,1,IF($Q262=4,1,0)),IF($F262&lt;=85,1,0))</formula>
    </cfRule>
  </conditionalFormatting>
  <conditionalFormatting sqref="AI262">
    <cfRule type="expression" priority="2233" dxfId="3">
      <formula>AND(IF(OR($Q262=1,$Q262=2),1,0),IF($X262&lt;=20,1,0))</formula>
    </cfRule>
    <cfRule type="expression" priority="2234" dxfId="2">
      <formula>AND(IF($Q262=2,1,0),IF($X262&lt;30,1,0))</formula>
    </cfRule>
    <cfRule type="expression" priority="2235" dxfId="1">
      <formula>AND(IF($Q262=3,1,0),IF($X262&lt;30,1,0))</formula>
    </cfRule>
    <cfRule type="expression" priority="2236" dxfId="0">
      <formula>AND(IF($Q262=3,1,IF($Q262=4,1,0)),IF($F262&lt;=85,1,0))</formula>
    </cfRule>
  </conditionalFormatting>
  <conditionalFormatting sqref="AV263">
    <cfRule type="expression" priority="2231" dxfId="19">
      <formula>AV263="X"</formula>
    </cfRule>
    <cfRule type="expression" priority="2232" dxfId="18">
      <formula>AV263="후보"</formula>
    </cfRule>
  </conditionalFormatting>
  <conditionalFormatting sqref="AC263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6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63">
    <cfRule type="expression" priority="2223" dxfId="3">
      <formula>AND(IF(OR($Q263=1,$Q263=2),1,0),IF($X263&lt;=20,1,0))</formula>
    </cfRule>
    <cfRule type="expression" priority="2224" dxfId="2">
      <formula>AND(IF($Q263=2,1,0),IF($X263&lt;30,1,0))</formula>
    </cfRule>
    <cfRule type="expression" priority="2225" dxfId="1">
      <formula>AND(IF($Q263=3,1,0),IF($X263&lt;30,1,0))</formula>
    </cfRule>
    <cfRule type="expression" priority="2226" dxfId="0">
      <formula>AND(IF($Q263=3,1,IF($Q263=4,1,0)),IF($F263&lt;=85,1,0))</formula>
    </cfRule>
  </conditionalFormatting>
  <conditionalFormatting sqref="X263">
    <cfRule type="expression" priority="2219" dxfId="3">
      <formula>AND(IF(OR($Q263=1,$Q263=2),1,0),IF($X263&lt;=20,1,0))</formula>
    </cfRule>
    <cfRule type="expression" priority="2220" dxfId="2">
      <formula>AND(IF($Q263=2,1,0),IF($X263&lt;30,1,0))</formula>
    </cfRule>
    <cfRule type="expression" priority="2221" dxfId="1">
      <formula>AND(IF($Q263=3,1,0),IF($X263&lt;30,1,0))</formula>
    </cfRule>
    <cfRule type="expression" priority="2222" dxfId="0">
      <formula>AND(IF($Q263=3,1,IF($Q263=4,1,0)),IF($F263&lt;=85,1,0))</formula>
    </cfRule>
  </conditionalFormatting>
  <conditionalFormatting sqref="AI263">
    <cfRule type="expression" priority="2215" dxfId="3">
      <formula>AND(IF(OR($Q263=1,$Q263=2),1,0),IF($X263&lt;=20,1,0))</formula>
    </cfRule>
    <cfRule type="expression" priority="2216" dxfId="2">
      <formula>AND(IF($Q263=2,1,0),IF($X263&lt;30,1,0))</formula>
    </cfRule>
    <cfRule type="expression" priority="2217" dxfId="1">
      <formula>AND(IF($Q263=3,1,0),IF($X263&lt;30,1,0))</formula>
    </cfRule>
    <cfRule type="expression" priority="2218" dxfId="0">
      <formula>AND(IF($Q263=3,1,IF($Q263=4,1,0)),IF($F263&lt;=85,1,0))</formula>
    </cfRule>
  </conditionalFormatting>
  <conditionalFormatting sqref="AV264">
    <cfRule type="expression" priority="2213" dxfId="19">
      <formula>AV264="X"</formula>
    </cfRule>
    <cfRule type="expression" priority="2214" dxfId="18">
      <formula>AV264="후보"</formula>
    </cfRule>
  </conditionalFormatting>
  <conditionalFormatting sqref="AC264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6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64">
    <cfRule type="expression" priority="2205" dxfId="3">
      <formula>AND(IF(OR($Q264=1,$Q264=2),1,0),IF($X264&lt;=20,1,0))</formula>
    </cfRule>
    <cfRule type="expression" priority="2206" dxfId="2">
      <formula>AND(IF($Q264=2,1,0),IF($X264&lt;30,1,0))</formula>
    </cfRule>
    <cfRule type="expression" priority="2207" dxfId="1">
      <formula>AND(IF($Q264=3,1,0),IF($X264&lt;30,1,0))</formula>
    </cfRule>
    <cfRule type="expression" priority="2208" dxfId="0">
      <formula>AND(IF($Q264=3,1,IF($Q264=4,1,0)),IF($F264&lt;=85,1,0))</formula>
    </cfRule>
  </conditionalFormatting>
  <conditionalFormatting sqref="X264">
    <cfRule type="expression" priority="2201" dxfId="3">
      <formula>AND(IF(OR($Q264=1,$Q264=2),1,0),IF($X264&lt;=20,1,0))</formula>
    </cfRule>
    <cfRule type="expression" priority="2202" dxfId="2">
      <formula>AND(IF($Q264=2,1,0),IF($X264&lt;30,1,0))</formula>
    </cfRule>
    <cfRule type="expression" priority="2203" dxfId="1">
      <formula>AND(IF($Q264=3,1,0),IF($X264&lt;30,1,0))</formula>
    </cfRule>
    <cfRule type="expression" priority="2204" dxfId="0">
      <formula>AND(IF($Q264=3,1,IF($Q264=4,1,0)),IF($F264&lt;=85,1,0))</formula>
    </cfRule>
  </conditionalFormatting>
  <conditionalFormatting sqref="AI264">
    <cfRule type="expression" priority="2197" dxfId="3">
      <formula>AND(IF(OR($Q264=1,$Q264=2),1,0),IF($X264&lt;=20,1,0))</formula>
    </cfRule>
    <cfRule type="expression" priority="2198" dxfId="2">
      <formula>AND(IF($Q264=2,1,0),IF($X264&lt;30,1,0))</formula>
    </cfRule>
    <cfRule type="expression" priority="2199" dxfId="1">
      <formula>AND(IF($Q264=3,1,0),IF($X264&lt;30,1,0))</formula>
    </cfRule>
    <cfRule type="expression" priority="2200" dxfId="0">
      <formula>AND(IF($Q264=3,1,IF($Q264=4,1,0)),IF($F264&lt;=85,1,0))</formula>
    </cfRule>
  </conditionalFormatting>
  <conditionalFormatting sqref="AV265">
    <cfRule type="expression" priority="2195" dxfId="19">
      <formula>AV265="X"</formula>
    </cfRule>
    <cfRule type="expression" priority="2196" dxfId="18">
      <formula>AV265="후보"</formula>
    </cfRule>
  </conditionalFormatting>
  <conditionalFormatting sqref="AC265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6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65">
    <cfRule type="expression" priority="2187" dxfId="3">
      <formula>AND(IF(OR($Q265=1,$Q265=2),1,0),IF($X265&lt;=20,1,0))</formula>
    </cfRule>
    <cfRule type="expression" priority="2188" dxfId="2">
      <formula>AND(IF($Q265=2,1,0),IF($X265&lt;30,1,0))</formula>
    </cfRule>
    <cfRule type="expression" priority="2189" dxfId="1">
      <formula>AND(IF($Q265=3,1,0),IF($X265&lt;30,1,0))</formula>
    </cfRule>
    <cfRule type="expression" priority="2190" dxfId="0">
      <formula>AND(IF($Q265=3,1,IF($Q265=4,1,0)),IF($F265&lt;=85,1,0))</formula>
    </cfRule>
  </conditionalFormatting>
  <conditionalFormatting sqref="X265">
    <cfRule type="expression" priority="2183" dxfId="3">
      <formula>AND(IF(OR($Q265=1,$Q265=2),1,0),IF($X265&lt;=20,1,0))</formula>
    </cfRule>
    <cfRule type="expression" priority="2184" dxfId="2">
      <formula>AND(IF($Q265=2,1,0),IF($X265&lt;30,1,0))</formula>
    </cfRule>
    <cfRule type="expression" priority="2185" dxfId="1">
      <formula>AND(IF($Q265=3,1,0),IF($X265&lt;30,1,0))</formula>
    </cfRule>
    <cfRule type="expression" priority="2186" dxfId="0">
      <formula>AND(IF($Q265=3,1,IF($Q265=4,1,0)),IF($F265&lt;=85,1,0))</formula>
    </cfRule>
  </conditionalFormatting>
  <conditionalFormatting sqref="AI265">
    <cfRule type="expression" priority="2179" dxfId="3">
      <formula>AND(IF(OR($Q265=1,$Q265=2),1,0),IF($X265&lt;=20,1,0))</formula>
    </cfRule>
    <cfRule type="expression" priority="2180" dxfId="2">
      <formula>AND(IF($Q265=2,1,0),IF($X265&lt;30,1,0))</formula>
    </cfRule>
    <cfRule type="expression" priority="2181" dxfId="1">
      <formula>AND(IF($Q265=3,1,0),IF($X265&lt;30,1,0))</formula>
    </cfRule>
    <cfRule type="expression" priority="2182" dxfId="0">
      <formula>AND(IF($Q265=3,1,IF($Q265=4,1,0)),IF($F265&lt;=85,1,0))</formula>
    </cfRule>
  </conditionalFormatting>
  <conditionalFormatting sqref="AV266">
    <cfRule type="expression" priority="2177" dxfId="19">
      <formula>AV266="X"</formula>
    </cfRule>
    <cfRule type="expression" priority="2178" dxfId="18">
      <formula>AV266="후보"</formula>
    </cfRule>
  </conditionalFormatting>
  <conditionalFormatting sqref="AC26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6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66">
    <cfRule type="expression" priority="2169" dxfId="3">
      <formula>AND(IF(OR($Q266=1,$Q266=2),1,0),IF($X266&lt;=20,1,0))</formula>
    </cfRule>
    <cfRule type="expression" priority="2170" dxfId="2">
      <formula>AND(IF($Q266=2,1,0),IF($X266&lt;30,1,0))</formula>
    </cfRule>
    <cfRule type="expression" priority="2171" dxfId="1">
      <formula>AND(IF($Q266=3,1,0),IF($X266&lt;30,1,0))</formula>
    </cfRule>
    <cfRule type="expression" priority="2172" dxfId="0">
      <formula>AND(IF($Q266=3,1,IF($Q266=4,1,0)),IF($F266&lt;=85,1,0))</formula>
    </cfRule>
  </conditionalFormatting>
  <conditionalFormatting sqref="X266">
    <cfRule type="expression" priority="2165" dxfId="3">
      <formula>AND(IF(OR($Q266=1,$Q266=2),1,0),IF($X266&lt;=20,1,0))</formula>
    </cfRule>
    <cfRule type="expression" priority="2166" dxfId="2">
      <formula>AND(IF($Q266=2,1,0),IF($X266&lt;30,1,0))</formula>
    </cfRule>
    <cfRule type="expression" priority="2167" dxfId="1">
      <formula>AND(IF($Q266=3,1,0),IF($X266&lt;30,1,0))</formula>
    </cfRule>
    <cfRule type="expression" priority="2168" dxfId="0">
      <formula>AND(IF($Q266=3,1,IF($Q266=4,1,0)),IF($F266&lt;=85,1,0))</formula>
    </cfRule>
  </conditionalFormatting>
  <conditionalFormatting sqref="AI266">
    <cfRule type="expression" priority="2161" dxfId="3">
      <formula>AND(IF(OR($Q266=1,$Q266=2),1,0),IF($X266&lt;=20,1,0))</formula>
    </cfRule>
    <cfRule type="expression" priority="2162" dxfId="2">
      <formula>AND(IF($Q266=2,1,0),IF($X266&lt;30,1,0))</formula>
    </cfRule>
    <cfRule type="expression" priority="2163" dxfId="1">
      <formula>AND(IF($Q266=3,1,0),IF($X266&lt;30,1,0))</formula>
    </cfRule>
    <cfRule type="expression" priority="2164" dxfId="0">
      <formula>AND(IF($Q266=3,1,IF($Q266=4,1,0)),IF($F266&lt;=85,1,0))</formula>
    </cfRule>
  </conditionalFormatting>
  <conditionalFormatting sqref="AV267">
    <cfRule type="expression" priority="2159" dxfId="19">
      <formula>AV267="X"</formula>
    </cfRule>
    <cfRule type="expression" priority="2160" dxfId="18">
      <formula>AV267="후보"</formula>
    </cfRule>
  </conditionalFormatting>
  <conditionalFormatting sqref="AC26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6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67">
    <cfRule type="expression" priority="2151" dxfId="3">
      <formula>AND(IF(OR($Q267=1,$Q267=2),1,0),IF($X267&lt;=20,1,0))</formula>
    </cfRule>
    <cfRule type="expression" priority="2152" dxfId="2">
      <formula>AND(IF($Q267=2,1,0),IF($X267&lt;30,1,0))</formula>
    </cfRule>
    <cfRule type="expression" priority="2153" dxfId="1">
      <formula>AND(IF($Q267=3,1,0),IF($X267&lt;30,1,0))</formula>
    </cfRule>
    <cfRule type="expression" priority="2154" dxfId="0">
      <formula>AND(IF($Q267=3,1,IF($Q267=4,1,0)),IF($F267&lt;=85,1,0))</formula>
    </cfRule>
  </conditionalFormatting>
  <conditionalFormatting sqref="X267">
    <cfRule type="expression" priority="2147" dxfId="3">
      <formula>AND(IF(OR($Q267=1,$Q267=2),1,0),IF($X267&lt;=20,1,0))</formula>
    </cfRule>
    <cfRule type="expression" priority="2148" dxfId="2">
      <formula>AND(IF($Q267=2,1,0),IF($X267&lt;30,1,0))</formula>
    </cfRule>
    <cfRule type="expression" priority="2149" dxfId="1">
      <formula>AND(IF($Q267=3,1,0),IF($X267&lt;30,1,0))</formula>
    </cfRule>
    <cfRule type="expression" priority="2150" dxfId="0">
      <formula>AND(IF($Q267=3,1,IF($Q267=4,1,0)),IF($F267&lt;=85,1,0))</formula>
    </cfRule>
  </conditionalFormatting>
  <conditionalFormatting sqref="AI267">
    <cfRule type="expression" priority="2143" dxfId="3">
      <formula>AND(IF(OR($Q267=1,$Q267=2),1,0),IF($X267&lt;=20,1,0))</formula>
    </cfRule>
    <cfRule type="expression" priority="2144" dxfId="2">
      <formula>AND(IF($Q267=2,1,0),IF($X267&lt;30,1,0))</formula>
    </cfRule>
    <cfRule type="expression" priority="2145" dxfId="1">
      <formula>AND(IF($Q267=3,1,0),IF($X267&lt;30,1,0))</formula>
    </cfRule>
    <cfRule type="expression" priority="2146" dxfId="0">
      <formula>AND(IF($Q267=3,1,IF($Q267=4,1,0)),IF($F267&lt;=85,1,0))</formula>
    </cfRule>
  </conditionalFormatting>
  <conditionalFormatting sqref="AV268">
    <cfRule type="expression" priority="2141" dxfId="19">
      <formula>AV268="X"</formula>
    </cfRule>
    <cfRule type="expression" priority="2142" dxfId="18">
      <formula>AV268="후보"</formula>
    </cfRule>
  </conditionalFormatting>
  <conditionalFormatting sqref="AC26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6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68">
    <cfRule type="expression" priority="2133" dxfId="3">
      <formula>AND(IF(OR($Q268=1,$Q268=2),1,0),IF($X268&lt;=20,1,0))</formula>
    </cfRule>
    <cfRule type="expression" priority="2134" dxfId="2">
      <formula>AND(IF($Q268=2,1,0),IF($X268&lt;30,1,0))</formula>
    </cfRule>
    <cfRule type="expression" priority="2135" dxfId="1">
      <formula>AND(IF($Q268=3,1,0),IF($X268&lt;30,1,0))</formula>
    </cfRule>
    <cfRule type="expression" priority="2136" dxfId="0">
      <formula>AND(IF($Q268=3,1,IF($Q268=4,1,0)),IF($F268&lt;=85,1,0))</formula>
    </cfRule>
  </conditionalFormatting>
  <conditionalFormatting sqref="X268">
    <cfRule type="expression" priority="2129" dxfId="3">
      <formula>AND(IF(OR($Q268=1,$Q268=2),1,0),IF($X268&lt;=20,1,0))</formula>
    </cfRule>
    <cfRule type="expression" priority="2130" dxfId="2">
      <formula>AND(IF($Q268=2,1,0),IF($X268&lt;30,1,0))</formula>
    </cfRule>
    <cfRule type="expression" priority="2131" dxfId="1">
      <formula>AND(IF($Q268=3,1,0),IF($X268&lt;30,1,0))</formula>
    </cfRule>
    <cfRule type="expression" priority="2132" dxfId="0">
      <formula>AND(IF($Q268=3,1,IF($Q268=4,1,0)),IF($F268&lt;=85,1,0))</formula>
    </cfRule>
  </conditionalFormatting>
  <conditionalFormatting sqref="AI268">
    <cfRule type="expression" priority="2125" dxfId="3">
      <formula>AND(IF(OR($Q268=1,$Q268=2),1,0),IF($X268&lt;=20,1,0))</formula>
    </cfRule>
    <cfRule type="expression" priority="2126" dxfId="2">
      <formula>AND(IF($Q268=2,1,0),IF($X268&lt;30,1,0))</formula>
    </cfRule>
    <cfRule type="expression" priority="2127" dxfId="1">
      <formula>AND(IF($Q268=3,1,0),IF($X268&lt;30,1,0))</formula>
    </cfRule>
    <cfRule type="expression" priority="2128" dxfId="0">
      <formula>AND(IF($Q268=3,1,IF($Q268=4,1,0)),IF($F268&lt;=85,1,0))</formula>
    </cfRule>
  </conditionalFormatting>
  <conditionalFormatting sqref="AV269">
    <cfRule type="expression" priority="2123" dxfId="19">
      <formula>AV269="X"</formula>
    </cfRule>
    <cfRule type="expression" priority="2124" dxfId="18">
      <formula>AV269="후보"</formula>
    </cfRule>
  </conditionalFormatting>
  <conditionalFormatting sqref="AC26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6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69">
    <cfRule type="expression" priority="2115" dxfId="3">
      <formula>AND(IF(OR($Q269=1,$Q269=2),1,0),IF($X269&lt;=20,1,0))</formula>
    </cfRule>
    <cfRule type="expression" priority="2116" dxfId="2">
      <formula>AND(IF($Q269=2,1,0),IF($X269&lt;30,1,0))</formula>
    </cfRule>
    <cfRule type="expression" priority="2117" dxfId="1">
      <formula>AND(IF($Q269=3,1,0),IF($X269&lt;30,1,0))</formula>
    </cfRule>
    <cfRule type="expression" priority="2118" dxfId="0">
      <formula>AND(IF($Q269=3,1,IF($Q269=4,1,0)),IF($F269&lt;=85,1,0))</formula>
    </cfRule>
  </conditionalFormatting>
  <conditionalFormatting sqref="X269">
    <cfRule type="expression" priority="2111" dxfId="3">
      <formula>AND(IF(OR($Q269=1,$Q269=2),1,0),IF($X269&lt;=20,1,0))</formula>
    </cfRule>
    <cfRule type="expression" priority="2112" dxfId="2">
      <formula>AND(IF($Q269=2,1,0),IF($X269&lt;30,1,0))</formula>
    </cfRule>
    <cfRule type="expression" priority="2113" dxfId="1">
      <formula>AND(IF($Q269=3,1,0),IF($X269&lt;30,1,0))</formula>
    </cfRule>
    <cfRule type="expression" priority="2114" dxfId="0">
      <formula>AND(IF($Q269=3,1,IF($Q269=4,1,0)),IF($F269&lt;=85,1,0))</formula>
    </cfRule>
  </conditionalFormatting>
  <conditionalFormatting sqref="AI269">
    <cfRule type="expression" priority="2107" dxfId="3">
      <formula>AND(IF(OR($Q269=1,$Q269=2),1,0),IF($X269&lt;=20,1,0))</formula>
    </cfRule>
    <cfRule type="expression" priority="2108" dxfId="2">
      <formula>AND(IF($Q269=2,1,0),IF($X269&lt;30,1,0))</formula>
    </cfRule>
    <cfRule type="expression" priority="2109" dxfId="1">
      <formula>AND(IF($Q269=3,1,0),IF($X269&lt;30,1,0))</formula>
    </cfRule>
    <cfRule type="expression" priority="2110" dxfId="0">
      <formula>AND(IF($Q269=3,1,IF($Q269=4,1,0)),IF($F269&lt;=85,1,0))</formula>
    </cfRule>
  </conditionalFormatting>
  <conditionalFormatting sqref="AV270">
    <cfRule type="expression" priority="2105" dxfId="19">
      <formula>AV270="X"</formula>
    </cfRule>
    <cfRule type="expression" priority="2106" dxfId="18">
      <formula>AV270="후보"</formula>
    </cfRule>
  </conditionalFormatting>
  <conditionalFormatting sqref="AC270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7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70">
    <cfRule type="expression" priority="2097" dxfId="3">
      <formula>AND(IF(OR($Q270=1,$Q270=2),1,0),IF($X270&lt;=20,1,0))</formula>
    </cfRule>
    <cfRule type="expression" priority="2098" dxfId="2">
      <formula>AND(IF($Q270=2,1,0),IF($X270&lt;30,1,0))</formula>
    </cfRule>
    <cfRule type="expression" priority="2099" dxfId="1">
      <formula>AND(IF($Q270=3,1,0),IF($X270&lt;30,1,0))</formula>
    </cfRule>
    <cfRule type="expression" priority="2100" dxfId="0">
      <formula>AND(IF($Q270=3,1,IF($Q270=4,1,0)),IF($F270&lt;=85,1,0))</formula>
    </cfRule>
  </conditionalFormatting>
  <conditionalFormatting sqref="X270">
    <cfRule type="expression" priority="2093" dxfId="3">
      <formula>AND(IF(OR($Q270=1,$Q270=2),1,0),IF($X270&lt;=20,1,0))</formula>
    </cfRule>
    <cfRule type="expression" priority="2094" dxfId="2">
      <formula>AND(IF($Q270=2,1,0),IF($X270&lt;30,1,0))</formula>
    </cfRule>
    <cfRule type="expression" priority="2095" dxfId="1">
      <formula>AND(IF($Q270=3,1,0),IF($X270&lt;30,1,0))</formula>
    </cfRule>
    <cfRule type="expression" priority="2096" dxfId="0">
      <formula>AND(IF($Q270=3,1,IF($Q270=4,1,0)),IF($F270&lt;=85,1,0))</formula>
    </cfRule>
  </conditionalFormatting>
  <conditionalFormatting sqref="AI270">
    <cfRule type="expression" priority="2089" dxfId="3">
      <formula>AND(IF(OR($Q270=1,$Q270=2),1,0),IF($X270&lt;=20,1,0))</formula>
    </cfRule>
    <cfRule type="expression" priority="2090" dxfId="2">
      <formula>AND(IF($Q270=2,1,0),IF($X270&lt;30,1,0))</formula>
    </cfRule>
    <cfRule type="expression" priority="2091" dxfId="1">
      <formula>AND(IF($Q270=3,1,0),IF($X270&lt;30,1,0))</formula>
    </cfRule>
    <cfRule type="expression" priority="2092" dxfId="0">
      <formula>AND(IF($Q270=3,1,IF($Q270=4,1,0)),IF($F270&lt;=85,1,0))</formula>
    </cfRule>
  </conditionalFormatting>
  <conditionalFormatting sqref="AV271">
    <cfRule type="expression" priority="2087" dxfId="19">
      <formula>AV271="X"</formula>
    </cfRule>
    <cfRule type="expression" priority="2088" dxfId="18">
      <formula>AV271="후보"</formula>
    </cfRule>
  </conditionalFormatting>
  <conditionalFormatting sqref="AC27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7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71">
    <cfRule type="expression" priority="2079" dxfId="3">
      <formula>AND(IF(OR($Q271=1,$Q271=2),1,0),IF($X271&lt;=20,1,0))</formula>
    </cfRule>
    <cfRule type="expression" priority="2080" dxfId="2">
      <formula>AND(IF($Q271=2,1,0),IF($X271&lt;30,1,0))</formula>
    </cfRule>
    <cfRule type="expression" priority="2081" dxfId="1">
      <formula>AND(IF($Q271=3,1,0),IF($X271&lt;30,1,0))</formula>
    </cfRule>
    <cfRule type="expression" priority="2082" dxfId="0">
      <formula>AND(IF($Q271=3,1,IF($Q271=4,1,0)),IF($F271&lt;=85,1,0))</formula>
    </cfRule>
  </conditionalFormatting>
  <conditionalFormatting sqref="X271">
    <cfRule type="expression" priority="2075" dxfId="3">
      <formula>AND(IF(OR($Q271=1,$Q271=2),1,0),IF($X271&lt;=20,1,0))</formula>
    </cfRule>
    <cfRule type="expression" priority="2076" dxfId="2">
      <formula>AND(IF($Q271=2,1,0),IF($X271&lt;30,1,0))</formula>
    </cfRule>
    <cfRule type="expression" priority="2077" dxfId="1">
      <formula>AND(IF($Q271=3,1,0),IF($X271&lt;30,1,0))</formula>
    </cfRule>
    <cfRule type="expression" priority="2078" dxfId="0">
      <formula>AND(IF($Q271=3,1,IF($Q271=4,1,0)),IF($F271&lt;=85,1,0))</formula>
    </cfRule>
  </conditionalFormatting>
  <conditionalFormatting sqref="AI271">
    <cfRule type="expression" priority="2071" dxfId="3">
      <formula>AND(IF(OR($Q271=1,$Q271=2),1,0),IF($X271&lt;=20,1,0))</formula>
    </cfRule>
    <cfRule type="expression" priority="2072" dxfId="2">
      <formula>AND(IF($Q271=2,1,0),IF($X271&lt;30,1,0))</formula>
    </cfRule>
    <cfRule type="expression" priority="2073" dxfId="1">
      <formula>AND(IF($Q271=3,1,0),IF($X271&lt;30,1,0))</formula>
    </cfRule>
    <cfRule type="expression" priority="2074" dxfId="0">
      <formula>AND(IF($Q271=3,1,IF($Q271=4,1,0)),IF($F271&lt;=85,1,0))</formula>
    </cfRule>
  </conditionalFormatting>
  <conditionalFormatting sqref="AV272">
    <cfRule type="expression" priority="2069" dxfId="19">
      <formula>AV272="X"</formula>
    </cfRule>
    <cfRule type="expression" priority="2070" dxfId="18">
      <formula>AV272="후보"</formula>
    </cfRule>
  </conditionalFormatting>
  <conditionalFormatting sqref="AC272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72">
    <cfRule type="expression" priority="2061" dxfId="3">
      <formula>AND(IF(OR($Q272=1,$Q272=2),1,0),IF($X272&lt;=20,1,0))</formula>
    </cfRule>
    <cfRule type="expression" priority="2062" dxfId="2">
      <formula>AND(IF($Q272=2,1,0),IF($X272&lt;30,1,0))</formula>
    </cfRule>
    <cfRule type="expression" priority="2063" dxfId="1">
      <formula>AND(IF($Q272=3,1,0),IF($X272&lt;30,1,0))</formula>
    </cfRule>
    <cfRule type="expression" priority="2064" dxfId="0">
      <formula>AND(IF($Q272=3,1,IF($Q272=4,1,0)),IF($F272&lt;=85,1,0))</formula>
    </cfRule>
  </conditionalFormatting>
  <conditionalFormatting sqref="X272">
    <cfRule type="expression" priority="2057" dxfId="3">
      <formula>AND(IF(OR($Q272=1,$Q272=2),1,0),IF($X272&lt;=20,1,0))</formula>
    </cfRule>
    <cfRule type="expression" priority="2058" dxfId="2">
      <formula>AND(IF($Q272=2,1,0),IF($X272&lt;30,1,0))</formula>
    </cfRule>
    <cfRule type="expression" priority="2059" dxfId="1">
      <formula>AND(IF($Q272=3,1,0),IF($X272&lt;30,1,0))</formula>
    </cfRule>
    <cfRule type="expression" priority="2060" dxfId="0">
      <formula>AND(IF($Q272=3,1,IF($Q272=4,1,0)),IF($F272&lt;=85,1,0))</formula>
    </cfRule>
  </conditionalFormatting>
  <conditionalFormatting sqref="AI272">
    <cfRule type="expression" priority="2053" dxfId="3">
      <formula>AND(IF(OR($Q272=1,$Q272=2),1,0),IF($X272&lt;=20,1,0))</formula>
    </cfRule>
    <cfRule type="expression" priority="2054" dxfId="2">
      <formula>AND(IF($Q272=2,1,0),IF($X272&lt;30,1,0))</formula>
    </cfRule>
    <cfRule type="expression" priority="2055" dxfId="1">
      <formula>AND(IF($Q272=3,1,0),IF($X272&lt;30,1,0))</formula>
    </cfRule>
    <cfRule type="expression" priority="2056" dxfId="0">
      <formula>AND(IF($Q272=3,1,IF($Q272=4,1,0)),IF($F272&lt;=85,1,0))</formula>
    </cfRule>
  </conditionalFormatting>
  <conditionalFormatting sqref="AV273">
    <cfRule type="expression" priority="2051" dxfId="19">
      <formula>AV273="X"</formula>
    </cfRule>
    <cfRule type="expression" priority="2052" dxfId="18">
      <formula>AV273="후보"</formula>
    </cfRule>
  </conditionalFormatting>
  <conditionalFormatting sqref="AC27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73">
    <cfRule type="expression" priority="2043" dxfId="3">
      <formula>AND(IF(OR($Q273=1,$Q273=2),1,0),IF($X273&lt;=20,1,0))</formula>
    </cfRule>
    <cfRule type="expression" priority="2044" dxfId="2">
      <formula>AND(IF($Q273=2,1,0),IF($X273&lt;30,1,0))</formula>
    </cfRule>
    <cfRule type="expression" priority="2045" dxfId="1">
      <formula>AND(IF($Q273=3,1,0),IF($X273&lt;30,1,0))</formula>
    </cfRule>
    <cfRule type="expression" priority="2046" dxfId="0">
      <formula>AND(IF($Q273=3,1,IF($Q273=4,1,0)),IF($F273&lt;=85,1,0))</formula>
    </cfRule>
  </conditionalFormatting>
  <conditionalFormatting sqref="X273">
    <cfRule type="expression" priority="2039" dxfId="3">
      <formula>AND(IF(OR($Q273=1,$Q273=2),1,0),IF($X273&lt;=20,1,0))</formula>
    </cfRule>
    <cfRule type="expression" priority="2040" dxfId="2">
      <formula>AND(IF($Q273=2,1,0),IF($X273&lt;30,1,0))</formula>
    </cfRule>
    <cfRule type="expression" priority="2041" dxfId="1">
      <formula>AND(IF($Q273=3,1,0),IF($X273&lt;30,1,0))</formula>
    </cfRule>
    <cfRule type="expression" priority="2042" dxfId="0">
      <formula>AND(IF($Q273=3,1,IF($Q273=4,1,0)),IF($F273&lt;=85,1,0))</formula>
    </cfRule>
  </conditionalFormatting>
  <conditionalFormatting sqref="AI273">
    <cfRule type="expression" priority="2035" dxfId="3">
      <formula>AND(IF(OR($Q273=1,$Q273=2),1,0),IF($X273&lt;=20,1,0))</formula>
    </cfRule>
    <cfRule type="expression" priority="2036" dxfId="2">
      <formula>AND(IF($Q273=2,1,0),IF($X273&lt;30,1,0))</formula>
    </cfRule>
    <cfRule type="expression" priority="2037" dxfId="1">
      <formula>AND(IF($Q273=3,1,0),IF($X273&lt;30,1,0))</formula>
    </cfRule>
    <cfRule type="expression" priority="2038" dxfId="0">
      <formula>AND(IF($Q273=3,1,IF($Q273=4,1,0)),IF($F273&lt;=85,1,0))</formula>
    </cfRule>
  </conditionalFormatting>
  <conditionalFormatting sqref="AV274">
    <cfRule type="expression" priority="2033" dxfId="19">
      <formula>AV274="X"</formula>
    </cfRule>
    <cfRule type="expression" priority="2034" dxfId="18">
      <formula>AV274="후보"</formula>
    </cfRule>
  </conditionalFormatting>
  <conditionalFormatting sqref="AC274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74">
    <cfRule type="expression" priority="2025" dxfId="3">
      <formula>AND(IF(OR($Q274=1,$Q274=2),1,0),IF($X274&lt;=20,1,0))</formula>
    </cfRule>
    <cfRule type="expression" priority="2026" dxfId="2">
      <formula>AND(IF($Q274=2,1,0),IF($X274&lt;30,1,0))</formula>
    </cfRule>
    <cfRule type="expression" priority="2027" dxfId="1">
      <formula>AND(IF($Q274=3,1,0),IF($X274&lt;30,1,0))</formula>
    </cfRule>
    <cfRule type="expression" priority="2028" dxfId="0">
      <formula>AND(IF($Q274=3,1,IF($Q274=4,1,0)),IF($F274&lt;=85,1,0))</formula>
    </cfRule>
  </conditionalFormatting>
  <conditionalFormatting sqref="X274">
    <cfRule type="expression" priority="2021" dxfId="3">
      <formula>AND(IF(OR($Q274=1,$Q274=2),1,0),IF($X274&lt;=20,1,0))</formula>
    </cfRule>
    <cfRule type="expression" priority="2022" dxfId="2">
      <formula>AND(IF($Q274=2,1,0),IF($X274&lt;30,1,0))</formula>
    </cfRule>
    <cfRule type="expression" priority="2023" dxfId="1">
      <formula>AND(IF($Q274=3,1,0),IF($X274&lt;30,1,0))</formula>
    </cfRule>
    <cfRule type="expression" priority="2024" dxfId="0">
      <formula>AND(IF($Q274=3,1,IF($Q274=4,1,0)),IF($F274&lt;=85,1,0))</formula>
    </cfRule>
  </conditionalFormatting>
  <conditionalFormatting sqref="AI274">
    <cfRule type="expression" priority="2017" dxfId="3">
      <formula>AND(IF(OR($Q274=1,$Q274=2),1,0),IF($X274&lt;=20,1,0))</formula>
    </cfRule>
    <cfRule type="expression" priority="2018" dxfId="2">
      <formula>AND(IF($Q274=2,1,0),IF($X274&lt;30,1,0))</formula>
    </cfRule>
    <cfRule type="expression" priority="2019" dxfId="1">
      <formula>AND(IF($Q274=3,1,0),IF($X274&lt;30,1,0))</formula>
    </cfRule>
    <cfRule type="expression" priority="2020" dxfId="0">
      <formula>AND(IF($Q274=3,1,IF($Q274=4,1,0)),IF($F274&lt;=85,1,0))</formula>
    </cfRule>
  </conditionalFormatting>
  <conditionalFormatting sqref="AV275">
    <cfRule type="expression" priority="2015" dxfId="19">
      <formula>AV275="X"</formula>
    </cfRule>
    <cfRule type="expression" priority="2016" dxfId="18">
      <formula>AV275="후보"</formula>
    </cfRule>
  </conditionalFormatting>
  <conditionalFormatting sqref="AC27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75">
    <cfRule type="expression" priority="2007" dxfId="3">
      <formula>AND(IF(OR($Q275=1,$Q275=2),1,0),IF($X275&lt;=20,1,0))</formula>
    </cfRule>
    <cfRule type="expression" priority="2008" dxfId="2">
      <formula>AND(IF($Q275=2,1,0),IF($X275&lt;30,1,0))</formula>
    </cfRule>
    <cfRule type="expression" priority="2009" dxfId="1">
      <formula>AND(IF($Q275=3,1,0),IF($X275&lt;30,1,0))</formula>
    </cfRule>
    <cfRule type="expression" priority="2010" dxfId="0">
      <formula>AND(IF($Q275=3,1,IF($Q275=4,1,0)),IF($F275&lt;=85,1,0))</formula>
    </cfRule>
  </conditionalFormatting>
  <conditionalFormatting sqref="X275">
    <cfRule type="expression" priority="2003" dxfId="3">
      <formula>AND(IF(OR($Q275=1,$Q275=2),1,0),IF($X275&lt;=20,1,0))</formula>
    </cfRule>
    <cfRule type="expression" priority="2004" dxfId="2">
      <formula>AND(IF($Q275=2,1,0),IF($X275&lt;30,1,0))</formula>
    </cfRule>
    <cfRule type="expression" priority="2005" dxfId="1">
      <formula>AND(IF($Q275=3,1,0),IF($X275&lt;30,1,0))</formula>
    </cfRule>
    <cfRule type="expression" priority="2006" dxfId="0">
      <formula>AND(IF($Q275=3,1,IF($Q275=4,1,0)),IF($F275&lt;=85,1,0))</formula>
    </cfRule>
  </conditionalFormatting>
  <conditionalFormatting sqref="AI275">
    <cfRule type="expression" priority="1999" dxfId="3">
      <formula>AND(IF(OR($Q275=1,$Q275=2),1,0),IF($X275&lt;=20,1,0))</formula>
    </cfRule>
    <cfRule type="expression" priority="2000" dxfId="2">
      <formula>AND(IF($Q275=2,1,0),IF($X275&lt;30,1,0))</formula>
    </cfRule>
    <cfRule type="expression" priority="2001" dxfId="1">
      <formula>AND(IF($Q275=3,1,0),IF($X275&lt;30,1,0))</formula>
    </cfRule>
    <cfRule type="expression" priority="2002" dxfId="0">
      <formula>AND(IF($Q275=3,1,IF($Q275=4,1,0)),IF($F275&lt;=85,1,0))</formula>
    </cfRule>
  </conditionalFormatting>
  <conditionalFormatting sqref="AV276">
    <cfRule type="expression" priority="1997" dxfId="19">
      <formula>AV276="X"</formula>
    </cfRule>
    <cfRule type="expression" priority="1998" dxfId="18">
      <formula>AV276="후보"</formula>
    </cfRule>
  </conditionalFormatting>
  <conditionalFormatting sqref="AC276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76">
    <cfRule type="expression" priority="1989" dxfId="3">
      <formula>AND(IF(OR($Q276=1,$Q276=2),1,0),IF($X276&lt;=20,1,0))</formula>
    </cfRule>
    <cfRule type="expression" priority="1990" dxfId="2">
      <formula>AND(IF($Q276=2,1,0),IF($X276&lt;30,1,0))</formula>
    </cfRule>
    <cfRule type="expression" priority="1991" dxfId="1">
      <formula>AND(IF($Q276=3,1,0),IF($X276&lt;30,1,0))</formula>
    </cfRule>
    <cfRule type="expression" priority="1992" dxfId="0">
      <formula>AND(IF($Q276=3,1,IF($Q276=4,1,0)),IF($F276&lt;=85,1,0))</formula>
    </cfRule>
  </conditionalFormatting>
  <conditionalFormatting sqref="X276">
    <cfRule type="expression" priority="1985" dxfId="3">
      <formula>AND(IF(OR($Q276=1,$Q276=2),1,0),IF($X276&lt;=20,1,0))</formula>
    </cfRule>
    <cfRule type="expression" priority="1986" dxfId="2">
      <formula>AND(IF($Q276=2,1,0),IF($X276&lt;30,1,0))</formula>
    </cfRule>
    <cfRule type="expression" priority="1987" dxfId="1">
      <formula>AND(IF($Q276=3,1,0),IF($X276&lt;30,1,0))</formula>
    </cfRule>
    <cfRule type="expression" priority="1988" dxfId="0">
      <formula>AND(IF($Q276=3,1,IF($Q276=4,1,0)),IF($F276&lt;=85,1,0))</formula>
    </cfRule>
  </conditionalFormatting>
  <conditionalFormatting sqref="AI276">
    <cfRule type="expression" priority="1981" dxfId="3">
      <formula>AND(IF(OR($Q276=1,$Q276=2),1,0),IF($X276&lt;=20,1,0))</formula>
    </cfRule>
    <cfRule type="expression" priority="1982" dxfId="2">
      <formula>AND(IF($Q276=2,1,0),IF($X276&lt;30,1,0))</formula>
    </cfRule>
    <cfRule type="expression" priority="1983" dxfId="1">
      <formula>AND(IF($Q276=3,1,0),IF($X276&lt;30,1,0))</formula>
    </cfRule>
    <cfRule type="expression" priority="1984" dxfId="0">
      <formula>AND(IF($Q276=3,1,IF($Q276=4,1,0)),IF($F276&lt;=85,1,0))</formula>
    </cfRule>
  </conditionalFormatting>
  <conditionalFormatting sqref="AV277">
    <cfRule type="expression" priority="1979" dxfId="19">
      <formula>AV277="X"</formula>
    </cfRule>
    <cfRule type="expression" priority="1980" dxfId="18">
      <formula>AV277="후보"</formula>
    </cfRule>
  </conditionalFormatting>
  <conditionalFormatting sqref="AC27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77">
    <cfRule type="expression" priority="1971" dxfId="3">
      <formula>AND(IF(OR($Q277=1,$Q277=2),1,0),IF($X277&lt;=20,1,0))</formula>
    </cfRule>
    <cfRule type="expression" priority="1972" dxfId="2">
      <formula>AND(IF($Q277=2,1,0),IF($X277&lt;30,1,0))</formula>
    </cfRule>
    <cfRule type="expression" priority="1973" dxfId="1">
      <formula>AND(IF($Q277=3,1,0),IF($X277&lt;30,1,0))</formula>
    </cfRule>
    <cfRule type="expression" priority="1974" dxfId="0">
      <formula>AND(IF($Q277=3,1,IF($Q277=4,1,0)),IF($F277&lt;=85,1,0))</formula>
    </cfRule>
  </conditionalFormatting>
  <conditionalFormatting sqref="X277">
    <cfRule type="expression" priority="1967" dxfId="3">
      <formula>AND(IF(OR($Q277=1,$Q277=2),1,0),IF($X277&lt;=20,1,0))</formula>
    </cfRule>
    <cfRule type="expression" priority="1968" dxfId="2">
      <formula>AND(IF($Q277=2,1,0),IF($X277&lt;30,1,0))</formula>
    </cfRule>
    <cfRule type="expression" priority="1969" dxfId="1">
      <formula>AND(IF($Q277=3,1,0),IF($X277&lt;30,1,0))</formula>
    </cfRule>
    <cfRule type="expression" priority="1970" dxfId="0">
      <formula>AND(IF($Q277=3,1,IF($Q277=4,1,0)),IF($F277&lt;=85,1,0))</formula>
    </cfRule>
  </conditionalFormatting>
  <conditionalFormatting sqref="AI277">
    <cfRule type="expression" priority="1963" dxfId="3">
      <formula>AND(IF(OR($Q277=1,$Q277=2),1,0),IF($X277&lt;=20,1,0))</formula>
    </cfRule>
    <cfRule type="expression" priority="1964" dxfId="2">
      <formula>AND(IF($Q277=2,1,0),IF($X277&lt;30,1,0))</formula>
    </cfRule>
    <cfRule type="expression" priority="1965" dxfId="1">
      <formula>AND(IF($Q277=3,1,0),IF($X277&lt;30,1,0))</formula>
    </cfRule>
    <cfRule type="expression" priority="1966" dxfId="0">
      <formula>AND(IF($Q277=3,1,IF($Q277=4,1,0)),IF($F277&lt;=85,1,0))</formula>
    </cfRule>
  </conditionalFormatting>
  <conditionalFormatting sqref="AV278">
    <cfRule type="expression" priority="1961" dxfId="19">
      <formula>AV278="X"</formula>
    </cfRule>
    <cfRule type="expression" priority="1962" dxfId="18">
      <formula>AV278="후보"</formula>
    </cfRule>
  </conditionalFormatting>
  <conditionalFormatting sqref="AC278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78">
    <cfRule type="expression" priority="1953" dxfId="3">
      <formula>AND(IF(OR($Q278=1,$Q278=2),1,0),IF($X278&lt;=20,1,0))</formula>
    </cfRule>
    <cfRule type="expression" priority="1954" dxfId="2">
      <formula>AND(IF($Q278=2,1,0),IF($X278&lt;30,1,0))</formula>
    </cfRule>
    <cfRule type="expression" priority="1955" dxfId="1">
      <formula>AND(IF($Q278=3,1,0),IF($X278&lt;30,1,0))</formula>
    </cfRule>
    <cfRule type="expression" priority="1956" dxfId="0">
      <formula>AND(IF($Q278=3,1,IF($Q278=4,1,0)),IF($F278&lt;=85,1,0))</formula>
    </cfRule>
  </conditionalFormatting>
  <conditionalFormatting sqref="X278">
    <cfRule type="expression" priority="1949" dxfId="3">
      <formula>AND(IF(OR($Q278=1,$Q278=2),1,0),IF($X278&lt;=20,1,0))</formula>
    </cfRule>
    <cfRule type="expression" priority="1950" dxfId="2">
      <formula>AND(IF($Q278=2,1,0),IF($X278&lt;30,1,0))</formula>
    </cfRule>
    <cfRule type="expression" priority="1951" dxfId="1">
      <formula>AND(IF($Q278=3,1,0),IF($X278&lt;30,1,0))</formula>
    </cfRule>
    <cfRule type="expression" priority="1952" dxfId="0">
      <formula>AND(IF($Q278=3,1,IF($Q278=4,1,0)),IF($F278&lt;=85,1,0))</formula>
    </cfRule>
  </conditionalFormatting>
  <conditionalFormatting sqref="AI278">
    <cfRule type="expression" priority="1945" dxfId="3">
      <formula>AND(IF(OR($Q278=1,$Q278=2),1,0),IF($X278&lt;=20,1,0))</formula>
    </cfRule>
    <cfRule type="expression" priority="1946" dxfId="2">
      <formula>AND(IF($Q278=2,1,0),IF($X278&lt;30,1,0))</formula>
    </cfRule>
    <cfRule type="expression" priority="1947" dxfId="1">
      <formula>AND(IF($Q278=3,1,0),IF($X278&lt;30,1,0))</formula>
    </cfRule>
    <cfRule type="expression" priority="1948" dxfId="0">
      <formula>AND(IF($Q278=3,1,IF($Q278=4,1,0)),IF($F278&lt;=85,1,0))</formula>
    </cfRule>
  </conditionalFormatting>
  <conditionalFormatting sqref="AV279">
    <cfRule type="expression" priority="1943" dxfId="19">
      <formula>AV279="X"</formula>
    </cfRule>
    <cfRule type="expression" priority="1944" dxfId="18">
      <formula>AV279="후보"</formula>
    </cfRule>
  </conditionalFormatting>
  <conditionalFormatting sqref="AC279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79">
    <cfRule type="expression" priority="1935" dxfId="3">
      <formula>AND(IF(OR($Q279=1,$Q279=2),1,0),IF($X279&lt;=20,1,0))</formula>
    </cfRule>
    <cfRule type="expression" priority="1936" dxfId="2">
      <formula>AND(IF($Q279=2,1,0),IF($X279&lt;30,1,0))</formula>
    </cfRule>
    <cfRule type="expression" priority="1937" dxfId="1">
      <formula>AND(IF($Q279=3,1,0),IF($X279&lt;30,1,0))</formula>
    </cfRule>
    <cfRule type="expression" priority="1938" dxfId="0">
      <formula>AND(IF($Q279=3,1,IF($Q279=4,1,0)),IF($F279&lt;=85,1,0))</formula>
    </cfRule>
  </conditionalFormatting>
  <conditionalFormatting sqref="X279">
    <cfRule type="expression" priority="1931" dxfId="3">
      <formula>AND(IF(OR($Q279=1,$Q279=2),1,0),IF($X279&lt;=20,1,0))</formula>
    </cfRule>
    <cfRule type="expression" priority="1932" dxfId="2">
      <formula>AND(IF($Q279=2,1,0),IF($X279&lt;30,1,0))</formula>
    </cfRule>
    <cfRule type="expression" priority="1933" dxfId="1">
      <formula>AND(IF($Q279=3,1,0),IF($X279&lt;30,1,0))</formula>
    </cfRule>
    <cfRule type="expression" priority="1934" dxfId="0">
      <formula>AND(IF($Q279=3,1,IF($Q279=4,1,0)),IF($F279&lt;=85,1,0))</formula>
    </cfRule>
  </conditionalFormatting>
  <conditionalFormatting sqref="AI279">
    <cfRule type="expression" priority="1927" dxfId="3">
      <formula>AND(IF(OR($Q279=1,$Q279=2),1,0),IF($X279&lt;=20,1,0))</formula>
    </cfRule>
    <cfRule type="expression" priority="1928" dxfId="2">
      <formula>AND(IF($Q279=2,1,0),IF($X279&lt;30,1,0))</formula>
    </cfRule>
    <cfRule type="expression" priority="1929" dxfId="1">
      <formula>AND(IF($Q279=3,1,0),IF($X279&lt;30,1,0))</formula>
    </cfRule>
    <cfRule type="expression" priority="1930" dxfId="0">
      <formula>AND(IF($Q279=3,1,IF($Q279=4,1,0)),IF($F279&lt;=85,1,0))</formula>
    </cfRule>
  </conditionalFormatting>
  <conditionalFormatting sqref="AV280">
    <cfRule type="expression" priority="1925" dxfId="19">
      <formula>AV280="X"</formula>
    </cfRule>
    <cfRule type="expression" priority="1926" dxfId="18">
      <formula>AV280="후보"</formula>
    </cfRule>
  </conditionalFormatting>
  <conditionalFormatting sqref="AC28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80">
    <cfRule type="expression" priority="1917" dxfId="3">
      <formula>AND(IF(OR($Q280=1,$Q280=2),1,0),IF($X280&lt;=20,1,0))</formula>
    </cfRule>
    <cfRule type="expression" priority="1918" dxfId="2">
      <formula>AND(IF($Q280=2,1,0),IF($X280&lt;30,1,0))</formula>
    </cfRule>
    <cfRule type="expression" priority="1919" dxfId="1">
      <formula>AND(IF($Q280=3,1,0),IF($X280&lt;30,1,0))</formula>
    </cfRule>
    <cfRule type="expression" priority="1920" dxfId="0">
      <formula>AND(IF($Q280=3,1,IF($Q280=4,1,0)),IF($F280&lt;=85,1,0))</formula>
    </cfRule>
  </conditionalFormatting>
  <conditionalFormatting sqref="X280">
    <cfRule type="expression" priority="1913" dxfId="3">
      <formula>AND(IF(OR($Q280=1,$Q280=2),1,0),IF($X280&lt;=20,1,0))</formula>
    </cfRule>
    <cfRule type="expression" priority="1914" dxfId="2">
      <formula>AND(IF($Q280=2,1,0),IF($X280&lt;30,1,0))</formula>
    </cfRule>
    <cfRule type="expression" priority="1915" dxfId="1">
      <formula>AND(IF($Q280=3,1,0),IF($X280&lt;30,1,0))</formula>
    </cfRule>
    <cfRule type="expression" priority="1916" dxfId="0">
      <formula>AND(IF($Q280=3,1,IF($Q280=4,1,0)),IF($F280&lt;=85,1,0))</formula>
    </cfRule>
  </conditionalFormatting>
  <conditionalFormatting sqref="AI280">
    <cfRule type="expression" priority="1909" dxfId="3">
      <formula>AND(IF(OR($Q280=1,$Q280=2),1,0),IF($X280&lt;=20,1,0))</formula>
    </cfRule>
    <cfRule type="expression" priority="1910" dxfId="2">
      <formula>AND(IF($Q280=2,1,0),IF($X280&lt;30,1,0))</formula>
    </cfRule>
    <cfRule type="expression" priority="1911" dxfId="1">
      <formula>AND(IF($Q280=3,1,0),IF($X280&lt;30,1,0))</formula>
    </cfRule>
    <cfRule type="expression" priority="1912" dxfId="0">
      <formula>AND(IF($Q280=3,1,IF($Q280=4,1,0)),IF($F280&lt;=85,1,0))</formula>
    </cfRule>
  </conditionalFormatting>
  <conditionalFormatting sqref="AV281">
    <cfRule type="expression" priority="1907" dxfId="19">
      <formula>AV281="X"</formula>
    </cfRule>
    <cfRule type="expression" priority="1908" dxfId="18">
      <formula>AV281="후보"</formula>
    </cfRule>
  </conditionalFormatting>
  <conditionalFormatting sqref="AC28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81">
    <cfRule type="expression" priority="1899" dxfId="3">
      <formula>AND(IF(OR($Q281=1,$Q281=2),1,0),IF($X281&lt;=20,1,0))</formula>
    </cfRule>
    <cfRule type="expression" priority="1900" dxfId="2">
      <formula>AND(IF($Q281=2,1,0),IF($X281&lt;30,1,0))</formula>
    </cfRule>
    <cfRule type="expression" priority="1901" dxfId="1">
      <formula>AND(IF($Q281=3,1,0),IF($X281&lt;30,1,0))</formula>
    </cfRule>
    <cfRule type="expression" priority="1902" dxfId="0">
      <formula>AND(IF($Q281=3,1,IF($Q281=4,1,0)),IF($F281&lt;=85,1,0))</formula>
    </cfRule>
  </conditionalFormatting>
  <conditionalFormatting sqref="X281">
    <cfRule type="expression" priority="1895" dxfId="3">
      <formula>AND(IF(OR($Q281=1,$Q281=2),1,0),IF($X281&lt;=20,1,0))</formula>
    </cfRule>
    <cfRule type="expression" priority="1896" dxfId="2">
      <formula>AND(IF($Q281=2,1,0),IF($X281&lt;30,1,0))</formula>
    </cfRule>
    <cfRule type="expression" priority="1897" dxfId="1">
      <formula>AND(IF($Q281=3,1,0),IF($X281&lt;30,1,0))</formula>
    </cfRule>
    <cfRule type="expression" priority="1898" dxfId="0">
      <formula>AND(IF($Q281=3,1,IF($Q281=4,1,0)),IF($F281&lt;=85,1,0))</formula>
    </cfRule>
  </conditionalFormatting>
  <conditionalFormatting sqref="AI281">
    <cfRule type="expression" priority="1891" dxfId="3">
      <formula>AND(IF(OR($Q281=1,$Q281=2),1,0),IF($X281&lt;=20,1,0))</formula>
    </cfRule>
    <cfRule type="expression" priority="1892" dxfId="2">
      <formula>AND(IF($Q281=2,1,0),IF($X281&lt;30,1,0))</formula>
    </cfRule>
    <cfRule type="expression" priority="1893" dxfId="1">
      <formula>AND(IF($Q281=3,1,0),IF($X281&lt;30,1,0))</formula>
    </cfRule>
    <cfRule type="expression" priority="1894" dxfId="0">
      <formula>AND(IF($Q281=3,1,IF($Q281=4,1,0)),IF($F281&lt;=85,1,0))</formula>
    </cfRule>
  </conditionalFormatting>
  <conditionalFormatting sqref="AV282">
    <cfRule type="expression" priority="1889" dxfId="19">
      <formula>AV282="X"</formula>
    </cfRule>
    <cfRule type="expression" priority="1890" dxfId="18">
      <formula>AV282="후보"</formula>
    </cfRule>
  </conditionalFormatting>
  <conditionalFormatting sqref="AC282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82">
    <cfRule type="expression" priority="1881" dxfId="3">
      <formula>AND(IF(OR($Q282=1,$Q282=2),1,0),IF($X282&lt;=20,1,0))</formula>
    </cfRule>
    <cfRule type="expression" priority="1882" dxfId="2">
      <formula>AND(IF($Q282=2,1,0),IF($X282&lt;30,1,0))</formula>
    </cfRule>
    <cfRule type="expression" priority="1883" dxfId="1">
      <formula>AND(IF($Q282=3,1,0),IF($X282&lt;30,1,0))</formula>
    </cfRule>
    <cfRule type="expression" priority="1884" dxfId="0">
      <formula>AND(IF($Q282=3,1,IF($Q282=4,1,0)),IF($F282&lt;=85,1,0))</formula>
    </cfRule>
  </conditionalFormatting>
  <conditionalFormatting sqref="X282">
    <cfRule type="expression" priority="1877" dxfId="3">
      <formula>AND(IF(OR($Q282=1,$Q282=2),1,0),IF($X282&lt;=20,1,0))</formula>
    </cfRule>
    <cfRule type="expression" priority="1878" dxfId="2">
      <formula>AND(IF($Q282=2,1,0),IF($X282&lt;30,1,0))</formula>
    </cfRule>
    <cfRule type="expression" priority="1879" dxfId="1">
      <formula>AND(IF($Q282=3,1,0),IF($X282&lt;30,1,0))</formula>
    </cfRule>
    <cfRule type="expression" priority="1880" dxfId="0">
      <formula>AND(IF($Q282=3,1,IF($Q282=4,1,0)),IF($F282&lt;=85,1,0))</formula>
    </cfRule>
  </conditionalFormatting>
  <conditionalFormatting sqref="AI282">
    <cfRule type="expression" priority="1873" dxfId="3">
      <formula>AND(IF(OR($Q282=1,$Q282=2),1,0),IF($X282&lt;=20,1,0))</formula>
    </cfRule>
    <cfRule type="expression" priority="1874" dxfId="2">
      <formula>AND(IF($Q282=2,1,0),IF($X282&lt;30,1,0))</formula>
    </cfRule>
    <cfRule type="expression" priority="1875" dxfId="1">
      <formula>AND(IF($Q282=3,1,0),IF($X282&lt;30,1,0))</formula>
    </cfRule>
    <cfRule type="expression" priority="1876" dxfId="0">
      <formula>AND(IF($Q282=3,1,IF($Q282=4,1,0)),IF($F282&lt;=85,1,0))</formula>
    </cfRule>
  </conditionalFormatting>
  <conditionalFormatting sqref="AV283">
    <cfRule type="expression" priority="1871" dxfId="19">
      <formula>AV283="X"</formula>
    </cfRule>
    <cfRule type="expression" priority="1872" dxfId="18">
      <formula>AV283="후보"</formula>
    </cfRule>
  </conditionalFormatting>
  <conditionalFormatting sqref="AC283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83">
    <cfRule type="expression" priority="1863" dxfId="3">
      <formula>AND(IF(OR($Q283=1,$Q283=2),1,0),IF($X283&lt;=20,1,0))</formula>
    </cfRule>
    <cfRule type="expression" priority="1864" dxfId="2">
      <formula>AND(IF($Q283=2,1,0),IF($X283&lt;30,1,0))</formula>
    </cfRule>
    <cfRule type="expression" priority="1865" dxfId="1">
      <formula>AND(IF($Q283=3,1,0),IF($X283&lt;30,1,0))</formula>
    </cfRule>
    <cfRule type="expression" priority="1866" dxfId="0">
      <formula>AND(IF($Q283=3,1,IF($Q283=4,1,0)),IF($F283&lt;=85,1,0))</formula>
    </cfRule>
  </conditionalFormatting>
  <conditionalFormatting sqref="X283">
    <cfRule type="expression" priority="1859" dxfId="3">
      <formula>AND(IF(OR($Q283=1,$Q283=2),1,0),IF($X283&lt;=20,1,0))</formula>
    </cfRule>
    <cfRule type="expression" priority="1860" dxfId="2">
      <formula>AND(IF($Q283=2,1,0),IF($X283&lt;30,1,0))</formula>
    </cfRule>
    <cfRule type="expression" priority="1861" dxfId="1">
      <formula>AND(IF($Q283=3,1,0),IF($X283&lt;30,1,0))</formula>
    </cfRule>
    <cfRule type="expression" priority="1862" dxfId="0">
      <formula>AND(IF($Q283=3,1,IF($Q283=4,1,0)),IF($F283&lt;=85,1,0))</formula>
    </cfRule>
  </conditionalFormatting>
  <conditionalFormatting sqref="AI283">
    <cfRule type="expression" priority="1855" dxfId="3">
      <formula>AND(IF(OR($Q283=1,$Q283=2),1,0),IF($X283&lt;=20,1,0))</formula>
    </cfRule>
    <cfRule type="expression" priority="1856" dxfId="2">
      <formula>AND(IF($Q283=2,1,0),IF($X283&lt;30,1,0))</formula>
    </cfRule>
    <cfRule type="expression" priority="1857" dxfId="1">
      <formula>AND(IF($Q283=3,1,0),IF($X283&lt;30,1,0))</formula>
    </cfRule>
    <cfRule type="expression" priority="1858" dxfId="0">
      <formula>AND(IF($Q283=3,1,IF($Q283=4,1,0)),IF($F283&lt;=85,1,0))</formula>
    </cfRule>
  </conditionalFormatting>
  <conditionalFormatting sqref="AV284">
    <cfRule type="expression" priority="1853" dxfId="19">
      <formula>AV284="X"</formula>
    </cfRule>
    <cfRule type="expression" priority="1854" dxfId="18">
      <formula>AV284="후보"</formula>
    </cfRule>
  </conditionalFormatting>
  <conditionalFormatting sqref="AC284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84">
    <cfRule type="expression" priority="1845" dxfId="3">
      <formula>AND(IF(OR($Q284=1,$Q284=2),1,0),IF($X284&lt;=20,1,0))</formula>
    </cfRule>
    <cfRule type="expression" priority="1846" dxfId="2">
      <formula>AND(IF($Q284=2,1,0),IF($X284&lt;30,1,0))</formula>
    </cfRule>
    <cfRule type="expression" priority="1847" dxfId="1">
      <formula>AND(IF($Q284=3,1,0),IF($X284&lt;30,1,0))</formula>
    </cfRule>
    <cfRule type="expression" priority="1848" dxfId="0">
      <formula>AND(IF($Q284=3,1,IF($Q284=4,1,0)),IF($F284&lt;=85,1,0))</formula>
    </cfRule>
  </conditionalFormatting>
  <conditionalFormatting sqref="X284">
    <cfRule type="expression" priority="1841" dxfId="3">
      <formula>AND(IF(OR($Q284=1,$Q284=2),1,0),IF($X284&lt;=20,1,0))</formula>
    </cfRule>
    <cfRule type="expression" priority="1842" dxfId="2">
      <formula>AND(IF($Q284=2,1,0),IF($X284&lt;30,1,0))</formula>
    </cfRule>
    <cfRule type="expression" priority="1843" dxfId="1">
      <formula>AND(IF($Q284=3,1,0),IF($X284&lt;30,1,0))</formula>
    </cfRule>
    <cfRule type="expression" priority="1844" dxfId="0">
      <formula>AND(IF($Q284=3,1,IF($Q284=4,1,0)),IF($F284&lt;=85,1,0))</formula>
    </cfRule>
  </conditionalFormatting>
  <conditionalFormatting sqref="AI284">
    <cfRule type="expression" priority="1837" dxfId="3">
      <formula>AND(IF(OR($Q284=1,$Q284=2),1,0),IF($X284&lt;=20,1,0))</formula>
    </cfRule>
    <cfRule type="expression" priority="1838" dxfId="2">
      <formula>AND(IF($Q284=2,1,0),IF($X284&lt;30,1,0))</formula>
    </cfRule>
    <cfRule type="expression" priority="1839" dxfId="1">
      <formula>AND(IF($Q284=3,1,0),IF($X284&lt;30,1,0))</formula>
    </cfRule>
    <cfRule type="expression" priority="1840" dxfId="0">
      <formula>AND(IF($Q284=3,1,IF($Q284=4,1,0)),IF($F284&lt;=85,1,0))</formula>
    </cfRule>
  </conditionalFormatting>
  <conditionalFormatting sqref="AV285">
    <cfRule type="expression" priority="1835" dxfId="19">
      <formula>AV285="X"</formula>
    </cfRule>
    <cfRule type="expression" priority="1836" dxfId="18">
      <formula>AV285="후보"</formula>
    </cfRule>
  </conditionalFormatting>
  <conditionalFormatting sqref="AC28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85">
    <cfRule type="expression" priority="1827" dxfId="3">
      <formula>AND(IF(OR($Q285=1,$Q285=2),1,0),IF($X285&lt;=20,1,0))</formula>
    </cfRule>
    <cfRule type="expression" priority="1828" dxfId="2">
      <formula>AND(IF($Q285=2,1,0),IF($X285&lt;30,1,0))</formula>
    </cfRule>
    <cfRule type="expression" priority="1829" dxfId="1">
      <formula>AND(IF($Q285=3,1,0),IF($X285&lt;30,1,0))</formula>
    </cfRule>
    <cfRule type="expression" priority="1830" dxfId="0">
      <formula>AND(IF($Q285=3,1,IF($Q285=4,1,0)),IF($F285&lt;=85,1,0))</formula>
    </cfRule>
  </conditionalFormatting>
  <conditionalFormatting sqref="X285">
    <cfRule type="expression" priority="1823" dxfId="3">
      <formula>AND(IF(OR($Q285=1,$Q285=2),1,0),IF($X285&lt;=20,1,0))</formula>
    </cfRule>
    <cfRule type="expression" priority="1824" dxfId="2">
      <formula>AND(IF($Q285=2,1,0),IF($X285&lt;30,1,0))</formula>
    </cfRule>
    <cfRule type="expression" priority="1825" dxfId="1">
      <formula>AND(IF($Q285=3,1,0),IF($X285&lt;30,1,0))</formula>
    </cfRule>
    <cfRule type="expression" priority="1826" dxfId="0">
      <formula>AND(IF($Q285=3,1,IF($Q285=4,1,0)),IF($F285&lt;=85,1,0))</formula>
    </cfRule>
  </conditionalFormatting>
  <conditionalFormatting sqref="AI285">
    <cfRule type="expression" priority="1819" dxfId="3">
      <formula>AND(IF(OR($Q285=1,$Q285=2),1,0),IF($X285&lt;=20,1,0))</formula>
    </cfRule>
    <cfRule type="expression" priority="1820" dxfId="2">
      <formula>AND(IF($Q285=2,1,0),IF($X285&lt;30,1,0))</formula>
    </cfRule>
    <cfRule type="expression" priority="1821" dxfId="1">
      <formula>AND(IF($Q285=3,1,0),IF($X285&lt;30,1,0))</formula>
    </cfRule>
    <cfRule type="expression" priority="1822" dxfId="0">
      <formula>AND(IF($Q285=3,1,IF($Q285=4,1,0)),IF($F285&lt;=85,1,0))</formula>
    </cfRule>
  </conditionalFormatting>
  <conditionalFormatting sqref="AV286">
    <cfRule type="expression" priority="1817" dxfId="19">
      <formula>AV286="X"</formula>
    </cfRule>
    <cfRule type="expression" priority="1818" dxfId="18">
      <formula>AV286="후보"</formula>
    </cfRule>
  </conditionalFormatting>
  <conditionalFormatting sqref="AC286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8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86">
    <cfRule type="expression" priority="1809" dxfId="3">
      <formula>AND(IF(OR($Q286=1,$Q286=2),1,0),IF($X286&lt;=20,1,0))</formula>
    </cfRule>
    <cfRule type="expression" priority="1810" dxfId="2">
      <formula>AND(IF($Q286=2,1,0),IF($X286&lt;30,1,0))</formula>
    </cfRule>
    <cfRule type="expression" priority="1811" dxfId="1">
      <formula>AND(IF($Q286=3,1,0),IF($X286&lt;30,1,0))</formula>
    </cfRule>
    <cfRule type="expression" priority="1812" dxfId="0">
      <formula>AND(IF($Q286=3,1,IF($Q286=4,1,0)),IF($F286&lt;=85,1,0))</formula>
    </cfRule>
  </conditionalFormatting>
  <conditionalFormatting sqref="X286">
    <cfRule type="expression" priority="1805" dxfId="3">
      <formula>AND(IF(OR($Q286=1,$Q286=2),1,0),IF($X286&lt;=20,1,0))</formula>
    </cfRule>
    <cfRule type="expression" priority="1806" dxfId="2">
      <formula>AND(IF($Q286=2,1,0),IF($X286&lt;30,1,0))</formula>
    </cfRule>
    <cfRule type="expression" priority="1807" dxfId="1">
      <formula>AND(IF($Q286=3,1,0),IF($X286&lt;30,1,0))</formula>
    </cfRule>
    <cfRule type="expression" priority="1808" dxfId="0">
      <formula>AND(IF($Q286=3,1,IF($Q286=4,1,0)),IF($F286&lt;=85,1,0))</formula>
    </cfRule>
  </conditionalFormatting>
  <conditionalFormatting sqref="AI286">
    <cfRule type="expression" priority="1801" dxfId="3">
      <formula>AND(IF(OR($Q286=1,$Q286=2),1,0),IF($X286&lt;=20,1,0))</formula>
    </cfRule>
    <cfRule type="expression" priority="1802" dxfId="2">
      <formula>AND(IF($Q286=2,1,0),IF($X286&lt;30,1,0))</formula>
    </cfRule>
    <cfRule type="expression" priority="1803" dxfId="1">
      <formula>AND(IF($Q286=3,1,0),IF($X286&lt;30,1,0))</formula>
    </cfRule>
    <cfRule type="expression" priority="1804" dxfId="0">
      <formula>AND(IF($Q286=3,1,IF($Q286=4,1,0)),IF($F286&lt;=85,1,0))</formula>
    </cfRule>
  </conditionalFormatting>
  <conditionalFormatting sqref="AV287">
    <cfRule type="expression" priority="1799" dxfId="19">
      <formula>AV287="X"</formula>
    </cfRule>
    <cfRule type="expression" priority="1800" dxfId="18">
      <formula>AV287="후보"</formula>
    </cfRule>
  </conditionalFormatting>
  <conditionalFormatting sqref="AC28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8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87">
    <cfRule type="expression" priority="1791" dxfId="3">
      <formula>AND(IF(OR($Q287=1,$Q287=2),1,0),IF($X287&lt;=20,1,0))</formula>
    </cfRule>
    <cfRule type="expression" priority="1792" dxfId="2">
      <formula>AND(IF($Q287=2,1,0),IF($X287&lt;30,1,0))</formula>
    </cfRule>
    <cfRule type="expression" priority="1793" dxfId="1">
      <formula>AND(IF($Q287=3,1,0),IF($X287&lt;30,1,0))</formula>
    </cfRule>
    <cfRule type="expression" priority="1794" dxfId="0">
      <formula>AND(IF($Q287=3,1,IF($Q287=4,1,0)),IF($F287&lt;=85,1,0))</formula>
    </cfRule>
  </conditionalFormatting>
  <conditionalFormatting sqref="X287">
    <cfRule type="expression" priority="1787" dxfId="3">
      <formula>AND(IF(OR($Q287=1,$Q287=2),1,0),IF($X287&lt;=20,1,0))</formula>
    </cfRule>
    <cfRule type="expression" priority="1788" dxfId="2">
      <formula>AND(IF($Q287=2,1,0),IF($X287&lt;30,1,0))</formula>
    </cfRule>
    <cfRule type="expression" priority="1789" dxfId="1">
      <formula>AND(IF($Q287=3,1,0),IF($X287&lt;30,1,0))</formula>
    </cfRule>
    <cfRule type="expression" priority="1790" dxfId="0">
      <formula>AND(IF($Q287=3,1,IF($Q287=4,1,0)),IF($F287&lt;=85,1,0))</formula>
    </cfRule>
  </conditionalFormatting>
  <conditionalFormatting sqref="AI287">
    <cfRule type="expression" priority="1783" dxfId="3">
      <formula>AND(IF(OR($Q287=1,$Q287=2),1,0),IF($X287&lt;=20,1,0))</formula>
    </cfRule>
    <cfRule type="expression" priority="1784" dxfId="2">
      <formula>AND(IF($Q287=2,1,0),IF($X287&lt;30,1,0))</formula>
    </cfRule>
    <cfRule type="expression" priority="1785" dxfId="1">
      <formula>AND(IF($Q287=3,1,0),IF($X287&lt;30,1,0))</formula>
    </cfRule>
    <cfRule type="expression" priority="1786" dxfId="0">
      <formula>AND(IF($Q287=3,1,IF($Q287=4,1,0)),IF($F287&lt;=85,1,0))</formula>
    </cfRule>
  </conditionalFormatting>
  <conditionalFormatting sqref="AV288">
    <cfRule type="expression" priority="1781" dxfId="19">
      <formula>AV288="X"</formula>
    </cfRule>
    <cfRule type="expression" priority="1782" dxfId="18">
      <formula>AV288="후보"</formula>
    </cfRule>
  </conditionalFormatting>
  <conditionalFormatting sqref="AC288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88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88">
    <cfRule type="expression" priority="1773" dxfId="3">
      <formula>AND(IF(OR($Q288=1,$Q288=2),1,0),IF($X288&lt;=20,1,0))</formula>
    </cfRule>
    <cfRule type="expression" priority="1774" dxfId="2">
      <formula>AND(IF($Q288=2,1,0),IF($X288&lt;30,1,0))</formula>
    </cfRule>
    <cfRule type="expression" priority="1775" dxfId="1">
      <formula>AND(IF($Q288=3,1,0),IF($X288&lt;30,1,0))</formula>
    </cfRule>
    <cfRule type="expression" priority="1776" dxfId="0">
      <formula>AND(IF($Q288=3,1,IF($Q288=4,1,0)),IF($F288&lt;=85,1,0))</formula>
    </cfRule>
  </conditionalFormatting>
  <conditionalFormatting sqref="X288">
    <cfRule type="expression" priority="1769" dxfId="3">
      <formula>AND(IF(OR($Q288=1,$Q288=2),1,0),IF($X288&lt;=20,1,0))</formula>
    </cfRule>
    <cfRule type="expression" priority="1770" dxfId="2">
      <formula>AND(IF($Q288=2,1,0),IF($X288&lt;30,1,0))</formula>
    </cfRule>
    <cfRule type="expression" priority="1771" dxfId="1">
      <formula>AND(IF($Q288=3,1,0),IF($X288&lt;30,1,0))</formula>
    </cfRule>
    <cfRule type="expression" priority="1772" dxfId="0">
      <formula>AND(IF($Q288=3,1,IF($Q288=4,1,0)),IF($F288&lt;=85,1,0))</formula>
    </cfRule>
  </conditionalFormatting>
  <conditionalFormatting sqref="AI288">
    <cfRule type="expression" priority="1765" dxfId="3">
      <formula>AND(IF(OR($Q288=1,$Q288=2),1,0),IF($X288&lt;=20,1,0))</formula>
    </cfRule>
    <cfRule type="expression" priority="1766" dxfId="2">
      <formula>AND(IF($Q288=2,1,0),IF($X288&lt;30,1,0))</formula>
    </cfRule>
    <cfRule type="expression" priority="1767" dxfId="1">
      <formula>AND(IF($Q288=3,1,0),IF($X288&lt;30,1,0))</formula>
    </cfRule>
    <cfRule type="expression" priority="1768" dxfId="0">
      <formula>AND(IF($Q288=3,1,IF($Q288=4,1,0)),IF($F288&lt;=85,1,0))</formula>
    </cfRule>
  </conditionalFormatting>
  <conditionalFormatting sqref="AV289">
    <cfRule type="expression" priority="1763" dxfId="19">
      <formula>AV289="X"</formula>
    </cfRule>
    <cfRule type="expression" priority="1764" dxfId="18">
      <formula>AV289="후보"</formula>
    </cfRule>
  </conditionalFormatting>
  <conditionalFormatting sqref="AC289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89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89">
    <cfRule type="expression" priority="1755" dxfId="3">
      <formula>AND(IF(OR($Q289=1,$Q289=2),1,0),IF($X289&lt;=20,1,0))</formula>
    </cfRule>
    <cfRule type="expression" priority="1756" dxfId="2">
      <formula>AND(IF($Q289=2,1,0),IF($X289&lt;30,1,0))</formula>
    </cfRule>
    <cfRule type="expression" priority="1757" dxfId="1">
      <formula>AND(IF($Q289=3,1,0),IF($X289&lt;30,1,0))</formula>
    </cfRule>
    <cfRule type="expression" priority="1758" dxfId="0">
      <formula>AND(IF($Q289=3,1,IF($Q289=4,1,0)),IF($F289&lt;=85,1,0))</formula>
    </cfRule>
  </conditionalFormatting>
  <conditionalFormatting sqref="X289">
    <cfRule type="expression" priority="1751" dxfId="3">
      <formula>AND(IF(OR($Q289=1,$Q289=2),1,0),IF($X289&lt;=20,1,0))</formula>
    </cfRule>
    <cfRule type="expression" priority="1752" dxfId="2">
      <formula>AND(IF($Q289=2,1,0),IF($X289&lt;30,1,0))</formula>
    </cfRule>
    <cfRule type="expression" priority="1753" dxfId="1">
      <formula>AND(IF($Q289=3,1,0),IF($X289&lt;30,1,0))</formula>
    </cfRule>
    <cfRule type="expression" priority="1754" dxfId="0">
      <formula>AND(IF($Q289=3,1,IF($Q289=4,1,0)),IF($F289&lt;=85,1,0))</formula>
    </cfRule>
  </conditionalFormatting>
  <conditionalFormatting sqref="AI289">
    <cfRule type="expression" priority="1747" dxfId="3">
      <formula>AND(IF(OR($Q289=1,$Q289=2),1,0),IF($X289&lt;=20,1,0))</formula>
    </cfRule>
    <cfRule type="expression" priority="1748" dxfId="2">
      <formula>AND(IF($Q289=2,1,0),IF($X289&lt;30,1,0))</formula>
    </cfRule>
    <cfRule type="expression" priority="1749" dxfId="1">
      <formula>AND(IF($Q289=3,1,0),IF($X289&lt;30,1,0))</formula>
    </cfRule>
    <cfRule type="expression" priority="1750" dxfId="0">
      <formula>AND(IF($Q289=3,1,IF($Q289=4,1,0)),IF($F289&lt;=85,1,0))</formula>
    </cfRule>
  </conditionalFormatting>
  <conditionalFormatting sqref="AV290">
    <cfRule type="expression" priority="1745" dxfId="19">
      <formula>AV290="X"</formula>
    </cfRule>
    <cfRule type="expression" priority="1746" dxfId="18">
      <formula>AV290="후보"</formula>
    </cfRule>
  </conditionalFormatting>
  <conditionalFormatting sqref="AC29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90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90">
    <cfRule type="expression" priority="1737" dxfId="3">
      <formula>AND(IF(OR($Q290=1,$Q290=2),1,0),IF($X290&lt;=20,1,0))</formula>
    </cfRule>
    <cfRule type="expression" priority="1738" dxfId="2">
      <formula>AND(IF($Q290=2,1,0),IF($X290&lt;30,1,0))</formula>
    </cfRule>
    <cfRule type="expression" priority="1739" dxfId="1">
      <formula>AND(IF($Q290=3,1,0),IF($X290&lt;30,1,0))</formula>
    </cfRule>
    <cfRule type="expression" priority="1740" dxfId="0">
      <formula>AND(IF($Q290=3,1,IF($Q290=4,1,0)),IF($F290&lt;=85,1,0))</formula>
    </cfRule>
  </conditionalFormatting>
  <conditionalFormatting sqref="X290">
    <cfRule type="expression" priority="1733" dxfId="3">
      <formula>AND(IF(OR($Q290=1,$Q290=2),1,0),IF($X290&lt;=20,1,0))</formula>
    </cfRule>
    <cfRule type="expression" priority="1734" dxfId="2">
      <formula>AND(IF($Q290=2,1,0),IF($X290&lt;30,1,0))</formula>
    </cfRule>
    <cfRule type="expression" priority="1735" dxfId="1">
      <formula>AND(IF($Q290=3,1,0),IF($X290&lt;30,1,0))</formula>
    </cfRule>
    <cfRule type="expression" priority="1736" dxfId="0">
      <formula>AND(IF($Q290=3,1,IF($Q290=4,1,0)),IF($F290&lt;=85,1,0))</formula>
    </cfRule>
  </conditionalFormatting>
  <conditionalFormatting sqref="AI290">
    <cfRule type="expression" priority="1729" dxfId="3">
      <formula>AND(IF(OR($Q290=1,$Q290=2),1,0),IF($X290&lt;=20,1,0))</formula>
    </cfRule>
    <cfRule type="expression" priority="1730" dxfId="2">
      <formula>AND(IF($Q290=2,1,0),IF($X290&lt;30,1,0))</formula>
    </cfRule>
    <cfRule type="expression" priority="1731" dxfId="1">
      <formula>AND(IF($Q290=3,1,0),IF($X290&lt;30,1,0))</formula>
    </cfRule>
    <cfRule type="expression" priority="1732" dxfId="0">
      <formula>AND(IF($Q290=3,1,IF($Q290=4,1,0)),IF($F290&lt;=85,1,0))</formula>
    </cfRule>
  </conditionalFormatting>
  <conditionalFormatting sqref="AV291">
    <cfRule type="expression" priority="1727" dxfId="19">
      <formula>AV291="X"</formula>
    </cfRule>
    <cfRule type="expression" priority="1728" dxfId="18">
      <formula>AV291="후보"</formula>
    </cfRule>
  </conditionalFormatting>
  <conditionalFormatting sqref="AC29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9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91">
    <cfRule type="expression" priority="1719" dxfId="3">
      <formula>AND(IF(OR($Q291=1,$Q291=2),1,0),IF($X291&lt;=20,1,0))</formula>
    </cfRule>
    <cfRule type="expression" priority="1720" dxfId="2">
      <formula>AND(IF($Q291=2,1,0),IF($X291&lt;30,1,0))</formula>
    </cfRule>
    <cfRule type="expression" priority="1721" dxfId="1">
      <formula>AND(IF($Q291=3,1,0),IF($X291&lt;30,1,0))</formula>
    </cfRule>
    <cfRule type="expression" priority="1722" dxfId="0">
      <formula>AND(IF($Q291=3,1,IF($Q291=4,1,0)),IF($F291&lt;=85,1,0))</formula>
    </cfRule>
  </conditionalFormatting>
  <conditionalFormatting sqref="X291">
    <cfRule type="expression" priority="1715" dxfId="3">
      <formula>AND(IF(OR($Q291=1,$Q291=2),1,0),IF($X291&lt;=20,1,0))</formula>
    </cfRule>
    <cfRule type="expression" priority="1716" dxfId="2">
      <formula>AND(IF($Q291=2,1,0),IF($X291&lt;30,1,0))</formula>
    </cfRule>
    <cfRule type="expression" priority="1717" dxfId="1">
      <formula>AND(IF($Q291=3,1,0),IF($X291&lt;30,1,0))</formula>
    </cfRule>
    <cfRule type="expression" priority="1718" dxfId="0">
      <formula>AND(IF($Q291=3,1,IF($Q291=4,1,0)),IF($F291&lt;=85,1,0))</formula>
    </cfRule>
  </conditionalFormatting>
  <conditionalFormatting sqref="AI291">
    <cfRule type="expression" priority="1711" dxfId="3">
      <formula>AND(IF(OR($Q291=1,$Q291=2),1,0),IF($X291&lt;=20,1,0))</formula>
    </cfRule>
    <cfRule type="expression" priority="1712" dxfId="2">
      <formula>AND(IF($Q291=2,1,0),IF($X291&lt;30,1,0))</formula>
    </cfRule>
    <cfRule type="expression" priority="1713" dxfId="1">
      <formula>AND(IF($Q291=3,1,0),IF($X291&lt;30,1,0))</formula>
    </cfRule>
    <cfRule type="expression" priority="1714" dxfId="0">
      <formula>AND(IF($Q291=3,1,IF($Q291=4,1,0)),IF($F291&lt;=85,1,0))</formula>
    </cfRule>
  </conditionalFormatting>
  <conditionalFormatting sqref="AV292">
    <cfRule type="expression" priority="1709" dxfId="19">
      <formula>AV292="X"</formula>
    </cfRule>
    <cfRule type="expression" priority="1710" dxfId="18">
      <formula>AV292="후보"</formula>
    </cfRule>
  </conditionalFormatting>
  <conditionalFormatting sqref="AC292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92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92">
    <cfRule type="expression" priority="1701" dxfId="3">
      <formula>AND(IF(OR($Q292=1,$Q292=2),1,0),IF($X292&lt;=20,1,0))</formula>
    </cfRule>
    <cfRule type="expression" priority="1702" dxfId="2">
      <formula>AND(IF($Q292=2,1,0),IF($X292&lt;30,1,0))</formula>
    </cfRule>
    <cfRule type="expression" priority="1703" dxfId="1">
      <formula>AND(IF($Q292=3,1,0),IF($X292&lt;30,1,0))</formula>
    </cfRule>
    <cfRule type="expression" priority="1704" dxfId="0">
      <formula>AND(IF($Q292=3,1,IF($Q292=4,1,0)),IF($F292&lt;=85,1,0))</formula>
    </cfRule>
  </conditionalFormatting>
  <conditionalFormatting sqref="X292">
    <cfRule type="expression" priority="1697" dxfId="3">
      <formula>AND(IF(OR($Q292=1,$Q292=2),1,0),IF($X292&lt;=20,1,0))</formula>
    </cfRule>
    <cfRule type="expression" priority="1698" dxfId="2">
      <formula>AND(IF($Q292=2,1,0),IF($X292&lt;30,1,0))</formula>
    </cfRule>
    <cfRule type="expression" priority="1699" dxfId="1">
      <formula>AND(IF($Q292=3,1,0),IF($X292&lt;30,1,0))</formula>
    </cfRule>
    <cfRule type="expression" priority="1700" dxfId="0">
      <formula>AND(IF($Q292=3,1,IF($Q292=4,1,0)),IF($F292&lt;=85,1,0))</formula>
    </cfRule>
  </conditionalFormatting>
  <conditionalFormatting sqref="AI292">
    <cfRule type="expression" priority="1693" dxfId="3">
      <formula>AND(IF(OR($Q292=1,$Q292=2),1,0),IF($X292&lt;=20,1,0))</formula>
    </cfRule>
    <cfRule type="expression" priority="1694" dxfId="2">
      <formula>AND(IF($Q292=2,1,0),IF($X292&lt;30,1,0))</formula>
    </cfRule>
    <cfRule type="expression" priority="1695" dxfId="1">
      <formula>AND(IF($Q292=3,1,0),IF($X292&lt;30,1,0))</formula>
    </cfRule>
    <cfRule type="expression" priority="1696" dxfId="0">
      <formula>AND(IF($Q292=3,1,IF($Q292=4,1,0)),IF($F292&lt;=85,1,0))</formula>
    </cfRule>
  </conditionalFormatting>
  <conditionalFormatting sqref="AV293">
    <cfRule type="expression" priority="1691" dxfId="19">
      <formula>AV293="X"</formula>
    </cfRule>
    <cfRule type="expression" priority="1692" dxfId="18">
      <formula>AV293="후보"</formula>
    </cfRule>
  </conditionalFormatting>
  <conditionalFormatting sqref="AC293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9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93">
    <cfRule type="expression" priority="1683" dxfId="3">
      <formula>AND(IF(OR($Q293=1,$Q293=2),1,0),IF($X293&lt;=20,1,0))</formula>
    </cfRule>
    <cfRule type="expression" priority="1684" dxfId="2">
      <formula>AND(IF($Q293=2,1,0),IF($X293&lt;30,1,0))</formula>
    </cfRule>
    <cfRule type="expression" priority="1685" dxfId="1">
      <formula>AND(IF($Q293=3,1,0),IF($X293&lt;30,1,0))</formula>
    </cfRule>
    <cfRule type="expression" priority="1686" dxfId="0">
      <formula>AND(IF($Q293=3,1,IF($Q293=4,1,0)),IF($F293&lt;=85,1,0))</formula>
    </cfRule>
  </conditionalFormatting>
  <conditionalFormatting sqref="X293">
    <cfRule type="expression" priority="1679" dxfId="3">
      <formula>AND(IF(OR($Q293=1,$Q293=2),1,0),IF($X293&lt;=20,1,0))</formula>
    </cfRule>
    <cfRule type="expression" priority="1680" dxfId="2">
      <formula>AND(IF($Q293=2,1,0),IF($X293&lt;30,1,0))</formula>
    </cfRule>
    <cfRule type="expression" priority="1681" dxfId="1">
      <formula>AND(IF($Q293=3,1,0),IF($X293&lt;30,1,0))</formula>
    </cfRule>
    <cfRule type="expression" priority="1682" dxfId="0">
      <formula>AND(IF($Q293=3,1,IF($Q293=4,1,0)),IF($F293&lt;=85,1,0))</formula>
    </cfRule>
  </conditionalFormatting>
  <conditionalFormatting sqref="AI293">
    <cfRule type="expression" priority="1675" dxfId="3">
      <formula>AND(IF(OR($Q293=1,$Q293=2),1,0),IF($X293&lt;=20,1,0))</formula>
    </cfRule>
    <cfRule type="expression" priority="1676" dxfId="2">
      <formula>AND(IF($Q293=2,1,0),IF($X293&lt;30,1,0))</formula>
    </cfRule>
    <cfRule type="expression" priority="1677" dxfId="1">
      <formula>AND(IF($Q293=3,1,0),IF($X293&lt;30,1,0))</formula>
    </cfRule>
    <cfRule type="expression" priority="1678" dxfId="0">
      <formula>AND(IF($Q293=3,1,IF($Q293=4,1,0)),IF($F293&lt;=85,1,0))</formula>
    </cfRule>
  </conditionalFormatting>
  <conditionalFormatting sqref="AV294">
    <cfRule type="expression" priority="1673" dxfId="19">
      <formula>AV294="X"</formula>
    </cfRule>
    <cfRule type="expression" priority="1674" dxfId="18">
      <formula>AV294="후보"</formula>
    </cfRule>
  </conditionalFormatting>
  <conditionalFormatting sqref="AC294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9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94">
    <cfRule type="expression" priority="1665" dxfId="3">
      <formula>AND(IF(OR($Q294=1,$Q294=2),1,0),IF($X294&lt;=20,1,0))</formula>
    </cfRule>
    <cfRule type="expression" priority="1666" dxfId="2">
      <formula>AND(IF($Q294=2,1,0),IF($X294&lt;30,1,0))</formula>
    </cfRule>
    <cfRule type="expression" priority="1667" dxfId="1">
      <formula>AND(IF($Q294=3,1,0),IF($X294&lt;30,1,0))</formula>
    </cfRule>
    <cfRule type="expression" priority="1668" dxfId="0">
      <formula>AND(IF($Q294=3,1,IF($Q294=4,1,0)),IF($F294&lt;=85,1,0))</formula>
    </cfRule>
  </conditionalFormatting>
  <conditionalFormatting sqref="X294">
    <cfRule type="expression" priority="1661" dxfId="3">
      <formula>AND(IF(OR($Q294=1,$Q294=2),1,0),IF($X294&lt;=20,1,0))</formula>
    </cfRule>
    <cfRule type="expression" priority="1662" dxfId="2">
      <formula>AND(IF($Q294=2,1,0),IF($X294&lt;30,1,0))</formula>
    </cfRule>
    <cfRule type="expression" priority="1663" dxfId="1">
      <formula>AND(IF($Q294=3,1,0),IF($X294&lt;30,1,0))</formula>
    </cfRule>
    <cfRule type="expression" priority="1664" dxfId="0">
      <formula>AND(IF($Q294=3,1,IF($Q294=4,1,0)),IF($F294&lt;=85,1,0))</formula>
    </cfRule>
  </conditionalFormatting>
  <conditionalFormatting sqref="AI294">
    <cfRule type="expression" priority="1657" dxfId="3">
      <formula>AND(IF(OR($Q294=1,$Q294=2),1,0),IF($X294&lt;=20,1,0))</formula>
    </cfRule>
    <cfRule type="expression" priority="1658" dxfId="2">
      <formula>AND(IF($Q294=2,1,0),IF($X294&lt;30,1,0))</formula>
    </cfRule>
    <cfRule type="expression" priority="1659" dxfId="1">
      <formula>AND(IF($Q294=3,1,0),IF($X294&lt;30,1,0))</formula>
    </cfRule>
    <cfRule type="expression" priority="1660" dxfId="0">
      <formula>AND(IF($Q294=3,1,IF($Q294=4,1,0)),IF($F294&lt;=85,1,0))</formula>
    </cfRule>
  </conditionalFormatting>
  <conditionalFormatting sqref="AV295">
    <cfRule type="expression" priority="1655" dxfId="19">
      <formula>AV295="X"</formula>
    </cfRule>
    <cfRule type="expression" priority="1656" dxfId="18">
      <formula>AV295="후보"</formula>
    </cfRule>
  </conditionalFormatting>
  <conditionalFormatting sqref="AC295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9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95">
    <cfRule type="expression" priority="1647" dxfId="3">
      <formula>AND(IF(OR($Q295=1,$Q295=2),1,0),IF($X295&lt;=20,1,0))</formula>
    </cfRule>
    <cfRule type="expression" priority="1648" dxfId="2">
      <formula>AND(IF($Q295=2,1,0),IF($X295&lt;30,1,0))</formula>
    </cfRule>
    <cfRule type="expression" priority="1649" dxfId="1">
      <formula>AND(IF($Q295=3,1,0),IF($X295&lt;30,1,0))</formula>
    </cfRule>
    <cfRule type="expression" priority="1650" dxfId="0">
      <formula>AND(IF($Q295=3,1,IF($Q295=4,1,0)),IF($F295&lt;=85,1,0))</formula>
    </cfRule>
  </conditionalFormatting>
  <conditionalFormatting sqref="X295">
    <cfRule type="expression" priority="1643" dxfId="3">
      <formula>AND(IF(OR($Q295=1,$Q295=2),1,0),IF($X295&lt;=20,1,0))</formula>
    </cfRule>
    <cfRule type="expression" priority="1644" dxfId="2">
      <formula>AND(IF($Q295=2,1,0),IF($X295&lt;30,1,0))</formula>
    </cfRule>
    <cfRule type="expression" priority="1645" dxfId="1">
      <formula>AND(IF($Q295=3,1,0),IF($X295&lt;30,1,0))</formula>
    </cfRule>
    <cfRule type="expression" priority="1646" dxfId="0">
      <formula>AND(IF($Q295=3,1,IF($Q295=4,1,0)),IF($F295&lt;=85,1,0))</formula>
    </cfRule>
  </conditionalFormatting>
  <conditionalFormatting sqref="AI295">
    <cfRule type="expression" priority="1639" dxfId="3">
      <formula>AND(IF(OR($Q295=1,$Q295=2),1,0),IF($X295&lt;=20,1,0))</formula>
    </cfRule>
    <cfRule type="expression" priority="1640" dxfId="2">
      <formula>AND(IF($Q295=2,1,0),IF($X295&lt;30,1,0))</formula>
    </cfRule>
    <cfRule type="expression" priority="1641" dxfId="1">
      <formula>AND(IF($Q295=3,1,0),IF($X295&lt;30,1,0))</formula>
    </cfRule>
    <cfRule type="expression" priority="1642" dxfId="0">
      <formula>AND(IF($Q295=3,1,IF($Q295=4,1,0)),IF($F295&lt;=85,1,0))</formula>
    </cfRule>
  </conditionalFormatting>
  <conditionalFormatting sqref="AV296">
    <cfRule type="expression" priority="1637" dxfId="19">
      <formula>AV296="X"</formula>
    </cfRule>
    <cfRule type="expression" priority="1638" dxfId="18">
      <formula>AV296="후보"</formula>
    </cfRule>
  </conditionalFormatting>
  <conditionalFormatting sqref="AC29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9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96">
    <cfRule type="expression" priority="1629" dxfId="3">
      <formula>AND(IF(OR($Q296=1,$Q296=2),1,0),IF($X296&lt;=20,1,0))</formula>
    </cfRule>
    <cfRule type="expression" priority="1630" dxfId="2">
      <formula>AND(IF($Q296=2,1,0),IF($X296&lt;30,1,0))</formula>
    </cfRule>
    <cfRule type="expression" priority="1631" dxfId="1">
      <formula>AND(IF($Q296=3,1,0),IF($X296&lt;30,1,0))</formula>
    </cfRule>
    <cfRule type="expression" priority="1632" dxfId="0">
      <formula>AND(IF($Q296=3,1,IF($Q296=4,1,0)),IF($F296&lt;=85,1,0))</formula>
    </cfRule>
  </conditionalFormatting>
  <conditionalFormatting sqref="X296">
    <cfRule type="expression" priority="1625" dxfId="3">
      <formula>AND(IF(OR($Q296=1,$Q296=2),1,0),IF($X296&lt;=20,1,0))</formula>
    </cfRule>
    <cfRule type="expression" priority="1626" dxfId="2">
      <formula>AND(IF($Q296=2,1,0),IF($X296&lt;30,1,0))</formula>
    </cfRule>
    <cfRule type="expression" priority="1627" dxfId="1">
      <formula>AND(IF($Q296=3,1,0),IF($X296&lt;30,1,0))</formula>
    </cfRule>
    <cfRule type="expression" priority="1628" dxfId="0">
      <formula>AND(IF($Q296=3,1,IF($Q296=4,1,0)),IF($F296&lt;=85,1,0))</formula>
    </cfRule>
  </conditionalFormatting>
  <conditionalFormatting sqref="AI296">
    <cfRule type="expression" priority="1621" dxfId="3">
      <formula>AND(IF(OR($Q296=1,$Q296=2),1,0),IF($X296&lt;=20,1,0))</formula>
    </cfRule>
    <cfRule type="expression" priority="1622" dxfId="2">
      <formula>AND(IF($Q296=2,1,0),IF($X296&lt;30,1,0))</formula>
    </cfRule>
    <cfRule type="expression" priority="1623" dxfId="1">
      <formula>AND(IF($Q296=3,1,0),IF($X296&lt;30,1,0))</formula>
    </cfRule>
    <cfRule type="expression" priority="1624" dxfId="0">
      <formula>AND(IF($Q296=3,1,IF($Q296=4,1,0)),IF($F296&lt;=85,1,0))</formula>
    </cfRule>
  </conditionalFormatting>
  <conditionalFormatting sqref="AV297">
    <cfRule type="expression" priority="1619" dxfId="19">
      <formula>AV297="X"</formula>
    </cfRule>
    <cfRule type="expression" priority="1620" dxfId="18">
      <formula>AV297="후보"</formula>
    </cfRule>
  </conditionalFormatting>
  <conditionalFormatting sqref="AC297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97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97">
    <cfRule type="expression" priority="1611" dxfId="3">
      <formula>AND(IF(OR($Q297=1,$Q297=2),1,0),IF($X297&lt;=20,1,0))</formula>
    </cfRule>
    <cfRule type="expression" priority="1612" dxfId="2">
      <formula>AND(IF($Q297=2,1,0),IF($X297&lt;30,1,0))</formula>
    </cfRule>
    <cfRule type="expression" priority="1613" dxfId="1">
      <formula>AND(IF($Q297=3,1,0),IF($X297&lt;30,1,0))</formula>
    </cfRule>
    <cfRule type="expression" priority="1614" dxfId="0">
      <formula>AND(IF($Q297=3,1,IF($Q297=4,1,0)),IF($F297&lt;=85,1,0))</formula>
    </cfRule>
  </conditionalFormatting>
  <conditionalFormatting sqref="X297">
    <cfRule type="expression" priority="1607" dxfId="3">
      <formula>AND(IF(OR($Q297=1,$Q297=2),1,0),IF($X297&lt;=20,1,0))</formula>
    </cfRule>
    <cfRule type="expression" priority="1608" dxfId="2">
      <formula>AND(IF($Q297=2,1,0),IF($X297&lt;30,1,0))</formula>
    </cfRule>
    <cfRule type="expression" priority="1609" dxfId="1">
      <formula>AND(IF($Q297=3,1,0),IF($X297&lt;30,1,0))</formula>
    </cfRule>
    <cfRule type="expression" priority="1610" dxfId="0">
      <formula>AND(IF($Q297=3,1,IF($Q297=4,1,0)),IF($F297&lt;=85,1,0))</formula>
    </cfRule>
  </conditionalFormatting>
  <conditionalFormatting sqref="AI297">
    <cfRule type="expression" priority="1603" dxfId="3">
      <formula>AND(IF(OR($Q297=1,$Q297=2),1,0),IF($X297&lt;=20,1,0))</formula>
    </cfRule>
    <cfRule type="expression" priority="1604" dxfId="2">
      <formula>AND(IF($Q297=2,1,0),IF($X297&lt;30,1,0))</formula>
    </cfRule>
    <cfRule type="expression" priority="1605" dxfId="1">
      <formula>AND(IF($Q297=3,1,0),IF($X297&lt;30,1,0))</formula>
    </cfRule>
    <cfRule type="expression" priority="1606" dxfId="0">
      <formula>AND(IF($Q297=3,1,IF($Q297=4,1,0)),IF($F297&lt;=85,1,0))</formula>
    </cfRule>
  </conditionalFormatting>
  <conditionalFormatting sqref="AV298">
    <cfRule type="expression" priority="1601" dxfId="19">
      <formula>AV298="X"</formula>
    </cfRule>
    <cfRule type="expression" priority="1602" dxfId="18">
      <formula>AV298="후보"</formula>
    </cfRule>
  </conditionalFormatting>
  <conditionalFormatting sqref="AC29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9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98">
    <cfRule type="expression" priority="1593" dxfId="3">
      <formula>AND(IF(OR($Q298=1,$Q298=2),1,0),IF($X298&lt;=20,1,0))</formula>
    </cfRule>
    <cfRule type="expression" priority="1594" dxfId="2">
      <formula>AND(IF($Q298=2,1,0),IF($X298&lt;30,1,0))</formula>
    </cfRule>
    <cfRule type="expression" priority="1595" dxfId="1">
      <formula>AND(IF($Q298=3,1,0),IF($X298&lt;30,1,0))</formula>
    </cfRule>
    <cfRule type="expression" priority="1596" dxfId="0">
      <formula>AND(IF($Q298=3,1,IF($Q298=4,1,0)),IF($F298&lt;=85,1,0))</formula>
    </cfRule>
  </conditionalFormatting>
  <conditionalFormatting sqref="X298">
    <cfRule type="expression" priority="1589" dxfId="3">
      <formula>AND(IF(OR($Q298=1,$Q298=2),1,0),IF($X298&lt;=20,1,0))</formula>
    </cfRule>
    <cfRule type="expression" priority="1590" dxfId="2">
      <formula>AND(IF($Q298=2,1,0),IF($X298&lt;30,1,0))</formula>
    </cfRule>
    <cfRule type="expression" priority="1591" dxfId="1">
      <formula>AND(IF($Q298=3,1,0),IF($X298&lt;30,1,0))</formula>
    </cfRule>
    <cfRule type="expression" priority="1592" dxfId="0">
      <formula>AND(IF($Q298=3,1,IF($Q298=4,1,0)),IF($F298&lt;=85,1,0))</formula>
    </cfRule>
  </conditionalFormatting>
  <conditionalFormatting sqref="AI298">
    <cfRule type="expression" priority="1585" dxfId="3">
      <formula>AND(IF(OR($Q298=1,$Q298=2),1,0),IF($X298&lt;=20,1,0))</formula>
    </cfRule>
    <cfRule type="expression" priority="1586" dxfId="2">
      <formula>AND(IF($Q298=2,1,0),IF($X298&lt;30,1,0))</formula>
    </cfRule>
    <cfRule type="expression" priority="1587" dxfId="1">
      <formula>AND(IF($Q298=3,1,0),IF($X298&lt;30,1,0))</formula>
    </cfRule>
    <cfRule type="expression" priority="1588" dxfId="0">
      <formula>AND(IF($Q298=3,1,IF($Q298=4,1,0)),IF($F298&lt;=85,1,0))</formula>
    </cfRule>
  </conditionalFormatting>
  <conditionalFormatting sqref="AV299">
    <cfRule type="expression" priority="1583" dxfId="19">
      <formula>AV299="X"</formula>
    </cfRule>
    <cfRule type="expression" priority="1584" dxfId="18">
      <formula>AV299="후보"</formula>
    </cfRule>
  </conditionalFormatting>
  <conditionalFormatting sqref="AC29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99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99">
    <cfRule type="expression" priority="1575" dxfId="3">
      <formula>AND(IF(OR($Q299=1,$Q299=2),1,0),IF($X299&lt;=20,1,0))</formula>
    </cfRule>
    <cfRule type="expression" priority="1576" dxfId="2">
      <formula>AND(IF($Q299=2,1,0),IF($X299&lt;30,1,0))</formula>
    </cfRule>
    <cfRule type="expression" priority="1577" dxfId="1">
      <formula>AND(IF($Q299=3,1,0),IF($X299&lt;30,1,0))</formula>
    </cfRule>
    <cfRule type="expression" priority="1578" dxfId="0">
      <formula>AND(IF($Q299=3,1,IF($Q299=4,1,0)),IF($F299&lt;=85,1,0))</formula>
    </cfRule>
  </conditionalFormatting>
  <conditionalFormatting sqref="X299">
    <cfRule type="expression" priority="1571" dxfId="3">
      <formula>AND(IF(OR($Q299=1,$Q299=2),1,0),IF($X299&lt;=20,1,0))</formula>
    </cfRule>
    <cfRule type="expression" priority="1572" dxfId="2">
      <formula>AND(IF($Q299=2,1,0),IF($X299&lt;30,1,0))</formula>
    </cfRule>
    <cfRule type="expression" priority="1573" dxfId="1">
      <formula>AND(IF($Q299=3,1,0),IF($X299&lt;30,1,0))</formula>
    </cfRule>
    <cfRule type="expression" priority="1574" dxfId="0">
      <formula>AND(IF($Q299=3,1,IF($Q299=4,1,0)),IF($F299&lt;=85,1,0))</formula>
    </cfRule>
  </conditionalFormatting>
  <conditionalFormatting sqref="AI299">
    <cfRule type="expression" priority="1567" dxfId="3">
      <formula>AND(IF(OR($Q299=1,$Q299=2),1,0),IF($X299&lt;=20,1,0))</formula>
    </cfRule>
    <cfRule type="expression" priority="1568" dxfId="2">
      <formula>AND(IF($Q299=2,1,0),IF($X299&lt;30,1,0))</formula>
    </cfRule>
    <cfRule type="expression" priority="1569" dxfId="1">
      <formula>AND(IF($Q299=3,1,0),IF($X299&lt;30,1,0))</formula>
    </cfRule>
    <cfRule type="expression" priority="1570" dxfId="0">
      <formula>AND(IF($Q299=3,1,IF($Q299=4,1,0)),IF($F299&lt;=85,1,0))</formula>
    </cfRule>
  </conditionalFormatting>
  <conditionalFormatting sqref="AV300">
    <cfRule type="expression" priority="1565" dxfId="19">
      <formula>AV300="X"</formula>
    </cfRule>
    <cfRule type="expression" priority="1566" dxfId="18">
      <formula>AV300="후보"</formula>
    </cfRule>
  </conditionalFormatting>
  <conditionalFormatting sqref="AC300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0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00">
    <cfRule type="expression" priority="1557" dxfId="3">
      <formula>AND(IF(OR($Q300=1,$Q300=2),1,0),IF($X300&lt;=20,1,0))</formula>
    </cfRule>
    <cfRule type="expression" priority="1558" dxfId="2">
      <formula>AND(IF($Q300=2,1,0),IF($X300&lt;30,1,0))</formula>
    </cfRule>
    <cfRule type="expression" priority="1559" dxfId="1">
      <formula>AND(IF($Q300=3,1,0),IF($X300&lt;30,1,0))</formula>
    </cfRule>
    <cfRule type="expression" priority="1560" dxfId="0">
      <formula>AND(IF($Q300=3,1,IF($Q300=4,1,0)),IF($F300&lt;=85,1,0))</formula>
    </cfRule>
  </conditionalFormatting>
  <conditionalFormatting sqref="X300">
    <cfRule type="expression" priority="1553" dxfId="3">
      <formula>AND(IF(OR($Q300=1,$Q300=2),1,0),IF($X300&lt;=20,1,0))</formula>
    </cfRule>
    <cfRule type="expression" priority="1554" dxfId="2">
      <formula>AND(IF($Q300=2,1,0),IF($X300&lt;30,1,0))</formula>
    </cfRule>
    <cfRule type="expression" priority="1555" dxfId="1">
      <formula>AND(IF($Q300=3,1,0),IF($X300&lt;30,1,0))</formula>
    </cfRule>
    <cfRule type="expression" priority="1556" dxfId="0">
      <formula>AND(IF($Q300=3,1,IF($Q300=4,1,0)),IF($F300&lt;=85,1,0))</formula>
    </cfRule>
  </conditionalFormatting>
  <conditionalFormatting sqref="AI300">
    <cfRule type="expression" priority="1549" dxfId="3">
      <formula>AND(IF(OR($Q300=1,$Q300=2),1,0),IF($X300&lt;=20,1,0))</formula>
    </cfRule>
    <cfRule type="expression" priority="1550" dxfId="2">
      <formula>AND(IF($Q300=2,1,0),IF($X300&lt;30,1,0))</formula>
    </cfRule>
    <cfRule type="expression" priority="1551" dxfId="1">
      <formula>AND(IF($Q300=3,1,0),IF($X300&lt;30,1,0))</formula>
    </cfRule>
    <cfRule type="expression" priority="1552" dxfId="0">
      <formula>AND(IF($Q300=3,1,IF($Q300=4,1,0)),IF($F300&lt;=85,1,0))</formula>
    </cfRule>
  </conditionalFormatting>
  <conditionalFormatting sqref="AV301">
    <cfRule type="expression" priority="1547" dxfId="19">
      <formula>AV301="X"</formula>
    </cfRule>
    <cfRule type="expression" priority="1548" dxfId="18">
      <formula>AV301="후보"</formula>
    </cfRule>
  </conditionalFormatting>
  <conditionalFormatting sqref="AC30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0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01">
    <cfRule type="expression" priority="1539" dxfId="3">
      <formula>AND(IF(OR($Q301=1,$Q301=2),1,0),IF($X301&lt;=20,1,0))</formula>
    </cfRule>
    <cfRule type="expression" priority="1540" dxfId="2">
      <formula>AND(IF($Q301=2,1,0),IF($X301&lt;30,1,0))</formula>
    </cfRule>
    <cfRule type="expression" priority="1541" dxfId="1">
      <formula>AND(IF($Q301=3,1,0),IF($X301&lt;30,1,0))</formula>
    </cfRule>
    <cfRule type="expression" priority="1542" dxfId="0">
      <formula>AND(IF($Q301=3,1,IF($Q301=4,1,0)),IF($F301&lt;=85,1,0))</formula>
    </cfRule>
  </conditionalFormatting>
  <conditionalFormatting sqref="X301">
    <cfRule type="expression" priority="1535" dxfId="3">
      <formula>AND(IF(OR($Q301=1,$Q301=2),1,0),IF($X301&lt;=20,1,0))</formula>
    </cfRule>
    <cfRule type="expression" priority="1536" dxfId="2">
      <formula>AND(IF($Q301=2,1,0),IF($X301&lt;30,1,0))</formula>
    </cfRule>
    <cfRule type="expression" priority="1537" dxfId="1">
      <formula>AND(IF($Q301=3,1,0),IF($X301&lt;30,1,0))</formula>
    </cfRule>
    <cfRule type="expression" priority="1538" dxfId="0">
      <formula>AND(IF($Q301=3,1,IF($Q301=4,1,0)),IF($F301&lt;=85,1,0))</formula>
    </cfRule>
  </conditionalFormatting>
  <conditionalFormatting sqref="AI301">
    <cfRule type="expression" priority="1531" dxfId="3">
      <formula>AND(IF(OR($Q301=1,$Q301=2),1,0),IF($X301&lt;=20,1,0))</formula>
    </cfRule>
    <cfRule type="expression" priority="1532" dxfId="2">
      <formula>AND(IF($Q301=2,1,0),IF($X301&lt;30,1,0))</formula>
    </cfRule>
    <cfRule type="expression" priority="1533" dxfId="1">
      <formula>AND(IF($Q301=3,1,0),IF($X301&lt;30,1,0))</formula>
    </cfRule>
    <cfRule type="expression" priority="1534" dxfId="0">
      <formula>AND(IF($Q301=3,1,IF($Q301=4,1,0)),IF($F301&lt;=85,1,0))</formula>
    </cfRule>
  </conditionalFormatting>
  <conditionalFormatting sqref="AV302">
    <cfRule type="expression" priority="1529" dxfId="19">
      <formula>AV302="X"</formula>
    </cfRule>
    <cfRule type="expression" priority="1530" dxfId="18">
      <formula>AV302="후보"</formula>
    </cfRule>
  </conditionalFormatting>
  <conditionalFormatting sqref="AC30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302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302">
    <cfRule type="expression" priority="1521" dxfId="3">
      <formula>AND(IF(OR($Q302=1,$Q302=2),1,0),IF($X302&lt;=20,1,0))</formula>
    </cfRule>
    <cfRule type="expression" priority="1522" dxfId="2">
      <formula>AND(IF($Q302=2,1,0),IF($X302&lt;30,1,0))</formula>
    </cfRule>
    <cfRule type="expression" priority="1523" dxfId="1">
      <formula>AND(IF($Q302=3,1,0),IF($X302&lt;30,1,0))</formula>
    </cfRule>
    <cfRule type="expression" priority="1524" dxfId="0">
      <formula>AND(IF($Q302=3,1,IF($Q302=4,1,0)),IF($F302&lt;=85,1,0))</formula>
    </cfRule>
  </conditionalFormatting>
  <conditionalFormatting sqref="X302">
    <cfRule type="expression" priority="1517" dxfId="3">
      <formula>AND(IF(OR($Q302=1,$Q302=2),1,0),IF($X302&lt;=20,1,0))</formula>
    </cfRule>
    <cfRule type="expression" priority="1518" dxfId="2">
      <formula>AND(IF($Q302=2,1,0),IF($X302&lt;30,1,0))</formula>
    </cfRule>
    <cfRule type="expression" priority="1519" dxfId="1">
      <formula>AND(IF($Q302=3,1,0),IF($X302&lt;30,1,0))</formula>
    </cfRule>
    <cfRule type="expression" priority="1520" dxfId="0">
      <formula>AND(IF($Q302=3,1,IF($Q302=4,1,0)),IF($F302&lt;=85,1,0))</formula>
    </cfRule>
  </conditionalFormatting>
  <conditionalFormatting sqref="AI302">
    <cfRule type="expression" priority="1513" dxfId="3">
      <formula>AND(IF(OR($Q302=1,$Q302=2),1,0),IF($X302&lt;=20,1,0))</formula>
    </cfRule>
    <cfRule type="expression" priority="1514" dxfId="2">
      <formula>AND(IF($Q302=2,1,0),IF($X302&lt;30,1,0))</formula>
    </cfRule>
    <cfRule type="expression" priority="1515" dxfId="1">
      <formula>AND(IF($Q302=3,1,0),IF($X302&lt;30,1,0))</formula>
    </cfRule>
    <cfRule type="expression" priority="1516" dxfId="0">
      <formula>AND(IF($Q302=3,1,IF($Q302=4,1,0)),IF($F302&lt;=85,1,0))</formula>
    </cfRule>
  </conditionalFormatting>
  <conditionalFormatting sqref="AV303">
    <cfRule type="expression" priority="1511" dxfId="19">
      <formula>AV303="X"</formula>
    </cfRule>
    <cfRule type="expression" priority="1512" dxfId="18">
      <formula>AV303="후보"</formula>
    </cfRule>
  </conditionalFormatting>
  <conditionalFormatting sqref="AC30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303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303">
    <cfRule type="expression" priority="1503" dxfId="3">
      <formula>AND(IF(OR($Q303=1,$Q303=2),1,0),IF($X303&lt;=20,1,0))</formula>
    </cfRule>
    <cfRule type="expression" priority="1504" dxfId="2">
      <formula>AND(IF($Q303=2,1,0),IF($X303&lt;30,1,0))</formula>
    </cfRule>
    <cfRule type="expression" priority="1505" dxfId="1">
      <formula>AND(IF($Q303=3,1,0),IF($X303&lt;30,1,0))</formula>
    </cfRule>
    <cfRule type="expression" priority="1506" dxfId="0">
      <formula>AND(IF($Q303=3,1,IF($Q303=4,1,0)),IF($F303&lt;=85,1,0))</formula>
    </cfRule>
  </conditionalFormatting>
  <conditionalFormatting sqref="X303">
    <cfRule type="expression" priority="1499" dxfId="3">
      <formula>AND(IF(OR($Q303=1,$Q303=2),1,0),IF($X303&lt;=20,1,0))</formula>
    </cfRule>
    <cfRule type="expression" priority="1500" dxfId="2">
      <formula>AND(IF($Q303=2,1,0),IF($X303&lt;30,1,0))</formula>
    </cfRule>
    <cfRule type="expression" priority="1501" dxfId="1">
      <formula>AND(IF($Q303=3,1,0),IF($X303&lt;30,1,0))</formula>
    </cfRule>
    <cfRule type="expression" priority="1502" dxfId="0">
      <formula>AND(IF($Q303=3,1,IF($Q303=4,1,0)),IF($F303&lt;=85,1,0))</formula>
    </cfRule>
  </conditionalFormatting>
  <conditionalFormatting sqref="AI303">
    <cfRule type="expression" priority="1495" dxfId="3">
      <formula>AND(IF(OR($Q303=1,$Q303=2),1,0),IF($X303&lt;=20,1,0))</formula>
    </cfRule>
    <cfRule type="expression" priority="1496" dxfId="2">
      <formula>AND(IF($Q303=2,1,0),IF($X303&lt;30,1,0))</formula>
    </cfRule>
    <cfRule type="expression" priority="1497" dxfId="1">
      <formula>AND(IF($Q303=3,1,0),IF($X303&lt;30,1,0))</formula>
    </cfRule>
    <cfRule type="expression" priority="1498" dxfId="0">
      <formula>AND(IF($Q303=3,1,IF($Q303=4,1,0)),IF($F303&lt;=85,1,0))</formula>
    </cfRule>
  </conditionalFormatting>
  <conditionalFormatting sqref="AV304">
    <cfRule type="expression" priority="1493" dxfId="19">
      <formula>AV304="X"</formula>
    </cfRule>
    <cfRule type="expression" priority="1494" dxfId="18">
      <formula>AV304="후보"</formula>
    </cfRule>
  </conditionalFormatting>
  <conditionalFormatting sqref="AC304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304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304">
    <cfRule type="expression" priority="1485" dxfId="3">
      <formula>AND(IF(OR($Q304=1,$Q304=2),1,0),IF($X304&lt;=20,1,0))</formula>
    </cfRule>
    <cfRule type="expression" priority="1486" dxfId="2">
      <formula>AND(IF($Q304=2,1,0),IF($X304&lt;30,1,0))</formula>
    </cfRule>
    <cfRule type="expression" priority="1487" dxfId="1">
      <formula>AND(IF($Q304=3,1,0),IF($X304&lt;30,1,0))</formula>
    </cfRule>
    <cfRule type="expression" priority="1488" dxfId="0">
      <formula>AND(IF($Q304=3,1,IF($Q304=4,1,0)),IF($F304&lt;=85,1,0))</formula>
    </cfRule>
  </conditionalFormatting>
  <conditionalFormatting sqref="X304">
    <cfRule type="expression" priority="1481" dxfId="3">
      <formula>AND(IF(OR($Q304=1,$Q304=2),1,0),IF($X304&lt;=20,1,0))</formula>
    </cfRule>
    <cfRule type="expression" priority="1482" dxfId="2">
      <formula>AND(IF($Q304=2,1,0),IF($X304&lt;30,1,0))</formula>
    </cfRule>
    <cfRule type="expression" priority="1483" dxfId="1">
      <formula>AND(IF($Q304=3,1,0),IF($X304&lt;30,1,0))</formula>
    </cfRule>
    <cfRule type="expression" priority="1484" dxfId="0">
      <formula>AND(IF($Q304=3,1,IF($Q304=4,1,0)),IF($F304&lt;=85,1,0))</formula>
    </cfRule>
  </conditionalFormatting>
  <conditionalFormatting sqref="AI304">
    <cfRule type="expression" priority="1477" dxfId="3">
      <formula>AND(IF(OR($Q304=1,$Q304=2),1,0),IF($X304&lt;=20,1,0))</formula>
    </cfRule>
    <cfRule type="expression" priority="1478" dxfId="2">
      <formula>AND(IF($Q304=2,1,0),IF($X304&lt;30,1,0))</formula>
    </cfRule>
    <cfRule type="expression" priority="1479" dxfId="1">
      <formula>AND(IF($Q304=3,1,0),IF($X304&lt;30,1,0))</formula>
    </cfRule>
    <cfRule type="expression" priority="1480" dxfId="0">
      <formula>AND(IF($Q304=3,1,IF($Q304=4,1,0)),IF($F304&lt;=85,1,0))</formula>
    </cfRule>
  </conditionalFormatting>
  <conditionalFormatting sqref="AV305">
    <cfRule type="expression" priority="1475" dxfId="19">
      <formula>AV305="X"</formula>
    </cfRule>
    <cfRule type="expression" priority="1476" dxfId="18">
      <formula>AV305="후보"</formula>
    </cfRule>
  </conditionalFormatting>
  <conditionalFormatting sqref="AC30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0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05">
    <cfRule type="expression" priority="1467" dxfId="3">
      <formula>AND(IF(OR($Q305=1,$Q305=2),1,0),IF($X305&lt;=20,1,0))</formula>
    </cfRule>
    <cfRule type="expression" priority="1468" dxfId="2">
      <formula>AND(IF($Q305=2,1,0),IF($X305&lt;30,1,0))</formula>
    </cfRule>
    <cfRule type="expression" priority="1469" dxfId="1">
      <formula>AND(IF($Q305=3,1,0),IF($X305&lt;30,1,0))</formula>
    </cfRule>
    <cfRule type="expression" priority="1470" dxfId="0">
      <formula>AND(IF($Q305=3,1,IF($Q305=4,1,0)),IF($F305&lt;=85,1,0))</formula>
    </cfRule>
  </conditionalFormatting>
  <conditionalFormatting sqref="X305">
    <cfRule type="expression" priority="1463" dxfId="3">
      <formula>AND(IF(OR($Q305=1,$Q305=2),1,0),IF($X305&lt;=20,1,0))</formula>
    </cfRule>
    <cfRule type="expression" priority="1464" dxfId="2">
      <formula>AND(IF($Q305=2,1,0),IF($X305&lt;30,1,0))</formula>
    </cfRule>
    <cfRule type="expression" priority="1465" dxfId="1">
      <formula>AND(IF($Q305=3,1,0),IF($X305&lt;30,1,0))</formula>
    </cfRule>
    <cfRule type="expression" priority="1466" dxfId="0">
      <formula>AND(IF($Q305=3,1,IF($Q305=4,1,0)),IF($F305&lt;=85,1,0))</formula>
    </cfRule>
  </conditionalFormatting>
  <conditionalFormatting sqref="AI305">
    <cfRule type="expression" priority="1459" dxfId="3">
      <formula>AND(IF(OR($Q305=1,$Q305=2),1,0),IF($X305&lt;=20,1,0))</formula>
    </cfRule>
    <cfRule type="expression" priority="1460" dxfId="2">
      <formula>AND(IF($Q305=2,1,0),IF($X305&lt;30,1,0))</formula>
    </cfRule>
    <cfRule type="expression" priority="1461" dxfId="1">
      <formula>AND(IF($Q305=3,1,0),IF($X305&lt;30,1,0))</formula>
    </cfRule>
    <cfRule type="expression" priority="1462" dxfId="0">
      <formula>AND(IF($Q305=3,1,IF($Q305=4,1,0)),IF($F305&lt;=85,1,0))</formula>
    </cfRule>
  </conditionalFormatting>
  <conditionalFormatting sqref="AV306">
    <cfRule type="expression" priority="1457" dxfId="19">
      <formula>AV306="X"</formula>
    </cfRule>
    <cfRule type="expression" priority="1458" dxfId="18">
      <formula>AV306="후보"</formula>
    </cfRule>
  </conditionalFormatting>
  <conditionalFormatting sqref="AC30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306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306">
    <cfRule type="expression" priority="1449" dxfId="3">
      <formula>AND(IF(OR($Q306=1,$Q306=2),1,0),IF($X306&lt;=20,1,0))</formula>
    </cfRule>
    <cfRule type="expression" priority="1450" dxfId="2">
      <formula>AND(IF($Q306=2,1,0),IF($X306&lt;30,1,0))</formula>
    </cfRule>
    <cfRule type="expression" priority="1451" dxfId="1">
      <formula>AND(IF($Q306=3,1,0),IF($X306&lt;30,1,0))</formula>
    </cfRule>
    <cfRule type="expression" priority="1452" dxfId="0">
      <formula>AND(IF($Q306=3,1,IF($Q306=4,1,0)),IF($F306&lt;=85,1,0))</formula>
    </cfRule>
  </conditionalFormatting>
  <conditionalFormatting sqref="X306">
    <cfRule type="expression" priority="1445" dxfId="3">
      <formula>AND(IF(OR($Q306=1,$Q306=2),1,0),IF($X306&lt;=20,1,0))</formula>
    </cfRule>
    <cfRule type="expression" priority="1446" dxfId="2">
      <formula>AND(IF($Q306=2,1,0),IF($X306&lt;30,1,0))</formula>
    </cfRule>
    <cfRule type="expression" priority="1447" dxfId="1">
      <formula>AND(IF($Q306=3,1,0),IF($X306&lt;30,1,0))</formula>
    </cfRule>
    <cfRule type="expression" priority="1448" dxfId="0">
      <formula>AND(IF($Q306=3,1,IF($Q306=4,1,0)),IF($F306&lt;=85,1,0))</formula>
    </cfRule>
  </conditionalFormatting>
  <conditionalFormatting sqref="AI306">
    <cfRule type="expression" priority="1441" dxfId="3">
      <formula>AND(IF(OR($Q306=1,$Q306=2),1,0),IF($X306&lt;=20,1,0))</formula>
    </cfRule>
    <cfRule type="expression" priority="1442" dxfId="2">
      <formula>AND(IF($Q306=2,1,0),IF($X306&lt;30,1,0))</formula>
    </cfRule>
    <cfRule type="expression" priority="1443" dxfId="1">
      <formula>AND(IF($Q306=3,1,0),IF($X306&lt;30,1,0))</formula>
    </cfRule>
    <cfRule type="expression" priority="1444" dxfId="0">
      <formula>AND(IF($Q306=3,1,IF($Q306=4,1,0)),IF($F306&lt;=85,1,0))</formula>
    </cfRule>
  </conditionalFormatting>
  <conditionalFormatting sqref="AV307">
    <cfRule type="expression" priority="1439" dxfId="19">
      <formula>AV307="X"</formula>
    </cfRule>
    <cfRule type="expression" priority="1440" dxfId="18">
      <formula>AV307="후보"</formula>
    </cfRule>
  </conditionalFormatting>
  <conditionalFormatting sqref="AC30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307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307">
    <cfRule type="expression" priority="1431" dxfId="3">
      <formula>AND(IF(OR($Q307=1,$Q307=2),1,0),IF($X307&lt;=20,1,0))</formula>
    </cfRule>
    <cfRule type="expression" priority="1432" dxfId="2">
      <formula>AND(IF($Q307=2,1,0),IF($X307&lt;30,1,0))</formula>
    </cfRule>
    <cfRule type="expression" priority="1433" dxfId="1">
      <formula>AND(IF($Q307=3,1,0),IF($X307&lt;30,1,0))</formula>
    </cfRule>
    <cfRule type="expression" priority="1434" dxfId="0">
      <formula>AND(IF($Q307=3,1,IF($Q307=4,1,0)),IF($F307&lt;=85,1,0))</formula>
    </cfRule>
  </conditionalFormatting>
  <conditionalFormatting sqref="X307">
    <cfRule type="expression" priority="1427" dxfId="3">
      <formula>AND(IF(OR($Q307=1,$Q307=2),1,0),IF($X307&lt;=20,1,0))</formula>
    </cfRule>
    <cfRule type="expression" priority="1428" dxfId="2">
      <formula>AND(IF($Q307=2,1,0),IF($X307&lt;30,1,0))</formula>
    </cfRule>
    <cfRule type="expression" priority="1429" dxfId="1">
      <formula>AND(IF($Q307=3,1,0),IF($X307&lt;30,1,0))</formula>
    </cfRule>
    <cfRule type="expression" priority="1430" dxfId="0">
      <formula>AND(IF($Q307=3,1,IF($Q307=4,1,0)),IF($F307&lt;=85,1,0))</formula>
    </cfRule>
  </conditionalFormatting>
  <conditionalFormatting sqref="AI307">
    <cfRule type="expression" priority="1423" dxfId="3">
      <formula>AND(IF(OR($Q307=1,$Q307=2),1,0),IF($X307&lt;=20,1,0))</formula>
    </cfRule>
    <cfRule type="expression" priority="1424" dxfId="2">
      <formula>AND(IF($Q307=2,1,0),IF($X307&lt;30,1,0))</formula>
    </cfRule>
    <cfRule type="expression" priority="1425" dxfId="1">
      <formula>AND(IF($Q307=3,1,0),IF($X307&lt;30,1,0))</formula>
    </cfRule>
    <cfRule type="expression" priority="1426" dxfId="0">
      <formula>AND(IF($Q307=3,1,IF($Q307=4,1,0)),IF($F307&lt;=85,1,0))</formula>
    </cfRule>
  </conditionalFormatting>
  <conditionalFormatting sqref="AV308">
    <cfRule type="expression" priority="1421" dxfId="19">
      <formula>AV308="X"</formula>
    </cfRule>
    <cfRule type="expression" priority="1422" dxfId="18">
      <formula>AV308="후보"</formula>
    </cfRule>
  </conditionalFormatting>
  <conditionalFormatting sqref="AC30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30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308">
    <cfRule type="expression" priority="1413" dxfId="3">
      <formula>AND(IF(OR($Q308=1,$Q308=2),1,0),IF($X308&lt;=20,1,0))</formula>
    </cfRule>
    <cfRule type="expression" priority="1414" dxfId="2">
      <formula>AND(IF($Q308=2,1,0),IF($X308&lt;30,1,0))</formula>
    </cfRule>
    <cfRule type="expression" priority="1415" dxfId="1">
      <formula>AND(IF($Q308=3,1,0),IF($X308&lt;30,1,0))</formula>
    </cfRule>
    <cfRule type="expression" priority="1416" dxfId="0">
      <formula>AND(IF($Q308=3,1,IF($Q308=4,1,0)),IF($F308&lt;=85,1,0))</formula>
    </cfRule>
  </conditionalFormatting>
  <conditionalFormatting sqref="X308">
    <cfRule type="expression" priority="1409" dxfId="3">
      <formula>AND(IF(OR($Q308=1,$Q308=2),1,0),IF($X308&lt;=20,1,0))</formula>
    </cfRule>
    <cfRule type="expression" priority="1410" dxfId="2">
      <formula>AND(IF($Q308=2,1,0),IF($X308&lt;30,1,0))</formula>
    </cfRule>
    <cfRule type="expression" priority="1411" dxfId="1">
      <formula>AND(IF($Q308=3,1,0),IF($X308&lt;30,1,0))</formula>
    </cfRule>
    <cfRule type="expression" priority="1412" dxfId="0">
      <formula>AND(IF($Q308=3,1,IF($Q308=4,1,0)),IF($F308&lt;=85,1,0))</formula>
    </cfRule>
  </conditionalFormatting>
  <conditionalFormatting sqref="AI308">
    <cfRule type="expression" priority="1405" dxfId="3">
      <formula>AND(IF(OR($Q308=1,$Q308=2),1,0),IF($X308&lt;=20,1,0))</formula>
    </cfRule>
    <cfRule type="expression" priority="1406" dxfId="2">
      <formula>AND(IF($Q308=2,1,0),IF($X308&lt;30,1,0))</formula>
    </cfRule>
    <cfRule type="expression" priority="1407" dxfId="1">
      <formula>AND(IF($Q308=3,1,0),IF($X308&lt;30,1,0))</formula>
    </cfRule>
    <cfRule type="expression" priority="1408" dxfId="0">
      <formula>AND(IF($Q308=3,1,IF($Q308=4,1,0)),IF($F308&lt;=85,1,0))</formula>
    </cfRule>
  </conditionalFormatting>
  <conditionalFormatting sqref="AV309">
    <cfRule type="expression" priority="1403" dxfId="19">
      <formula>AV309="X"</formula>
    </cfRule>
    <cfRule type="expression" priority="1404" dxfId="18">
      <formula>AV309="후보"</formula>
    </cfRule>
  </conditionalFormatting>
  <conditionalFormatting sqref="AC30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30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09">
    <cfRule type="expression" priority="1395" dxfId="3">
      <formula>AND(IF(OR($Q309=1,$Q309=2),1,0),IF($X309&lt;=20,1,0))</formula>
    </cfRule>
    <cfRule type="expression" priority="1396" dxfId="2">
      <formula>AND(IF($Q309=2,1,0),IF($X309&lt;30,1,0))</formula>
    </cfRule>
    <cfRule type="expression" priority="1397" dxfId="1">
      <formula>AND(IF($Q309=3,1,0),IF($X309&lt;30,1,0))</formula>
    </cfRule>
    <cfRule type="expression" priority="1398" dxfId="0">
      <formula>AND(IF($Q309=3,1,IF($Q309=4,1,0)),IF($F309&lt;=85,1,0))</formula>
    </cfRule>
  </conditionalFormatting>
  <conditionalFormatting sqref="X309">
    <cfRule type="expression" priority="1391" dxfId="3">
      <formula>AND(IF(OR($Q309=1,$Q309=2),1,0),IF($X309&lt;=20,1,0))</formula>
    </cfRule>
    <cfRule type="expression" priority="1392" dxfId="2">
      <formula>AND(IF($Q309=2,1,0),IF($X309&lt;30,1,0))</formula>
    </cfRule>
    <cfRule type="expression" priority="1393" dxfId="1">
      <formula>AND(IF($Q309=3,1,0),IF($X309&lt;30,1,0))</formula>
    </cfRule>
    <cfRule type="expression" priority="1394" dxfId="0">
      <formula>AND(IF($Q309=3,1,IF($Q309=4,1,0)),IF($F309&lt;=85,1,0))</formula>
    </cfRule>
  </conditionalFormatting>
  <conditionalFormatting sqref="AI309">
    <cfRule type="expression" priority="1387" dxfId="3">
      <formula>AND(IF(OR($Q309=1,$Q309=2),1,0),IF($X309&lt;=20,1,0))</formula>
    </cfRule>
    <cfRule type="expression" priority="1388" dxfId="2">
      <formula>AND(IF($Q309=2,1,0),IF($X309&lt;30,1,0))</formula>
    </cfRule>
    <cfRule type="expression" priority="1389" dxfId="1">
      <formula>AND(IF($Q309=3,1,0),IF($X309&lt;30,1,0))</formula>
    </cfRule>
    <cfRule type="expression" priority="1390" dxfId="0">
      <formula>AND(IF($Q309=3,1,IF($Q309=4,1,0)),IF($F309&lt;=85,1,0))</formula>
    </cfRule>
  </conditionalFormatting>
  <conditionalFormatting sqref="AV310">
    <cfRule type="expression" priority="1385" dxfId="19">
      <formula>AV310="X"</formula>
    </cfRule>
    <cfRule type="expression" priority="1386" dxfId="18">
      <formula>AV310="후보"</formula>
    </cfRule>
  </conditionalFormatting>
  <conditionalFormatting sqref="AC3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3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310">
    <cfRule type="expression" priority="1377" dxfId="3">
      <formula>AND(IF(OR($Q310=1,$Q310=2),1,0),IF($X310&lt;=20,1,0))</formula>
    </cfRule>
    <cfRule type="expression" priority="1378" dxfId="2">
      <formula>AND(IF($Q310=2,1,0),IF($X310&lt;30,1,0))</formula>
    </cfRule>
    <cfRule type="expression" priority="1379" dxfId="1">
      <formula>AND(IF($Q310=3,1,0),IF($X310&lt;30,1,0))</formula>
    </cfRule>
    <cfRule type="expression" priority="1380" dxfId="0">
      <formula>AND(IF($Q310=3,1,IF($Q310=4,1,0)),IF($F310&lt;=85,1,0))</formula>
    </cfRule>
  </conditionalFormatting>
  <conditionalFormatting sqref="X310">
    <cfRule type="expression" priority="1373" dxfId="3">
      <formula>AND(IF(OR($Q310=1,$Q310=2),1,0),IF($X310&lt;=20,1,0))</formula>
    </cfRule>
    <cfRule type="expression" priority="1374" dxfId="2">
      <formula>AND(IF($Q310=2,1,0),IF($X310&lt;30,1,0))</formula>
    </cfRule>
    <cfRule type="expression" priority="1375" dxfId="1">
      <formula>AND(IF($Q310=3,1,0),IF($X310&lt;30,1,0))</formula>
    </cfRule>
    <cfRule type="expression" priority="1376" dxfId="0">
      <formula>AND(IF($Q310=3,1,IF($Q310=4,1,0)),IF($F310&lt;=85,1,0))</formula>
    </cfRule>
  </conditionalFormatting>
  <conditionalFormatting sqref="AI310">
    <cfRule type="expression" priority="1369" dxfId="3">
      <formula>AND(IF(OR($Q310=1,$Q310=2),1,0),IF($X310&lt;=20,1,0))</formula>
    </cfRule>
    <cfRule type="expression" priority="1370" dxfId="2">
      <formula>AND(IF($Q310=2,1,0),IF($X310&lt;30,1,0))</formula>
    </cfRule>
    <cfRule type="expression" priority="1371" dxfId="1">
      <formula>AND(IF($Q310=3,1,0),IF($X310&lt;30,1,0))</formula>
    </cfRule>
    <cfRule type="expression" priority="1372" dxfId="0">
      <formula>AND(IF($Q310=3,1,IF($Q310=4,1,0)),IF($F310&lt;=85,1,0))</formula>
    </cfRule>
  </conditionalFormatting>
  <conditionalFormatting sqref="AV311">
    <cfRule type="expression" priority="1367" dxfId="19">
      <formula>AV311="X"</formula>
    </cfRule>
    <cfRule type="expression" priority="1368" dxfId="18">
      <formula>AV311="후보"</formula>
    </cfRule>
  </conditionalFormatting>
  <conditionalFormatting sqref="AC311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31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311">
    <cfRule type="expression" priority="1359" dxfId="3">
      <formula>AND(IF(OR($Q311=1,$Q311=2),1,0),IF($X311&lt;=20,1,0))</formula>
    </cfRule>
    <cfRule type="expression" priority="1360" dxfId="2">
      <formula>AND(IF($Q311=2,1,0),IF($X311&lt;30,1,0))</formula>
    </cfRule>
    <cfRule type="expression" priority="1361" dxfId="1">
      <formula>AND(IF($Q311=3,1,0),IF($X311&lt;30,1,0))</formula>
    </cfRule>
    <cfRule type="expression" priority="1362" dxfId="0">
      <formula>AND(IF($Q311=3,1,IF($Q311=4,1,0)),IF($F311&lt;=85,1,0))</formula>
    </cfRule>
  </conditionalFormatting>
  <conditionalFormatting sqref="X311">
    <cfRule type="expression" priority="1355" dxfId="3">
      <formula>AND(IF(OR($Q311=1,$Q311=2),1,0),IF($X311&lt;=20,1,0))</formula>
    </cfRule>
    <cfRule type="expression" priority="1356" dxfId="2">
      <formula>AND(IF($Q311=2,1,0),IF($X311&lt;30,1,0))</formula>
    </cfRule>
    <cfRule type="expression" priority="1357" dxfId="1">
      <formula>AND(IF($Q311=3,1,0),IF($X311&lt;30,1,0))</formula>
    </cfRule>
    <cfRule type="expression" priority="1358" dxfId="0">
      <formula>AND(IF($Q311=3,1,IF($Q311=4,1,0)),IF($F311&lt;=85,1,0))</formula>
    </cfRule>
  </conditionalFormatting>
  <conditionalFormatting sqref="AI311">
    <cfRule type="expression" priority="1351" dxfId="3">
      <formula>AND(IF(OR($Q311=1,$Q311=2),1,0),IF($X311&lt;=20,1,0))</formula>
    </cfRule>
    <cfRule type="expression" priority="1352" dxfId="2">
      <formula>AND(IF($Q311=2,1,0),IF($X311&lt;30,1,0))</formula>
    </cfRule>
    <cfRule type="expression" priority="1353" dxfId="1">
      <formula>AND(IF($Q311=3,1,0),IF($X311&lt;30,1,0))</formula>
    </cfRule>
    <cfRule type="expression" priority="1354" dxfId="0">
      <formula>AND(IF($Q311=3,1,IF($Q311=4,1,0)),IF($F311&lt;=85,1,0))</formula>
    </cfRule>
  </conditionalFormatting>
  <conditionalFormatting sqref="AV312">
    <cfRule type="expression" priority="1349" dxfId="19">
      <formula>AV312="X"</formula>
    </cfRule>
    <cfRule type="expression" priority="1350" dxfId="18">
      <formula>AV312="후보"</formula>
    </cfRule>
  </conditionalFormatting>
  <conditionalFormatting sqref="AC3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1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12">
    <cfRule type="expression" priority="1341" dxfId="3">
      <formula>AND(IF(OR($Q312=1,$Q312=2),1,0),IF($X312&lt;=20,1,0))</formula>
    </cfRule>
    <cfRule type="expression" priority="1342" dxfId="2">
      <formula>AND(IF($Q312=2,1,0),IF($X312&lt;30,1,0))</formula>
    </cfRule>
    <cfRule type="expression" priority="1343" dxfId="1">
      <formula>AND(IF($Q312=3,1,0),IF($X312&lt;30,1,0))</formula>
    </cfRule>
    <cfRule type="expression" priority="1344" dxfId="0">
      <formula>AND(IF($Q312=3,1,IF($Q312=4,1,0)),IF($F312&lt;=85,1,0))</formula>
    </cfRule>
  </conditionalFormatting>
  <conditionalFormatting sqref="X312">
    <cfRule type="expression" priority="1337" dxfId="3">
      <formula>AND(IF(OR($Q312=1,$Q312=2),1,0),IF($X312&lt;=20,1,0))</formula>
    </cfRule>
    <cfRule type="expression" priority="1338" dxfId="2">
      <formula>AND(IF($Q312=2,1,0),IF($X312&lt;30,1,0))</formula>
    </cfRule>
    <cfRule type="expression" priority="1339" dxfId="1">
      <formula>AND(IF($Q312=3,1,0),IF($X312&lt;30,1,0))</formula>
    </cfRule>
    <cfRule type="expression" priority="1340" dxfId="0">
      <formula>AND(IF($Q312=3,1,IF($Q312=4,1,0)),IF($F312&lt;=85,1,0))</formula>
    </cfRule>
  </conditionalFormatting>
  <conditionalFormatting sqref="AI312">
    <cfRule type="expression" priority="1333" dxfId="3">
      <formula>AND(IF(OR($Q312=1,$Q312=2),1,0),IF($X312&lt;=20,1,0))</formula>
    </cfRule>
    <cfRule type="expression" priority="1334" dxfId="2">
      <formula>AND(IF($Q312=2,1,0),IF($X312&lt;30,1,0))</formula>
    </cfRule>
    <cfRule type="expression" priority="1335" dxfId="1">
      <formula>AND(IF($Q312=3,1,0),IF($X312&lt;30,1,0))</formula>
    </cfRule>
    <cfRule type="expression" priority="1336" dxfId="0">
      <formula>AND(IF($Q312=3,1,IF($Q312=4,1,0)),IF($F312&lt;=85,1,0))</formula>
    </cfRule>
  </conditionalFormatting>
  <conditionalFormatting sqref="AV313">
    <cfRule type="expression" priority="1331" dxfId="19">
      <formula>AV313="X"</formula>
    </cfRule>
    <cfRule type="expression" priority="1332" dxfId="18">
      <formula>AV313="후보"</formula>
    </cfRule>
  </conditionalFormatting>
  <conditionalFormatting sqref="AC31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13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13">
    <cfRule type="expression" priority="1323" dxfId="3">
      <formula>AND(IF(OR($Q313=1,$Q313=2),1,0),IF($X313&lt;=20,1,0))</formula>
    </cfRule>
    <cfRule type="expression" priority="1324" dxfId="2">
      <formula>AND(IF($Q313=2,1,0),IF($X313&lt;30,1,0))</formula>
    </cfRule>
    <cfRule type="expression" priority="1325" dxfId="1">
      <formula>AND(IF($Q313=3,1,0),IF($X313&lt;30,1,0))</formula>
    </cfRule>
    <cfRule type="expression" priority="1326" dxfId="0">
      <formula>AND(IF($Q313=3,1,IF($Q313=4,1,0)),IF($F313&lt;=85,1,0))</formula>
    </cfRule>
  </conditionalFormatting>
  <conditionalFormatting sqref="X313">
    <cfRule type="expression" priority="1319" dxfId="3">
      <formula>AND(IF(OR($Q313=1,$Q313=2),1,0),IF($X313&lt;=20,1,0))</formula>
    </cfRule>
    <cfRule type="expression" priority="1320" dxfId="2">
      <formula>AND(IF($Q313=2,1,0),IF($X313&lt;30,1,0))</formula>
    </cfRule>
    <cfRule type="expression" priority="1321" dxfId="1">
      <formula>AND(IF($Q313=3,1,0),IF($X313&lt;30,1,0))</formula>
    </cfRule>
    <cfRule type="expression" priority="1322" dxfId="0">
      <formula>AND(IF($Q313=3,1,IF($Q313=4,1,0)),IF($F313&lt;=85,1,0))</formula>
    </cfRule>
  </conditionalFormatting>
  <conditionalFormatting sqref="AI313">
    <cfRule type="expression" priority="1315" dxfId="3">
      <formula>AND(IF(OR($Q313=1,$Q313=2),1,0),IF($X313&lt;=20,1,0))</formula>
    </cfRule>
    <cfRule type="expression" priority="1316" dxfId="2">
      <formula>AND(IF($Q313=2,1,0),IF($X313&lt;30,1,0))</formula>
    </cfRule>
    <cfRule type="expression" priority="1317" dxfId="1">
      <formula>AND(IF($Q313=3,1,0),IF($X313&lt;30,1,0))</formula>
    </cfRule>
    <cfRule type="expression" priority="1318" dxfId="0">
      <formula>AND(IF($Q313=3,1,IF($Q313=4,1,0)),IF($F313&lt;=85,1,0))</formula>
    </cfRule>
  </conditionalFormatting>
  <conditionalFormatting sqref="AV314">
    <cfRule type="expression" priority="1313" dxfId="19">
      <formula>AV314="X"</formula>
    </cfRule>
    <cfRule type="expression" priority="1314" dxfId="18">
      <formula>AV314="후보"</formula>
    </cfRule>
  </conditionalFormatting>
  <conditionalFormatting sqref="AC31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1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14">
    <cfRule type="expression" priority="1305" dxfId="3">
      <formula>AND(IF(OR($Q314=1,$Q314=2),1,0),IF($X314&lt;=20,1,0))</formula>
    </cfRule>
    <cfRule type="expression" priority="1306" dxfId="2">
      <formula>AND(IF($Q314=2,1,0),IF($X314&lt;30,1,0))</formula>
    </cfRule>
    <cfRule type="expression" priority="1307" dxfId="1">
      <formula>AND(IF($Q314=3,1,0),IF($X314&lt;30,1,0))</formula>
    </cfRule>
    <cfRule type="expression" priority="1308" dxfId="0">
      <formula>AND(IF($Q314=3,1,IF($Q314=4,1,0)),IF($F314&lt;=85,1,0))</formula>
    </cfRule>
  </conditionalFormatting>
  <conditionalFormatting sqref="X314">
    <cfRule type="expression" priority="1301" dxfId="3">
      <formula>AND(IF(OR($Q314=1,$Q314=2),1,0),IF($X314&lt;=20,1,0))</formula>
    </cfRule>
    <cfRule type="expression" priority="1302" dxfId="2">
      <formula>AND(IF($Q314=2,1,0),IF($X314&lt;30,1,0))</formula>
    </cfRule>
    <cfRule type="expression" priority="1303" dxfId="1">
      <formula>AND(IF($Q314=3,1,0),IF($X314&lt;30,1,0))</formula>
    </cfRule>
    <cfRule type="expression" priority="1304" dxfId="0">
      <formula>AND(IF($Q314=3,1,IF($Q314=4,1,0)),IF($F314&lt;=85,1,0))</formula>
    </cfRule>
  </conditionalFormatting>
  <conditionalFormatting sqref="AI314">
    <cfRule type="expression" priority="1297" dxfId="3">
      <formula>AND(IF(OR($Q314=1,$Q314=2),1,0),IF($X314&lt;=20,1,0))</formula>
    </cfRule>
    <cfRule type="expression" priority="1298" dxfId="2">
      <formula>AND(IF($Q314=2,1,0),IF($X314&lt;30,1,0))</formula>
    </cfRule>
    <cfRule type="expression" priority="1299" dxfId="1">
      <formula>AND(IF($Q314=3,1,0),IF($X314&lt;30,1,0))</formula>
    </cfRule>
    <cfRule type="expression" priority="1300" dxfId="0">
      <formula>AND(IF($Q314=3,1,IF($Q314=4,1,0)),IF($F314&lt;=85,1,0))</formula>
    </cfRule>
  </conditionalFormatting>
  <conditionalFormatting sqref="AV315">
    <cfRule type="expression" priority="1295" dxfId="19">
      <formula>AV315="X"</formula>
    </cfRule>
    <cfRule type="expression" priority="1296" dxfId="18">
      <formula>AV315="후보"</formula>
    </cfRule>
  </conditionalFormatting>
  <conditionalFormatting sqref="AC3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1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15">
    <cfRule type="expression" priority="1287" dxfId="3">
      <formula>AND(IF(OR($Q315=1,$Q315=2),1,0),IF($X315&lt;=20,1,0))</formula>
    </cfRule>
    <cfRule type="expression" priority="1288" dxfId="2">
      <formula>AND(IF($Q315=2,1,0),IF($X315&lt;30,1,0))</formula>
    </cfRule>
    <cfRule type="expression" priority="1289" dxfId="1">
      <formula>AND(IF($Q315=3,1,0),IF($X315&lt;30,1,0))</formula>
    </cfRule>
    <cfRule type="expression" priority="1290" dxfId="0">
      <formula>AND(IF($Q315=3,1,IF($Q315=4,1,0)),IF($F315&lt;=85,1,0))</formula>
    </cfRule>
  </conditionalFormatting>
  <conditionalFormatting sqref="X315">
    <cfRule type="expression" priority="1283" dxfId="3">
      <formula>AND(IF(OR($Q315=1,$Q315=2),1,0),IF($X315&lt;=20,1,0))</formula>
    </cfRule>
    <cfRule type="expression" priority="1284" dxfId="2">
      <formula>AND(IF($Q315=2,1,0),IF($X315&lt;30,1,0))</formula>
    </cfRule>
    <cfRule type="expression" priority="1285" dxfId="1">
      <formula>AND(IF($Q315=3,1,0),IF($X315&lt;30,1,0))</formula>
    </cfRule>
    <cfRule type="expression" priority="1286" dxfId="0">
      <formula>AND(IF($Q315=3,1,IF($Q315=4,1,0)),IF($F315&lt;=85,1,0))</formula>
    </cfRule>
  </conditionalFormatting>
  <conditionalFormatting sqref="AI315">
    <cfRule type="expression" priority="1279" dxfId="3">
      <formula>AND(IF(OR($Q315=1,$Q315=2),1,0),IF($X315&lt;=20,1,0))</formula>
    </cfRule>
    <cfRule type="expression" priority="1280" dxfId="2">
      <formula>AND(IF($Q315=2,1,0),IF($X315&lt;30,1,0))</formula>
    </cfRule>
    <cfRule type="expression" priority="1281" dxfId="1">
      <formula>AND(IF($Q315=3,1,0),IF($X315&lt;30,1,0))</formula>
    </cfRule>
    <cfRule type="expression" priority="1282" dxfId="0">
      <formula>AND(IF($Q315=3,1,IF($Q315=4,1,0)),IF($F315&lt;=85,1,0))</formula>
    </cfRule>
  </conditionalFormatting>
  <conditionalFormatting sqref="AV316">
    <cfRule type="expression" priority="1277" dxfId="19">
      <formula>AV316="X"</formula>
    </cfRule>
    <cfRule type="expression" priority="1278" dxfId="18">
      <formula>AV316="후보"</formula>
    </cfRule>
  </conditionalFormatting>
  <conditionalFormatting sqref="AC31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1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16">
    <cfRule type="expression" priority="1269" dxfId="3">
      <formula>AND(IF(OR($Q316=1,$Q316=2),1,0),IF($X316&lt;=20,1,0))</formula>
    </cfRule>
    <cfRule type="expression" priority="1270" dxfId="2">
      <formula>AND(IF($Q316=2,1,0),IF($X316&lt;30,1,0))</formula>
    </cfRule>
    <cfRule type="expression" priority="1271" dxfId="1">
      <formula>AND(IF($Q316=3,1,0),IF($X316&lt;30,1,0))</formula>
    </cfRule>
    <cfRule type="expression" priority="1272" dxfId="0">
      <formula>AND(IF($Q316=3,1,IF($Q316=4,1,0)),IF($F316&lt;=85,1,0))</formula>
    </cfRule>
  </conditionalFormatting>
  <conditionalFormatting sqref="X316">
    <cfRule type="expression" priority="1265" dxfId="3">
      <formula>AND(IF(OR($Q316=1,$Q316=2),1,0),IF($X316&lt;=20,1,0))</formula>
    </cfRule>
    <cfRule type="expression" priority="1266" dxfId="2">
      <formula>AND(IF($Q316=2,1,0),IF($X316&lt;30,1,0))</formula>
    </cfRule>
    <cfRule type="expression" priority="1267" dxfId="1">
      <formula>AND(IF($Q316=3,1,0),IF($X316&lt;30,1,0))</formula>
    </cfRule>
    <cfRule type="expression" priority="1268" dxfId="0">
      <formula>AND(IF($Q316=3,1,IF($Q316=4,1,0)),IF($F316&lt;=85,1,0))</formula>
    </cfRule>
  </conditionalFormatting>
  <conditionalFormatting sqref="AI316">
    <cfRule type="expression" priority="1261" dxfId="3">
      <formula>AND(IF(OR($Q316=1,$Q316=2),1,0),IF($X316&lt;=20,1,0))</formula>
    </cfRule>
    <cfRule type="expression" priority="1262" dxfId="2">
      <formula>AND(IF($Q316=2,1,0),IF($X316&lt;30,1,0))</formula>
    </cfRule>
    <cfRule type="expression" priority="1263" dxfId="1">
      <formula>AND(IF($Q316=3,1,0),IF($X316&lt;30,1,0))</formula>
    </cfRule>
    <cfRule type="expression" priority="1264" dxfId="0">
      <formula>AND(IF($Q316=3,1,IF($Q316=4,1,0)),IF($F316&lt;=85,1,0))</formula>
    </cfRule>
  </conditionalFormatting>
  <conditionalFormatting sqref="AV317">
    <cfRule type="expression" priority="1259" dxfId="19">
      <formula>AV317="X"</formula>
    </cfRule>
    <cfRule type="expression" priority="1260" dxfId="18">
      <formula>AV317="후보"</formula>
    </cfRule>
  </conditionalFormatting>
  <conditionalFormatting sqref="AC3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17">
    <cfRule type="expression" priority="1251" dxfId="3">
      <formula>AND(IF(OR($Q317=1,$Q317=2),1,0),IF($X317&lt;=20,1,0))</formula>
    </cfRule>
    <cfRule type="expression" priority="1252" dxfId="2">
      <formula>AND(IF($Q317=2,1,0),IF($X317&lt;30,1,0))</formula>
    </cfRule>
    <cfRule type="expression" priority="1253" dxfId="1">
      <formula>AND(IF($Q317=3,1,0),IF($X317&lt;30,1,0))</formula>
    </cfRule>
    <cfRule type="expression" priority="1254" dxfId="0">
      <formula>AND(IF($Q317=3,1,IF($Q317=4,1,0)),IF($F317&lt;=85,1,0))</formula>
    </cfRule>
  </conditionalFormatting>
  <conditionalFormatting sqref="X317">
    <cfRule type="expression" priority="1247" dxfId="3">
      <formula>AND(IF(OR($Q317=1,$Q317=2),1,0),IF($X317&lt;=20,1,0))</formula>
    </cfRule>
    <cfRule type="expression" priority="1248" dxfId="2">
      <formula>AND(IF($Q317=2,1,0),IF($X317&lt;30,1,0))</formula>
    </cfRule>
    <cfRule type="expression" priority="1249" dxfId="1">
      <formula>AND(IF($Q317=3,1,0),IF($X317&lt;30,1,0))</formula>
    </cfRule>
    <cfRule type="expression" priority="1250" dxfId="0">
      <formula>AND(IF($Q317=3,1,IF($Q317=4,1,0)),IF($F317&lt;=85,1,0))</formula>
    </cfRule>
  </conditionalFormatting>
  <conditionalFormatting sqref="AI317">
    <cfRule type="expression" priority="1243" dxfId="3">
      <formula>AND(IF(OR($Q317=1,$Q317=2),1,0),IF($X317&lt;=20,1,0))</formula>
    </cfRule>
    <cfRule type="expression" priority="1244" dxfId="2">
      <formula>AND(IF($Q317=2,1,0),IF($X317&lt;30,1,0))</formula>
    </cfRule>
    <cfRule type="expression" priority="1245" dxfId="1">
      <formula>AND(IF($Q317=3,1,0),IF($X317&lt;30,1,0))</formula>
    </cfRule>
    <cfRule type="expression" priority="1246" dxfId="0">
      <formula>AND(IF($Q317=3,1,IF($Q317=4,1,0)),IF($F317&lt;=85,1,0))</formula>
    </cfRule>
  </conditionalFormatting>
  <conditionalFormatting sqref="AV318">
    <cfRule type="expression" priority="1241" dxfId="19">
      <formula>AV318="X"</formula>
    </cfRule>
    <cfRule type="expression" priority="1242" dxfId="18">
      <formula>AV318="후보"</formula>
    </cfRule>
  </conditionalFormatting>
  <conditionalFormatting sqref="AC31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1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18">
    <cfRule type="expression" priority="1233" dxfId="3">
      <formula>AND(IF(OR($Q318=1,$Q318=2),1,0),IF($X318&lt;=20,1,0))</formula>
    </cfRule>
    <cfRule type="expression" priority="1234" dxfId="2">
      <formula>AND(IF($Q318=2,1,0),IF($X318&lt;30,1,0))</formula>
    </cfRule>
    <cfRule type="expression" priority="1235" dxfId="1">
      <formula>AND(IF($Q318=3,1,0),IF($X318&lt;30,1,0))</formula>
    </cfRule>
    <cfRule type="expression" priority="1236" dxfId="0">
      <formula>AND(IF($Q318=3,1,IF($Q318=4,1,0)),IF($F318&lt;=85,1,0))</formula>
    </cfRule>
  </conditionalFormatting>
  <conditionalFormatting sqref="X318">
    <cfRule type="expression" priority="1229" dxfId="3">
      <formula>AND(IF(OR($Q318=1,$Q318=2),1,0),IF($X318&lt;=20,1,0))</formula>
    </cfRule>
    <cfRule type="expression" priority="1230" dxfId="2">
      <formula>AND(IF($Q318=2,1,0),IF($X318&lt;30,1,0))</formula>
    </cfRule>
    <cfRule type="expression" priority="1231" dxfId="1">
      <formula>AND(IF($Q318=3,1,0),IF($X318&lt;30,1,0))</formula>
    </cfRule>
    <cfRule type="expression" priority="1232" dxfId="0">
      <formula>AND(IF($Q318=3,1,IF($Q318=4,1,0)),IF($F318&lt;=85,1,0))</formula>
    </cfRule>
  </conditionalFormatting>
  <conditionalFormatting sqref="AI318">
    <cfRule type="expression" priority="1225" dxfId="3">
      <formula>AND(IF(OR($Q318=1,$Q318=2),1,0),IF($X318&lt;=20,1,0))</formula>
    </cfRule>
    <cfRule type="expression" priority="1226" dxfId="2">
      <formula>AND(IF($Q318=2,1,0),IF($X318&lt;30,1,0))</formula>
    </cfRule>
    <cfRule type="expression" priority="1227" dxfId="1">
      <formula>AND(IF($Q318=3,1,0),IF($X318&lt;30,1,0))</formula>
    </cfRule>
    <cfRule type="expression" priority="1228" dxfId="0">
      <formula>AND(IF($Q318=3,1,IF($Q318=4,1,0)),IF($F318&lt;=85,1,0))</formula>
    </cfRule>
  </conditionalFormatting>
  <conditionalFormatting sqref="AV319">
    <cfRule type="expression" priority="1223" dxfId="19">
      <formula>AV319="X"</formula>
    </cfRule>
    <cfRule type="expression" priority="1224" dxfId="18">
      <formula>AV319="후보"</formula>
    </cfRule>
  </conditionalFormatting>
  <conditionalFormatting sqref="AC31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19">
    <cfRule type="expression" priority="1215" dxfId="3">
      <formula>AND(IF(OR($Q319=1,$Q319=2),1,0),IF($X319&lt;=20,1,0))</formula>
    </cfRule>
    <cfRule type="expression" priority="1216" dxfId="2">
      <formula>AND(IF($Q319=2,1,0),IF($X319&lt;30,1,0))</formula>
    </cfRule>
    <cfRule type="expression" priority="1217" dxfId="1">
      <formula>AND(IF($Q319=3,1,0),IF($X319&lt;30,1,0))</formula>
    </cfRule>
    <cfRule type="expression" priority="1218" dxfId="0">
      <formula>AND(IF($Q319=3,1,IF($Q319=4,1,0)),IF($F319&lt;=85,1,0))</formula>
    </cfRule>
  </conditionalFormatting>
  <conditionalFormatting sqref="X319">
    <cfRule type="expression" priority="1211" dxfId="3">
      <formula>AND(IF(OR($Q319=1,$Q319=2),1,0),IF($X319&lt;=20,1,0))</formula>
    </cfRule>
    <cfRule type="expression" priority="1212" dxfId="2">
      <formula>AND(IF($Q319=2,1,0),IF($X319&lt;30,1,0))</formula>
    </cfRule>
    <cfRule type="expression" priority="1213" dxfId="1">
      <formula>AND(IF($Q319=3,1,0),IF($X319&lt;30,1,0))</formula>
    </cfRule>
    <cfRule type="expression" priority="1214" dxfId="0">
      <formula>AND(IF($Q319=3,1,IF($Q319=4,1,0)),IF($F319&lt;=85,1,0))</formula>
    </cfRule>
  </conditionalFormatting>
  <conditionalFormatting sqref="AI319">
    <cfRule type="expression" priority="1207" dxfId="3">
      <formula>AND(IF(OR($Q319=1,$Q319=2),1,0),IF($X319&lt;=20,1,0))</formula>
    </cfRule>
    <cfRule type="expression" priority="1208" dxfId="2">
      <formula>AND(IF($Q319=2,1,0),IF($X319&lt;30,1,0))</formula>
    </cfRule>
    <cfRule type="expression" priority="1209" dxfId="1">
      <formula>AND(IF($Q319=3,1,0),IF($X319&lt;30,1,0))</formula>
    </cfRule>
    <cfRule type="expression" priority="1210" dxfId="0">
      <formula>AND(IF($Q319=3,1,IF($Q319=4,1,0)),IF($F319&lt;=85,1,0))</formula>
    </cfRule>
  </conditionalFormatting>
  <conditionalFormatting sqref="AV320">
    <cfRule type="expression" priority="1205" dxfId="19">
      <formula>AV320="X"</formula>
    </cfRule>
    <cfRule type="expression" priority="1206" dxfId="18">
      <formula>AV320="후보"</formula>
    </cfRule>
  </conditionalFormatting>
  <conditionalFormatting sqref="AC3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2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20">
    <cfRule type="expression" priority="1197" dxfId="3">
      <formula>AND(IF(OR($Q320=1,$Q320=2),1,0),IF($X320&lt;=20,1,0))</formula>
    </cfRule>
    <cfRule type="expression" priority="1198" dxfId="2">
      <formula>AND(IF($Q320=2,1,0),IF($X320&lt;30,1,0))</formula>
    </cfRule>
    <cfRule type="expression" priority="1199" dxfId="1">
      <formula>AND(IF($Q320=3,1,0),IF($X320&lt;30,1,0))</formula>
    </cfRule>
    <cfRule type="expression" priority="1200" dxfId="0">
      <formula>AND(IF($Q320=3,1,IF($Q320=4,1,0)),IF($F320&lt;=85,1,0))</formula>
    </cfRule>
  </conditionalFormatting>
  <conditionalFormatting sqref="X320">
    <cfRule type="expression" priority="1193" dxfId="3">
      <formula>AND(IF(OR($Q320=1,$Q320=2),1,0),IF($X320&lt;=20,1,0))</formula>
    </cfRule>
    <cfRule type="expression" priority="1194" dxfId="2">
      <formula>AND(IF($Q320=2,1,0),IF($X320&lt;30,1,0))</formula>
    </cfRule>
    <cfRule type="expression" priority="1195" dxfId="1">
      <formula>AND(IF($Q320=3,1,0),IF($X320&lt;30,1,0))</formula>
    </cfRule>
    <cfRule type="expression" priority="1196" dxfId="0">
      <formula>AND(IF($Q320=3,1,IF($Q320=4,1,0)),IF($F320&lt;=85,1,0))</formula>
    </cfRule>
  </conditionalFormatting>
  <conditionalFormatting sqref="AI320">
    <cfRule type="expression" priority="1189" dxfId="3">
      <formula>AND(IF(OR($Q320=1,$Q320=2),1,0),IF($X320&lt;=20,1,0))</formula>
    </cfRule>
    <cfRule type="expression" priority="1190" dxfId="2">
      <formula>AND(IF($Q320=2,1,0),IF($X320&lt;30,1,0))</formula>
    </cfRule>
    <cfRule type="expression" priority="1191" dxfId="1">
      <formula>AND(IF($Q320=3,1,0),IF($X320&lt;30,1,0))</formula>
    </cfRule>
    <cfRule type="expression" priority="1192" dxfId="0">
      <formula>AND(IF($Q320=3,1,IF($Q320=4,1,0)),IF($F320&lt;=85,1,0))</formula>
    </cfRule>
  </conditionalFormatting>
  <conditionalFormatting sqref="AV321">
    <cfRule type="expression" priority="1187" dxfId="19">
      <formula>AV321="X"</formula>
    </cfRule>
    <cfRule type="expression" priority="1188" dxfId="18">
      <formula>AV321="후보"</formula>
    </cfRule>
  </conditionalFormatting>
  <conditionalFormatting sqref="AC3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2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21">
    <cfRule type="expression" priority="1179" dxfId="3">
      <formula>AND(IF(OR($Q321=1,$Q321=2),1,0),IF($X321&lt;=20,1,0))</formula>
    </cfRule>
    <cfRule type="expression" priority="1180" dxfId="2">
      <formula>AND(IF($Q321=2,1,0),IF($X321&lt;30,1,0))</formula>
    </cfRule>
    <cfRule type="expression" priority="1181" dxfId="1">
      <formula>AND(IF($Q321=3,1,0),IF($X321&lt;30,1,0))</formula>
    </cfRule>
    <cfRule type="expression" priority="1182" dxfId="0">
      <formula>AND(IF($Q321=3,1,IF($Q321=4,1,0)),IF($F321&lt;=85,1,0))</formula>
    </cfRule>
  </conditionalFormatting>
  <conditionalFormatting sqref="X321">
    <cfRule type="expression" priority="1175" dxfId="3">
      <formula>AND(IF(OR($Q321=1,$Q321=2),1,0),IF($X321&lt;=20,1,0))</formula>
    </cfRule>
    <cfRule type="expression" priority="1176" dxfId="2">
      <formula>AND(IF($Q321=2,1,0),IF($X321&lt;30,1,0))</formula>
    </cfRule>
    <cfRule type="expression" priority="1177" dxfId="1">
      <formula>AND(IF($Q321=3,1,0),IF($X321&lt;30,1,0))</formula>
    </cfRule>
    <cfRule type="expression" priority="1178" dxfId="0">
      <formula>AND(IF($Q321=3,1,IF($Q321=4,1,0)),IF($F321&lt;=85,1,0))</formula>
    </cfRule>
  </conditionalFormatting>
  <conditionalFormatting sqref="AI321">
    <cfRule type="expression" priority="1171" dxfId="3">
      <formula>AND(IF(OR($Q321=1,$Q321=2),1,0),IF($X321&lt;=20,1,0))</formula>
    </cfRule>
    <cfRule type="expression" priority="1172" dxfId="2">
      <formula>AND(IF($Q321=2,1,0),IF($X321&lt;30,1,0))</formula>
    </cfRule>
    <cfRule type="expression" priority="1173" dxfId="1">
      <formula>AND(IF($Q321=3,1,0),IF($X321&lt;30,1,0))</formula>
    </cfRule>
    <cfRule type="expression" priority="1174" dxfId="0">
      <formula>AND(IF($Q321=3,1,IF($Q321=4,1,0)),IF($F321&lt;=85,1,0))</formula>
    </cfRule>
  </conditionalFormatting>
  <conditionalFormatting sqref="AV322">
    <cfRule type="expression" priority="1169" dxfId="19">
      <formula>AV322="X"</formula>
    </cfRule>
    <cfRule type="expression" priority="1170" dxfId="18">
      <formula>AV322="후보"</formula>
    </cfRule>
  </conditionalFormatting>
  <conditionalFormatting sqref="AC3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2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22">
    <cfRule type="expression" priority="1161" dxfId="3">
      <formula>AND(IF(OR($Q322=1,$Q322=2),1,0),IF($X322&lt;=20,1,0))</formula>
    </cfRule>
    <cfRule type="expression" priority="1162" dxfId="2">
      <formula>AND(IF($Q322=2,1,0),IF($X322&lt;30,1,0))</formula>
    </cfRule>
    <cfRule type="expression" priority="1163" dxfId="1">
      <formula>AND(IF($Q322=3,1,0),IF($X322&lt;30,1,0))</formula>
    </cfRule>
    <cfRule type="expression" priority="1164" dxfId="0">
      <formula>AND(IF($Q322=3,1,IF($Q322=4,1,0)),IF($F322&lt;=85,1,0))</formula>
    </cfRule>
  </conditionalFormatting>
  <conditionalFormatting sqref="X322">
    <cfRule type="expression" priority="1157" dxfId="3">
      <formula>AND(IF(OR($Q322=1,$Q322=2),1,0),IF($X322&lt;=20,1,0))</formula>
    </cfRule>
    <cfRule type="expression" priority="1158" dxfId="2">
      <formula>AND(IF($Q322=2,1,0),IF($X322&lt;30,1,0))</formula>
    </cfRule>
    <cfRule type="expression" priority="1159" dxfId="1">
      <formula>AND(IF($Q322=3,1,0),IF($X322&lt;30,1,0))</formula>
    </cfRule>
    <cfRule type="expression" priority="1160" dxfId="0">
      <formula>AND(IF($Q322=3,1,IF($Q322=4,1,0)),IF($F322&lt;=85,1,0))</formula>
    </cfRule>
  </conditionalFormatting>
  <conditionalFormatting sqref="AI322">
    <cfRule type="expression" priority="1153" dxfId="3">
      <formula>AND(IF(OR($Q322=1,$Q322=2),1,0),IF($X322&lt;=20,1,0))</formula>
    </cfRule>
    <cfRule type="expression" priority="1154" dxfId="2">
      <formula>AND(IF($Q322=2,1,0),IF($X322&lt;30,1,0))</formula>
    </cfRule>
    <cfRule type="expression" priority="1155" dxfId="1">
      <formula>AND(IF($Q322=3,1,0),IF($X322&lt;30,1,0))</formula>
    </cfRule>
    <cfRule type="expression" priority="1156" dxfId="0">
      <formula>AND(IF($Q322=3,1,IF($Q322=4,1,0)),IF($F322&lt;=85,1,0))</formula>
    </cfRule>
  </conditionalFormatting>
  <conditionalFormatting sqref="AV323">
    <cfRule type="expression" priority="1151" dxfId="19">
      <formula>AV323="X"</formula>
    </cfRule>
    <cfRule type="expression" priority="1152" dxfId="18">
      <formula>AV323="후보"</formula>
    </cfRule>
  </conditionalFormatting>
  <conditionalFormatting sqref="AC3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23">
    <cfRule type="expression" priority="1143" dxfId="3">
      <formula>AND(IF(OR($Q323=1,$Q323=2),1,0),IF($X323&lt;=20,1,0))</formula>
    </cfRule>
    <cfRule type="expression" priority="1144" dxfId="2">
      <formula>AND(IF($Q323=2,1,0),IF($X323&lt;30,1,0))</formula>
    </cfRule>
    <cfRule type="expression" priority="1145" dxfId="1">
      <formula>AND(IF($Q323=3,1,0),IF($X323&lt;30,1,0))</formula>
    </cfRule>
    <cfRule type="expression" priority="1146" dxfId="0">
      <formula>AND(IF($Q323=3,1,IF($Q323=4,1,0)),IF($F323&lt;=85,1,0))</formula>
    </cfRule>
  </conditionalFormatting>
  <conditionalFormatting sqref="X323">
    <cfRule type="expression" priority="1139" dxfId="3">
      <formula>AND(IF(OR($Q323=1,$Q323=2),1,0),IF($X323&lt;=20,1,0))</formula>
    </cfRule>
    <cfRule type="expression" priority="1140" dxfId="2">
      <formula>AND(IF($Q323=2,1,0),IF($X323&lt;30,1,0))</formula>
    </cfRule>
    <cfRule type="expression" priority="1141" dxfId="1">
      <formula>AND(IF($Q323=3,1,0),IF($X323&lt;30,1,0))</formula>
    </cfRule>
    <cfRule type="expression" priority="1142" dxfId="0">
      <formula>AND(IF($Q323=3,1,IF($Q323=4,1,0)),IF($F323&lt;=85,1,0))</formula>
    </cfRule>
  </conditionalFormatting>
  <conditionalFormatting sqref="AI323">
    <cfRule type="expression" priority="1135" dxfId="3">
      <formula>AND(IF(OR($Q323=1,$Q323=2),1,0),IF($X323&lt;=20,1,0))</formula>
    </cfRule>
    <cfRule type="expression" priority="1136" dxfId="2">
      <formula>AND(IF($Q323=2,1,0),IF($X323&lt;30,1,0))</formula>
    </cfRule>
    <cfRule type="expression" priority="1137" dxfId="1">
      <formula>AND(IF($Q323=3,1,0),IF($X323&lt;30,1,0))</formula>
    </cfRule>
    <cfRule type="expression" priority="1138" dxfId="0">
      <formula>AND(IF($Q323=3,1,IF($Q323=4,1,0)),IF($F323&lt;=85,1,0))</formula>
    </cfRule>
  </conditionalFormatting>
  <conditionalFormatting sqref="AV324">
    <cfRule type="expression" priority="1133" dxfId="19">
      <formula>AV324="X"</formula>
    </cfRule>
    <cfRule type="expression" priority="1134" dxfId="18">
      <formula>AV324="후보"</formula>
    </cfRule>
  </conditionalFormatting>
  <conditionalFormatting sqref="AC3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4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4">
    <cfRule type="expression" priority="1125" dxfId="3">
      <formula>AND(IF(OR($Q324=1,$Q324=2),1,0),IF($X324&lt;=20,1,0))</formula>
    </cfRule>
    <cfRule type="expression" priority="1126" dxfId="2">
      <formula>AND(IF($Q324=2,1,0),IF($X324&lt;30,1,0))</formula>
    </cfRule>
    <cfRule type="expression" priority="1127" dxfId="1">
      <formula>AND(IF($Q324=3,1,0),IF($X324&lt;30,1,0))</formula>
    </cfRule>
    <cfRule type="expression" priority="1128" dxfId="0">
      <formula>AND(IF($Q324=3,1,IF($Q324=4,1,0)),IF($F324&lt;=85,1,0))</formula>
    </cfRule>
  </conditionalFormatting>
  <conditionalFormatting sqref="X324">
    <cfRule type="expression" priority="1121" dxfId="3">
      <formula>AND(IF(OR($Q324=1,$Q324=2),1,0),IF($X324&lt;=20,1,0))</formula>
    </cfRule>
    <cfRule type="expression" priority="1122" dxfId="2">
      <formula>AND(IF($Q324=2,1,0),IF($X324&lt;30,1,0))</formula>
    </cfRule>
    <cfRule type="expression" priority="1123" dxfId="1">
      <formula>AND(IF($Q324=3,1,0),IF($X324&lt;30,1,0))</formula>
    </cfRule>
    <cfRule type="expression" priority="1124" dxfId="0">
      <formula>AND(IF($Q324=3,1,IF($Q324=4,1,0)),IF($F324&lt;=85,1,0))</formula>
    </cfRule>
  </conditionalFormatting>
  <conditionalFormatting sqref="AI324">
    <cfRule type="expression" priority="1117" dxfId="3">
      <formula>AND(IF(OR($Q324=1,$Q324=2),1,0),IF($X324&lt;=20,1,0))</formula>
    </cfRule>
    <cfRule type="expression" priority="1118" dxfId="2">
      <formula>AND(IF($Q324=2,1,0),IF($X324&lt;30,1,0))</formula>
    </cfRule>
    <cfRule type="expression" priority="1119" dxfId="1">
      <formula>AND(IF($Q324=3,1,0),IF($X324&lt;30,1,0))</formula>
    </cfRule>
    <cfRule type="expression" priority="1120" dxfId="0">
      <formula>AND(IF($Q324=3,1,IF($Q324=4,1,0)),IF($F324&lt;=85,1,0))</formula>
    </cfRule>
  </conditionalFormatting>
  <conditionalFormatting sqref="AV325">
    <cfRule type="expression" priority="1115" dxfId="19">
      <formula>AV325="X"</formula>
    </cfRule>
    <cfRule type="expression" priority="1116" dxfId="18">
      <formula>AV325="후보"</formula>
    </cfRule>
  </conditionalFormatting>
  <conditionalFormatting sqref="AC325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25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25">
    <cfRule type="expression" priority="1107" dxfId="3">
      <formula>AND(IF(OR($Q325=1,$Q325=2),1,0),IF($X325&lt;=20,1,0))</formula>
    </cfRule>
    <cfRule type="expression" priority="1108" dxfId="2">
      <formula>AND(IF($Q325=2,1,0),IF($X325&lt;30,1,0))</formula>
    </cfRule>
    <cfRule type="expression" priority="1109" dxfId="1">
      <formula>AND(IF($Q325=3,1,0),IF($X325&lt;30,1,0))</formula>
    </cfRule>
    <cfRule type="expression" priority="1110" dxfId="0">
      <formula>AND(IF($Q325=3,1,IF($Q325=4,1,0)),IF($F325&lt;=85,1,0))</formula>
    </cfRule>
  </conditionalFormatting>
  <conditionalFormatting sqref="X325">
    <cfRule type="expression" priority="1103" dxfId="3">
      <formula>AND(IF(OR($Q325=1,$Q325=2),1,0),IF($X325&lt;=20,1,0))</formula>
    </cfRule>
    <cfRule type="expression" priority="1104" dxfId="2">
      <formula>AND(IF($Q325=2,1,0),IF($X325&lt;30,1,0))</formula>
    </cfRule>
    <cfRule type="expression" priority="1105" dxfId="1">
      <formula>AND(IF($Q325=3,1,0),IF($X325&lt;30,1,0))</formula>
    </cfRule>
    <cfRule type="expression" priority="1106" dxfId="0">
      <formula>AND(IF($Q325=3,1,IF($Q325=4,1,0)),IF($F325&lt;=85,1,0))</formula>
    </cfRule>
  </conditionalFormatting>
  <conditionalFormatting sqref="AI325">
    <cfRule type="expression" priority="1099" dxfId="3">
      <formula>AND(IF(OR($Q325=1,$Q325=2),1,0),IF($X325&lt;=20,1,0))</formula>
    </cfRule>
    <cfRule type="expression" priority="1100" dxfId="2">
      <formula>AND(IF($Q325=2,1,0),IF($X325&lt;30,1,0))</formula>
    </cfRule>
    <cfRule type="expression" priority="1101" dxfId="1">
      <formula>AND(IF($Q325=3,1,0),IF($X325&lt;30,1,0))</formula>
    </cfRule>
    <cfRule type="expression" priority="1102" dxfId="0">
      <formula>AND(IF($Q325=3,1,IF($Q325=4,1,0)),IF($F325&lt;=85,1,0))</formula>
    </cfRule>
  </conditionalFormatting>
  <conditionalFormatting sqref="AV326">
    <cfRule type="expression" priority="1097" dxfId="19">
      <formula>AV326="X"</formula>
    </cfRule>
    <cfRule type="expression" priority="1098" dxfId="18">
      <formula>AV326="후보"</formula>
    </cfRule>
  </conditionalFormatting>
  <conditionalFormatting sqref="AC3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26">
    <cfRule type="expression" priority="1089" dxfId="3">
      <formula>AND(IF(OR($Q326=1,$Q326=2),1,0),IF($X326&lt;=20,1,0))</formula>
    </cfRule>
    <cfRule type="expression" priority="1090" dxfId="2">
      <formula>AND(IF($Q326=2,1,0),IF($X326&lt;30,1,0))</formula>
    </cfRule>
    <cfRule type="expression" priority="1091" dxfId="1">
      <formula>AND(IF($Q326=3,1,0),IF($X326&lt;30,1,0))</formula>
    </cfRule>
    <cfRule type="expression" priority="1092" dxfId="0">
      <formula>AND(IF($Q326=3,1,IF($Q326=4,1,0)),IF($F326&lt;=85,1,0))</formula>
    </cfRule>
  </conditionalFormatting>
  <conditionalFormatting sqref="X326">
    <cfRule type="expression" priority="1085" dxfId="3">
      <formula>AND(IF(OR($Q326=1,$Q326=2),1,0),IF($X326&lt;=20,1,0))</formula>
    </cfRule>
    <cfRule type="expression" priority="1086" dxfId="2">
      <formula>AND(IF($Q326=2,1,0),IF($X326&lt;30,1,0))</formula>
    </cfRule>
    <cfRule type="expression" priority="1087" dxfId="1">
      <formula>AND(IF($Q326=3,1,0),IF($X326&lt;30,1,0))</formula>
    </cfRule>
    <cfRule type="expression" priority="1088" dxfId="0">
      <formula>AND(IF($Q326=3,1,IF($Q326=4,1,0)),IF($F326&lt;=85,1,0))</formula>
    </cfRule>
  </conditionalFormatting>
  <conditionalFormatting sqref="AI326">
    <cfRule type="expression" priority="1081" dxfId="3">
      <formula>AND(IF(OR($Q326=1,$Q326=2),1,0),IF($X326&lt;=20,1,0))</formula>
    </cfRule>
    <cfRule type="expression" priority="1082" dxfId="2">
      <formula>AND(IF($Q326=2,1,0),IF($X326&lt;30,1,0))</formula>
    </cfRule>
    <cfRule type="expression" priority="1083" dxfId="1">
      <formula>AND(IF($Q326=3,1,0),IF($X326&lt;30,1,0))</formula>
    </cfRule>
    <cfRule type="expression" priority="1084" dxfId="0">
      <formula>AND(IF($Q326=3,1,IF($Q326=4,1,0)),IF($F326&lt;=85,1,0))</formula>
    </cfRule>
  </conditionalFormatting>
  <conditionalFormatting sqref="AV327">
    <cfRule type="expression" priority="1079" dxfId="19">
      <formula>AV327="X"</formula>
    </cfRule>
    <cfRule type="expression" priority="1080" dxfId="18">
      <formula>AV327="후보"</formula>
    </cfRule>
  </conditionalFormatting>
  <conditionalFormatting sqref="AC32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7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7">
    <cfRule type="expression" priority="1071" dxfId="3">
      <formula>AND(IF(OR($Q327=1,$Q327=2),1,0),IF($X327&lt;=20,1,0))</formula>
    </cfRule>
    <cfRule type="expression" priority="1072" dxfId="2">
      <formula>AND(IF($Q327=2,1,0),IF($X327&lt;30,1,0))</formula>
    </cfRule>
    <cfRule type="expression" priority="1073" dxfId="1">
      <formula>AND(IF($Q327=3,1,0),IF($X327&lt;30,1,0))</formula>
    </cfRule>
    <cfRule type="expression" priority="1074" dxfId="0">
      <formula>AND(IF($Q327=3,1,IF($Q327=4,1,0)),IF($F327&lt;=85,1,0))</formula>
    </cfRule>
  </conditionalFormatting>
  <conditionalFormatting sqref="X327">
    <cfRule type="expression" priority="1067" dxfId="3">
      <formula>AND(IF(OR($Q327=1,$Q327=2),1,0),IF($X327&lt;=20,1,0))</formula>
    </cfRule>
    <cfRule type="expression" priority="1068" dxfId="2">
      <formula>AND(IF($Q327=2,1,0),IF($X327&lt;30,1,0))</formula>
    </cfRule>
    <cfRule type="expression" priority="1069" dxfId="1">
      <formula>AND(IF($Q327=3,1,0),IF($X327&lt;30,1,0))</formula>
    </cfRule>
    <cfRule type="expression" priority="1070" dxfId="0">
      <formula>AND(IF($Q327=3,1,IF($Q327=4,1,0)),IF($F327&lt;=85,1,0))</formula>
    </cfRule>
  </conditionalFormatting>
  <conditionalFormatting sqref="AI327">
    <cfRule type="expression" priority="1063" dxfId="3">
      <formula>AND(IF(OR($Q327=1,$Q327=2),1,0),IF($X327&lt;=20,1,0))</formula>
    </cfRule>
    <cfRule type="expression" priority="1064" dxfId="2">
      <formula>AND(IF($Q327=2,1,0),IF($X327&lt;30,1,0))</formula>
    </cfRule>
    <cfRule type="expression" priority="1065" dxfId="1">
      <formula>AND(IF($Q327=3,1,0),IF($X327&lt;30,1,0))</formula>
    </cfRule>
    <cfRule type="expression" priority="1066" dxfId="0">
      <formula>AND(IF($Q327=3,1,IF($Q327=4,1,0)),IF($F327&lt;=85,1,0))</formula>
    </cfRule>
  </conditionalFormatting>
  <conditionalFormatting sqref="AV328">
    <cfRule type="expression" priority="1061" dxfId="19">
      <formula>AV328="X"</formula>
    </cfRule>
    <cfRule type="expression" priority="1062" dxfId="18">
      <formula>AV328="후보"</formula>
    </cfRule>
  </conditionalFormatting>
  <conditionalFormatting sqref="AC32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28">
    <cfRule type="expression" priority="1053" dxfId="3">
      <formula>AND(IF(OR($Q328=1,$Q328=2),1,0),IF($X328&lt;=20,1,0))</formula>
    </cfRule>
    <cfRule type="expression" priority="1054" dxfId="2">
      <formula>AND(IF($Q328=2,1,0),IF($X328&lt;30,1,0))</formula>
    </cfRule>
    <cfRule type="expression" priority="1055" dxfId="1">
      <formula>AND(IF($Q328=3,1,0),IF($X328&lt;30,1,0))</formula>
    </cfRule>
    <cfRule type="expression" priority="1056" dxfId="0">
      <formula>AND(IF($Q328=3,1,IF($Q328=4,1,0)),IF($F328&lt;=85,1,0))</formula>
    </cfRule>
  </conditionalFormatting>
  <conditionalFormatting sqref="X328">
    <cfRule type="expression" priority="1049" dxfId="3">
      <formula>AND(IF(OR($Q328=1,$Q328=2),1,0),IF($X328&lt;=20,1,0))</formula>
    </cfRule>
    <cfRule type="expression" priority="1050" dxfId="2">
      <formula>AND(IF($Q328=2,1,0),IF($X328&lt;30,1,0))</formula>
    </cfRule>
    <cfRule type="expression" priority="1051" dxfId="1">
      <formula>AND(IF($Q328=3,1,0),IF($X328&lt;30,1,0))</formula>
    </cfRule>
    <cfRule type="expression" priority="1052" dxfId="0">
      <formula>AND(IF($Q328=3,1,IF($Q328=4,1,0)),IF($F328&lt;=85,1,0))</formula>
    </cfRule>
  </conditionalFormatting>
  <conditionalFormatting sqref="AI328">
    <cfRule type="expression" priority="1045" dxfId="3">
      <formula>AND(IF(OR($Q328=1,$Q328=2),1,0),IF($X328&lt;=20,1,0))</formula>
    </cfRule>
    <cfRule type="expression" priority="1046" dxfId="2">
      <formula>AND(IF($Q328=2,1,0),IF($X328&lt;30,1,0))</formula>
    </cfRule>
    <cfRule type="expression" priority="1047" dxfId="1">
      <formula>AND(IF($Q328=3,1,0),IF($X328&lt;30,1,0))</formula>
    </cfRule>
    <cfRule type="expression" priority="1048" dxfId="0">
      <formula>AND(IF($Q328=3,1,IF($Q328=4,1,0)),IF($F328&lt;=85,1,0))</formula>
    </cfRule>
  </conditionalFormatting>
  <conditionalFormatting sqref="AV329">
    <cfRule type="expression" priority="1043" dxfId="19">
      <formula>AV329="X"</formula>
    </cfRule>
    <cfRule type="expression" priority="1044" dxfId="18">
      <formula>AV329="후보"</formula>
    </cfRule>
  </conditionalFormatting>
  <conditionalFormatting sqref="AC3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2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29">
    <cfRule type="expression" priority="1035" dxfId="3">
      <formula>AND(IF(OR($Q329=1,$Q329=2),1,0),IF($X329&lt;=20,1,0))</formula>
    </cfRule>
    <cfRule type="expression" priority="1036" dxfId="2">
      <formula>AND(IF($Q329=2,1,0),IF($X329&lt;30,1,0))</formula>
    </cfRule>
    <cfRule type="expression" priority="1037" dxfId="1">
      <formula>AND(IF($Q329=3,1,0),IF($X329&lt;30,1,0))</formula>
    </cfRule>
    <cfRule type="expression" priority="1038" dxfId="0">
      <formula>AND(IF($Q329=3,1,IF($Q329=4,1,0)),IF($F329&lt;=85,1,0))</formula>
    </cfRule>
  </conditionalFormatting>
  <conditionalFormatting sqref="X329">
    <cfRule type="expression" priority="1031" dxfId="3">
      <formula>AND(IF(OR($Q329=1,$Q329=2),1,0),IF($X329&lt;=20,1,0))</formula>
    </cfRule>
    <cfRule type="expression" priority="1032" dxfId="2">
      <formula>AND(IF($Q329=2,1,0),IF($X329&lt;30,1,0))</formula>
    </cfRule>
    <cfRule type="expression" priority="1033" dxfId="1">
      <formula>AND(IF($Q329=3,1,0),IF($X329&lt;30,1,0))</formula>
    </cfRule>
    <cfRule type="expression" priority="1034" dxfId="0">
      <formula>AND(IF($Q329=3,1,IF($Q329=4,1,0)),IF($F329&lt;=85,1,0))</formula>
    </cfRule>
  </conditionalFormatting>
  <conditionalFormatting sqref="AI329">
    <cfRule type="expression" priority="1027" dxfId="3">
      <formula>AND(IF(OR($Q329=1,$Q329=2),1,0),IF($X329&lt;=20,1,0))</formula>
    </cfRule>
    <cfRule type="expression" priority="1028" dxfId="2">
      <formula>AND(IF($Q329=2,1,0),IF($X329&lt;30,1,0))</formula>
    </cfRule>
    <cfRule type="expression" priority="1029" dxfId="1">
      <formula>AND(IF($Q329=3,1,0),IF($X329&lt;30,1,0))</formula>
    </cfRule>
    <cfRule type="expression" priority="1030" dxfId="0">
      <formula>AND(IF($Q329=3,1,IF($Q329=4,1,0)),IF($F329&lt;=85,1,0))</formula>
    </cfRule>
  </conditionalFormatting>
  <conditionalFormatting sqref="AV330">
    <cfRule type="expression" priority="1025" dxfId="19">
      <formula>AV330="X"</formula>
    </cfRule>
    <cfRule type="expression" priority="1026" dxfId="18">
      <formula>AV330="후보"</formula>
    </cfRule>
  </conditionalFormatting>
  <conditionalFormatting sqref="AC330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30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0">
    <cfRule type="expression" priority="1017" dxfId="3">
      <formula>AND(IF(OR($Q330=1,$Q330=2),1,0),IF($X330&lt;=20,1,0))</formula>
    </cfRule>
    <cfRule type="expression" priority="1018" dxfId="2">
      <formula>AND(IF($Q330=2,1,0),IF($X330&lt;30,1,0))</formula>
    </cfRule>
    <cfRule type="expression" priority="1019" dxfId="1">
      <formula>AND(IF($Q330=3,1,0),IF($X330&lt;30,1,0))</formula>
    </cfRule>
    <cfRule type="expression" priority="1020" dxfId="0">
      <formula>AND(IF($Q330=3,1,IF($Q330=4,1,0)),IF($F330&lt;=85,1,0))</formula>
    </cfRule>
  </conditionalFormatting>
  <conditionalFormatting sqref="X330">
    <cfRule type="expression" priority="1013" dxfId="3">
      <formula>AND(IF(OR($Q330=1,$Q330=2),1,0),IF($X330&lt;=20,1,0))</formula>
    </cfRule>
    <cfRule type="expression" priority="1014" dxfId="2">
      <formula>AND(IF($Q330=2,1,0),IF($X330&lt;30,1,0))</formula>
    </cfRule>
    <cfRule type="expression" priority="1015" dxfId="1">
      <formula>AND(IF($Q330=3,1,0),IF($X330&lt;30,1,0))</formula>
    </cfRule>
    <cfRule type="expression" priority="1016" dxfId="0">
      <formula>AND(IF($Q330=3,1,IF($Q330=4,1,0)),IF($F330&lt;=85,1,0))</formula>
    </cfRule>
  </conditionalFormatting>
  <conditionalFormatting sqref="AI330">
    <cfRule type="expression" priority="1009" dxfId="3">
      <formula>AND(IF(OR($Q330=1,$Q330=2),1,0),IF($X330&lt;=20,1,0))</formula>
    </cfRule>
    <cfRule type="expression" priority="1010" dxfId="2">
      <formula>AND(IF($Q330=2,1,0),IF($X330&lt;30,1,0))</formula>
    </cfRule>
    <cfRule type="expression" priority="1011" dxfId="1">
      <formula>AND(IF($Q330=3,1,0),IF($X330&lt;30,1,0))</formula>
    </cfRule>
    <cfRule type="expression" priority="1012" dxfId="0">
      <formula>AND(IF($Q330=3,1,IF($Q330=4,1,0)),IF($F330&lt;=85,1,0))</formula>
    </cfRule>
  </conditionalFormatting>
  <conditionalFormatting sqref="AV331">
    <cfRule type="expression" priority="1007" dxfId="19">
      <formula>AV331="X"</formula>
    </cfRule>
    <cfRule type="expression" priority="1008" dxfId="18">
      <formula>AV331="후보"</formula>
    </cfRule>
  </conditionalFormatting>
  <conditionalFormatting sqref="AC3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31">
    <cfRule type="expression" priority="999" dxfId="3">
      <formula>AND(IF(OR($Q331=1,$Q331=2),1,0),IF($X331&lt;=20,1,0))</formula>
    </cfRule>
    <cfRule type="expression" priority="1000" dxfId="2">
      <formula>AND(IF($Q331=2,1,0),IF($X331&lt;30,1,0))</formula>
    </cfRule>
    <cfRule type="expression" priority="1001" dxfId="1">
      <formula>AND(IF($Q331=3,1,0),IF($X331&lt;30,1,0))</formula>
    </cfRule>
    <cfRule type="expression" priority="1002" dxfId="0">
      <formula>AND(IF($Q331=3,1,IF($Q331=4,1,0)),IF($F331&lt;=85,1,0))</formula>
    </cfRule>
  </conditionalFormatting>
  <conditionalFormatting sqref="X331">
    <cfRule type="expression" priority="995" dxfId="3">
      <formula>AND(IF(OR($Q331=1,$Q331=2),1,0),IF($X331&lt;=20,1,0))</formula>
    </cfRule>
    <cfRule type="expression" priority="996" dxfId="2">
      <formula>AND(IF($Q331=2,1,0),IF($X331&lt;30,1,0))</formula>
    </cfRule>
    <cfRule type="expression" priority="997" dxfId="1">
      <formula>AND(IF($Q331=3,1,0),IF($X331&lt;30,1,0))</formula>
    </cfRule>
    <cfRule type="expression" priority="998" dxfId="0">
      <formula>AND(IF($Q331=3,1,IF($Q331=4,1,0)),IF($F331&lt;=85,1,0))</formula>
    </cfRule>
  </conditionalFormatting>
  <conditionalFormatting sqref="AI331">
    <cfRule type="expression" priority="991" dxfId="3">
      <formula>AND(IF(OR($Q331=1,$Q331=2),1,0),IF($X331&lt;=20,1,0))</formula>
    </cfRule>
    <cfRule type="expression" priority="992" dxfId="2">
      <formula>AND(IF($Q331=2,1,0),IF($X331&lt;30,1,0))</formula>
    </cfRule>
    <cfRule type="expression" priority="993" dxfId="1">
      <formula>AND(IF($Q331=3,1,0),IF($X331&lt;30,1,0))</formula>
    </cfRule>
    <cfRule type="expression" priority="994" dxfId="0">
      <formula>AND(IF($Q331=3,1,IF($Q331=4,1,0)),IF($F331&lt;=85,1,0))</formula>
    </cfRule>
  </conditionalFormatting>
  <conditionalFormatting sqref="AV332">
    <cfRule type="expression" priority="989" dxfId="19">
      <formula>AV332="X"</formula>
    </cfRule>
    <cfRule type="expression" priority="990" dxfId="18">
      <formula>AV332="후보"</formula>
    </cfRule>
  </conditionalFormatting>
  <conditionalFormatting sqref="AC332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2">
    <cfRule type="expression" priority="981" dxfId="3">
      <formula>AND(IF(OR($Q332=1,$Q332=2),1,0),IF($X332&lt;=20,1,0))</formula>
    </cfRule>
    <cfRule type="expression" priority="982" dxfId="2">
      <formula>AND(IF($Q332=2,1,0),IF($X332&lt;30,1,0))</formula>
    </cfRule>
    <cfRule type="expression" priority="983" dxfId="1">
      <formula>AND(IF($Q332=3,1,0),IF($X332&lt;30,1,0))</formula>
    </cfRule>
    <cfRule type="expression" priority="984" dxfId="0">
      <formula>AND(IF($Q332=3,1,IF($Q332=4,1,0)),IF($F332&lt;=85,1,0))</formula>
    </cfRule>
  </conditionalFormatting>
  <conditionalFormatting sqref="X332">
    <cfRule type="expression" priority="977" dxfId="3">
      <formula>AND(IF(OR($Q332=1,$Q332=2),1,0),IF($X332&lt;=20,1,0))</formula>
    </cfRule>
    <cfRule type="expression" priority="978" dxfId="2">
      <formula>AND(IF($Q332=2,1,0),IF($X332&lt;30,1,0))</formula>
    </cfRule>
    <cfRule type="expression" priority="979" dxfId="1">
      <formula>AND(IF($Q332=3,1,0),IF($X332&lt;30,1,0))</formula>
    </cfRule>
    <cfRule type="expression" priority="980" dxfId="0">
      <formula>AND(IF($Q332=3,1,IF($Q332=4,1,0)),IF($F332&lt;=85,1,0))</formula>
    </cfRule>
  </conditionalFormatting>
  <conditionalFormatting sqref="AI332">
    <cfRule type="expression" priority="973" dxfId="3">
      <formula>AND(IF(OR($Q332=1,$Q332=2),1,0),IF($X332&lt;=20,1,0))</formula>
    </cfRule>
    <cfRule type="expression" priority="974" dxfId="2">
      <formula>AND(IF($Q332=2,1,0),IF($X332&lt;30,1,0))</formula>
    </cfRule>
    <cfRule type="expression" priority="975" dxfId="1">
      <formula>AND(IF($Q332=3,1,0),IF($X332&lt;30,1,0))</formula>
    </cfRule>
    <cfRule type="expression" priority="976" dxfId="0">
      <formula>AND(IF($Q332=3,1,IF($Q332=4,1,0)),IF($F332&lt;=85,1,0))</formula>
    </cfRule>
  </conditionalFormatting>
  <conditionalFormatting sqref="AV333">
    <cfRule type="expression" priority="971" dxfId="19">
      <formula>AV333="X"</formula>
    </cfRule>
    <cfRule type="expression" priority="972" dxfId="18">
      <formula>AV333="후보"</formula>
    </cfRule>
  </conditionalFormatting>
  <conditionalFormatting sqref="AC33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33">
    <cfRule type="expression" priority="963" dxfId="3">
      <formula>AND(IF(OR($Q333=1,$Q333=2),1,0),IF($X333&lt;=20,1,0))</formula>
    </cfRule>
    <cfRule type="expression" priority="964" dxfId="2">
      <formula>AND(IF($Q333=2,1,0),IF($X333&lt;30,1,0))</formula>
    </cfRule>
    <cfRule type="expression" priority="965" dxfId="1">
      <formula>AND(IF($Q333=3,1,0),IF($X333&lt;30,1,0))</formula>
    </cfRule>
    <cfRule type="expression" priority="966" dxfId="0">
      <formula>AND(IF($Q333=3,1,IF($Q333=4,1,0)),IF($F333&lt;=85,1,0))</formula>
    </cfRule>
  </conditionalFormatting>
  <conditionalFormatting sqref="X333">
    <cfRule type="expression" priority="959" dxfId="3">
      <formula>AND(IF(OR($Q333=1,$Q333=2),1,0),IF($X333&lt;=20,1,0))</formula>
    </cfRule>
    <cfRule type="expression" priority="960" dxfId="2">
      <formula>AND(IF($Q333=2,1,0),IF($X333&lt;30,1,0))</formula>
    </cfRule>
    <cfRule type="expression" priority="961" dxfId="1">
      <formula>AND(IF($Q333=3,1,0),IF($X333&lt;30,1,0))</formula>
    </cfRule>
    <cfRule type="expression" priority="962" dxfId="0">
      <formula>AND(IF($Q333=3,1,IF($Q333=4,1,0)),IF($F333&lt;=85,1,0))</formula>
    </cfRule>
  </conditionalFormatting>
  <conditionalFormatting sqref="AI333">
    <cfRule type="expression" priority="955" dxfId="3">
      <formula>AND(IF(OR($Q333=1,$Q333=2),1,0),IF($X333&lt;=20,1,0))</formula>
    </cfRule>
    <cfRule type="expression" priority="956" dxfId="2">
      <formula>AND(IF($Q333=2,1,0),IF($X333&lt;30,1,0))</formula>
    </cfRule>
    <cfRule type="expression" priority="957" dxfId="1">
      <formula>AND(IF($Q333=3,1,0),IF($X333&lt;30,1,0))</formula>
    </cfRule>
    <cfRule type="expression" priority="958" dxfId="0">
      <formula>AND(IF($Q333=3,1,IF($Q333=4,1,0)),IF($F333&lt;=85,1,0))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19" sqref="A19:N1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74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조촌동 군산디오션시티푸르지오</t>
        </is>
      </c>
      <c r="B4" s="76" t="inlineStr">
        <is>
          <t>18.03.</t>
        </is>
      </c>
      <c r="C4" s="130" t="n">
        <v>1400</v>
      </c>
      <c r="D4" s="131" t="n">
        <v>134.7</v>
      </c>
      <c r="E4" s="132" t="n">
        <v>41</v>
      </c>
      <c r="F4" s="131" t="n">
        <v>99.5</v>
      </c>
      <c r="G4" s="17" t="n">
        <v>30</v>
      </c>
      <c r="H4" s="133" t="n">
        <v>49</v>
      </c>
      <c r="I4" s="134" t="n">
        <v>69000</v>
      </c>
      <c r="J4" s="134" t="inlineStr">
        <is>
          <t>9</t>
        </is>
      </c>
      <c r="K4" s="134" t="n">
        <v>34000</v>
      </c>
      <c r="L4" s="134" t="inlineStr">
        <is>
          <t>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134</v>
      </c>
      <c r="U4" s="9" t="n"/>
    </row>
    <row r="5" ht="12" customFormat="1" customHeight="1" s="37">
      <c r="A5" s="75" t="inlineStr">
        <is>
          <t>수송동 한라비발디1단지</t>
        </is>
      </c>
      <c r="B5" s="76" t="inlineStr">
        <is>
          <t>08.11.</t>
        </is>
      </c>
      <c r="C5" s="130" t="n">
        <v>332</v>
      </c>
      <c r="D5" s="131" t="n">
        <v>189.5</v>
      </c>
      <c r="E5" s="132" t="n">
        <v>57</v>
      </c>
      <c r="F5" s="131" t="n">
        <v>155.9</v>
      </c>
      <c r="G5" s="17" t="n">
        <v>47</v>
      </c>
      <c r="H5" s="133" t="n">
        <v>71</v>
      </c>
      <c r="I5" s="134" t="n">
        <v>57000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189</v>
      </c>
      <c r="U5" s="9" t="n"/>
    </row>
    <row r="6" ht="12" customFormat="1" customHeight="1" s="37">
      <c r="A6" s="75" t="inlineStr">
        <is>
          <t>수송동 수송아이파크(201-2BL)</t>
        </is>
      </c>
      <c r="B6" s="76" t="inlineStr">
        <is>
          <t>08.09.</t>
        </is>
      </c>
      <c r="C6" s="130" t="n">
        <v>566</v>
      </c>
      <c r="D6" s="131" t="n">
        <v>178.7</v>
      </c>
      <c r="E6" s="132" t="n">
        <v>54</v>
      </c>
      <c r="F6" s="131" t="n">
        <v>143.8</v>
      </c>
      <c r="G6" s="17" t="n">
        <v>44</v>
      </c>
      <c r="H6" s="133" t="n">
        <v>94</v>
      </c>
      <c r="I6" s="134" t="n">
        <v>55000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178</v>
      </c>
      <c r="U6" s="9" t="n"/>
    </row>
    <row r="7" ht="12" customFormat="1" customHeight="1" s="37">
      <c r="A7" s="75" t="inlineStr">
        <is>
          <t>미장동 미장코아루</t>
        </is>
      </c>
      <c r="B7" s="76" t="inlineStr">
        <is>
          <t>07.06.</t>
        </is>
      </c>
      <c r="C7" s="130" t="n">
        <v>354</v>
      </c>
      <c r="D7" s="131" t="n">
        <v>215.8</v>
      </c>
      <c r="E7" s="132" t="n">
        <v>65</v>
      </c>
      <c r="F7" s="131" t="n">
        <v>181.1</v>
      </c>
      <c r="G7" s="17" t="n">
        <v>55</v>
      </c>
      <c r="H7" s="133" t="n">
        <v>60</v>
      </c>
      <c r="I7" s="134" t="n">
        <v>54000</v>
      </c>
      <c r="J7" s="134" t="inlineStr">
        <is>
          <t>6</t>
        </is>
      </c>
      <c r="K7" s="134" t="n">
        <v>45000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5</v>
      </c>
      <c r="R7" s="121" t="n">
        <v>2</v>
      </c>
      <c r="S7" s="121" t="inlineStr">
        <is>
          <t>계</t>
        </is>
      </c>
      <c r="T7" s="5" t="n">
        <v>215</v>
      </c>
      <c r="U7" s="9" t="n"/>
    </row>
    <row r="8" ht="12" customFormat="1" customHeight="1" s="37">
      <c r="A8" s="75" t="inlineStr">
        <is>
          <t>미장동 군산미장2차아이파크</t>
        </is>
      </c>
      <c r="B8" s="76" t="inlineStr">
        <is>
          <t>17.06.</t>
        </is>
      </c>
      <c r="C8" s="130" t="n">
        <v>540</v>
      </c>
      <c r="D8" s="131" t="n">
        <v>130.4</v>
      </c>
      <c r="E8" s="132" t="n">
        <v>39</v>
      </c>
      <c r="F8" s="131" t="n">
        <v>101.8</v>
      </c>
      <c r="G8" s="17" t="n">
        <v>31</v>
      </c>
      <c r="H8" s="133" t="n">
        <v>166</v>
      </c>
      <c r="I8" s="134" t="n">
        <v>53500</v>
      </c>
      <c r="J8" s="134" t="inlineStr">
        <is>
          <t>14</t>
        </is>
      </c>
      <c r="K8" s="134" t="n">
        <v>38000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130</v>
      </c>
      <c r="U8" s="9" t="n"/>
    </row>
    <row r="9" ht="12" customFormat="1" customHeight="1" s="37">
      <c r="A9" s="75" t="inlineStr">
        <is>
          <t>조촌동 군산디오션시티푸르지오</t>
        </is>
      </c>
      <c r="B9" s="76" t="inlineStr">
        <is>
          <t>18.03.</t>
        </is>
      </c>
      <c r="C9" s="130" t="n">
        <v>1400</v>
      </c>
      <c r="D9" s="131" t="n">
        <v>114.5</v>
      </c>
      <c r="E9" s="132" t="n">
        <v>35</v>
      </c>
      <c r="F9" s="131" t="n">
        <v>84.7</v>
      </c>
      <c r="G9" s="17" t="n">
        <v>26</v>
      </c>
      <c r="H9" s="133" t="n">
        <v>215</v>
      </c>
      <c r="I9" s="134" t="n">
        <v>49000</v>
      </c>
      <c r="J9" s="134" t="inlineStr">
        <is>
          <t>15</t>
        </is>
      </c>
      <c r="K9" s="134" t="n">
        <v>33000</v>
      </c>
      <c r="L9" s="134" t="inlineStr">
        <is>
          <t>23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114A</t>
        </is>
      </c>
      <c r="U9" s="9" t="n"/>
    </row>
    <row r="10" ht="12" customFormat="1" customHeight="1" s="37">
      <c r="A10" s="75" t="inlineStr">
        <is>
          <t>미장동 미장대원칸타빌</t>
        </is>
      </c>
      <c r="B10" s="76" t="inlineStr">
        <is>
          <t>18.06.</t>
        </is>
      </c>
      <c r="C10" s="130" t="n">
        <v>805</v>
      </c>
      <c r="D10" s="131" t="n">
        <v>134.7</v>
      </c>
      <c r="E10" s="132" t="n">
        <v>41</v>
      </c>
      <c r="F10" s="131" t="n">
        <v>101.8</v>
      </c>
      <c r="G10" s="17" t="n">
        <v>31</v>
      </c>
      <c r="H10" s="133" t="n">
        <v>70</v>
      </c>
      <c r="I10" s="134" t="n">
        <v>48000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134</v>
      </c>
      <c r="U10" s="9" t="n"/>
    </row>
    <row r="11" ht="12" customFormat="1" customHeight="1" s="37">
      <c r="A11" s="75" t="inlineStr">
        <is>
          <t>조촌동 e편한세상군산디오션시티</t>
        </is>
      </c>
      <c r="B11" s="76" t="inlineStr">
        <is>
          <t>18.11.</t>
        </is>
      </c>
      <c r="C11" s="130" t="n">
        <v>854</v>
      </c>
      <c r="D11" s="131" t="n">
        <v>113.2</v>
      </c>
      <c r="E11" s="132" t="n">
        <v>34</v>
      </c>
      <c r="F11" s="131" t="n">
        <v>85</v>
      </c>
      <c r="G11" s="17" t="n">
        <v>26</v>
      </c>
      <c r="H11" s="133" t="n">
        <v>253</v>
      </c>
      <c r="I11" s="134" t="n">
        <v>48000</v>
      </c>
      <c r="J11" s="134" t="inlineStr">
        <is>
          <t>17</t>
        </is>
      </c>
      <c r="K11" s="134" t="n">
        <v>33000</v>
      </c>
      <c r="L11" s="134" t="inlineStr">
        <is>
          <t>27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113A</t>
        </is>
      </c>
      <c r="U11" s="9" t="n"/>
    </row>
    <row r="12" ht="12" customFormat="1" customHeight="1" s="37">
      <c r="A12" s="75" t="inlineStr">
        <is>
          <t>미장동 미장코아루</t>
        </is>
      </c>
      <c r="B12" s="76" t="inlineStr">
        <is>
          <t>07.06.</t>
        </is>
      </c>
      <c r="C12" s="130" t="n">
        <v>354</v>
      </c>
      <c r="D12" s="131" t="n">
        <v>185.7</v>
      </c>
      <c r="E12" s="132" t="n">
        <v>56</v>
      </c>
      <c r="F12" s="131" t="n">
        <v>152.7</v>
      </c>
      <c r="G12" s="17" t="n">
        <v>46</v>
      </c>
      <c r="H12" s="133" t="n">
        <v>120</v>
      </c>
      <c r="I12" s="134" t="n">
        <v>47500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185</v>
      </c>
      <c r="U12" s="9" t="n"/>
    </row>
    <row r="13" ht="12" customFormat="1" customHeight="1" s="37">
      <c r="A13" s="75" t="inlineStr">
        <is>
          <t>수송동 수송아이파크(201-2BL)</t>
        </is>
      </c>
      <c r="B13" s="76" t="inlineStr">
        <is>
          <t>08.09.</t>
        </is>
      </c>
      <c r="C13" s="130" t="n">
        <v>566</v>
      </c>
      <c r="D13" s="131" t="n">
        <v>153.9</v>
      </c>
      <c r="E13" s="132" t="n">
        <v>47</v>
      </c>
      <c r="F13" s="131" t="n">
        <v>119.9</v>
      </c>
      <c r="G13" s="17" t="n">
        <v>36</v>
      </c>
      <c r="H13" s="133" t="n">
        <v>328</v>
      </c>
      <c r="I13" s="134" t="n">
        <v>46000</v>
      </c>
      <c r="J13" s="134" t="inlineStr">
        <is>
          <t>7</t>
        </is>
      </c>
      <c r="K13" s="134" t="n">
        <v>35000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153</v>
      </c>
      <c r="U13" s="9" t="n"/>
    </row>
    <row r="14" ht="12" customFormat="1" customHeight="1" s="37">
      <c r="A14" s="75" t="inlineStr">
        <is>
          <t>미룡동 금광베네스타</t>
        </is>
      </c>
      <c r="B14" s="76" t="inlineStr">
        <is>
          <t>08.12.</t>
        </is>
      </c>
      <c r="C14" s="130" t="n">
        <v>950</v>
      </c>
      <c r="D14" s="131" t="n">
        <v>203.2</v>
      </c>
      <c r="E14" s="132" t="n">
        <v>61</v>
      </c>
      <c r="F14" s="131" t="n">
        <v>172.2</v>
      </c>
      <c r="G14" s="17" t="n">
        <v>52</v>
      </c>
      <c r="H14" s="133" t="n">
        <v>40</v>
      </c>
      <c r="I14" s="134" t="n">
        <v>45000</v>
      </c>
      <c r="J14" s="134" t="inlineStr">
        <is>
          <t>14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inlineStr">
        <is>
          <t>203B</t>
        </is>
      </c>
      <c r="U14" s="9" t="n"/>
    </row>
    <row r="15" ht="12" customFormat="1" customHeight="1" s="37">
      <c r="A15" s="75" t="inlineStr">
        <is>
          <t>미장동 수송공원삼성쉐르빌</t>
        </is>
      </c>
      <c r="B15" s="76" t="inlineStr">
        <is>
          <t>09.12.</t>
        </is>
      </c>
      <c r="C15" s="130" t="n">
        <v>654</v>
      </c>
      <c r="D15" s="131" t="n">
        <v>181.8</v>
      </c>
      <c r="E15" s="132" t="n">
        <v>55</v>
      </c>
      <c r="F15" s="131" t="n">
        <v>149.9</v>
      </c>
      <c r="G15" s="17" t="n">
        <v>45</v>
      </c>
      <c r="H15" s="133" t="n">
        <v>57</v>
      </c>
      <c r="I15" s="134" t="n">
        <v>45000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181</v>
      </c>
      <c r="U15" s="9" t="n"/>
    </row>
    <row r="16" ht="12" customFormat="1" customHeight="1" s="37">
      <c r="A16" s="75" t="inlineStr">
        <is>
          <t>미장동 수송공원삼성쉐르빌</t>
        </is>
      </c>
      <c r="B16" s="76" t="inlineStr">
        <is>
          <t>09.12.</t>
        </is>
      </c>
      <c r="C16" s="130" t="n">
        <v>654</v>
      </c>
      <c r="D16" s="131" t="n">
        <v>152</v>
      </c>
      <c r="E16" s="132" t="n">
        <v>46</v>
      </c>
      <c r="F16" s="131" t="n">
        <v>121.3</v>
      </c>
      <c r="G16" s="17" t="n">
        <v>37</v>
      </c>
      <c r="H16" s="133" t="n">
        <v>52</v>
      </c>
      <c r="I16" s="134" t="n">
        <v>44000</v>
      </c>
      <c r="J16" s="134" t="inlineStr">
        <is>
          <t>13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151</v>
      </c>
      <c r="U16" s="9" t="n"/>
    </row>
    <row r="17" ht="12" customFormat="1" customHeight="1" s="37">
      <c r="A17" s="75" t="inlineStr">
        <is>
          <t>수송동 군산수송제일오투그란데2단지</t>
        </is>
      </c>
      <c r="B17" s="76" t="inlineStr">
        <is>
          <t>08.10.</t>
        </is>
      </c>
      <c r="C17" s="130" t="n">
        <v>656</v>
      </c>
      <c r="D17" s="131" t="n">
        <v>140.7</v>
      </c>
      <c r="E17" s="132" t="n">
        <v>43</v>
      </c>
      <c r="F17" s="131" t="n">
        <v>110.2</v>
      </c>
      <c r="G17" s="17" t="n">
        <v>33</v>
      </c>
      <c r="H17" s="133" t="n">
        <v>132</v>
      </c>
      <c r="I17" s="134" t="n">
        <v>42000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140</v>
      </c>
      <c r="U17" s="9" t="n"/>
    </row>
    <row r="18" ht="12" customFormat="1" customHeight="1" s="37">
      <c r="A18" s="75" t="inlineStr">
        <is>
          <t>조촌동 군산디오션시티푸르지오</t>
        </is>
      </c>
      <c r="B18" s="76" t="inlineStr">
        <is>
          <t>18.03.</t>
        </is>
      </c>
      <c r="C18" s="130" t="n">
        <v>1400</v>
      </c>
      <c r="D18" s="131" t="n">
        <v>101.7</v>
      </c>
      <c r="E18" s="132" t="n">
        <v>31</v>
      </c>
      <c r="F18" s="131" t="n">
        <v>74.90000000000001</v>
      </c>
      <c r="G18" s="17" t="n">
        <v>23</v>
      </c>
      <c r="H18" s="133" t="n">
        <v>279</v>
      </c>
      <c r="I18" s="134" t="n">
        <v>39800</v>
      </c>
      <c r="J18" s="134" t="inlineStr">
        <is>
          <t>9</t>
        </is>
      </c>
      <c r="K18" s="134" t="n">
        <v>32500</v>
      </c>
      <c r="L18" s="134" t="inlineStr">
        <is>
          <t>22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101A</t>
        </is>
      </c>
      <c r="U18" s="9" t="n"/>
    </row>
    <row r="19" ht="12" customFormat="1" customHeight="1" s="37">
      <c r="A19" s="75" t="inlineStr">
        <is>
          <t>미장동 군산미장아이파크</t>
        </is>
      </c>
      <c r="B19" s="76" t="inlineStr">
        <is>
          <t>15.01.</t>
        </is>
      </c>
      <c r="C19" s="130" t="n">
        <v>1078</v>
      </c>
      <c r="D19" s="131" t="n">
        <v>131.7</v>
      </c>
      <c r="E19" s="132" t="n">
        <v>40</v>
      </c>
      <c r="F19" s="131" t="n">
        <v>100.4</v>
      </c>
      <c r="G19" s="17" t="n">
        <v>30</v>
      </c>
      <c r="H19" s="133" t="n">
        <v>74</v>
      </c>
      <c r="I19" s="134" t="n">
        <v>39500</v>
      </c>
      <c r="J19" s="134" t="inlineStr">
        <is>
          <t>20</t>
        </is>
      </c>
      <c r="K19" s="134" t="n">
        <v>35000</v>
      </c>
      <c r="L19" s="134" t="inlineStr">
        <is>
          <t>10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131</v>
      </c>
      <c r="U19" s="9" t="n"/>
    </row>
    <row r="20" ht="12" customFormat="1" customHeight="1" s="37">
      <c r="A20" s="75" t="inlineStr">
        <is>
          <t>수송동 수송아이파크(201-2BL)</t>
        </is>
      </c>
      <c r="B20" s="76" t="inlineStr">
        <is>
          <t>08.09.</t>
        </is>
      </c>
      <c r="C20" s="130" t="n">
        <v>566</v>
      </c>
      <c r="D20" s="131" t="n">
        <v>130.7</v>
      </c>
      <c r="E20" s="132" t="n">
        <v>40</v>
      </c>
      <c r="F20" s="131" t="n">
        <v>100.1</v>
      </c>
      <c r="G20" s="17" t="n">
        <v>30</v>
      </c>
      <c r="H20" s="133" t="n">
        <v>87</v>
      </c>
      <c r="I20" s="134" t="n">
        <v>39000</v>
      </c>
      <c r="J20" s="134" t="inlineStr">
        <is>
          <t>10</t>
        </is>
      </c>
      <c r="K20" s="134" t="n">
        <v>35000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</row>
    <row r="21" ht="12" customFormat="1" customHeight="1" s="37">
      <c r="A21" s="75" t="inlineStr">
        <is>
          <t>조촌동 e편한세상군산디오션시티</t>
        </is>
      </c>
      <c r="B21" s="76" t="inlineStr">
        <is>
          <t>18.11.</t>
        </is>
      </c>
      <c r="C21" s="130" t="n">
        <v>854</v>
      </c>
      <c r="D21" s="131" t="n">
        <v>100.4</v>
      </c>
      <c r="E21" s="132" t="n">
        <v>30</v>
      </c>
      <c r="F21" s="131" t="n">
        <v>75</v>
      </c>
      <c r="G21" s="17" t="n">
        <v>23</v>
      </c>
      <c r="H21" s="133" t="n">
        <v>174</v>
      </c>
      <c r="I21" s="134" t="n">
        <v>38500</v>
      </c>
      <c r="J21" s="134" t="inlineStr">
        <is>
          <t>6</t>
        </is>
      </c>
      <c r="K21" s="134" t="n">
        <v>28000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100B</t>
        </is>
      </c>
      <c r="U21" s="9" t="n"/>
    </row>
    <row r="22" ht="12" customFormat="1" customHeight="1" s="37">
      <c r="A22" s="75" t="inlineStr">
        <is>
          <t>미장동 미장대원칸타빌</t>
        </is>
      </c>
      <c r="B22" s="76" t="inlineStr">
        <is>
          <t>18.06.</t>
        </is>
      </c>
      <c r="C22" s="130" t="n">
        <v>805</v>
      </c>
      <c r="D22" s="131" t="n">
        <v>112.4</v>
      </c>
      <c r="E22" s="132" t="n">
        <v>34</v>
      </c>
      <c r="F22" s="131" t="n">
        <v>84.90000000000001</v>
      </c>
      <c r="G22" s="17" t="n">
        <v>26</v>
      </c>
      <c r="H22" s="133" t="n">
        <v>274</v>
      </c>
      <c r="I22" s="134" t="n">
        <v>38000</v>
      </c>
      <c r="J22" s="134" t="inlineStr">
        <is>
          <t>5</t>
        </is>
      </c>
      <c r="K22" s="134" t="n">
        <v>30000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112</v>
      </c>
      <c r="U22" s="9" t="n"/>
    </row>
    <row r="23" ht="12" customFormat="1" customHeight="1" s="37">
      <c r="A23" s="75" t="inlineStr">
        <is>
          <t>미장동 군산미장2차아이파크</t>
        </is>
      </c>
      <c r="B23" s="76" t="inlineStr">
        <is>
          <t>17.06.</t>
        </is>
      </c>
      <c r="C23" s="130" t="n">
        <v>540</v>
      </c>
      <c r="D23" s="131" t="n">
        <v>100.5</v>
      </c>
      <c r="E23" s="132" t="n">
        <v>30</v>
      </c>
      <c r="F23" s="131" t="n">
        <v>75</v>
      </c>
      <c r="G23" s="17" t="n">
        <v>23</v>
      </c>
      <c r="H23" s="133" t="n">
        <v>188</v>
      </c>
      <c r="I23" s="134" t="n">
        <v>37500</v>
      </c>
      <c r="J23" s="134" t="inlineStr">
        <is>
          <t>중</t>
        </is>
      </c>
      <c r="K23" s="134" t="n">
        <v>30000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100A</t>
        </is>
      </c>
      <c r="U23" s="9" t="n"/>
    </row>
    <row r="24" ht="12" customFormat="1" customHeight="1" s="37">
      <c r="A24" s="75" t="inlineStr">
        <is>
          <t>미장동 군산미장아이파크</t>
        </is>
      </c>
      <c r="B24" s="76" t="inlineStr">
        <is>
          <t>15.01.</t>
        </is>
      </c>
      <c r="C24" s="130" t="n">
        <v>1078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435</v>
      </c>
      <c r="I24" s="134" t="n">
        <v>36000</v>
      </c>
      <c r="J24" s="134" t="inlineStr">
        <is>
          <t>중</t>
        </is>
      </c>
      <c r="K24" s="134" t="n">
        <v>28000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111A</t>
        </is>
      </c>
      <c r="U24" s="9" t="n"/>
    </row>
    <row r="25" ht="12" customFormat="1" customHeight="1" s="37">
      <c r="A25" s="75" t="inlineStr">
        <is>
          <t>미장동 미장코아루</t>
        </is>
      </c>
      <c r="B25" s="76" t="inlineStr">
        <is>
          <t>07.06.</t>
        </is>
      </c>
      <c r="C25" s="130" t="n">
        <v>354</v>
      </c>
      <c r="D25" s="131" t="n">
        <v>160.8</v>
      </c>
      <c r="E25" s="132" t="n">
        <v>49</v>
      </c>
      <c r="F25" s="131" t="n">
        <v>129.2</v>
      </c>
      <c r="G25" s="17" t="n">
        <v>39</v>
      </c>
      <c r="H25" s="133" t="n">
        <v>174</v>
      </c>
      <c r="I25" s="134" t="n">
        <v>36000</v>
      </c>
      <c r="J25" s="134" t="inlineStr">
        <is>
          <t>5</t>
        </is>
      </c>
      <c r="K25" s="134" t="n">
        <v>35000</v>
      </c>
      <c r="L25" s="134" t="inlineStr">
        <is>
          <t>15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160</v>
      </c>
      <c r="U25" s="9" t="n"/>
    </row>
    <row r="26" ht="12" customFormat="1" customHeight="1" s="37">
      <c r="A26" s="75" t="inlineStr">
        <is>
          <t>미룡동 금광베네스타</t>
        </is>
      </c>
      <c r="B26" s="76" t="inlineStr">
        <is>
          <t>08.12.</t>
        </is>
      </c>
      <c r="C26" s="130" t="n">
        <v>950</v>
      </c>
      <c r="D26" s="131" t="n">
        <v>176.6</v>
      </c>
      <c r="E26" s="132" t="n">
        <v>53</v>
      </c>
      <c r="F26" s="131" t="n">
        <v>139.8</v>
      </c>
      <c r="G26" s="17" t="n">
        <v>42</v>
      </c>
      <c r="H26" s="133" t="n">
        <v>160</v>
      </c>
      <c r="I26" s="134" t="n">
        <v>35000</v>
      </c>
      <c r="J26" s="134" t="inlineStr">
        <is>
          <t>7</t>
        </is>
      </c>
      <c r="K26" s="134" t="n">
        <v>32000</v>
      </c>
      <c r="L26" s="134" t="inlineStr">
        <is>
          <t>15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복</t>
        </is>
      </c>
      <c r="T26" s="5" t="n">
        <v>176</v>
      </c>
      <c r="U26" s="9" t="n"/>
    </row>
    <row r="27" ht="12" customFormat="1" customHeight="1" s="37">
      <c r="A27" s="75" t="inlineStr">
        <is>
          <t>미룡동 은파롯데캐슬</t>
        </is>
      </c>
      <c r="B27" s="76" t="inlineStr">
        <is>
          <t>07.09.</t>
        </is>
      </c>
      <c r="C27" s="130" t="n">
        <v>307</v>
      </c>
      <c r="D27" s="131" t="n">
        <v>158.3</v>
      </c>
      <c r="E27" s="132" t="n">
        <v>48</v>
      </c>
      <c r="F27" s="131" t="n">
        <v>127.2</v>
      </c>
      <c r="G27" s="17" t="n">
        <v>38</v>
      </c>
      <c r="H27" s="133" t="n">
        <v>77</v>
      </c>
      <c r="I27" s="134" t="n">
        <v>35000</v>
      </c>
      <c r="J27" s="134" t="inlineStr">
        <is>
          <t>10</t>
        </is>
      </c>
      <c r="K27" s="134" t="n">
        <v>27000</v>
      </c>
      <c r="L27" s="134" t="inlineStr">
        <is>
          <t>6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복</t>
        </is>
      </c>
      <c r="T27" s="5" t="inlineStr">
        <is>
          <t>158B</t>
        </is>
      </c>
      <c r="U27" s="9" t="n"/>
    </row>
    <row r="28" ht="12" customFormat="1" customHeight="1" s="37">
      <c r="A28" s="75" t="inlineStr">
        <is>
          <t>조촌동 더샵디오션시티</t>
        </is>
      </c>
      <c r="B28" s="76" t="inlineStr">
        <is>
          <t>21.10.</t>
        </is>
      </c>
      <c r="C28" s="130" t="n">
        <v>973</v>
      </c>
      <c r="D28" s="131" t="n">
        <v>79.5</v>
      </c>
      <c r="E28" s="132" t="n">
        <v>24</v>
      </c>
      <c r="F28" s="131" t="n">
        <v>60</v>
      </c>
      <c r="G28" s="17" t="n">
        <v>18</v>
      </c>
      <c r="H28" s="133" t="n">
        <v>171</v>
      </c>
      <c r="I28" s="134" t="n">
        <v>34500</v>
      </c>
      <c r="J28" s="134" t="inlineStr">
        <is>
          <t>7</t>
        </is>
      </c>
      <c r="K28" s="134" t="n">
        <v>27000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79A</t>
        </is>
      </c>
      <c r="U28" s="9" t="n"/>
    </row>
    <row r="29" ht="12" customFormat="1" customHeight="1" s="37">
      <c r="A29" s="75" t="inlineStr">
        <is>
          <t>미룡동 금광베네스타</t>
        </is>
      </c>
      <c r="B29" s="76" t="inlineStr">
        <is>
          <t>08.12.</t>
        </is>
      </c>
      <c r="C29" s="130" t="n">
        <v>950</v>
      </c>
      <c r="D29" s="131" t="n">
        <v>160</v>
      </c>
      <c r="E29" s="132" t="n">
        <v>48</v>
      </c>
      <c r="F29" s="131" t="n">
        <v>130.8</v>
      </c>
      <c r="G29" s="17" t="n">
        <v>40</v>
      </c>
      <c r="H29" s="133" t="n">
        <v>320</v>
      </c>
      <c r="I29" s="134" t="n">
        <v>34000</v>
      </c>
      <c r="J29" s="134" t="inlineStr">
        <is>
          <t>16</t>
        </is>
      </c>
      <c r="K29" s="134" t="n">
        <v>27000</v>
      </c>
      <c r="L29" s="134" t="inlineStr">
        <is>
          <t>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복</t>
        </is>
      </c>
      <c r="T29" s="5" t="inlineStr">
        <is>
          <t>160A</t>
        </is>
      </c>
      <c r="U29" s="9" t="n"/>
    </row>
    <row r="30" ht="12" customFormat="1" customHeight="1" s="37">
      <c r="A30" s="75" t="inlineStr">
        <is>
          <t>미장동 수송공원삼성쉐르빌</t>
        </is>
      </c>
      <c r="B30" s="76" t="inlineStr">
        <is>
          <t>09.12.</t>
        </is>
      </c>
      <c r="C30" s="130" t="n">
        <v>654</v>
      </c>
      <c r="D30" s="131" t="n">
        <v>135.3</v>
      </c>
      <c r="E30" s="132" t="n">
        <v>41</v>
      </c>
      <c r="F30" s="131" t="n">
        <v>103.8</v>
      </c>
      <c r="G30" s="17" t="n">
        <v>31</v>
      </c>
      <c r="H30" s="133" t="n">
        <v>163</v>
      </c>
      <c r="I30" s="134" t="n">
        <v>34000</v>
      </c>
      <c r="J30" s="134" t="inlineStr">
        <is>
          <t>5</t>
        </is>
      </c>
      <c r="K30" s="134" t="n">
        <v>27000</v>
      </c>
      <c r="L30" s="134" t="inlineStr">
        <is>
          <t>9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135A</t>
        </is>
      </c>
      <c r="U30" s="9" t="n"/>
    </row>
    <row r="31" ht="12" customFormat="1" customHeight="1" s="37">
      <c r="A31" s="75" t="inlineStr">
        <is>
          <t>수송동 군산수송제일오투그란데2단지</t>
        </is>
      </c>
      <c r="B31" s="76" t="inlineStr">
        <is>
          <t>08.10.</t>
        </is>
      </c>
      <c r="C31" s="130" t="n">
        <v>656</v>
      </c>
      <c r="D31" s="131" t="n">
        <v>125.6</v>
      </c>
      <c r="E31" s="132" t="n">
        <v>38</v>
      </c>
      <c r="F31" s="131" t="n">
        <v>92.7</v>
      </c>
      <c r="G31" s="17" t="n">
        <v>28</v>
      </c>
      <c r="H31" s="133" t="n">
        <v>274</v>
      </c>
      <c r="I31" s="134" t="n">
        <v>33000</v>
      </c>
      <c r="J31" s="134" t="inlineStr">
        <is>
          <t>5</t>
        </is>
      </c>
      <c r="K31" s="134" t="n">
        <v>29000</v>
      </c>
      <c r="L31" s="134" t="inlineStr">
        <is>
          <t>14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125</v>
      </c>
      <c r="U31" s="9" t="n"/>
    </row>
    <row r="32" ht="12" customFormat="1" customHeight="1" s="37">
      <c r="A32" s="75" t="inlineStr">
        <is>
          <t>미장동 미장대원칸타빌</t>
        </is>
      </c>
      <c r="B32" s="76" t="inlineStr">
        <is>
          <t>18.06.</t>
        </is>
      </c>
      <c r="C32" s="130" t="n">
        <v>805</v>
      </c>
      <c r="D32" s="131" t="n">
        <v>100</v>
      </c>
      <c r="E32" s="132" t="n">
        <v>30</v>
      </c>
      <c r="F32" s="131" t="n">
        <v>74.90000000000001</v>
      </c>
      <c r="G32" s="17" t="n">
        <v>23</v>
      </c>
      <c r="H32" s="133" t="n">
        <v>186</v>
      </c>
      <c r="I32" s="134" t="n">
        <v>32500</v>
      </c>
      <c r="J32" s="134" t="inlineStr">
        <is>
          <t>5</t>
        </is>
      </c>
      <c r="K32" s="134" t="n">
        <v>27000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99A</t>
        </is>
      </c>
      <c r="U32" s="9" t="n"/>
    </row>
    <row r="33" ht="12" customFormat="1" customHeight="1" s="37">
      <c r="A33" s="75" t="inlineStr">
        <is>
          <t>조촌동 군산디오션시티푸르지오</t>
        </is>
      </c>
      <c r="B33" s="76" t="inlineStr">
        <is>
          <t>18.03.</t>
        </is>
      </c>
      <c r="C33" s="130" t="n">
        <v>1400</v>
      </c>
      <c r="D33" s="131" t="n">
        <v>82</v>
      </c>
      <c r="E33" s="132" t="n">
        <v>25</v>
      </c>
      <c r="F33" s="131" t="n">
        <v>60</v>
      </c>
      <c r="G33" s="17" t="n">
        <v>18</v>
      </c>
      <c r="H33" s="133" t="n">
        <v>189</v>
      </c>
      <c r="I33" s="134" t="n">
        <v>32500</v>
      </c>
      <c r="J33" s="134" t="inlineStr">
        <is>
          <t>23</t>
        </is>
      </c>
      <c r="K33" s="134" t="n">
        <v>25000</v>
      </c>
      <c r="L33" s="134" t="inlineStr">
        <is>
          <t>23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81A</t>
        </is>
      </c>
      <c r="U33" s="9" t="n"/>
    </row>
    <row r="34" ht="12" customFormat="1" customHeight="1" s="37">
      <c r="A34" s="75" t="inlineStr">
        <is>
          <t>나운동 나운보람더하임</t>
        </is>
      </c>
      <c r="B34" s="76" t="inlineStr">
        <is>
          <t>10.03.</t>
        </is>
      </c>
      <c r="C34" s="130" t="n">
        <v>437</v>
      </c>
      <c r="D34" s="131" t="n">
        <v>152.7</v>
      </c>
      <c r="E34" s="132" t="n">
        <v>46</v>
      </c>
      <c r="F34" s="131" t="n">
        <v>118.6</v>
      </c>
      <c r="G34" s="17" t="n">
        <v>36</v>
      </c>
      <c r="H34" s="133" t="n">
        <v>54</v>
      </c>
      <c r="I34" s="134" t="n">
        <v>32000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152</v>
      </c>
      <c r="U34" s="9" t="n"/>
    </row>
    <row r="35" ht="12" customFormat="1" customHeight="1" s="37">
      <c r="A35" s="75" t="inlineStr">
        <is>
          <t>미룡동 은파롯데캐슬</t>
        </is>
      </c>
      <c r="B35" s="76" t="inlineStr">
        <is>
          <t>07.09.</t>
        </is>
      </c>
      <c r="C35" s="130" t="n">
        <v>307</v>
      </c>
      <c r="D35" s="131" t="n">
        <v>131.5</v>
      </c>
      <c r="E35" s="132" t="n">
        <v>40</v>
      </c>
      <c r="F35" s="131" t="n">
        <v>104.6</v>
      </c>
      <c r="G35" s="17" t="n">
        <v>32</v>
      </c>
      <c r="H35" s="133" t="n">
        <v>79</v>
      </c>
      <c r="I35" s="134" t="n">
        <v>32000</v>
      </c>
      <c r="J35" s="134" t="inlineStr">
        <is>
          <t>8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131A</t>
        </is>
      </c>
      <c r="U35" s="9" t="n"/>
    </row>
    <row r="36" ht="12" customFormat="1" customHeight="1" s="37">
      <c r="A36" s="75" t="inlineStr">
        <is>
          <t>수송동 한라비발디2단지</t>
        </is>
      </c>
      <c r="B36" s="76" t="inlineStr">
        <is>
          <t>08.11.</t>
        </is>
      </c>
      <c r="C36" s="130" t="n">
        <v>782</v>
      </c>
      <c r="D36" s="131" t="n">
        <v>113.3</v>
      </c>
      <c r="E36" s="132" t="n">
        <v>34</v>
      </c>
      <c r="F36" s="131" t="n">
        <v>85</v>
      </c>
      <c r="G36" s="17" t="n">
        <v>26</v>
      </c>
      <c r="H36" s="133" t="n">
        <v>480</v>
      </c>
      <c r="I36" s="134" t="n">
        <v>32000</v>
      </c>
      <c r="J36" s="134" t="inlineStr">
        <is>
          <t>5</t>
        </is>
      </c>
      <c r="K36" s="134" t="n">
        <v>28000</v>
      </c>
      <c r="L36" s="134" t="inlineStr">
        <is>
          <t>16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113</v>
      </c>
      <c r="U36" s="9" t="n"/>
    </row>
    <row r="37" ht="12" customFormat="1" customHeight="1" s="37">
      <c r="A37" s="75" t="inlineStr">
        <is>
          <t>조촌동 e편한세상군산디오션시티</t>
        </is>
      </c>
      <c r="B37" s="76" t="inlineStr">
        <is>
          <t>18.11.</t>
        </is>
      </c>
      <c r="C37" s="130" t="n">
        <v>854</v>
      </c>
      <c r="D37" s="131" t="n">
        <v>80.5</v>
      </c>
      <c r="E37" s="132" t="n">
        <v>24</v>
      </c>
      <c r="F37" s="131" t="n">
        <v>59.9</v>
      </c>
      <c r="G37" s="17" t="n">
        <v>18</v>
      </c>
      <c r="H37" s="133" t="n">
        <v>174</v>
      </c>
      <c r="I37" s="134" t="n">
        <v>32000</v>
      </c>
      <c r="J37" s="134" t="inlineStr">
        <is>
          <t>8</t>
        </is>
      </c>
      <c r="K37" s="134" t="n">
        <v>26000</v>
      </c>
      <c r="L37" s="134" t="inlineStr">
        <is>
          <t>17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80</v>
      </c>
      <c r="U37" s="9" t="n"/>
    </row>
    <row r="38" ht="12" customFormat="1" customHeight="1" s="37">
      <c r="A38" s="75" t="inlineStr">
        <is>
          <t>미룡동 금광베네스타</t>
        </is>
      </c>
      <c r="B38" s="76" t="inlineStr">
        <is>
          <t>08.12.</t>
        </is>
      </c>
      <c r="C38" s="130" t="n">
        <v>950</v>
      </c>
      <c r="D38" s="131" t="n">
        <v>146.5</v>
      </c>
      <c r="E38" s="132" t="n">
        <v>44</v>
      </c>
      <c r="F38" s="131" t="n">
        <v>113.5</v>
      </c>
      <c r="G38" s="17" t="n">
        <v>34</v>
      </c>
      <c r="H38" s="133" t="n">
        <v>114</v>
      </c>
      <c r="I38" s="134" t="n">
        <v>31000</v>
      </c>
      <c r="J38" s="134" t="inlineStr">
        <is>
          <t>14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복</t>
        </is>
      </c>
      <c r="T38" s="5" t="n">
        <v>146</v>
      </c>
      <c r="U38" s="9" t="n"/>
    </row>
    <row r="39" ht="12" customFormat="1" customHeight="1" s="37">
      <c r="A39" s="75" t="inlineStr">
        <is>
          <t>미장동 수송공원삼성쉐르빌</t>
        </is>
      </c>
      <c r="B39" s="76" t="inlineStr">
        <is>
          <t>09.12.</t>
        </is>
      </c>
      <c r="C39" s="130" t="n">
        <v>654</v>
      </c>
      <c r="D39" s="131" t="n">
        <v>113</v>
      </c>
      <c r="E39" s="132" t="n">
        <v>34</v>
      </c>
      <c r="F39" s="131" t="n">
        <v>84.40000000000001</v>
      </c>
      <c r="G39" s="17" t="n">
        <v>26</v>
      </c>
      <c r="H39" s="133" t="n">
        <v>205</v>
      </c>
      <c r="I39" s="134" t="n">
        <v>31000</v>
      </c>
      <c r="J39" s="134" t="inlineStr">
        <is>
          <t>12</t>
        </is>
      </c>
      <c r="K39" s="134" t="n">
        <v>25000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113A</t>
        </is>
      </c>
      <c r="U39" s="9" t="n"/>
    </row>
    <row r="40" ht="12" customFormat="1" customHeight="1" s="37">
      <c r="A40" s="75" t="inlineStr">
        <is>
          <t>옥산면 군산대광로제비앙</t>
        </is>
      </c>
      <c r="B40" s="76" t="inlineStr">
        <is>
          <t>17.12.</t>
        </is>
      </c>
      <c r="C40" s="130" t="n">
        <v>469</v>
      </c>
      <c r="D40" s="131" t="n">
        <v>109.8</v>
      </c>
      <c r="E40" s="132" t="n">
        <v>33</v>
      </c>
      <c r="F40" s="131" t="n">
        <v>85</v>
      </c>
      <c r="G40" s="17" t="n">
        <v>26</v>
      </c>
      <c r="H40" s="133" t="n">
        <v>380</v>
      </c>
      <c r="I40" s="134" t="n">
        <v>31000</v>
      </c>
      <c r="J40" s="134" t="inlineStr">
        <is>
          <t>19</t>
        </is>
      </c>
      <c r="K40" s="134" t="n">
        <v>26000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109A</t>
        </is>
      </c>
      <c r="U40" s="9" t="n"/>
    </row>
    <row r="41" ht="12" customFormat="1" customHeight="1" s="37">
      <c r="A41" s="75" t="inlineStr">
        <is>
          <t>수송동 군산수송세영리첼</t>
        </is>
      </c>
      <c r="B41" s="76" t="inlineStr">
        <is>
          <t>10.06.</t>
        </is>
      </c>
      <c r="C41" s="130" t="n">
        <v>1041</v>
      </c>
      <c r="D41" s="131" t="n">
        <v>114.2</v>
      </c>
      <c r="E41" s="132" t="n">
        <v>35</v>
      </c>
      <c r="F41" s="131" t="n">
        <v>85</v>
      </c>
      <c r="G41" s="17" t="n">
        <v>26</v>
      </c>
      <c r="H41" s="133" t="n">
        <v>466</v>
      </c>
      <c r="I41" s="134" t="n">
        <v>30500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114A</t>
        </is>
      </c>
      <c r="U41" s="9" t="n"/>
    </row>
    <row r="42" ht="12" customFormat="1" customHeight="1" s="37">
      <c r="A42" s="75" t="inlineStr">
        <is>
          <t>수송동 군산수송제일오투그란데1단지</t>
        </is>
      </c>
      <c r="B42" s="76" t="inlineStr">
        <is>
          <t>08.10.</t>
        </is>
      </c>
      <c r="C42" s="130" t="n">
        <v>724</v>
      </c>
      <c r="D42" s="131" t="n">
        <v>115.6</v>
      </c>
      <c r="E42" s="132" t="n">
        <v>35</v>
      </c>
      <c r="F42" s="131" t="n">
        <v>84.90000000000001</v>
      </c>
      <c r="G42" s="17" t="n">
        <v>26</v>
      </c>
      <c r="H42" s="133" t="n">
        <v>206</v>
      </c>
      <c r="I42" s="134" t="n">
        <v>30500</v>
      </c>
      <c r="J42" s="134" t="inlineStr">
        <is>
          <t>5</t>
        </is>
      </c>
      <c r="K42" s="134" t="n">
        <v>26000</v>
      </c>
      <c r="L42" s="134" t="inlineStr">
        <is>
          <t>7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115A</t>
        </is>
      </c>
      <c r="U42" s="9" t="n"/>
    </row>
    <row r="43" ht="12" customFormat="1" customHeight="1" s="37">
      <c r="A43" s="75" t="inlineStr">
        <is>
          <t>미룡동 은파리젠시빌파크</t>
        </is>
      </c>
      <c r="B43" s="76" t="inlineStr">
        <is>
          <t>07.02.</t>
        </is>
      </c>
      <c r="C43" s="130" t="n">
        <v>317</v>
      </c>
      <c r="D43" s="131" t="n">
        <v>159.7</v>
      </c>
      <c r="E43" s="132" t="n">
        <v>48</v>
      </c>
      <c r="F43" s="131" t="n">
        <v>132.4</v>
      </c>
      <c r="G43" s="17" t="n">
        <v>40</v>
      </c>
      <c r="H43" s="133" t="n">
        <v>84</v>
      </c>
      <c r="I43" s="134" t="n">
        <v>30000</v>
      </c>
      <c r="J43" s="134" t="inlineStr">
        <is>
          <t>7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159</v>
      </c>
      <c r="U43" s="9" t="n"/>
    </row>
    <row r="44" ht="12" customFormat="1" customHeight="1" s="37">
      <c r="A44" s="75" t="inlineStr">
        <is>
          <t>미장동 미장대원칸타빌</t>
        </is>
      </c>
      <c r="B44" s="76" t="inlineStr">
        <is>
          <t>18.06.</t>
        </is>
      </c>
      <c r="C44" s="130" t="n">
        <v>805</v>
      </c>
      <c r="D44" s="131" t="n">
        <v>80.3</v>
      </c>
      <c r="E44" s="132" t="n">
        <v>24</v>
      </c>
      <c r="F44" s="131" t="n">
        <v>59.9</v>
      </c>
      <c r="G44" s="17" t="n">
        <v>18</v>
      </c>
      <c r="H44" s="133" t="n">
        <v>78</v>
      </c>
      <c r="I44" s="134" t="n">
        <v>28500</v>
      </c>
      <c r="J44" s="134" t="inlineStr">
        <is>
          <t>19</t>
        </is>
      </c>
      <c r="K44" s="134" t="n">
        <v>21000</v>
      </c>
      <c r="L44" s="134" t="inlineStr">
        <is>
          <t>18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80</v>
      </c>
      <c r="U44" s="9" t="n"/>
    </row>
    <row r="45" ht="12" customFormat="1" customHeight="1" s="37">
      <c r="A45" s="75" t="inlineStr">
        <is>
          <t>미장동 미장대원칸타빌</t>
        </is>
      </c>
      <c r="B45" s="76" t="inlineStr">
        <is>
          <t>18.06.</t>
        </is>
      </c>
      <c r="C45" s="130" t="n">
        <v>805</v>
      </c>
      <c r="D45" s="131" t="n">
        <v>87.90000000000001</v>
      </c>
      <c r="E45" s="132" t="n">
        <v>27</v>
      </c>
      <c r="F45" s="131" t="n">
        <v>65.90000000000001</v>
      </c>
      <c r="G45" s="17" t="n">
        <v>20</v>
      </c>
      <c r="H45" s="133" t="n">
        <v>47</v>
      </c>
      <c r="I45" s="134" t="n">
        <v>28500</v>
      </c>
      <c r="J45" s="134" t="inlineStr">
        <is>
          <t>5</t>
        </is>
      </c>
      <c r="K45" s="134" t="n">
        <v>23000</v>
      </c>
      <c r="L45" s="134" t="inlineStr">
        <is>
          <t>21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87B</t>
        </is>
      </c>
      <c r="U45" s="9" t="n"/>
    </row>
    <row r="46" ht="12" customFormat="1" customHeight="1" s="37">
      <c r="A46" s="75" t="inlineStr">
        <is>
          <t>경암동 경암제일오투그란데</t>
        </is>
      </c>
      <c r="B46" s="76" t="inlineStr">
        <is>
          <t>15.11.</t>
        </is>
      </c>
      <c r="C46" s="130" t="n">
        <v>352</v>
      </c>
      <c r="D46" s="131" t="n">
        <v>110.6</v>
      </c>
      <c r="E46" s="132" t="n">
        <v>33</v>
      </c>
      <c r="F46" s="131" t="n">
        <v>84.5</v>
      </c>
      <c r="G46" s="17" t="n">
        <v>26</v>
      </c>
      <c r="H46" s="133" t="n">
        <v>131</v>
      </c>
      <c r="I46" s="134" t="n">
        <v>28000</v>
      </c>
      <c r="J46" s="134" t="inlineStr">
        <is>
          <t>16</t>
        </is>
      </c>
      <c r="K46" s="134" t="n">
        <v>23000</v>
      </c>
      <c r="L46" s="134" t="inlineStr">
        <is>
          <t>11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110B</t>
        </is>
      </c>
      <c r="U46" s="9" t="n"/>
    </row>
    <row r="47" ht="12" customFormat="1" customHeight="1" s="37">
      <c r="A47" s="75" t="inlineStr">
        <is>
          <t>조촌동 센트럴파크</t>
        </is>
      </c>
      <c r="B47" s="76" t="inlineStr">
        <is>
          <t>17.10.</t>
        </is>
      </c>
      <c r="C47" s="130" t="n">
        <v>480</v>
      </c>
      <c r="D47" s="131" t="n">
        <v>110.7</v>
      </c>
      <c r="E47" s="132" t="n">
        <v>33</v>
      </c>
      <c r="F47" s="131" t="n">
        <v>84.90000000000001</v>
      </c>
      <c r="G47" s="17" t="n">
        <v>26</v>
      </c>
      <c r="H47" s="133" t="n">
        <v>251</v>
      </c>
      <c r="I47" s="134" t="n">
        <v>27500</v>
      </c>
      <c r="J47" s="134" t="inlineStr">
        <is>
          <t>31</t>
        </is>
      </c>
      <c r="K47" s="134" t="n">
        <v>23000</v>
      </c>
      <c r="L47" s="134" t="inlineStr">
        <is>
          <t>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5" t="inlineStr">
        <is>
          <t>옥산면 힐스테이트은파</t>
        </is>
      </c>
      <c r="B48" s="76" t="inlineStr">
        <is>
          <t>15.09.</t>
        </is>
      </c>
      <c r="C48" s="130" t="n">
        <v>449</v>
      </c>
      <c r="D48" s="131" t="n">
        <v>110.9</v>
      </c>
      <c r="E48" s="132" t="n">
        <v>34</v>
      </c>
      <c r="F48" s="131" t="n">
        <v>85</v>
      </c>
      <c r="G48" s="17" t="n">
        <v>26</v>
      </c>
      <c r="H48" s="133" t="n">
        <v>449</v>
      </c>
      <c r="I48" s="134" t="n">
        <v>27000</v>
      </c>
      <c r="J48" s="134" t="inlineStr">
        <is>
          <t>11</t>
        </is>
      </c>
      <c r="K48" s="134" t="n">
        <v>23000</v>
      </c>
      <c r="L48" s="134" t="inlineStr">
        <is>
          <t>16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</row>
    <row r="49" ht="12" customFormat="1" customHeight="1" s="37">
      <c r="A49" s="75" t="inlineStr">
        <is>
          <t>조촌동 타워써미트</t>
        </is>
      </c>
      <c r="B49" s="76" t="inlineStr">
        <is>
          <t>12.06.</t>
        </is>
      </c>
      <c r="C49" s="130" t="n">
        <v>770</v>
      </c>
      <c r="D49" s="131" t="n">
        <v>112.1</v>
      </c>
      <c r="E49" s="132" t="n">
        <v>34</v>
      </c>
      <c r="F49" s="131" t="n">
        <v>85</v>
      </c>
      <c r="G49" s="17" t="n">
        <v>26</v>
      </c>
      <c r="H49" s="133" t="n">
        <v>277</v>
      </c>
      <c r="I49" s="134" t="n">
        <v>26000</v>
      </c>
      <c r="J49" s="134" t="inlineStr">
        <is>
          <t>23</t>
        </is>
      </c>
      <c r="K49" s="134" t="n">
        <v>23000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112B</t>
        </is>
      </c>
      <c r="U49" s="9" t="n"/>
    </row>
    <row r="50" ht="12" customFormat="1" customHeight="1" s="37">
      <c r="A50" s="75" t="inlineStr">
        <is>
          <t>나운동 삼성(401)</t>
        </is>
      </c>
      <c r="B50" s="76" t="inlineStr">
        <is>
          <t>98.05.</t>
        </is>
      </c>
      <c r="C50" s="130" t="n">
        <v>670</v>
      </c>
      <c r="D50" s="131" t="n">
        <v>139.7</v>
      </c>
      <c r="E50" s="132" t="n">
        <v>42</v>
      </c>
      <c r="F50" s="131" t="n">
        <v>115</v>
      </c>
      <c r="G50" s="17" t="n">
        <v>35</v>
      </c>
      <c r="H50" s="133" t="n">
        <v>40</v>
      </c>
      <c r="I50" s="134" t="n">
        <v>25300</v>
      </c>
      <c r="J50" s="134" t="inlineStr">
        <is>
          <t>13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139</v>
      </c>
      <c r="U50" s="9" t="n"/>
    </row>
    <row r="51" ht="12" customFormat="1" customHeight="1" s="37">
      <c r="A51" s="75" t="inlineStr">
        <is>
          <t>수송동 군산수송제일오투그란데1단지</t>
        </is>
      </c>
      <c r="B51" s="76" t="inlineStr">
        <is>
          <t>08.10.</t>
        </is>
      </c>
      <c r="C51" s="130" t="n">
        <v>724</v>
      </c>
      <c r="D51" s="131" t="n">
        <v>99</v>
      </c>
      <c r="E51" s="132" t="n">
        <v>30</v>
      </c>
      <c r="F51" s="131" t="n">
        <v>69</v>
      </c>
      <c r="G51" s="17" t="n">
        <v>21</v>
      </c>
      <c r="H51" s="133" t="n">
        <v>212</v>
      </c>
      <c r="I51" s="134" t="n">
        <v>25200</v>
      </c>
      <c r="J51" s="134" t="inlineStr">
        <is>
          <t>6</t>
        </is>
      </c>
      <c r="K51" s="134" t="n">
        <v>24000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99</v>
      </c>
      <c r="U51" s="9" t="n"/>
    </row>
    <row r="52" ht="12" customFormat="1" customHeight="1" s="37">
      <c r="A52" s="75" t="inlineStr">
        <is>
          <t>미장동 군산미장아이파크</t>
        </is>
      </c>
      <c r="B52" s="76" t="inlineStr">
        <is>
          <t>15.01.</t>
        </is>
      </c>
      <c r="C52" s="130" t="n">
        <v>1078</v>
      </c>
      <c r="D52" s="131" t="n">
        <v>80.3</v>
      </c>
      <c r="E52" s="132" t="n">
        <v>24</v>
      </c>
      <c r="F52" s="131" t="n">
        <v>60</v>
      </c>
      <c r="G52" s="17" t="n">
        <v>18</v>
      </c>
      <c r="H52" s="133" t="n">
        <v>141</v>
      </c>
      <c r="I52" s="134" t="n">
        <v>25000</v>
      </c>
      <c r="J52" s="134" t="inlineStr">
        <is>
          <t>20</t>
        </is>
      </c>
      <c r="K52" s="134" t="n">
        <v>23000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80</v>
      </c>
      <c r="U52" s="9" t="n"/>
    </row>
    <row r="53" ht="12" customFormat="1" customHeight="1" s="37">
      <c r="A53" s="75" t="inlineStr">
        <is>
          <t>나운동 삼성(401)</t>
        </is>
      </c>
      <c r="B53" s="76" t="inlineStr">
        <is>
          <t>98.05.</t>
        </is>
      </c>
      <c r="C53" s="130" t="n">
        <v>670</v>
      </c>
      <c r="D53" s="131" t="n">
        <v>161.2</v>
      </c>
      <c r="E53" s="132" t="n">
        <v>49</v>
      </c>
      <c r="F53" s="131" t="n">
        <v>135</v>
      </c>
      <c r="G53" s="17" t="n">
        <v>41</v>
      </c>
      <c r="H53" s="133" t="n">
        <v>80</v>
      </c>
      <c r="I53" s="134" t="n">
        <v>24000</v>
      </c>
      <c r="J53" s="134" t="inlineStr">
        <is>
          <t>9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161</v>
      </c>
      <c r="U53" s="9" t="n"/>
    </row>
    <row r="54" ht="12" customFormat="1" customHeight="1" s="37">
      <c r="A54" s="75" t="inlineStr">
        <is>
          <t>나운동 롯데3차</t>
        </is>
      </c>
      <c r="B54" s="76" t="inlineStr">
        <is>
          <t>94.06.</t>
        </is>
      </c>
      <c r="C54" s="130" t="n">
        <v>572</v>
      </c>
      <c r="D54" s="131" t="n">
        <v>153.4</v>
      </c>
      <c r="E54" s="132" t="n">
        <v>46</v>
      </c>
      <c r="F54" s="131" t="n">
        <v>131.8</v>
      </c>
      <c r="G54" s="17" t="n">
        <v>40</v>
      </c>
      <c r="H54" s="133" t="n">
        <v>52</v>
      </c>
      <c r="I54" s="134" t="n">
        <v>24000</v>
      </c>
      <c r="J54" s="134" t="inlineStr">
        <is>
          <t>8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153</v>
      </c>
      <c r="U54" s="9" t="n"/>
    </row>
    <row r="55" ht="12" customFormat="1" customHeight="1" s="37">
      <c r="A55" s="75" t="inlineStr">
        <is>
          <t>나운동 현대4차</t>
        </is>
      </c>
      <c r="B55" s="76" t="inlineStr">
        <is>
          <t>98.09.</t>
        </is>
      </c>
      <c r="C55" s="130" t="n">
        <v>636</v>
      </c>
      <c r="D55" s="131" t="n">
        <v>124.6</v>
      </c>
      <c r="E55" s="132" t="n">
        <v>38</v>
      </c>
      <c r="F55" s="131" t="n">
        <v>99.90000000000001</v>
      </c>
      <c r="G55" s="17" t="n">
        <v>30</v>
      </c>
      <c r="H55" s="133" t="n">
        <v>78</v>
      </c>
      <c r="I55" s="134" t="n">
        <v>23000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124</v>
      </c>
      <c r="U55" s="9" t="n"/>
    </row>
    <row r="56" ht="12" customFormat="1" customHeight="1" s="37">
      <c r="A56" s="75" t="inlineStr">
        <is>
          <t>구암동 현대</t>
        </is>
      </c>
      <c r="B56" s="76" t="inlineStr">
        <is>
          <t>94.03.</t>
        </is>
      </c>
      <c r="C56" s="130" t="n">
        <v>1084</v>
      </c>
      <c r="D56" s="131" t="n">
        <v>146.3</v>
      </c>
      <c r="E56" s="132" t="n">
        <v>44</v>
      </c>
      <c r="F56" s="131" t="n">
        <v>125.9</v>
      </c>
      <c r="G56" s="17" t="n">
        <v>38</v>
      </c>
      <c r="H56" s="133" t="n">
        <v>120</v>
      </c>
      <c r="I56" s="134" t="n">
        <v>22000</v>
      </c>
      <c r="J56" s="134" t="inlineStr">
        <is>
          <t>7</t>
        </is>
      </c>
      <c r="K56" s="134" t="n">
        <v>18000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146</v>
      </c>
      <c r="U56" s="9" t="n"/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66</v>
      </c>
      <c r="E57" s="132" t="n">
        <v>20</v>
      </c>
      <c r="F57" s="131" t="n">
        <v>66</v>
      </c>
      <c r="G57" s="17" t="n">
        <v>20</v>
      </c>
      <c r="H57" s="133" t="n">
        <v>125</v>
      </c>
      <c r="I57" s="134" t="n">
        <v>22000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65B</t>
        </is>
      </c>
      <c r="U57" s="9" t="n"/>
    </row>
    <row r="58" ht="12" customFormat="1" customHeight="1" s="37">
      <c r="A58" s="75" t="inlineStr">
        <is>
          <t>나운동 동신</t>
        </is>
      </c>
      <c r="B58" s="76" t="inlineStr">
        <is>
          <t>97.12.</t>
        </is>
      </c>
      <c r="C58" s="130" t="n">
        <v>420</v>
      </c>
      <c r="D58" s="131" t="n">
        <v>136.5</v>
      </c>
      <c r="E58" s="132" t="n">
        <v>41</v>
      </c>
      <c r="F58" s="131" t="n">
        <v>114.6</v>
      </c>
      <c r="G58" s="17" t="n">
        <v>35</v>
      </c>
      <c r="H58" s="133" t="n">
        <v>150</v>
      </c>
      <c r="I58" s="134" t="n">
        <v>22000</v>
      </c>
      <c r="J58" s="134" t="inlineStr">
        <is>
          <t>12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136</v>
      </c>
      <c r="U58" s="9" t="n"/>
    </row>
    <row r="59" ht="12" customFormat="1" customHeight="1" s="37">
      <c r="A59" s="75" t="inlineStr">
        <is>
          <t>수송동 수송오투그란데2차</t>
        </is>
      </c>
      <c r="B59" s="76" t="inlineStr">
        <is>
          <t>11.03.</t>
        </is>
      </c>
      <c r="C59" s="130" t="n">
        <v>570</v>
      </c>
      <c r="D59" s="131" t="n">
        <v>83</v>
      </c>
      <c r="E59" s="132" t="n">
        <v>25</v>
      </c>
      <c r="F59" s="131" t="n">
        <v>60</v>
      </c>
      <c r="G59" s="17" t="n">
        <v>18</v>
      </c>
      <c r="H59" s="133" t="n">
        <v>235</v>
      </c>
      <c r="I59" s="134" t="n">
        <v>21500</v>
      </c>
      <c r="J59" s="134" t="inlineStr">
        <is>
          <t>11</t>
        </is>
      </c>
      <c r="K59" s="134" t="n">
        <v>18500</v>
      </c>
      <c r="L59" s="134" t="inlineStr">
        <is>
          <t>11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82B</t>
        </is>
      </c>
      <c r="U59" s="9" t="n"/>
    </row>
    <row r="60" ht="12" customFormat="1" customHeight="1" s="37">
      <c r="A60" s="75" t="inlineStr">
        <is>
          <t>나운동 나운보람더하임</t>
        </is>
      </c>
      <c r="B60" s="76" t="inlineStr">
        <is>
          <t>10.03.</t>
        </is>
      </c>
      <c r="C60" s="130" t="n">
        <v>437</v>
      </c>
      <c r="D60" s="131" t="n">
        <v>110.6</v>
      </c>
      <c r="E60" s="132" t="n">
        <v>33</v>
      </c>
      <c r="F60" s="131" t="n">
        <v>85</v>
      </c>
      <c r="G60" s="17" t="n">
        <v>26</v>
      </c>
      <c r="H60" s="133" t="n">
        <v>202</v>
      </c>
      <c r="I60" s="134" t="n">
        <v>21000</v>
      </c>
      <c r="J60" s="134" t="inlineStr">
        <is>
          <t>8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110A</t>
        </is>
      </c>
      <c r="U60" s="9" t="n"/>
    </row>
    <row r="61" ht="12" customFormat="1" customHeight="1" s="37">
      <c r="A61" s="75" t="inlineStr">
        <is>
          <t>미장동 파인빌2차</t>
        </is>
      </c>
      <c r="B61" s="76" t="inlineStr">
        <is>
          <t>06.06.</t>
        </is>
      </c>
      <c r="C61" s="130" t="n">
        <v>351</v>
      </c>
      <c r="D61" s="131" t="n">
        <v>119.9</v>
      </c>
      <c r="E61" s="132" t="n">
        <v>36</v>
      </c>
      <c r="F61" s="131" t="n">
        <v>85</v>
      </c>
      <c r="G61" s="17" t="n">
        <v>26</v>
      </c>
      <c r="H61" s="133" t="n">
        <v>202</v>
      </c>
      <c r="I61" s="134" t="n">
        <v>21000</v>
      </c>
      <c r="J61" s="134" t="inlineStr">
        <is>
          <t>10</t>
        </is>
      </c>
      <c r="K61" s="134" t="n">
        <v>19000</v>
      </c>
      <c r="L61" s="134" t="inlineStr">
        <is>
          <t>9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복</t>
        </is>
      </c>
      <c r="T61" s="5" t="n">
        <v>119</v>
      </c>
      <c r="U61" s="9" t="n"/>
    </row>
    <row r="62" ht="12" customFormat="1" customHeight="1" s="37">
      <c r="A62" s="75" t="inlineStr">
        <is>
          <t>나운동 수송코아루</t>
        </is>
      </c>
      <c r="B62" s="76" t="inlineStr">
        <is>
          <t>09.03.</t>
        </is>
      </c>
      <c r="C62" s="130" t="n">
        <v>392</v>
      </c>
      <c r="D62" s="131" t="n">
        <v>87.09999999999999</v>
      </c>
      <c r="E62" s="132" t="n">
        <v>26</v>
      </c>
      <c r="F62" s="131" t="n">
        <v>59.6</v>
      </c>
      <c r="G62" s="17" t="n">
        <v>18</v>
      </c>
      <c r="H62" s="133" t="n">
        <v>392</v>
      </c>
      <c r="I62" s="134" t="n">
        <v>20400</v>
      </c>
      <c r="J62" s="134" t="inlineStr">
        <is>
          <t>8</t>
        </is>
      </c>
      <c r="K62" s="134" t="n">
        <v>17800</v>
      </c>
      <c r="L62" s="134" t="inlineStr">
        <is>
          <t>19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87</v>
      </c>
      <c r="U62" s="9" t="n"/>
    </row>
    <row r="63" ht="12" customFormat="1" customHeight="1" s="37">
      <c r="A63" s="75" t="inlineStr">
        <is>
          <t>나운동 현대3차</t>
        </is>
      </c>
      <c r="B63" s="76" t="inlineStr">
        <is>
          <t>95.06.</t>
        </is>
      </c>
      <c r="C63" s="130" t="n">
        <v>479</v>
      </c>
      <c r="D63" s="131" t="n">
        <v>167.1</v>
      </c>
      <c r="E63" s="132" t="n">
        <v>51</v>
      </c>
      <c r="F63" s="131" t="n">
        <v>134.8</v>
      </c>
      <c r="G63" s="17" t="n">
        <v>41</v>
      </c>
      <c r="H63" s="133" t="n">
        <v>80</v>
      </c>
      <c r="I63" s="134" t="n">
        <v>20000</v>
      </c>
      <c r="J63" s="134" t="inlineStr">
        <is>
          <t>고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167</v>
      </c>
      <c r="U63" s="9" t="n"/>
    </row>
    <row r="64" ht="12" customFormat="1" customHeight="1" s="37">
      <c r="A64" s="75" t="inlineStr">
        <is>
          <t>조촌동 타워써미트</t>
        </is>
      </c>
      <c r="B64" s="76" t="inlineStr">
        <is>
          <t>12.06.</t>
        </is>
      </c>
      <c r="C64" s="130" t="n">
        <v>770</v>
      </c>
      <c r="D64" s="131" t="n">
        <v>79.09999999999999</v>
      </c>
      <c r="E64" s="132" t="n">
        <v>24</v>
      </c>
      <c r="F64" s="131" t="n">
        <v>59.9</v>
      </c>
      <c r="G64" s="17" t="n">
        <v>18</v>
      </c>
      <c r="H64" s="133" t="n">
        <v>129</v>
      </c>
      <c r="I64" s="134" t="n">
        <v>20000</v>
      </c>
      <c r="J64" s="134" t="inlineStr">
        <is>
          <t>15</t>
        </is>
      </c>
      <c r="K64" s="134" t="n">
        <v>19000</v>
      </c>
      <c r="L64" s="134" t="inlineStr">
        <is>
          <t>15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n">
        <v>79</v>
      </c>
      <c r="U64" s="9" t="n"/>
    </row>
    <row r="65" ht="12" customFormat="1" customHeight="1" s="37">
      <c r="A65" s="75" t="inlineStr">
        <is>
          <t>나운동 현대4차</t>
        </is>
      </c>
      <c r="B65" s="76" t="inlineStr">
        <is>
          <t>98.09.</t>
        </is>
      </c>
      <c r="C65" s="130" t="n">
        <v>636</v>
      </c>
      <c r="D65" s="131" t="n">
        <v>105.9</v>
      </c>
      <c r="E65" s="132" t="n">
        <v>32</v>
      </c>
      <c r="F65" s="131" t="n">
        <v>85</v>
      </c>
      <c r="G65" s="17" t="n">
        <v>26</v>
      </c>
      <c r="H65" s="133" t="n">
        <v>386</v>
      </c>
      <c r="I65" s="134" t="n">
        <v>19300</v>
      </c>
      <c r="J65" s="134" t="inlineStr">
        <is>
          <t>10</t>
        </is>
      </c>
      <c r="K65" s="134" t="n">
        <v>19000</v>
      </c>
      <c r="L65" s="134" t="inlineStr">
        <is>
          <t>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105</v>
      </c>
      <c r="U65" s="9" t="n"/>
    </row>
    <row r="66" ht="12" customFormat="1" customHeight="1" s="37">
      <c r="A66" s="75" t="inlineStr">
        <is>
          <t>수송동 수송제일</t>
        </is>
      </c>
      <c r="B66" s="76" t="inlineStr">
        <is>
          <t>02.03.</t>
        </is>
      </c>
      <c r="C66" s="130" t="n">
        <v>941</v>
      </c>
      <c r="D66" s="131" t="n">
        <v>111.5</v>
      </c>
      <c r="E66" s="132" t="n">
        <v>34</v>
      </c>
      <c r="F66" s="131" t="n">
        <v>84.7</v>
      </c>
      <c r="G66" s="17" t="n">
        <v>26</v>
      </c>
      <c r="H66" s="133" t="n">
        <v>729</v>
      </c>
      <c r="I66" s="134" t="n">
        <v>19200</v>
      </c>
      <c r="J66" s="134" t="inlineStr">
        <is>
          <t>11</t>
        </is>
      </c>
      <c r="K66" s="134" t="n">
        <v>18000</v>
      </c>
      <c r="L66" s="134" t="inlineStr">
        <is>
          <t>11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5" t="inlineStr">
        <is>
          <t>나운동 나운현대2차</t>
        </is>
      </c>
      <c r="B67" s="76" t="inlineStr">
        <is>
          <t>93.10.</t>
        </is>
      </c>
      <c r="C67" s="130" t="n">
        <v>899</v>
      </c>
      <c r="D67" s="131" t="n">
        <v>168.1</v>
      </c>
      <c r="E67" s="132" t="n">
        <v>51</v>
      </c>
      <c r="F67" s="131" t="n">
        <v>134.6</v>
      </c>
      <c r="G67" s="17" t="n">
        <v>41</v>
      </c>
      <c r="H67" s="133" t="n">
        <v>59</v>
      </c>
      <c r="I67" s="134" t="n">
        <v>19000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168</v>
      </c>
      <c r="U67" s="9" t="n"/>
    </row>
    <row r="68" ht="12" customFormat="1" customHeight="1" s="37">
      <c r="A68" s="75" t="inlineStr">
        <is>
          <t>나운동 동신</t>
        </is>
      </c>
      <c r="B68" s="76" t="inlineStr">
        <is>
          <t>97.12.</t>
        </is>
      </c>
      <c r="C68" s="130" t="n">
        <v>420</v>
      </c>
      <c r="D68" s="131" t="n">
        <v>112.4</v>
      </c>
      <c r="E68" s="132" t="n">
        <v>34</v>
      </c>
      <c r="F68" s="131" t="n">
        <v>92.3</v>
      </c>
      <c r="G68" s="17" t="n">
        <v>28</v>
      </c>
      <c r="H68" s="133" t="n">
        <v>270</v>
      </c>
      <c r="I68" s="134" t="n">
        <v>19000</v>
      </c>
      <c r="J68" s="134" t="inlineStr">
        <is>
          <t>12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112</v>
      </c>
      <c r="U68" s="9" t="n"/>
    </row>
    <row r="69" ht="12" customFormat="1" customHeight="1" s="37">
      <c r="A69" s="75" t="inlineStr">
        <is>
          <t>수송동 현대</t>
        </is>
      </c>
      <c r="B69" s="76" t="inlineStr">
        <is>
          <t>97.06.</t>
        </is>
      </c>
      <c r="C69" s="130" t="n">
        <v>657</v>
      </c>
      <c r="D69" s="131" t="n">
        <v>105.2</v>
      </c>
      <c r="E69" s="132" t="n">
        <v>32</v>
      </c>
      <c r="F69" s="131" t="n">
        <v>85</v>
      </c>
      <c r="G69" s="17" t="n">
        <v>26</v>
      </c>
      <c r="H69" s="133" t="n">
        <v>249</v>
      </c>
      <c r="I69" s="134" t="n">
        <v>19000</v>
      </c>
      <c r="J69" s="134" t="inlineStr">
        <is>
          <t>15</t>
        </is>
      </c>
      <c r="K69" s="134" t="n">
        <v>18000</v>
      </c>
      <c r="L69" s="134" t="inlineStr">
        <is>
          <t>12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105</v>
      </c>
      <c r="U69" s="9" t="n"/>
    </row>
    <row r="70" ht="12" customFormat="1" customHeight="1" s="37">
      <c r="A70" s="75" t="inlineStr">
        <is>
          <t>조촌동 현대</t>
        </is>
      </c>
      <c r="B70" s="76" t="inlineStr">
        <is>
          <t>95.09.</t>
        </is>
      </c>
      <c r="C70" s="130" t="n">
        <v>560</v>
      </c>
      <c r="D70" s="131" t="n">
        <v>103.9</v>
      </c>
      <c r="E70" s="132" t="n">
        <v>31</v>
      </c>
      <c r="F70" s="131" t="n">
        <v>85</v>
      </c>
      <c r="G70" s="17" t="n">
        <v>26</v>
      </c>
      <c r="H70" s="133" t="n">
        <v>420</v>
      </c>
      <c r="I70" s="134" t="n">
        <v>19000</v>
      </c>
      <c r="J70" s="134" t="inlineStr">
        <is>
          <t>15</t>
        </is>
      </c>
      <c r="K70" s="134" t="n">
        <v>16000</v>
      </c>
      <c r="L70" s="134" t="inlineStr">
        <is>
          <t>13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103</v>
      </c>
      <c r="U70" s="9" t="n"/>
    </row>
    <row r="71" ht="12" customFormat="1" customHeight="1" s="37">
      <c r="A71" s="75" t="inlineStr">
        <is>
          <t>나운동 현대4차</t>
        </is>
      </c>
      <c r="B71" s="76" t="inlineStr">
        <is>
          <t>98.09.</t>
        </is>
      </c>
      <c r="C71" s="130" t="n">
        <v>636</v>
      </c>
      <c r="D71" s="131" t="n">
        <v>93.7</v>
      </c>
      <c r="E71" s="132" t="n">
        <v>28</v>
      </c>
      <c r="F71" s="131" t="n">
        <v>75.2</v>
      </c>
      <c r="G71" s="17" t="n">
        <v>23</v>
      </c>
      <c r="H71" s="133" t="n">
        <v>68</v>
      </c>
      <c r="I71" s="134" t="n">
        <v>18700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계</t>
        </is>
      </c>
      <c r="T71" s="5" t="n">
        <v>93</v>
      </c>
      <c r="U71" s="9" t="n"/>
    </row>
    <row r="72" ht="12" customFormat="1" customHeight="1" s="37">
      <c r="A72" s="75" t="inlineStr">
        <is>
          <t>나운동 우성</t>
        </is>
      </c>
      <c r="B72" s="76" t="inlineStr">
        <is>
          <t>95.06.</t>
        </is>
      </c>
      <c r="C72" s="130" t="n">
        <v>345</v>
      </c>
      <c r="D72" s="131" t="n">
        <v>115.7</v>
      </c>
      <c r="E72" s="132" t="n">
        <v>35</v>
      </c>
      <c r="F72" s="131" t="n">
        <v>93.59999999999999</v>
      </c>
      <c r="G72" s="17" t="n">
        <v>28</v>
      </c>
      <c r="H72" s="133" t="n">
        <v>75</v>
      </c>
      <c r="I72" s="134" t="n">
        <v>18500</v>
      </c>
      <c r="J72" s="134" t="inlineStr">
        <is>
          <t>6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115</v>
      </c>
      <c r="U72" s="9" t="n"/>
    </row>
    <row r="73" ht="12" customFormat="1" customHeight="1" s="37">
      <c r="A73" s="75" t="inlineStr">
        <is>
          <t>나운동 롯데2차</t>
        </is>
      </c>
      <c r="B73" s="76" t="inlineStr">
        <is>
          <t>92.08.</t>
        </is>
      </c>
      <c r="C73" s="130" t="n">
        <v>460</v>
      </c>
      <c r="D73" s="131" t="n">
        <v>106</v>
      </c>
      <c r="E73" s="132" t="n">
        <v>32</v>
      </c>
      <c r="F73" s="131" t="n">
        <v>84.8</v>
      </c>
      <c r="G73" s="17" t="n">
        <v>26</v>
      </c>
      <c r="H73" s="133" t="n">
        <v>278</v>
      </c>
      <c r="I73" s="134" t="n">
        <v>18000</v>
      </c>
      <c r="J73" s="134" t="inlineStr">
        <is>
          <t>13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105</v>
      </c>
      <c r="U73" s="9" t="n"/>
    </row>
    <row r="74" ht="12" customFormat="1" customHeight="1" s="37">
      <c r="A74" s="75" t="inlineStr">
        <is>
          <t>나운동 우성</t>
        </is>
      </c>
      <c r="B74" s="76" t="inlineStr">
        <is>
          <t>95.06.</t>
        </is>
      </c>
      <c r="C74" s="130" t="n">
        <v>345</v>
      </c>
      <c r="D74" s="131" t="n">
        <v>120.2</v>
      </c>
      <c r="E74" s="132" t="n">
        <v>36</v>
      </c>
      <c r="F74" s="131" t="n">
        <v>100</v>
      </c>
      <c r="G74" s="17" t="n">
        <v>30</v>
      </c>
      <c r="H74" s="133" t="n">
        <v>270</v>
      </c>
      <c r="I74" s="134" t="n">
        <v>18000</v>
      </c>
      <c r="J74" s="134" t="inlineStr">
        <is>
          <t>11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120</v>
      </c>
      <c r="U74" s="9" t="n"/>
    </row>
    <row r="75" ht="12" customFormat="1" customHeight="1" s="37">
      <c r="A75" s="75" t="inlineStr">
        <is>
          <t>동흥남동 군산동흥남주공</t>
        </is>
      </c>
      <c r="B75" s="76" t="inlineStr">
        <is>
          <t>06.02.</t>
        </is>
      </c>
      <c r="C75" s="130" t="n">
        <v>318</v>
      </c>
      <c r="D75" s="131" t="n">
        <v>107.1</v>
      </c>
      <c r="E75" s="132" t="n">
        <v>32</v>
      </c>
      <c r="F75" s="131" t="n">
        <v>85</v>
      </c>
      <c r="G75" s="17" t="n">
        <v>26</v>
      </c>
      <c r="H75" s="133" t="n">
        <v>129</v>
      </c>
      <c r="I75" s="134" t="n">
        <v>18000</v>
      </c>
      <c r="J75" s="134" t="inlineStr">
        <is>
          <t>9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107B</t>
        </is>
      </c>
      <c r="U75" s="9" t="n"/>
    </row>
    <row r="76" ht="12" customFormat="1" customHeight="1" s="37">
      <c r="A76" s="75" t="inlineStr">
        <is>
          <t>미룡동 미룡주공2단지</t>
        </is>
      </c>
      <c r="B76" s="76" t="inlineStr">
        <is>
          <t>01.03.</t>
        </is>
      </c>
      <c r="C76" s="130" t="n">
        <v>874</v>
      </c>
      <c r="D76" s="131" t="n">
        <v>114.6</v>
      </c>
      <c r="E76" s="132" t="n">
        <v>35</v>
      </c>
      <c r="F76" s="131" t="n">
        <v>84.3</v>
      </c>
      <c r="G76" s="17" t="n">
        <v>26</v>
      </c>
      <c r="H76" s="133" t="n">
        <v>224</v>
      </c>
      <c r="I76" s="134" t="n">
        <v>18000</v>
      </c>
      <c r="J76" s="134" t="inlineStr">
        <is>
          <t>7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114</v>
      </c>
      <c r="U76" s="9" t="n"/>
    </row>
    <row r="77" ht="12" customFormat="1" customHeight="1" s="37">
      <c r="A77" s="75" t="inlineStr">
        <is>
          <t>수송동 수송오투그란데2차</t>
        </is>
      </c>
      <c r="B77" s="76" t="inlineStr">
        <is>
          <t>11.03.</t>
        </is>
      </c>
      <c r="C77" s="130" t="n">
        <v>570</v>
      </c>
      <c r="D77" s="131" t="n">
        <v>71.8</v>
      </c>
      <c r="E77" s="132" t="n">
        <v>22</v>
      </c>
      <c r="F77" s="131" t="n">
        <v>49.9</v>
      </c>
      <c r="G77" s="17" t="n">
        <v>15</v>
      </c>
      <c r="H77" s="133" t="n">
        <v>104</v>
      </c>
      <c r="I77" s="134" t="n">
        <v>17900</v>
      </c>
      <c r="J77" s="134" t="inlineStr">
        <is>
          <t>12</t>
        </is>
      </c>
      <c r="K77" s="134" t="n">
        <v>16500</v>
      </c>
      <c r="L77" s="134" t="inlineStr">
        <is>
          <t>15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계</t>
        </is>
      </c>
      <c r="T77" s="5" t="n">
        <v>71</v>
      </c>
      <c r="U77" s="9" t="n"/>
    </row>
    <row r="78" ht="12" customFormat="1" customHeight="1" s="37">
      <c r="A78" s="75" t="inlineStr">
        <is>
          <t>수송동 현대</t>
        </is>
      </c>
      <c r="B78" s="76" t="inlineStr">
        <is>
          <t>97.06.</t>
        </is>
      </c>
      <c r="C78" s="130" t="n">
        <v>657</v>
      </c>
      <c r="D78" s="131" t="n">
        <v>96.40000000000001</v>
      </c>
      <c r="E78" s="132" t="n">
        <v>29</v>
      </c>
      <c r="F78" s="131" t="n">
        <v>75.2</v>
      </c>
      <c r="G78" s="17" t="n">
        <v>23</v>
      </c>
      <c r="H78" s="133" t="n">
        <v>136</v>
      </c>
      <c r="I78" s="134" t="n">
        <v>17500</v>
      </c>
      <c r="J78" s="134" t="inlineStr">
        <is>
          <t>고</t>
        </is>
      </c>
      <c r="K78" s="134" t="n">
        <v>15500</v>
      </c>
      <c r="L78" s="134" t="inlineStr">
        <is>
          <t>13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계</t>
        </is>
      </c>
      <c r="T78" s="5" t="n">
        <v>96</v>
      </c>
      <c r="U78" s="9" t="n"/>
    </row>
    <row r="79" ht="12" customFormat="1" customHeight="1" s="37">
      <c r="A79" s="75" t="inlineStr">
        <is>
          <t>나운동 금호타운2차</t>
        </is>
      </c>
      <c r="B79" s="76" t="inlineStr">
        <is>
          <t>94.09.</t>
        </is>
      </c>
      <c r="C79" s="130" t="n">
        <v>336</v>
      </c>
      <c r="D79" s="131" t="n">
        <v>103</v>
      </c>
      <c r="E79" s="132" t="n">
        <v>31</v>
      </c>
      <c r="F79" s="131" t="n">
        <v>84.8</v>
      </c>
      <c r="G79" s="17" t="n">
        <v>26</v>
      </c>
      <c r="H79" s="133" t="n">
        <v>120</v>
      </c>
      <c r="I79" s="134" t="n">
        <v>17300</v>
      </c>
      <c r="J79" s="134" t="inlineStr">
        <is>
          <t>8</t>
        </is>
      </c>
      <c r="K79" s="134" t="n">
        <v>14000</v>
      </c>
      <c r="L79" s="134" t="inlineStr">
        <is>
          <t>고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n">
        <v>103</v>
      </c>
      <c r="U79" s="9" t="n"/>
    </row>
    <row r="80" ht="12" customFormat="1" customHeight="1" s="37">
      <c r="A80" s="75" t="inlineStr">
        <is>
          <t>삼학동 군산삼학대우</t>
        </is>
      </c>
      <c r="B80" s="76" t="inlineStr">
        <is>
          <t>96.07.</t>
        </is>
      </c>
      <c r="C80" s="130" t="n">
        <v>381</v>
      </c>
      <c r="D80" s="131" t="n">
        <v>155.2</v>
      </c>
      <c r="E80" s="132" t="n">
        <v>47</v>
      </c>
      <c r="F80" s="131" t="n">
        <v>131.4</v>
      </c>
      <c r="G80" s="17" t="n">
        <v>40</v>
      </c>
      <c r="H80" s="133" t="n">
        <v>90</v>
      </c>
      <c r="I80" s="134" t="n">
        <v>17300</v>
      </c>
      <c r="J80" s="134" t="inlineStr">
        <is>
          <t>8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155</v>
      </c>
      <c r="U80" s="9" t="n"/>
    </row>
    <row r="81" ht="12" customFormat="1" customHeight="1" s="37">
      <c r="A81" s="75" t="inlineStr">
        <is>
          <t>나운동 삼성(401)</t>
        </is>
      </c>
      <c r="B81" s="76" t="inlineStr">
        <is>
          <t>98.05.</t>
        </is>
      </c>
      <c r="C81" s="130" t="n">
        <v>670</v>
      </c>
      <c r="D81" s="131" t="n">
        <v>107.4</v>
      </c>
      <c r="E81" s="132" t="n">
        <v>32</v>
      </c>
      <c r="F81" s="131" t="n">
        <v>85</v>
      </c>
      <c r="G81" s="17" t="n">
        <v>26</v>
      </c>
      <c r="H81" s="133" t="n">
        <v>422</v>
      </c>
      <c r="I81" s="134" t="n">
        <v>17200</v>
      </c>
      <c r="J81" s="134" t="inlineStr">
        <is>
          <t>11</t>
        </is>
      </c>
      <c r="K81" s="134" t="n">
        <v>17000</v>
      </c>
      <c r="L81" s="134" t="inlineStr">
        <is>
          <t>17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107</v>
      </c>
      <c r="U81" s="9" t="n"/>
    </row>
    <row r="82" ht="12" customFormat="1" customHeight="1" s="37">
      <c r="A82" s="75" t="inlineStr">
        <is>
          <t>나운동 주공3단지</t>
        </is>
      </c>
      <c r="B82" s="76" t="inlineStr">
        <is>
          <t>83.12.</t>
        </is>
      </c>
      <c r="C82" s="130" t="n">
        <v>800</v>
      </c>
      <c r="D82" s="131" t="n">
        <v>53.6</v>
      </c>
      <c r="E82" s="132" t="n">
        <v>16</v>
      </c>
      <c r="F82" s="131" t="n">
        <v>48.6</v>
      </c>
      <c r="G82" s="17" t="n">
        <v>15</v>
      </c>
      <c r="H82" s="133" t="n">
        <v>136</v>
      </c>
      <c r="I82" s="134" t="n">
        <v>17000</v>
      </c>
      <c r="J82" s="134" t="inlineStr">
        <is>
          <t>5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inlineStr">
        <is>
          <t>53A</t>
        </is>
      </c>
      <c r="U82" s="9" t="n"/>
    </row>
    <row r="83" ht="12" customFormat="1" customHeight="1" s="37">
      <c r="A83" s="75" t="inlineStr">
        <is>
          <t>나운동 롯데3차</t>
        </is>
      </c>
      <c r="B83" s="76" t="inlineStr">
        <is>
          <t>94.06.</t>
        </is>
      </c>
      <c r="C83" s="130" t="n">
        <v>572</v>
      </c>
      <c r="D83" s="131" t="n">
        <v>104.5</v>
      </c>
      <c r="E83" s="132" t="n">
        <v>32</v>
      </c>
      <c r="F83" s="131" t="n">
        <v>84.8</v>
      </c>
      <c r="G83" s="17" t="n">
        <v>26</v>
      </c>
      <c r="H83" s="133" t="n">
        <v>286</v>
      </c>
      <c r="I83" s="134" t="n">
        <v>17000</v>
      </c>
      <c r="J83" s="134" t="inlineStr">
        <is>
          <t>12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104</v>
      </c>
      <c r="U83" s="9" t="n"/>
    </row>
    <row r="84" ht="12" customFormat="1" customHeight="1" s="37">
      <c r="A84" s="75" t="inlineStr">
        <is>
          <t>사정동 금호타운2단지</t>
        </is>
      </c>
      <c r="B84" s="76" t="inlineStr">
        <is>
          <t>96.11.</t>
        </is>
      </c>
      <c r="C84" s="130" t="n">
        <v>358</v>
      </c>
      <c r="D84" s="131" t="n">
        <v>103</v>
      </c>
      <c r="E84" s="132" t="n">
        <v>31</v>
      </c>
      <c r="F84" s="131" t="n">
        <v>84.59999999999999</v>
      </c>
      <c r="G84" s="17" t="n">
        <v>26</v>
      </c>
      <c r="H84" s="133" t="n">
        <v>208</v>
      </c>
      <c r="I84" s="134" t="n">
        <v>17000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102</v>
      </c>
      <c r="U84" s="9" t="n"/>
    </row>
    <row r="85" ht="12" customFormat="1" customHeight="1" s="37">
      <c r="A85" s="75" t="inlineStr">
        <is>
          <t>동흥남동 군산동흥남주공</t>
        </is>
      </c>
      <c r="B85" s="76" t="inlineStr">
        <is>
          <t>06.02.</t>
        </is>
      </c>
      <c r="C85" s="130" t="n">
        <v>318</v>
      </c>
      <c r="D85" s="131" t="n">
        <v>94.90000000000001</v>
      </c>
      <c r="E85" s="132" t="n">
        <v>29</v>
      </c>
      <c r="F85" s="131" t="n">
        <v>75.3</v>
      </c>
      <c r="G85" s="17" t="n">
        <v>23</v>
      </c>
      <c r="H85" s="133" t="n">
        <v>90</v>
      </c>
      <c r="I85" s="134" t="n">
        <v>16800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94</v>
      </c>
      <c r="U85" s="9" t="n"/>
    </row>
    <row r="86" ht="12" customFormat="1" customHeight="1" s="37">
      <c r="A86" s="75" t="inlineStr">
        <is>
          <t>나운동 주공3단지</t>
        </is>
      </c>
      <c r="B86" s="76" t="inlineStr">
        <is>
          <t>83.12.</t>
        </is>
      </c>
      <c r="C86" s="130" t="n">
        <v>800</v>
      </c>
      <c r="D86" s="131" t="n">
        <v>54.1</v>
      </c>
      <c r="E86" s="132" t="n">
        <v>16</v>
      </c>
      <c r="F86" s="131" t="n">
        <v>54.1</v>
      </c>
      <c r="G86" s="17" t="n">
        <v>16</v>
      </c>
      <c r="H86" s="133" t="n">
        <v>115</v>
      </c>
      <c r="I86" s="134" t="n">
        <v>16500</v>
      </c>
      <c r="J86" s="134" t="inlineStr">
        <is>
          <t>5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2</v>
      </c>
      <c r="R86" s="121" t="n">
        <v>1</v>
      </c>
      <c r="S86" s="121" t="inlineStr">
        <is>
          <t>계</t>
        </is>
      </c>
      <c r="T86" s="5" t="inlineStr">
        <is>
          <t>54B</t>
        </is>
      </c>
      <c r="U86" s="9" t="n"/>
    </row>
    <row r="87" ht="12" customFormat="1" customHeight="1" s="37">
      <c r="A87" s="75" t="inlineStr">
        <is>
          <t>미장동 파인빌1차</t>
        </is>
      </c>
      <c r="B87" s="76" t="inlineStr">
        <is>
          <t>04.11.</t>
        </is>
      </c>
      <c r="C87" s="130" t="n">
        <v>499</v>
      </c>
      <c r="D87" s="131" t="n">
        <v>80.09999999999999</v>
      </c>
      <c r="E87" s="132" t="n">
        <v>24</v>
      </c>
      <c r="F87" s="131" t="n">
        <v>60</v>
      </c>
      <c r="G87" s="17" t="n">
        <v>18</v>
      </c>
      <c r="H87" s="133" t="n">
        <v>139</v>
      </c>
      <c r="I87" s="134" t="n">
        <v>16500</v>
      </c>
      <c r="J87" s="134" t="inlineStr">
        <is>
          <t>10</t>
        </is>
      </c>
      <c r="K87" s="134" t="n">
        <v>14000</v>
      </c>
      <c r="L87" s="134" t="inlineStr">
        <is>
          <t>14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80</v>
      </c>
      <c r="U87" s="9" t="n"/>
    </row>
    <row r="88" ht="12" customFormat="1" customHeight="1" s="37">
      <c r="A88" s="75" t="inlineStr">
        <is>
          <t>삼학동 군산삼학대우</t>
        </is>
      </c>
      <c r="B88" s="76" t="inlineStr">
        <is>
          <t>96.07.</t>
        </is>
      </c>
      <c r="C88" s="130" t="n">
        <v>381</v>
      </c>
      <c r="D88" s="131" t="n">
        <v>104.4</v>
      </c>
      <c r="E88" s="132" t="n">
        <v>32</v>
      </c>
      <c r="F88" s="131" t="n">
        <v>84.90000000000001</v>
      </c>
      <c r="G88" s="17" t="n">
        <v>26</v>
      </c>
      <c r="H88" s="133" t="n">
        <v>132</v>
      </c>
      <c r="I88" s="134" t="n">
        <v>16500</v>
      </c>
      <c r="J88" s="134" t="inlineStr">
        <is>
          <t>9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104</v>
      </c>
      <c r="U88" s="9" t="n"/>
    </row>
    <row r="89" ht="12" customFormat="1" customHeight="1" s="37">
      <c r="A89" s="75" t="inlineStr">
        <is>
          <t>장재동 현대세솔</t>
        </is>
      </c>
      <c r="B89" s="76" t="inlineStr">
        <is>
          <t>02.03.</t>
        </is>
      </c>
      <c r="C89" s="130" t="n">
        <v>547</v>
      </c>
      <c r="D89" s="131" t="n">
        <v>103.1</v>
      </c>
      <c r="E89" s="132" t="n">
        <v>31</v>
      </c>
      <c r="F89" s="131" t="n">
        <v>85</v>
      </c>
      <c r="G89" s="17" t="n">
        <v>26</v>
      </c>
      <c r="H89" s="133" t="n">
        <v>210</v>
      </c>
      <c r="I89" s="134" t="n">
        <v>16500</v>
      </c>
      <c r="J89" s="134" t="inlineStr">
        <is>
          <t>13</t>
        </is>
      </c>
      <c r="K89" s="134" t="n">
        <v>15000</v>
      </c>
      <c r="L89" s="134" t="inlineStr">
        <is>
          <t>13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복</t>
        </is>
      </c>
      <c r="T89" s="5" t="inlineStr">
        <is>
          <t>103A</t>
        </is>
      </c>
      <c r="U89" s="9" t="n"/>
    </row>
    <row r="90" ht="12" customFormat="1" customHeight="1" s="37">
      <c r="A90" s="75" t="inlineStr">
        <is>
          <t>조촌동 삼성</t>
        </is>
      </c>
      <c r="B90" s="76" t="inlineStr">
        <is>
          <t>92.10.</t>
        </is>
      </c>
      <c r="C90" s="130" t="n">
        <v>306</v>
      </c>
      <c r="D90" s="131" t="n">
        <v>104.6</v>
      </c>
      <c r="E90" s="132" t="n">
        <v>32</v>
      </c>
      <c r="F90" s="131" t="n">
        <v>85</v>
      </c>
      <c r="G90" s="17" t="n">
        <v>26</v>
      </c>
      <c r="H90" s="133" t="n">
        <v>132</v>
      </c>
      <c r="I90" s="134" t="n">
        <v>16500</v>
      </c>
      <c r="J90" s="134" t="inlineStr">
        <is>
          <t>11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104</v>
      </c>
      <c r="U90" s="9" t="n"/>
    </row>
    <row r="91" ht="12" customFormat="1" customHeight="1" s="37">
      <c r="A91" s="75" t="inlineStr">
        <is>
          <t>나운동 삼성(401)</t>
        </is>
      </c>
      <c r="B91" s="76" t="inlineStr">
        <is>
          <t>98.05.</t>
        </is>
      </c>
      <c r="C91" s="130" t="n">
        <v>670</v>
      </c>
      <c r="D91" s="131" t="n">
        <v>95.5</v>
      </c>
      <c r="E91" s="132" t="n">
        <v>29</v>
      </c>
      <c r="F91" s="131" t="n">
        <v>73.90000000000001</v>
      </c>
      <c r="G91" s="17" t="n">
        <v>22</v>
      </c>
      <c r="H91" s="133" t="n">
        <v>128</v>
      </c>
      <c r="I91" s="134" t="n">
        <v>16200</v>
      </c>
      <c r="J91" s="134" t="inlineStr">
        <is>
          <t>5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n">
        <v>95</v>
      </c>
      <c r="U91" s="9" t="n"/>
    </row>
    <row r="92" ht="12" customFormat="1" customHeight="1" s="37">
      <c r="A92" s="75" t="inlineStr">
        <is>
          <t>문화동 삼성</t>
        </is>
      </c>
      <c r="B92" s="76" t="inlineStr">
        <is>
          <t>92.08.</t>
        </is>
      </c>
      <c r="C92" s="130" t="n">
        <v>716</v>
      </c>
      <c r="D92" s="131" t="n">
        <v>104</v>
      </c>
      <c r="E92" s="132" t="n">
        <v>31</v>
      </c>
      <c r="F92" s="131" t="n">
        <v>84.90000000000001</v>
      </c>
      <c r="G92" s="17" t="n">
        <v>26</v>
      </c>
      <c r="H92" s="133" t="n">
        <v>462</v>
      </c>
      <c r="I92" s="134" t="n">
        <v>16000</v>
      </c>
      <c r="J92" s="134" t="inlineStr">
        <is>
          <t>8</t>
        </is>
      </c>
      <c r="K92" s="134" t="n">
        <v>14000</v>
      </c>
      <c r="L92" s="134" t="inlineStr">
        <is>
          <t>12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104</v>
      </c>
      <c r="U92" s="9" t="n"/>
    </row>
    <row r="93" ht="12" customFormat="1" customHeight="1" s="37">
      <c r="A93" s="75" t="inlineStr">
        <is>
          <t>나운동 금호타운1차</t>
        </is>
      </c>
      <c r="B93" s="76" t="inlineStr">
        <is>
          <t>91.09.</t>
        </is>
      </c>
      <c r="C93" s="130" t="n">
        <v>930</v>
      </c>
      <c r="D93" s="131" t="n">
        <v>101.7</v>
      </c>
      <c r="E93" s="132" t="n">
        <v>31</v>
      </c>
      <c r="F93" s="131" t="n">
        <v>84.8</v>
      </c>
      <c r="G93" s="17" t="n">
        <v>26</v>
      </c>
      <c r="H93" s="133" t="n">
        <v>600</v>
      </c>
      <c r="I93" s="134" t="n">
        <v>15900</v>
      </c>
      <c r="J93" s="134" t="inlineStr">
        <is>
          <t>10</t>
        </is>
      </c>
      <c r="K93" s="134" t="n">
        <v>12000</v>
      </c>
      <c r="L93" s="134" t="inlineStr">
        <is>
          <t>15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101</v>
      </c>
      <c r="U93" s="9" t="n"/>
    </row>
    <row r="94" ht="12" customFormat="1" customHeight="1" s="37">
      <c r="A94" s="75" t="inlineStr">
        <is>
          <t>나운동 나운현대2차</t>
        </is>
      </c>
      <c r="B94" s="76" t="inlineStr">
        <is>
          <t>93.10.</t>
        </is>
      </c>
      <c r="C94" s="130" t="n">
        <v>899</v>
      </c>
      <c r="D94" s="131" t="n">
        <v>105.9</v>
      </c>
      <c r="E94" s="132" t="n">
        <v>32</v>
      </c>
      <c r="F94" s="131" t="n">
        <v>84.7</v>
      </c>
      <c r="G94" s="17" t="n">
        <v>26</v>
      </c>
      <c r="H94" s="133" t="n">
        <v>377</v>
      </c>
      <c r="I94" s="134" t="n">
        <v>15000</v>
      </c>
      <c r="J94" s="134" t="inlineStr">
        <is>
          <t>7</t>
        </is>
      </c>
      <c r="K94" s="134" t="n">
        <v>12500</v>
      </c>
      <c r="L94" s="134" t="inlineStr">
        <is>
          <t>14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105</v>
      </c>
      <c r="U94" s="9" t="n"/>
    </row>
    <row r="95" ht="12" customFormat="1" customHeight="1" s="37">
      <c r="A95" s="75" t="inlineStr">
        <is>
          <t>나운동 서호</t>
        </is>
      </c>
      <c r="B95" s="76" t="inlineStr">
        <is>
          <t>95.06.</t>
        </is>
      </c>
      <c r="C95" s="130" t="n">
        <v>490</v>
      </c>
      <c r="D95" s="131" t="n">
        <v>103.8</v>
      </c>
      <c r="E95" s="132" t="n">
        <v>31</v>
      </c>
      <c r="F95" s="131" t="n">
        <v>85</v>
      </c>
      <c r="G95" s="17" t="n">
        <v>26</v>
      </c>
      <c r="H95" s="133" t="n">
        <v>228</v>
      </c>
      <c r="I95" s="134" t="n">
        <v>15000</v>
      </c>
      <c r="J95" s="134" t="inlineStr">
        <is>
          <t>6</t>
        </is>
      </c>
      <c r="K95" s="134" t="n">
        <v>14800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</row>
    <row r="96" ht="12" customFormat="1" customHeight="1" s="37">
      <c r="A96" s="75" t="inlineStr">
        <is>
          <t>나운동 롯데1차</t>
        </is>
      </c>
      <c r="B96" s="76" t="inlineStr">
        <is>
          <t>91.03.</t>
        </is>
      </c>
      <c r="C96" s="130" t="n">
        <v>420</v>
      </c>
      <c r="D96" s="131" t="n">
        <v>105.9</v>
      </c>
      <c r="E96" s="132" t="n">
        <v>32</v>
      </c>
      <c r="F96" s="131" t="n">
        <v>84.8</v>
      </c>
      <c r="G96" s="17" t="n">
        <v>26</v>
      </c>
      <c r="H96" s="133" t="n">
        <v>182</v>
      </c>
      <c r="I96" s="134" t="n">
        <v>15000</v>
      </c>
      <c r="J96" s="134" t="inlineStr">
        <is>
          <t>8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105</v>
      </c>
      <c r="U96" s="9" t="n"/>
    </row>
    <row r="97" ht="12" customFormat="1" customHeight="1" s="37">
      <c r="A97" s="75" t="inlineStr">
        <is>
          <t>나운동 현대3차</t>
        </is>
      </c>
      <c r="B97" s="76" t="inlineStr">
        <is>
          <t>95.06.</t>
        </is>
      </c>
      <c r="C97" s="130" t="n">
        <v>479</v>
      </c>
      <c r="D97" s="131" t="n">
        <v>105.3</v>
      </c>
      <c r="E97" s="132" t="n">
        <v>32</v>
      </c>
      <c r="F97" s="131" t="n">
        <v>85</v>
      </c>
      <c r="G97" s="17" t="n">
        <v>26</v>
      </c>
      <c r="H97" s="133" t="n">
        <v>199</v>
      </c>
      <c r="I97" s="134" t="n">
        <v>15000</v>
      </c>
      <c r="J97" s="134" t="inlineStr">
        <is>
          <t>10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105</v>
      </c>
      <c r="U97" s="9" t="n"/>
    </row>
    <row r="98" ht="12" customFormat="1" customHeight="1" s="37">
      <c r="A98" s="75" t="inlineStr">
        <is>
          <t>조촌동 삼성</t>
        </is>
      </c>
      <c r="B98" s="76" t="inlineStr">
        <is>
          <t>92.10.</t>
        </is>
      </c>
      <c r="C98" s="130" t="n">
        <v>306</v>
      </c>
      <c r="D98" s="131" t="n">
        <v>92.2</v>
      </c>
      <c r="E98" s="132" t="n">
        <v>28</v>
      </c>
      <c r="F98" s="131" t="n">
        <v>73.5</v>
      </c>
      <c r="G98" s="17" t="n">
        <v>22</v>
      </c>
      <c r="H98" s="133" t="n">
        <v>72</v>
      </c>
      <c r="I98" s="134" t="n">
        <v>15000</v>
      </c>
      <c r="J98" s="134" t="inlineStr">
        <is>
          <t>6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1</v>
      </c>
      <c r="S98" s="121" t="inlineStr">
        <is>
          <t>계</t>
        </is>
      </c>
      <c r="T98" s="5" t="inlineStr">
        <is>
          <t>92S</t>
        </is>
      </c>
      <c r="U98" s="9" t="n"/>
    </row>
    <row r="99" ht="12" customFormat="1" customHeight="1" s="37">
      <c r="A99" s="75" t="inlineStr">
        <is>
          <t>나운동 금호타운1차</t>
        </is>
      </c>
      <c r="B99" s="76" t="inlineStr">
        <is>
          <t>91.09.</t>
        </is>
      </c>
      <c r="C99" s="130" t="n">
        <v>930</v>
      </c>
      <c r="D99" s="131" t="n">
        <v>89.09999999999999</v>
      </c>
      <c r="E99" s="132" t="n">
        <v>27</v>
      </c>
      <c r="F99" s="131" t="n">
        <v>73.09999999999999</v>
      </c>
      <c r="G99" s="17" t="n">
        <v>22</v>
      </c>
      <c r="H99" s="133" t="n">
        <v>330</v>
      </c>
      <c r="I99" s="134" t="n">
        <v>14200</v>
      </c>
      <c r="J99" s="134" t="inlineStr">
        <is>
          <t>12</t>
        </is>
      </c>
      <c r="K99" s="134" t="n">
        <v>12000</v>
      </c>
      <c r="L99" s="134" t="inlineStr">
        <is>
          <t>6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89</v>
      </c>
      <c r="U99" s="9" t="n"/>
    </row>
    <row r="100" ht="12" customFormat="1" customHeight="1" s="37">
      <c r="A100" s="75" t="inlineStr">
        <is>
          <t>나운동 나운보람더하임</t>
        </is>
      </c>
      <c r="B100" s="76" t="inlineStr">
        <is>
          <t>10.03.</t>
        </is>
      </c>
      <c r="C100" s="130" t="n">
        <v>437</v>
      </c>
      <c r="D100" s="131" t="n">
        <v>78</v>
      </c>
      <c r="E100" s="132" t="n">
        <v>24</v>
      </c>
      <c r="F100" s="131" t="n">
        <v>59.9</v>
      </c>
      <c r="G100" s="17" t="n">
        <v>18</v>
      </c>
      <c r="H100" s="133" t="n">
        <v>155</v>
      </c>
      <c r="I100" s="134" t="n">
        <v>14200</v>
      </c>
      <c r="J100" s="134" t="inlineStr">
        <is>
          <t>5</t>
        </is>
      </c>
      <c r="K100" s="134" t="n">
        <v>13000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77</v>
      </c>
      <c r="U100" s="9" t="n"/>
    </row>
    <row r="101" ht="12" customFormat="1" customHeight="1" s="37">
      <c r="A101" s="75" t="inlineStr">
        <is>
          <t>조촌동 현대</t>
        </is>
      </c>
      <c r="B101" s="76" t="inlineStr">
        <is>
          <t>95.09.</t>
        </is>
      </c>
      <c r="C101" s="130" t="n">
        <v>560</v>
      </c>
      <c r="D101" s="131" t="n">
        <v>91.90000000000001</v>
      </c>
      <c r="E101" s="132" t="n">
        <v>28</v>
      </c>
      <c r="F101" s="131" t="n">
        <v>75.09999999999999</v>
      </c>
      <c r="G101" s="17" t="n">
        <v>23</v>
      </c>
      <c r="H101" s="133" t="n">
        <v>112</v>
      </c>
      <c r="I101" s="134" t="n">
        <v>14000</v>
      </c>
      <c r="J101" s="134" t="inlineStr">
        <is>
          <t>5</t>
        </is>
      </c>
      <c r="K101" s="134" t="n">
        <v>13500</v>
      </c>
      <c r="L101" s="134" t="inlineStr">
        <is>
          <t>5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91</v>
      </c>
      <c r="U101" s="9" t="n"/>
    </row>
    <row r="102" ht="12" customFormat="1" customHeight="1" s="37">
      <c r="A102" s="75" t="inlineStr">
        <is>
          <t>구암동 현대</t>
        </is>
      </c>
      <c r="B102" s="76" t="inlineStr">
        <is>
          <t>94.03.</t>
        </is>
      </c>
      <c r="C102" s="130" t="n">
        <v>1084</v>
      </c>
      <c r="D102" s="131" t="n">
        <v>102.5</v>
      </c>
      <c r="E102" s="132" t="n">
        <v>31</v>
      </c>
      <c r="F102" s="131" t="n">
        <v>84.90000000000001</v>
      </c>
      <c r="G102" s="17" t="n">
        <v>26</v>
      </c>
      <c r="H102" s="133" t="n">
        <v>537</v>
      </c>
      <c r="I102" s="134" t="n">
        <v>13800</v>
      </c>
      <c r="J102" s="134" t="inlineStr">
        <is>
          <t>10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102</v>
      </c>
      <c r="U102" s="9" t="n"/>
    </row>
    <row r="103" ht="12" customFormat="1" customHeight="1" s="37">
      <c r="A103" s="75" t="inlineStr">
        <is>
          <t>금광동 삼성</t>
        </is>
      </c>
      <c r="B103" s="76" t="inlineStr">
        <is>
          <t>90.11.</t>
        </is>
      </c>
      <c r="C103" s="130" t="n">
        <v>424</v>
      </c>
      <c r="D103" s="131" t="n">
        <v>106.7</v>
      </c>
      <c r="E103" s="132" t="n">
        <v>32</v>
      </c>
      <c r="F103" s="131" t="n">
        <v>84.90000000000001</v>
      </c>
      <c r="G103" s="17" t="n">
        <v>26</v>
      </c>
      <c r="H103" s="133" t="n">
        <v>192</v>
      </c>
      <c r="I103" s="134" t="n">
        <v>13500</v>
      </c>
      <c r="J103" s="134" t="inlineStr">
        <is>
          <t>11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106B</t>
        </is>
      </c>
      <c r="U103" s="9" t="n"/>
    </row>
    <row r="104" ht="12" customFormat="1" customHeight="1" s="37">
      <c r="A104" s="75" t="inlineStr">
        <is>
          <t>나운동 현대4차</t>
        </is>
      </c>
      <c r="B104" s="76" t="inlineStr">
        <is>
          <t>98.09.</t>
        </is>
      </c>
      <c r="C104" s="130" t="n">
        <v>636</v>
      </c>
      <c r="D104" s="131" t="n">
        <v>74.8</v>
      </c>
      <c r="E104" s="132" t="n">
        <v>23</v>
      </c>
      <c r="F104" s="131" t="n">
        <v>60</v>
      </c>
      <c r="G104" s="17" t="n">
        <v>18</v>
      </c>
      <c r="H104" s="133" t="n">
        <v>64</v>
      </c>
      <c r="I104" s="134" t="n">
        <v>13500</v>
      </c>
      <c r="J104" s="134" t="inlineStr">
        <is>
          <t>13</t>
        </is>
      </c>
      <c r="K104" s="134" t="n">
        <v>12000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</row>
    <row r="105" ht="12" customFormat="1" customHeight="1" s="37">
      <c r="A105" s="75" t="inlineStr">
        <is>
          <t>나운동 롯데2차</t>
        </is>
      </c>
      <c r="B105" s="76" t="inlineStr">
        <is>
          <t>92.08.</t>
        </is>
      </c>
      <c r="C105" s="130" t="n">
        <v>460</v>
      </c>
      <c r="D105" s="131" t="n">
        <v>92</v>
      </c>
      <c r="E105" s="132" t="n">
        <v>28</v>
      </c>
      <c r="F105" s="131" t="n">
        <v>74</v>
      </c>
      <c r="G105" s="17" t="n">
        <v>22</v>
      </c>
      <c r="H105" s="133" t="n">
        <v>104</v>
      </c>
      <c r="I105" s="134" t="n">
        <v>13000</v>
      </c>
      <c r="J105" s="134" t="inlineStr">
        <is>
          <t>11</t>
        </is>
      </c>
      <c r="K105" s="134" t="n">
        <v>12500</v>
      </c>
      <c r="L105" s="134" t="inlineStr">
        <is>
          <t>13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계</t>
        </is>
      </c>
      <c r="T105" s="5" t="n">
        <v>91</v>
      </c>
      <c r="U105" s="9" t="n"/>
    </row>
    <row r="106" ht="12" customFormat="1" customHeight="1" s="37">
      <c r="A106" s="75" t="inlineStr">
        <is>
          <t>나운동 롯데1차</t>
        </is>
      </c>
      <c r="B106" s="76" t="inlineStr">
        <is>
          <t>91.03.</t>
        </is>
      </c>
      <c r="C106" s="130" t="n">
        <v>420</v>
      </c>
      <c r="D106" s="131" t="n">
        <v>91.90000000000001</v>
      </c>
      <c r="E106" s="132" t="n">
        <v>28</v>
      </c>
      <c r="F106" s="131" t="n">
        <v>74</v>
      </c>
      <c r="G106" s="17" t="n">
        <v>22</v>
      </c>
      <c r="H106" s="133" t="n">
        <v>104</v>
      </c>
      <c r="I106" s="134" t="n">
        <v>13000</v>
      </c>
      <c r="J106" s="134" t="inlineStr">
        <is>
          <t>8</t>
        </is>
      </c>
      <c r="K106" s="134" t="n">
        <v>12500</v>
      </c>
      <c r="L106" s="134" t="inlineStr">
        <is>
          <t>13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91</v>
      </c>
      <c r="U106" s="9" t="n"/>
    </row>
    <row r="107" ht="12" customFormat="1" customHeight="1" s="37">
      <c r="A107" s="75" t="inlineStr">
        <is>
          <t>미룡동 미룡주공2단지</t>
        </is>
      </c>
      <c r="B107" s="76" t="inlineStr">
        <is>
          <t>01.03.</t>
        </is>
      </c>
      <c r="C107" s="130" t="n">
        <v>874</v>
      </c>
      <c r="D107" s="131" t="n">
        <v>80.7</v>
      </c>
      <c r="E107" s="132" t="n">
        <v>24</v>
      </c>
      <c r="F107" s="131" t="n">
        <v>59.4</v>
      </c>
      <c r="G107" s="17" t="n">
        <v>18</v>
      </c>
      <c r="H107" s="133" t="n">
        <v>267</v>
      </c>
      <c r="I107" s="134" t="n">
        <v>13000</v>
      </c>
      <c r="J107" s="134" t="inlineStr">
        <is>
          <t>18</t>
        </is>
      </c>
      <c r="K107" s="134" t="n">
        <v>12000</v>
      </c>
      <c r="L107" s="134" t="inlineStr">
        <is>
          <t>6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계</t>
        </is>
      </c>
      <c r="T107" s="5" t="inlineStr">
        <is>
          <t>80B</t>
        </is>
      </c>
      <c r="U107" s="9" t="n"/>
    </row>
    <row r="108" ht="12" customFormat="1" customHeight="1" s="37">
      <c r="A108" s="75" t="inlineStr">
        <is>
          <t>사정동 금호타운2단지</t>
        </is>
      </c>
      <c r="B108" s="76" t="inlineStr">
        <is>
          <t>96.11.</t>
        </is>
      </c>
      <c r="C108" s="130" t="n">
        <v>358</v>
      </c>
      <c r="D108" s="131" t="n">
        <v>76.2</v>
      </c>
      <c r="E108" s="132" t="n">
        <v>23</v>
      </c>
      <c r="F108" s="131" t="n">
        <v>59.6</v>
      </c>
      <c r="G108" s="17" t="n">
        <v>18</v>
      </c>
      <c r="H108" s="133" t="n">
        <v>150</v>
      </c>
      <c r="I108" s="134" t="n">
        <v>13000</v>
      </c>
      <c r="J108" s="134" t="inlineStr">
        <is>
          <t>12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76</v>
      </c>
      <c r="U108" s="9" t="n"/>
    </row>
    <row r="109" ht="12" customFormat="1" customHeight="1" s="37">
      <c r="A109" s="75" t="inlineStr">
        <is>
          <t>사정동 금호타운1단지</t>
        </is>
      </c>
      <c r="B109" s="76" t="inlineStr">
        <is>
          <t>93.02.</t>
        </is>
      </c>
      <c r="C109" s="130" t="n">
        <v>342</v>
      </c>
      <c r="D109" s="131" t="n">
        <v>102</v>
      </c>
      <c r="E109" s="132" t="n">
        <v>31</v>
      </c>
      <c r="F109" s="131" t="n">
        <v>84.8</v>
      </c>
      <c r="G109" s="17" t="n">
        <v>26</v>
      </c>
      <c r="H109" s="133" t="n">
        <v>204</v>
      </c>
      <c r="I109" s="134" t="n">
        <v>13000</v>
      </c>
      <c r="J109" s="134" t="inlineStr">
        <is>
          <t>9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102</v>
      </c>
      <c r="U109" s="9" t="n"/>
    </row>
    <row r="110" ht="12" customFormat="1" customHeight="1" s="37">
      <c r="A110" s="75" t="inlineStr">
        <is>
          <t>문화동 삼성</t>
        </is>
      </c>
      <c r="B110" s="76" t="inlineStr">
        <is>
          <t>92.08.</t>
        </is>
      </c>
      <c r="C110" s="130" t="n">
        <v>716</v>
      </c>
      <c r="D110" s="131" t="n">
        <v>93.09999999999999</v>
      </c>
      <c r="E110" s="132" t="n">
        <v>28</v>
      </c>
      <c r="F110" s="131" t="n">
        <v>76</v>
      </c>
      <c r="G110" s="17" t="n">
        <v>23</v>
      </c>
      <c r="H110" s="133" t="n">
        <v>198</v>
      </c>
      <c r="I110" s="134" t="n">
        <v>12800</v>
      </c>
      <c r="J110" s="134" t="inlineStr">
        <is>
          <t>6</t>
        </is>
      </c>
      <c r="K110" s="134" t="n">
        <v>11000</v>
      </c>
      <c r="L110" s="134" t="inlineStr">
        <is>
          <t>6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93</v>
      </c>
      <c r="U110" s="9" t="n"/>
    </row>
    <row r="111" ht="12" customFormat="1" customHeight="1" s="37">
      <c r="A111" s="75" t="inlineStr">
        <is>
          <t>구암동 세풍</t>
        </is>
      </c>
      <c r="B111" s="76" t="inlineStr">
        <is>
          <t>97.01.</t>
        </is>
      </c>
      <c r="C111" s="130" t="n">
        <v>437</v>
      </c>
      <c r="D111" s="131" t="n">
        <v>106</v>
      </c>
      <c r="E111" s="132" t="n">
        <v>32</v>
      </c>
      <c r="F111" s="131" t="n">
        <v>85</v>
      </c>
      <c r="G111" s="17" t="n">
        <v>26</v>
      </c>
      <c r="H111" s="133" t="n">
        <v>208</v>
      </c>
      <c r="I111" s="134" t="n">
        <v>12600</v>
      </c>
      <c r="J111" s="134" t="inlineStr">
        <is>
          <t>10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106B</t>
        </is>
      </c>
      <c r="U111" s="9" t="n"/>
    </row>
    <row r="112" ht="12" customFormat="1" customHeight="1" s="37">
      <c r="A112" s="75" t="inlineStr">
        <is>
          <t>나운동 신일</t>
        </is>
      </c>
      <c r="B112" s="76" t="inlineStr">
        <is>
          <t>95.12.</t>
        </is>
      </c>
      <c r="C112" s="130" t="n">
        <v>600</v>
      </c>
      <c r="D112" s="131" t="n">
        <v>75.09999999999999</v>
      </c>
      <c r="E112" s="132" t="n">
        <v>23</v>
      </c>
      <c r="F112" s="131" t="n">
        <v>59.9</v>
      </c>
      <c r="G112" s="17" t="n">
        <v>18</v>
      </c>
      <c r="H112" s="133" t="n">
        <v>600</v>
      </c>
      <c r="I112" s="134" t="n">
        <v>12500</v>
      </c>
      <c r="J112" s="134" t="inlineStr">
        <is>
          <t>15</t>
        </is>
      </c>
      <c r="K112" s="134" t="n">
        <v>11500</v>
      </c>
      <c r="L112" s="134" t="inlineStr">
        <is>
          <t>13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75</v>
      </c>
      <c r="U112" s="9" t="n"/>
    </row>
    <row r="113" ht="12" customFormat="1" customHeight="1" s="37">
      <c r="A113" s="75" t="inlineStr">
        <is>
          <t>문화동 삼성</t>
        </is>
      </c>
      <c r="B113" s="76" t="inlineStr">
        <is>
          <t>92.08.</t>
        </is>
      </c>
      <c r="C113" s="130" t="n">
        <v>716</v>
      </c>
      <c r="D113" s="131" t="n">
        <v>79.7</v>
      </c>
      <c r="E113" s="132" t="n">
        <v>24</v>
      </c>
      <c r="F113" s="131" t="n">
        <v>65.2</v>
      </c>
      <c r="G113" s="17" t="n">
        <v>20</v>
      </c>
      <c r="H113" s="133" t="n">
        <v>56</v>
      </c>
      <c r="I113" s="134" t="n">
        <v>12500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79</v>
      </c>
      <c r="U113" s="9" t="n"/>
    </row>
    <row r="114" ht="12" customFormat="1" customHeight="1" s="37">
      <c r="A114" s="75" t="inlineStr">
        <is>
          <t>경암동 새한</t>
        </is>
      </c>
      <c r="B114" s="76" t="inlineStr">
        <is>
          <t>95.06.</t>
        </is>
      </c>
      <c r="C114" s="130" t="n">
        <v>304</v>
      </c>
      <c r="D114" s="131" t="n">
        <v>105.5</v>
      </c>
      <c r="E114" s="132" t="n">
        <v>32</v>
      </c>
      <c r="F114" s="131" t="n">
        <v>85</v>
      </c>
      <c r="G114" s="17" t="n">
        <v>26</v>
      </c>
      <c r="H114" s="133" t="n">
        <v>79</v>
      </c>
      <c r="I114" s="134" t="n">
        <v>12000</v>
      </c>
      <c r="J114" s="134" t="inlineStr">
        <is>
          <t>고</t>
        </is>
      </c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105</v>
      </c>
      <c r="U114" s="9" t="n"/>
    </row>
    <row r="115" ht="12" customFormat="1" customHeight="1" s="37">
      <c r="A115" s="75" t="inlineStr">
        <is>
          <t>나운동 영창</t>
        </is>
      </c>
      <c r="B115" s="76" t="inlineStr">
        <is>
          <t>95.06.</t>
        </is>
      </c>
      <c r="C115" s="130" t="n">
        <v>765</v>
      </c>
      <c r="D115" s="131" t="n">
        <v>74.7</v>
      </c>
      <c r="E115" s="132" t="n">
        <v>23</v>
      </c>
      <c r="F115" s="131" t="n">
        <v>59.9</v>
      </c>
      <c r="G115" s="17" t="n">
        <v>18</v>
      </c>
      <c r="H115" s="133" t="n">
        <v>300</v>
      </c>
      <c r="I115" s="134" t="n">
        <v>12000</v>
      </c>
      <c r="J115" s="134" t="inlineStr">
        <is>
          <t>15</t>
        </is>
      </c>
      <c r="K115" s="134" t="n">
        <v>9500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74</v>
      </c>
      <c r="U115" s="9" t="n"/>
    </row>
    <row r="116" ht="12" customFormat="1" customHeight="1" s="37">
      <c r="A116" s="75" t="inlineStr">
        <is>
          <t>수송동 동신</t>
        </is>
      </c>
      <c r="B116" s="76" t="inlineStr">
        <is>
          <t>91.09.</t>
        </is>
      </c>
      <c r="C116" s="130" t="n">
        <v>660</v>
      </c>
      <c r="D116" s="131" t="n">
        <v>105</v>
      </c>
      <c r="E116" s="132" t="n">
        <v>32</v>
      </c>
      <c r="F116" s="131" t="n">
        <v>84.8</v>
      </c>
      <c r="G116" s="17" t="n">
        <v>26</v>
      </c>
      <c r="H116" s="133" t="n">
        <v>240</v>
      </c>
      <c r="I116" s="134" t="n">
        <v>12000</v>
      </c>
      <c r="J116" s="134" t="inlineStr">
        <is>
          <t>13</t>
        </is>
      </c>
      <c r="K116" s="134" t="n">
        <v>13000</v>
      </c>
      <c r="L116" s="134" t="inlineStr">
        <is>
          <t>15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복</t>
        </is>
      </c>
      <c r="T116" s="5" t="n">
        <v>105</v>
      </c>
      <c r="U116" s="9" t="n"/>
    </row>
    <row r="117" ht="12" customFormat="1" customHeight="1" s="37">
      <c r="A117" s="75" t="inlineStr">
        <is>
          <t>나운동 서호</t>
        </is>
      </c>
      <c r="B117" s="76" t="inlineStr">
        <is>
          <t>95.06.</t>
        </is>
      </c>
      <c r="C117" s="130" t="n">
        <v>490</v>
      </c>
      <c r="D117" s="131" t="n">
        <v>83.8</v>
      </c>
      <c r="E117" s="132" t="n">
        <v>25</v>
      </c>
      <c r="F117" s="131" t="n">
        <v>67.90000000000001</v>
      </c>
      <c r="G117" s="17" t="n">
        <v>21</v>
      </c>
      <c r="H117" s="133" t="n">
        <v>262</v>
      </c>
      <c r="I117" s="134" t="n">
        <v>11800</v>
      </c>
      <c r="J117" s="134" t="inlineStr">
        <is>
          <t>5</t>
        </is>
      </c>
      <c r="K117" s="134" t="n">
        <v>10500</v>
      </c>
      <c r="L117" s="134" t="inlineStr">
        <is>
          <t>10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83</v>
      </c>
      <c r="U117" s="9" t="n"/>
    </row>
    <row r="118" ht="12" customFormat="1" customHeight="1" s="37">
      <c r="A118" s="75" t="inlineStr">
        <is>
          <t>오식도동 한성필하우스</t>
        </is>
      </c>
      <c r="B118" s="76" t="inlineStr">
        <is>
          <t>12.08.</t>
        </is>
      </c>
      <c r="C118" s="130" t="n">
        <v>892</v>
      </c>
      <c r="D118" s="131" t="n">
        <v>84.40000000000001</v>
      </c>
      <c r="E118" s="132" t="n">
        <v>26</v>
      </c>
      <c r="F118" s="131" t="n">
        <v>59.9</v>
      </c>
      <c r="G118" s="17" t="n">
        <v>18</v>
      </c>
      <c r="H118" s="133" t="n">
        <v>465</v>
      </c>
      <c r="I118" s="134" t="n">
        <v>11700</v>
      </c>
      <c r="J118" s="134" t="inlineStr">
        <is>
          <t>6</t>
        </is>
      </c>
      <c r="K118" s="134" t="n">
        <v>10000</v>
      </c>
      <c r="L118" s="134" t="inlineStr">
        <is>
          <t>12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84A</t>
        </is>
      </c>
      <c r="U118" s="9" t="n"/>
    </row>
    <row r="119" ht="12" customFormat="1" customHeight="1" s="37">
      <c r="A119" s="75" t="inlineStr">
        <is>
          <t>미룡동 미룡주공3단지</t>
        </is>
      </c>
      <c r="B119" s="76" t="inlineStr">
        <is>
          <t>01.06.</t>
        </is>
      </c>
      <c r="C119" s="130" t="n">
        <v>1460</v>
      </c>
      <c r="D119" s="131" t="n">
        <v>77.90000000000001</v>
      </c>
      <c r="E119" s="132" t="n">
        <v>24</v>
      </c>
      <c r="F119" s="131" t="n">
        <v>59.4</v>
      </c>
      <c r="G119" s="17" t="n">
        <v>18</v>
      </c>
      <c r="H119" s="133" t="n">
        <v>759</v>
      </c>
      <c r="I119" s="134" t="n">
        <v>11500</v>
      </c>
      <c r="J119" s="134" t="inlineStr">
        <is>
          <t>19</t>
        </is>
      </c>
      <c r="K119" s="134" t="n">
        <v>11500</v>
      </c>
      <c r="L119" s="134" t="inlineStr">
        <is>
          <t>13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계</t>
        </is>
      </c>
      <c r="T119" s="5" t="inlineStr">
        <is>
          <t>77A</t>
        </is>
      </c>
      <c r="U119" s="9" t="n"/>
    </row>
    <row r="120" ht="12" customFormat="1" customHeight="1" s="37">
      <c r="A120" s="75" t="inlineStr">
        <is>
          <t>나운동 한울</t>
        </is>
      </c>
      <c r="B120" s="76" t="inlineStr">
        <is>
          <t>96.07.</t>
        </is>
      </c>
      <c r="C120" s="130" t="n">
        <v>840</v>
      </c>
      <c r="D120" s="131" t="n">
        <v>76.09999999999999</v>
      </c>
      <c r="E120" s="132" t="n">
        <v>23</v>
      </c>
      <c r="F120" s="131" t="n">
        <v>59.7</v>
      </c>
      <c r="G120" s="17" t="n">
        <v>18</v>
      </c>
      <c r="H120" s="133" t="n">
        <v>477</v>
      </c>
      <c r="I120" s="134" t="n">
        <v>11000</v>
      </c>
      <c r="J120" s="134" t="inlineStr">
        <is>
          <t>7</t>
        </is>
      </c>
      <c r="K120" s="134" t="n">
        <v>9500</v>
      </c>
      <c r="L120" s="134" t="inlineStr">
        <is>
          <t>15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inlineStr">
        <is>
          <t>76A</t>
        </is>
      </c>
      <c r="U120" s="9" t="n"/>
    </row>
    <row r="121" ht="12" customFormat="1" customHeight="1" s="37">
      <c r="A121" s="75" t="inlineStr">
        <is>
          <t>소룡동 군산성원</t>
        </is>
      </c>
      <c r="B121" s="76" t="inlineStr">
        <is>
          <t>04.07.</t>
        </is>
      </c>
      <c r="C121" s="130" t="n">
        <v>675</v>
      </c>
      <c r="D121" s="131" t="n">
        <v>106.8</v>
      </c>
      <c r="E121" s="132" t="n">
        <v>32</v>
      </c>
      <c r="F121" s="131" t="n">
        <v>85</v>
      </c>
      <c r="G121" s="17" t="n">
        <v>26</v>
      </c>
      <c r="H121" s="133" t="n">
        <v>405</v>
      </c>
      <c r="I121" s="134" t="n">
        <v>11000</v>
      </c>
      <c r="J121" s="134" t="inlineStr">
        <is>
          <t>8</t>
        </is>
      </c>
      <c r="K121" s="134" t="n">
        <v>10000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106</v>
      </c>
      <c r="U121" s="9" t="n"/>
    </row>
    <row r="122" ht="12" customFormat="1" customHeight="1" s="37">
      <c r="A122" s="75" t="inlineStr">
        <is>
          <t>수송동 동신</t>
        </is>
      </c>
      <c r="B122" s="76" t="inlineStr">
        <is>
          <t>91.09.</t>
        </is>
      </c>
      <c r="C122" s="130" t="n">
        <v>660</v>
      </c>
      <c r="D122" s="131" t="n">
        <v>97.2</v>
      </c>
      <c r="E122" s="132" t="n">
        <v>29</v>
      </c>
      <c r="F122" s="131" t="n">
        <v>78.5</v>
      </c>
      <c r="G122" s="17" t="n">
        <v>24</v>
      </c>
      <c r="H122" s="133" t="n">
        <v>120</v>
      </c>
      <c r="I122" s="134" t="n">
        <v>11000</v>
      </c>
      <c r="J122" s="134" t="inlineStr">
        <is>
          <t>12</t>
        </is>
      </c>
      <c r="K122" s="134" t="n">
        <v>12500</v>
      </c>
      <c r="L122" s="134" t="inlineStr">
        <is>
          <t>13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97</v>
      </c>
      <c r="U122" s="9" t="n"/>
    </row>
    <row r="123" ht="12" customFormat="1" customHeight="1" s="37">
      <c r="A123" s="75" t="inlineStr">
        <is>
          <t>나운동 현대3차</t>
        </is>
      </c>
      <c r="B123" s="76" t="inlineStr">
        <is>
          <t>95.06.</t>
        </is>
      </c>
      <c r="C123" s="130" t="n">
        <v>479</v>
      </c>
      <c r="D123" s="131" t="n">
        <v>74.3</v>
      </c>
      <c r="E123" s="132" t="n">
        <v>22</v>
      </c>
      <c r="F123" s="131" t="n">
        <v>60</v>
      </c>
      <c r="G123" s="17" t="n">
        <v>18</v>
      </c>
      <c r="H123" s="133" t="n">
        <v>180</v>
      </c>
      <c r="I123" s="134" t="n">
        <v>10800</v>
      </c>
      <c r="J123" s="134" t="inlineStr">
        <is>
          <t>7</t>
        </is>
      </c>
      <c r="K123" s="134" t="n">
        <v>9000</v>
      </c>
      <c r="L123" s="134" t="inlineStr">
        <is>
          <t>12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복</t>
        </is>
      </c>
      <c r="T123" s="5" t="n">
        <v>74</v>
      </c>
      <c r="U123" s="9" t="n"/>
    </row>
    <row r="124" ht="12" customFormat="1" customHeight="1" s="37">
      <c r="A124" s="75" t="inlineStr">
        <is>
          <t>나운동 금호타운2차</t>
        </is>
      </c>
      <c r="B124" s="76" t="inlineStr">
        <is>
          <t>94.09.</t>
        </is>
      </c>
      <c r="C124" s="130" t="n">
        <v>336</v>
      </c>
      <c r="D124" s="131" t="n">
        <v>83.8</v>
      </c>
      <c r="E124" s="132" t="n">
        <v>25</v>
      </c>
      <c r="F124" s="131" t="n">
        <v>59.9</v>
      </c>
      <c r="G124" s="17" t="n">
        <v>18</v>
      </c>
      <c r="H124" s="133" t="n">
        <v>120</v>
      </c>
      <c r="I124" s="134" t="n">
        <v>10700</v>
      </c>
      <c r="J124" s="134" t="inlineStr">
        <is>
          <t>10</t>
        </is>
      </c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계</t>
        </is>
      </c>
      <c r="T124" s="5" t="n">
        <v>83</v>
      </c>
      <c r="U124" s="9" t="n"/>
    </row>
    <row r="125" ht="12" customFormat="1" customHeight="1" s="37">
      <c r="A125" s="75" t="inlineStr">
        <is>
          <t>소룡동 소룡제이파크</t>
        </is>
      </c>
      <c r="B125" s="76" t="inlineStr">
        <is>
          <t>06.06.</t>
        </is>
      </c>
      <c r="C125" s="130" t="n">
        <v>972</v>
      </c>
      <c r="D125" s="131" t="n">
        <v>78.8</v>
      </c>
      <c r="E125" s="132" t="n">
        <v>24</v>
      </c>
      <c r="F125" s="131" t="n">
        <v>60</v>
      </c>
      <c r="G125" s="17" t="n">
        <v>18</v>
      </c>
      <c r="H125" s="133" t="n">
        <v>252</v>
      </c>
      <c r="I125" s="134" t="n">
        <v>10000</v>
      </c>
      <c r="J125" s="134" t="inlineStr">
        <is>
          <t>8</t>
        </is>
      </c>
      <c r="K125" s="134" t="n">
        <v>9000</v>
      </c>
      <c r="L125" s="134" t="inlineStr">
        <is>
          <t>6</t>
        </is>
      </c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2</v>
      </c>
      <c r="R125" s="121" t="n">
        <v>1</v>
      </c>
      <c r="S125" s="121" t="inlineStr">
        <is>
          <t>계</t>
        </is>
      </c>
      <c r="T125" s="5" t="inlineStr">
        <is>
          <t>78B</t>
        </is>
      </c>
      <c r="U125" s="9" t="n"/>
    </row>
    <row r="126" ht="12" customFormat="1" customHeight="1" s="37">
      <c r="A126" s="75" t="inlineStr">
        <is>
          <t>소룡동 동아</t>
        </is>
      </c>
      <c r="B126" s="76" t="inlineStr">
        <is>
          <t>90.10.</t>
        </is>
      </c>
      <c r="C126" s="130" t="n">
        <v>702</v>
      </c>
      <c r="D126" s="131" t="n">
        <v>103.9</v>
      </c>
      <c r="E126" s="132" t="n">
        <v>31</v>
      </c>
      <c r="F126" s="131" t="n">
        <v>84.90000000000001</v>
      </c>
      <c r="G126" s="17" t="n">
        <v>26</v>
      </c>
      <c r="H126" s="133" t="n">
        <v>210</v>
      </c>
      <c r="I126" s="134" t="n">
        <v>9800</v>
      </c>
      <c r="J126" s="134" t="inlineStr">
        <is>
          <t>6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103</v>
      </c>
      <c r="U126" s="9" t="n"/>
    </row>
    <row r="127" ht="12" customFormat="1" customHeight="1" s="37">
      <c r="A127" s="75" t="inlineStr">
        <is>
          <t>수송동 동신</t>
        </is>
      </c>
      <c r="B127" s="76" t="inlineStr">
        <is>
          <t>91.09.</t>
        </is>
      </c>
      <c r="C127" s="130" t="n">
        <v>660</v>
      </c>
      <c r="D127" s="131" t="n">
        <v>83.5</v>
      </c>
      <c r="E127" s="132" t="n">
        <v>25</v>
      </c>
      <c r="F127" s="131" t="n">
        <v>67.40000000000001</v>
      </c>
      <c r="G127" s="17" t="n">
        <v>20</v>
      </c>
      <c r="H127" s="133" t="n">
        <v>120</v>
      </c>
      <c r="I127" s="134" t="n">
        <v>9700</v>
      </c>
      <c r="J127" s="134" t="inlineStr">
        <is>
          <t>5</t>
        </is>
      </c>
      <c r="K127" s="134" t="n">
        <v>9000</v>
      </c>
      <c r="L127" s="134" t="inlineStr">
        <is>
          <t>11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1</v>
      </c>
      <c r="S127" s="121" t="inlineStr">
        <is>
          <t>복</t>
        </is>
      </c>
      <c r="T127" s="5" t="n">
        <v>83</v>
      </c>
      <c r="U127" s="9" t="n"/>
    </row>
    <row r="128" ht="12" customFormat="1" customHeight="1" s="37">
      <c r="A128" s="75" t="inlineStr">
        <is>
          <t>나운동 현대1차</t>
        </is>
      </c>
      <c r="B128" s="76" t="inlineStr">
        <is>
          <t>90.04.</t>
        </is>
      </c>
      <c r="C128" s="130" t="n">
        <v>498</v>
      </c>
      <c r="D128" s="131" t="n">
        <v>104.1</v>
      </c>
      <c r="E128" s="132" t="n">
        <v>31</v>
      </c>
      <c r="F128" s="131" t="n">
        <v>84.7</v>
      </c>
      <c r="G128" s="17" t="n">
        <v>26</v>
      </c>
      <c r="H128" s="133" t="n">
        <v>330</v>
      </c>
      <c r="I128" s="134" t="n">
        <v>9500</v>
      </c>
      <c r="J128" s="134" t="inlineStr">
        <is>
          <t>14</t>
        </is>
      </c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104</v>
      </c>
      <c r="U128" s="9" t="n"/>
    </row>
    <row r="129" ht="12" customFormat="1" customHeight="1" s="37">
      <c r="A129" s="75" t="inlineStr">
        <is>
          <t>나운동 나운유원</t>
        </is>
      </c>
      <c r="B129" s="76" t="inlineStr">
        <is>
          <t>90.11.</t>
        </is>
      </c>
      <c r="C129" s="130" t="n">
        <v>458</v>
      </c>
      <c r="D129" s="131" t="n">
        <v>96.8</v>
      </c>
      <c r="E129" s="132" t="n">
        <v>29</v>
      </c>
      <c r="F129" s="131" t="n">
        <v>78.09999999999999</v>
      </c>
      <c r="G129" s="17" t="n">
        <v>24</v>
      </c>
      <c r="H129" s="133" t="n">
        <v>69</v>
      </c>
      <c r="I129" s="134" t="n">
        <v>9500</v>
      </c>
      <c r="J129" s="134" t="inlineStr">
        <is>
          <t>8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1</v>
      </c>
      <c r="S129" s="121" t="inlineStr">
        <is>
          <t>계</t>
        </is>
      </c>
      <c r="T129" s="5" t="n">
        <v>96</v>
      </c>
      <c r="U129" s="9" t="n"/>
    </row>
    <row r="130" ht="12" customFormat="1" customHeight="1" s="37">
      <c r="A130" s="75" t="inlineStr">
        <is>
          <t>나운동 나운유원</t>
        </is>
      </c>
      <c r="B130" s="76" t="inlineStr">
        <is>
          <t>90.11.</t>
        </is>
      </c>
      <c r="C130" s="130" t="n">
        <v>458</v>
      </c>
      <c r="D130" s="131" t="n">
        <v>104.1</v>
      </c>
      <c r="E130" s="132" t="n">
        <v>31</v>
      </c>
      <c r="F130" s="131" t="n">
        <v>85</v>
      </c>
      <c r="G130" s="17" t="n">
        <v>26</v>
      </c>
      <c r="H130" s="133" t="n">
        <v>245</v>
      </c>
      <c r="I130" s="134" t="n">
        <v>9500</v>
      </c>
      <c r="J130" s="134" t="inlineStr">
        <is>
          <t>중</t>
        </is>
      </c>
      <c r="K130" s="134" t="n">
        <v>11500</v>
      </c>
      <c r="L130" s="134" t="inlineStr">
        <is>
          <t>14</t>
        </is>
      </c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n">
        <v>104</v>
      </c>
      <c r="U130" s="9" t="n"/>
    </row>
    <row r="131" ht="12" customFormat="1" customHeight="1" s="37">
      <c r="A131" s="75" t="inlineStr">
        <is>
          <t>소룡동 그린서해맨션</t>
        </is>
      </c>
      <c r="B131" s="76" t="inlineStr">
        <is>
          <t>93.12.</t>
        </is>
      </c>
      <c r="C131" s="130" t="n">
        <v>350</v>
      </c>
      <c r="D131" s="131" t="n">
        <v>103.5</v>
      </c>
      <c r="E131" s="132" t="n">
        <v>31</v>
      </c>
      <c r="F131" s="131" t="n">
        <v>84.90000000000001</v>
      </c>
      <c r="G131" s="17" t="n">
        <v>26</v>
      </c>
      <c r="H131" s="133" t="n">
        <v>52</v>
      </c>
      <c r="I131" s="134" t="n">
        <v>9500</v>
      </c>
      <c r="J131" s="134" t="inlineStr">
        <is>
          <t>15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103B</t>
        </is>
      </c>
      <c r="U131" s="9" t="n"/>
    </row>
    <row r="132" ht="12" customFormat="1" customHeight="1" s="37">
      <c r="A132" s="75" t="inlineStr">
        <is>
          <t>장재동 현대세솔</t>
        </is>
      </c>
      <c r="B132" s="76" t="inlineStr">
        <is>
          <t>02.03.</t>
        </is>
      </c>
      <c r="C132" s="130" t="n">
        <v>547</v>
      </c>
      <c r="D132" s="131" t="n">
        <v>82.5</v>
      </c>
      <c r="E132" s="132" t="n">
        <v>25</v>
      </c>
      <c r="F132" s="131" t="n">
        <v>60</v>
      </c>
      <c r="G132" s="17" t="n">
        <v>18</v>
      </c>
      <c r="H132" s="133" t="n">
        <v>259</v>
      </c>
      <c r="I132" s="134" t="n">
        <v>9500</v>
      </c>
      <c r="J132" s="134" t="inlineStr">
        <is>
          <t>5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2</v>
      </c>
      <c r="R132" s="121" t="n">
        <v>1</v>
      </c>
      <c r="S132" s="121" t="inlineStr">
        <is>
          <t>계</t>
        </is>
      </c>
      <c r="T132" s="5" t="n">
        <v>82</v>
      </c>
      <c r="U132" s="9" t="n"/>
    </row>
    <row r="133" ht="12" customFormat="1" customHeight="1" s="37">
      <c r="A133" s="75" t="inlineStr">
        <is>
          <t>미룡동 미룡주공2단지</t>
        </is>
      </c>
      <c r="B133" s="76" t="inlineStr">
        <is>
          <t>01.03.</t>
        </is>
      </c>
      <c r="C133" s="130" t="n">
        <v>874</v>
      </c>
      <c r="D133" s="131" t="n">
        <v>68.3</v>
      </c>
      <c r="E133" s="132" t="n">
        <v>21</v>
      </c>
      <c r="F133" s="131" t="n">
        <v>50.3</v>
      </c>
      <c r="G133" s="17" t="n">
        <v>15</v>
      </c>
      <c r="H133" s="133" t="n">
        <v>288</v>
      </c>
      <c r="I133" s="134" t="n">
        <v>9300</v>
      </c>
      <c r="J133" s="134" t="inlineStr">
        <is>
          <t>18</t>
        </is>
      </c>
      <c r="K133" s="134" t="n">
        <v>7900</v>
      </c>
      <c r="L133" s="134" t="inlineStr">
        <is>
          <t>13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inlineStr">
        <is>
          <t>68A</t>
        </is>
      </c>
      <c r="U133" s="9" t="n"/>
    </row>
    <row r="134" ht="12" customFormat="1" customHeight="1" s="37">
      <c r="A134" s="75" t="inlineStr">
        <is>
          <t>나운동 나운현대2차</t>
        </is>
      </c>
      <c r="B134" s="76" t="inlineStr">
        <is>
          <t>93.10.</t>
        </is>
      </c>
      <c r="C134" s="130" t="n">
        <v>899</v>
      </c>
      <c r="D134" s="131" t="n">
        <v>74.2</v>
      </c>
      <c r="E134" s="132" t="n">
        <v>22</v>
      </c>
      <c r="F134" s="131" t="n">
        <v>59.4</v>
      </c>
      <c r="G134" s="17" t="n">
        <v>18</v>
      </c>
      <c r="H134" s="133" t="n">
        <v>344</v>
      </c>
      <c r="I134" s="134" t="n">
        <v>9200</v>
      </c>
      <c r="J134" s="134" t="inlineStr">
        <is>
          <t>8</t>
        </is>
      </c>
      <c r="K134" s="134" t="n">
        <v>8500</v>
      </c>
      <c r="L134" s="134" t="inlineStr">
        <is>
          <t>5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나운동 현대백조</t>
        </is>
      </c>
      <c r="B135" s="76" t="inlineStr">
        <is>
          <t>92.11.</t>
        </is>
      </c>
      <c r="C135" s="130" t="n">
        <v>498</v>
      </c>
      <c r="D135" s="131" t="n">
        <v>95.8</v>
      </c>
      <c r="E135" s="132" t="n">
        <v>29</v>
      </c>
      <c r="F135" s="131" t="n">
        <v>84.59999999999999</v>
      </c>
      <c r="G135" s="17" t="n">
        <v>26</v>
      </c>
      <c r="H135" s="133" t="n">
        <v>384</v>
      </c>
      <c r="I135" s="134" t="n">
        <v>9000</v>
      </c>
      <c r="J135" s="134" t="inlineStr">
        <is>
          <t>5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95B</t>
        </is>
      </c>
      <c r="U135" s="9" t="n"/>
    </row>
    <row r="136" ht="12" customFormat="1" customHeight="1" s="37">
      <c r="A136" s="75" t="inlineStr">
        <is>
          <t>산북동 코오롱</t>
        </is>
      </c>
      <c r="B136" s="76" t="inlineStr">
        <is>
          <t>94.11.</t>
        </is>
      </c>
      <c r="C136" s="130" t="n">
        <v>380</v>
      </c>
      <c r="D136" s="131" t="n">
        <v>75.90000000000001</v>
      </c>
      <c r="E136" s="132" t="n">
        <v>23</v>
      </c>
      <c r="F136" s="131" t="n">
        <v>59.4</v>
      </c>
      <c r="G136" s="17" t="n">
        <v>18</v>
      </c>
      <c r="H136" s="133" t="n">
        <v>254</v>
      </c>
      <c r="I136" s="134" t="n">
        <v>9000</v>
      </c>
      <c r="J136" s="134" t="inlineStr">
        <is>
          <t>10</t>
        </is>
      </c>
      <c r="K136" s="134" t="n">
        <v>8000</v>
      </c>
      <c r="L136" s="134" t="inlineStr">
        <is>
          <t>9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n">
        <v>75</v>
      </c>
      <c r="U136" s="9" t="n"/>
    </row>
    <row r="137" ht="12" customFormat="1" customHeight="1" s="37">
      <c r="A137" s="75" t="inlineStr">
        <is>
          <t>소룡동 군산성원</t>
        </is>
      </c>
      <c r="B137" s="76" t="inlineStr">
        <is>
          <t>04.07.</t>
        </is>
      </c>
      <c r="C137" s="130" t="n">
        <v>675</v>
      </c>
      <c r="D137" s="131" t="n">
        <v>75</v>
      </c>
      <c r="E137" s="132" t="n">
        <v>23</v>
      </c>
      <c r="F137" s="131" t="n">
        <v>59.7</v>
      </c>
      <c r="G137" s="17" t="n">
        <v>18</v>
      </c>
      <c r="H137" s="133" t="n">
        <v>270</v>
      </c>
      <c r="I137" s="134" t="n">
        <v>9000</v>
      </c>
      <c r="J137" s="134" t="inlineStr">
        <is>
          <t>12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75</v>
      </c>
      <c r="U137" s="9" t="n"/>
    </row>
    <row r="138" ht="12" customFormat="1" customHeight="1" s="37">
      <c r="A138" s="75" t="inlineStr">
        <is>
          <t>나운동 현대1차</t>
        </is>
      </c>
      <c r="B138" s="76" t="inlineStr">
        <is>
          <t>90.04.</t>
        </is>
      </c>
      <c r="C138" s="130" t="n">
        <v>498</v>
      </c>
      <c r="D138" s="131" t="n">
        <v>89.5</v>
      </c>
      <c r="E138" s="132" t="n">
        <v>27</v>
      </c>
      <c r="F138" s="131" t="n">
        <v>72.2</v>
      </c>
      <c r="G138" s="17" t="n">
        <v>22</v>
      </c>
      <c r="H138" s="133" t="n">
        <v>112</v>
      </c>
      <c r="I138" s="134" t="n">
        <v>8700</v>
      </c>
      <c r="J138" s="134" t="inlineStr">
        <is>
          <t>10</t>
        </is>
      </c>
      <c r="K138" s="134" t="n">
        <v>10500</v>
      </c>
      <c r="L138" s="134" t="inlineStr">
        <is>
          <t>13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1</v>
      </c>
      <c r="S138" s="121" t="inlineStr">
        <is>
          <t>계</t>
        </is>
      </c>
      <c r="T138" s="5" t="n">
        <v>89</v>
      </c>
      <c r="U138" s="9" t="n"/>
    </row>
    <row r="139" ht="12" customFormat="1" customHeight="1" s="37">
      <c r="A139" s="75" t="inlineStr">
        <is>
          <t>나운동 주공5단지</t>
        </is>
      </c>
      <c r="B139" s="76" t="inlineStr">
        <is>
          <t>95.07.</t>
        </is>
      </c>
      <c r="C139" s="130" t="n">
        <v>1541</v>
      </c>
      <c r="D139" s="131" t="n">
        <v>79.2</v>
      </c>
      <c r="E139" s="132" t="n">
        <v>24</v>
      </c>
      <c r="F139" s="131" t="n">
        <v>58.1</v>
      </c>
      <c r="G139" s="17" t="n">
        <v>18</v>
      </c>
      <c r="H139" s="133" t="n">
        <v>1243</v>
      </c>
      <c r="I139" s="134" t="n">
        <v>8700</v>
      </c>
      <c r="J139" s="134" t="inlineStr">
        <is>
          <t>15</t>
        </is>
      </c>
      <c r="K139" s="134" t="n">
        <v>7500</v>
      </c>
      <c r="L139" s="134" t="inlineStr">
        <is>
          <t>15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1</v>
      </c>
      <c r="S139" s="121" t="inlineStr">
        <is>
          <t>복</t>
        </is>
      </c>
      <c r="T139" s="5" t="n">
        <v>79</v>
      </c>
      <c r="U139" s="9" t="n"/>
    </row>
    <row r="140" ht="12" customFormat="1" customHeight="1" s="37">
      <c r="A140" s="75" t="inlineStr">
        <is>
          <t>산북동 산북주공</t>
        </is>
      </c>
      <c r="B140" s="76" t="inlineStr">
        <is>
          <t>89.04.</t>
        </is>
      </c>
      <c r="C140" s="130" t="n">
        <v>750</v>
      </c>
      <c r="D140" s="131" t="n">
        <v>49.5</v>
      </c>
      <c r="E140" s="132" t="n">
        <v>15</v>
      </c>
      <c r="F140" s="131" t="n">
        <v>39.3</v>
      </c>
      <c r="G140" s="17" t="n">
        <v>12</v>
      </c>
      <c r="H140" s="133" t="n">
        <v>110</v>
      </c>
      <c r="I140" s="134" t="n">
        <v>8700</v>
      </c>
      <c r="J140" s="134" t="inlineStr">
        <is>
          <t>5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2</v>
      </c>
      <c r="R140" s="121" t="n">
        <v>1</v>
      </c>
      <c r="S140" s="121" t="inlineStr">
        <is>
          <t>계</t>
        </is>
      </c>
      <c r="T140" s="5" t="inlineStr">
        <is>
          <t>49B</t>
        </is>
      </c>
      <c r="U140" s="9" t="n"/>
    </row>
    <row r="141" ht="12" customFormat="1" customHeight="1" s="37">
      <c r="A141" s="75" t="inlineStr">
        <is>
          <t>나운동 주공5단지</t>
        </is>
      </c>
      <c r="B141" s="76" t="inlineStr">
        <is>
          <t>95.07.</t>
        </is>
      </c>
      <c r="C141" s="130" t="n">
        <v>1541</v>
      </c>
      <c r="D141" s="131" t="n">
        <v>69.8</v>
      </c>
      <c r="E141" s="132" t="n">
        <v>21</v>
      </c>
      <c r="F141" s="131" t="n">
        <v>49.7</v>
      </c>
      <c r="G141" s="17" t="n">
        <v>15</v>
      </c>
      <c r="H141" s="133" t="n">
        <v>149</v>
      </c>
      <c r="I141" s="134" t="n">
        <v>8500</v>
      </c>
      <c r="J141" s="134" t="inlineStr">
        <is>
          <t>고</t>
        </is>
      </c>
      <c r="K141" s="134" t="n">
        <v>7000</v>
      </c>
      <c r="L141" s="134" t="inlineStr">
        <is>
          <t>11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2</v>
      </c>
      <c r="R141" s="121" t="n">
        <v>1</v>
      </c>
      <c r="S141" s="121" t="inlineStr">
        <is>
          <t>복</t>
        </is>
      </c>
      <c r="T141" s="5" t="n">
        <v>69</v>
      </c>
      <c r="U141" s="9" t="n"/>
    </row>
    <row r="142" ht="12" customFormat="1" customHeight="1" s="37">
      <c r="A142" s="75" t="inlineStr">
        <is>
          <t>미룡동 미룡주공3단지</t>
        </is>
      </c>
      <c r="B142" s="76" t="inlineStr">
        <is>
          <t>01.06.</t>
        </is>
      </c>
      <c r="C142" s="130" t="n">
        <v>1460</v>
      </c>
      <c r="D142" s="131" t="n">
        <v>65.40000000000001</v>
      </c>
      <c r="E142" s="132" t="n">
        <v>20</v>
      </c>
      <c r="F142" s="131" t="n">
        <v>49.9</v>
      </c>
      <c r="G142" s="17" t="n">
        <v>15</v>
      </c>
      <c r="H142" s="133" t="n">
        <v>529</v>
      </c>
      <c r="I142" s="134" t="n">
        <v>8500</v>
      </c>
      <c r="J142" s="134" t="inlineStr">
        <is>
          <t>17</t>
        </is>
      </c>
      <c r="K142" s="134" t="n">
        <v>7000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계</t>
        </is>
      </c>
      <c r="T142" s="5" t="inlineStr">
        <is>
          <t>65C</t>
        </is>
      </c>
      <c r="U142" s="9" t="n"/>
    </row>
    <row r="143" ht="12" customFormat="1" customHeight="1" s="37">
      <c r="A143" s="75" t="inlineStr">
        <is>
          <t>산북동 산북주공</t>
        </is>
      </c>
      <c r="B143" s="76" t="inlineStr">
        <is>
          <t>89.04.</t>
        </is>
      </c>
      <c r="C143" s="130" t="n">
        <v>750</v>
      </c>
      <c r="D143" s="131" t="n">
        <v>57.9</v>
      </c>
      <c r="E143" s="132" t="n">
        <v>18</v>
      </c>
      <c r="F143" s="131" t="n">
        <v>47</v>
      </c>
      <c r="G143" s="17" t="n">
        <v>14</v>
      </c>
      <c r="H143" s="133" t="n">
        <v>290</v>
      </c>
      <c r="I143" s="134" t="n">
        <v>8500</v>
      </c>
      <c r="J143" s="134" t="inlineStr">
        <is>
          <t>5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2</v>
      </c>
      <c r="R143" s="121" t="n">
        <v>1</v>
      </c>
      <c r="S143" s="121" t="inlineStr">
        <is>
          <t>계</t>
        </is>
      </c>
      <c r="T143" s="5" t="n">
        <v>57</v>
      </c>
      <c r="U143" s="9" t="n"/>
    </row>
    <row r="144" ht="12" customFormat="1" customHeight="1" s="37">
      <c r="A144" s="75" t="inlineStr">
        <is>
          <t>삼학동 군산삼학대우</t>
        </is>
      </c>
      <c r="B144" s="76" t="inlineStr">
        <is>
          <t>96.07.</t>
        </is>
      </c>
      <c r="C144" s="130" t="n">
        <v>381</v>
      </c>
      <c r="D144" s="131" t="n">
        <v>81.09999999999999</v>
      </c>
      <c r="E144" s="132" t="n">
        <v>25</v>
      </c>
      <c r="F144" s="131" t="n">
        <v>59.9</v>
      </c>
      <c r="G144" s="17" t="n">
        <v>18</v>
      </c>
      <c r="H144" s="133" t="n">
        <v>159</v>
      </c>
      <c r="I144" s="134" t="n">
        <v>8500</v>
      </c>
      <c r="J144" s="134" t="inlineStr">
        <is>
          <t>6</t>
        </is>
      </c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1</v>
      </c>
      <c r="S144" s="121" t="inlineStr">
        <is>
          <t>복</t>
        </is>
      </c>
      <c r="T144" s="5" t="n">
        <v>81</v>
      </c>
      <c r="U144" s="9" t="n"/>
    </row>
    <row r="145" ht="12" customFormat="1" customHeight="1" s="37">
      <c r="A145" s="75" t="inlineStr">
        <is>
          <t>나운동 나운유원</t>
        </is>
      </c>
      <c r="B145" s="76" t="inlineStr">
        <is>
          <t>90.11.</t>
        </is>
      </c>
      <c r="C145" s="130" t="n">
        <v>458</v>
      </c>
      <c r="D145" s="131" t="n">
        <v>81.3</v>
      </c>
      <c r="E145" s="132" t="n">
        <v>25</v>
      </c>
      <c r="F145" s="131" t="n">
        <v>65.09999999999999</v>
      </c>
      <c r="G145" s="17" t="n">
        <v>20</v>
      </c>
      <c r="H145" s="133" t="n">
        <v>144</v>
      </c>
      <c r="I145" s="134" t="n">
        <v>8000</v>
      </c>
      <c r="J145" s="134" t="inlineStr">
        <is>
          <t>12</t>
        </is>
      </c>
      <c r="K145" s="134" t="n">
        <v>7000</v>
      </c>
      <c r="L145" s="134" t="inlineStr">
        <is>
          <t>고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1</v>
      </c>
      <c r="S145" s="121" t="inlineStr">
        <is>
          <t>계</t>
        </is>
      </c>
      <c r="T145" s="5" t="n">
        <v>81</v>
      </c>
      <c r="U145" s="9" t="n"/>
    </row>
    <row r="146" ht="12" customFormat="1" customHeight="1" s="37">
      <c r="A146" s="75" t="inlineStr">
        <is>
          <t>소룡동 그린서해맨션</t>
        </is>
      </c>
      <c r="B146" s="76" t="inlineStr">
        <is>
          <t>93.12.</t>
        </is>
      </c>
      <c r="C146" s="130" t="n">
        <v>350</v>
      </c>
      <c r="D146" s="131" t="n">
        <v>91.40000000000001</v>
      </c>
      <c r="E146" s="132" t="n">
        <v>28</v>
      </c>
      <c r="F146" s="131" t="n">
        <v>75</v>
      </c>
      <c r="G146" s="17" t="n">
        <v>23</v>
      </c>
      <c r="H146" s="133" t="n">
        <v>59</v>
      </c>
      <c r="I146" s="134" t="n">
        <v>8000</v>
      </c>
      <c r="J146" s="134" t="inlineStr">
        <is>
          <t>7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1</v>
      </c>
      <c r="S146" s="121" t="inlineStr">
        <is>
          <t>계</t>
        </is>
      </c>
      <c r="T146" s="5" t="n">
        <v>91</v>
      </c>
      <c r="U146" s="9" t="n"/>
    </row>
    <row r="147" ht="12" customFormat="1" customHeight="1" s="37">
      <c r="A147" s="75" t="inlineStr">
        <is>
          <t>조촌동 동신개나리</t>
        </is>
      </c>
      <c r="B147" s="76" t="inlineStr">
        <is>
          <t>95.12.</t>
        </is>
      </c>
      <c r="C147" s="130" t="n">
        <v>383</v>
      </c>
      <c r="D147" s="131" t="n">
        <v>76</v>
      </c>
      <c r="E147" s="132" t="n">
        <v>23</v>
      </c>
      <c r="F147" s="131" t="n">
        <v>59.8</v>
      </c>
      <c r="G147" s="17" t="n">
        <v>18</v>
      </c>
      <c r="H147" s="133" t="n">
        <v>263</v>
      </c>
      <c r="I147" s="134" t="n">
        <v>8000</v>
      </c>
      <c r="J147" s="134" t="inlineStr">
        <is>
          <t>12</t>
        </is>
      </c>
      <c r="K147" s="134" t="n">
        <v>7500</v>
      </c>
      <c r="L147" s="134" t="inlineStr">
        <is>
          <t>9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1</v>
      </c>
      <c r="S147" s="121" t="inlineStr">
        <is>
          <t>계</t>
        </is>
      </c>
      <c r="T147" s="5" t="n">
        <v>76</v>
      </c>
      <c r="U147" s="9" t="n"/>
    </row>
    <row r="148" ht="12" customFormat="1" customHeight="1" s="37">
      <c r="A148" s="75" t="inlineStr">
        <is>
          <t>구암동 현대</t>
        </is>
      </c>
      <c r="B148" s="76" t="inlineStr">
        <is>
          <t>94.03.</t>
        </is>
      </c>
      <c r="C148" s="130" t="n">
        <v>1084</v>
      </c>
      <c r="D148" s="131" t="n">
        <v>80.09999999999999</v>
      </c>
      <c r="E148" s="132" t="n">
        <v>24</v>
      </c>
      <c r="F148" s="131" t="n">
        <v>59.9</v>
      </c>
      <c r="G148" s="17" t="n">
        <v>18</v>
      </c>
      <c r="H148" s="133" t="n">
        <v>427</v>
      </c>
      <c r="I148" s="134" t="n">
        <v>7500</v>
      </c>
      <c r="J148" s="134" t="inlineStr">
        <is>
          <t>고</t>
        </is>
      </c>
      <c r="K148" s="134" t="n">
        <v>8500</v>
      </c>
      <c r="L148" s="134" t="inlineStr">
        <is>
          <t>12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1</v>
      </c>
      <c r="S148" s="121" t="inlineStr">
        <is>
          <t>계</t>
        </is>
      </c>
      <c r="T148" s="5" t="n">
        <v>80</v>
      </c>
      <c r="U148" s="9" t="n"/>
    </row>
    <row r="149" ht="12" customFormat="1" customHeight="1" s="37">
      <c r="A149" s="75" t="inlineStr">
        <is>
          <t>나운동 영창</t>
        </is>
      </c>
      <c r="B149" s="76" t="inlineStr">
        <is>
          <t>95.06.</t>
        </is>
      </c>
      <c r="C149" s="130" t="n">
        <v>765</v>
      </c>
      <c r="D149" s="131" t="n">
        <v>71.5</v>
      </c>
      <c r="E149" s="132" t="n">
        <v>22</v>
      </c>
      <c r="F149" s="131" t="n">
        <v>49.8</v>
      </c>
      <c r="G149" s="17" t="n">
        <v>15</v>
      </c>
      <c r="H149" s="133" t="n">
        <v>120</v>
      </c>
      <c r="I149" s="134" t="n">
        <v>7200</v>
      </c>
      <c r="J149" s="134" t="inlineStr">
        <is>
          <t>12</t>
        </is>
      </c>
      <c r="K149" s="134" t="n">
        <v>7000</v>
      </c>
      <c r="L149" s="134" t="inlineStr">
        <is>
          <t>10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복</t>
        </is>
      </c>
      <c r="T149" s="5" t="n">
        <v>71</v>
      </c>
      <c r="U149" s="9" t="n"/>
    </row>
    <row r="150" ht="12" customFormat="1" customHeight="1" s="37">
      <c r="A150" s="75" t="inlineStr">
        <is>
          <t>나운동 세경</t>
        </is>
      </c>
      <c r="B150" s="76" t="inlineStr">
        <is>
          <t>02.12.</t>
        </is>
      </c>
      <c r="C150" s="130" t="n">
        <v>1186</v>
      </c>
      <c r="D150" s="131" t="n">
        <v>69</v>
      </c>
      <c r="E150" s="132" t="n">
        <v>21</v>
      </c>
      <c r="F150" s="131" t="n">
        <v>53.8</v>
      </c>
      <c r="G150" s="17" t="n">
        <v>16</v>
      </c>
      <c r="H150" s="133" t="n">
        <v>941</v>
      </c>
      <c r="I150" s="134" t="n">
        <v>6800</v>
      </c>
      <c r="J150" s="134" t="inlineStr">
        <is>
          <t>15</t>
        </is>
      </c>
      <c r="K150" s="134" t="n">
        <v>7000</v>
      </c>
      <c r="L150" s="134" t="inlineStr">
        <is>
          <t>11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2</v>
      </c>
      <c r="R150" s="121" t="n">
        <v>1</v>
      </c>
      <c r="S150" s="121" t="inlineStr">
        <is>
          <t>복</t>
        </is>
      </c>
      <c r="T150" s="5" t="n">
        <v>68</v>
      </c>
      <c r="U150" s="9" t="n"/>
    </row>
    <row r="151" ht="12" customFormat="1" customHeight="1" s="37">
      <c r="A151" s="75" t="inlineStr">
        <is>
          <t>소룡동 소룡진흥</t>
        </is>
      </c>
      <c r="B151" s="76" t="inlineStr">
        <is>
          <t>91.05.</t>
        </is>
      </c>
      <c r="C151" s="130" t="n">
        <v>499</v>
      </c>
      <c r="D151" s="131" t="n">
        <v>88.3</v>
      </c>
      <c r="E151" s="132" t="n">
        <v>27</v>
      </c>
      <c r="F151" s="131" t="n">
        <v>72</v>
      </c>
      <c r="G151" s="17" t="n">
        <v>22</v>
      </c>
      <c r="H151" s="133" t="n">
        <v>128</v>
      </c>
      <c r="I151" s="134" t="n">
        <v>6700</v>
      </c>
      <c r="J151" s="134" t="inlineStr">
        <is>
          <t>12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88</v>
      </c>
      <c r="U151" s="9" t="n"/>
    </row>
    <row r="152" ht="12" customFormat="1" customHeight="1" s="37">
      <c r="A152" s="75" t="inlineStr">
        <is>
          <t>나운동 주공5단지</t>
        </is>
      </c>
      <c r="B152" s="76" t="inlineStr">
        <is>
          <t>95.07.</t>
        </is>
      </c>
      <c r="C152" s="130" t="n">
        <v>1541</v>
      </c>
      <c r="D152" s="131" t="n">
        <v>54.8</v>
      </c>
      <c r="E152" s="132" t="n">
        <v>17</v>
      </c>
      <c r="F152" s="131" t="n">
        <v>37.7</v>
      </c>
      <c r="G152" s="17" t="n">
        <v>11</v>
      </c>
      <c r="H152" s="133" t="n">
        <v>149</v>
      </c>
      <c r="I152" s="134" t="n">
        <v>6500</v>
      </c>
      <c r="J152" s="134" t="inlineStr">
        <is>
          <t>6</t>
        </is>
      </c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54</v>
      </c>
      <c r="U152" s="9" t="n"/>
    </row>
    <row r="153" ht="12" customFormat="1" customHeight="1" s="37">
      <c r="A153" s="75" t="inlineStr">
        <is>
          <t>조촌동 동신개나리</t>
        </is>
      </c>
      <c r="B153" s="76" t="inlineStr">
        <is>
          <t>95.12.</t>
        </is>
      </c>
      <c r="C153" s="130" t="n">
        <v>383</v>
      </c>
      <c r="D153" s="131" t="n">
        <v>60.5</v>
      </c>
      <c r="E153" s="132" t="n">
        <v>18</v>
      </c>
      <c r="F153" s="131" t="n">
        <v>47.6</v>
      </c>
      <c r="G153" s="17" t="n">
        <v>14</v>
      </c>
      <c r="H153" s="133" t="n">
        <v>120</v>
      </c>
      <c r="I153" s="134" t="n">
        <v>6500</v>
      </c>
      <c r="J153" s="134" t="inlineStr">
        <is>
          <t>13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1</v>
      </c>
      <c r="S153" s="121" t="inlineStr">
        <is>
          <t>계</t>
        </is>
      </c>
      <c r="T153" s="5" t="n">
        <v>60</v>
      </c>
      <c r="U153" s="9" t="n"/>
    </row>
    <row r="154" ht="12" customFormat="1" customHeight="1" s="37">
      <c r="A154" s="75" t="inlineStr">
        <is>
          <t>수송동 동영</t>
        </is>
      </c>
      <c r="B154" s="76" t="inlineStr">
        <is>
          <t>98.09.</t>
        </is>
      </c>
      <c r="C154" s="130" t="n">
        <v>360</v>
      </c>
      <c r="D154" s="131" t="n">
        <v>46.9</v>
      </c>
      <c r="E154" s="132" t="n">
        <v>14</v>
      </c>
      <c r="F154" s="131" t="n">
        <v>39.5</v>
      </c>
      <c r="G154" s="17" t="n">
        <v>12</v>
      </c>
      <c r="H154" s="133" t="n">
        <v>205</v>
      </c>
      <c r="I154" s="134" t="n">
        <v>6300</v>
      </c>
      <c r="J154" s="134" t="inlineStr">
        <is>
          <t>11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46</v>
      </c>
      <c r="U154" s="9" t="n"/>
    </row>
    <row r="155" ht="12" customFormat="1" customHeight="1" s="37">
      <c r="A155" s="75" t="inlineStr">
        <is>
          <t>소룡동 소룡진흥</t>
        </is>
      </c>
      <c r="B155" s="76" t="inlineStr">
        <is>
          <t>91.05.</t>
        </is>
      </c>
      <c r="C155" s="130" t="n">
        <v>499</v>
      </c>
      <c r="D155" s="131" t="n">
        <v>78.40000000000001</v>
      </c>
      <c r="E155" s="132" t="n">
        <v>24</v>
      </c>
      <c r="F155" s="131" t="n">
        <v>59.8</v>
      </c>
      <c r="G155" s="17" t="n">
        <v>18</v>
      </c>
      <c r="H155" s="133" t="n">
        <v>48</v>
      </c>
      <c r="I155" s="134" t="n">
        <v>6200</v>
      </c>
      <c r="J155" s="134" t="inlineStr">
        <is>
          <t>9</t>
        </is>
      </c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복</t>
        </is>
      </c>
      <c r="T155" s="5" t="inlineStr">
        <is>
          <t>78A</t>
        </is>
      </c>
      <c r="U155" s="9" t="n"/>
    </row>
    <row r="156" ht="12" customFormat="1" customHeight="1" s="37">
      <c r="A156" s="75" t="inlineStr">
        <is>
          <t>소룡동 동아</t>
        </is>
      </c>
      <c r="B156" s="76" t="inlineStr">
        <is>
          <t>90.10.</t>
        </is>
      </c>
      <c r="C156" s="130" t="n">
        <v>702</v>
      </c>
      <c r="D156" s="131" t="n">
        <v>79.5</v>
      </c>
      <c r="E156" s="132" t="n">
        <v>24</v>
      </c>
      <c r="F156" s="131" t="n">
        <v>60.5</v>
      </c>
      <c r="G156" s="17" t="n">
        <v>18</v>
      </c>
      <c r="H156" s="133" t="n">
        <v>251</v>
      </c>
      <c r="I156" s="134" t="n">
        <v>6100</v>
      </c>
      <c r="J156" s="134" t="inlineStr">
        <is>
          <t>10</t>
        </is>
      </c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79A</t>
        </is>
      </c>
      <c r="U156" s="9" t="n"/>
    </row>
    <row r="157" ht="12" customFormat="1" customHeight="1" s="37">
      <c r="A157" s="75" t="inlineStr">
        <is>
          <t>나운동 영창</t>
        </is>
      </c>
      <c r="B157" s="76" t="inlineStr">
        <is>
          <t>95.06.</t>
        </is>
      </c>
      <c r="C157" s="130" t="n">
        <v>765</v>
      </c>
      <c r="D157" s="131" t="n">
        <v>56.5</v>
      </c>
      <c r="E157" s="132" t="n">
        <v>17</v>
      </c>
      <c r="F157" s="131" t="n">
        <v>39.3</v>
      </c>
      <c r="G157" s="17" t="n">
        <v>12</v>
      </c>
      <c r="H157" s="133" t="n">
        <v>60</v>
      </c>
      <c r="I157" s="134" t="n">
        <v>6000</v>
      </c>
      <c r="J157" s="134" t="inlineStr">
        <is>
          <t>6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복</t>
        </is>
      </c>
      <c r="T157" s="5" t="n">
        <v>56</v>
      </c>
      <c r="U157" s="9" t="n"/>
    </row>
    <row r="158" ht="12" customFormat="1" customHeight="1" s="37">
      <c r="A158" s="75" t="inlineStr">
        <is>
          <t>나운동 세경</t>
        </is>
      </c>
      <c r="B158" s="76" t="inlineStr">
        <is>
          <t>02.12.</t>
        </is>
      </c>
      <c r="C158" s="130" t="n">
        <v>1186</v>
      </c>
      <c r="D158" s="131" t="n">
        <v>51.7</v>
      </c>
      <c r="E158" s="132" t="n">
        <v>16</v>
      </c>
      <c r="F158" s="131" t="n">
        <v>40.3</v>
      </c>
      <c r="G158" s="17" t="n">
        <v>12</v>
      </c>
      <c r="H158" s="133" t="n">
        <v>230</v>
      </c>
      <c r="I158" s="134" t="n">
        <v>5500</v>
      </c>
      <c r="J158" s="134" t="inlineStr">
        <is>
          <t>10</t>
        </is>
      </c>
      <c r="K158" s="134" t="n">
        <v>5000</v>
      </c>
      <c r="L158" s="134" t="inlineStr">
        <is>
          <t>6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복</t>
        </is>
      </c>
      <c r="T158" s="5" t="n">
        <v>51</v>
      </c>
      <c r="U158" s="9" t="n"/>
    </row>
    <row r="159" ht="12" customFormat="1" customHeight="1" s="37">
      <c r="A159" s="75" t="inlineStr">
        <is>
          <t>소룡동 신도시</t>
        </is>
      </c>
      <c r="B159" s="76" t="inlineStr">
        <is>
          <t>01.12.</t>
        </is>
      </c>
      <c r="C159" s="130" t="n">
        <v>720</v>
      </c>
      <c r="D159" s="131" t="n">
        <v>63</v>
      </c>
      <c r="E159" s="132" t="n">
        <v>19</v>
      </c>
      <c r="F159" s="131" t="n">
        <v>45.4</v>
      </c>
      <c r="G159" s="17" t="n">
        <v>14</v>
      </c>
      <c r="H159" s="133" t="n">
        <v>416</v>
      </c>
      <c r="I159" s="134" t="n">
        <v>4600</v>
      </c>
      <c r="J159" s="134" t="inlineStr">
        <is>
          <t>11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2</v>
      </c>
      <c r="R159" s="121" t="n">
        <v>1</v>
      </c>
      <c r="S159" s="121" t="inlineStr">
        <is>
          <t>복</t>
        </is>
      </c>
      <c r="T159" s="5" t="inlineStr">
        <is>
          <t>62A</t>
        </is>
      </c>
      <c r="U159" s="9" t="n"/>
    </row>
    <row r="160" ht="12" customFormat="1" customHeight="1" s="37">
      <c r="A160" s="75" t="inlineStr">
        <is>
          <t>경암동 경암부향하나로</t>
        </is>
      </c>
      <c r="B160" s="76" t="inlineStr">
        <is>
          <t>98.09.</t>
        </is>
      </c>
      <c r="C160" s="130" t="n">
        <v>880</v>
      </c>
      <c r="D160" s="131" t="n">
        <v>55</v>
      </c>
      <c r="E160" s="132" t="n">
        <v>17</v>
      </c>
      <c r="F160" s="131" t="n">
        <v>40</v>
      </c>
      <c r="G160" s="17" t="n">
        <v>12</v>
      </c>
      <c r="H160" s="133" t="n">
        <v>163</v>
      </c>
      <c r="I160" s="134" t="n">
        <v>4300</v>
      </c>
      <c r="J160" s="134" t="inlineStr">
        <is>
          <t>12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1</v>
      </c>
      <c r="S160" s="121" t="inlineStr">
        <is>
          <t>계</t>
        </is>
      </c>
      <c r="T160" s="5" t="n">
        <v>54</v>
      </c>
      <c r="U160" s="9" t="n"/>
    </row>
    <row r="161" ht="12" customFormat="1" customHeight="1" s="37">
      <c r="A161" s="75" t="inlineStr">
        <is>
          <t>미룡동 미룡대명1차</t>
        </is>
      </c>
      <c r="B161" s="76" t="inlineStr">
        <is>
          <t>98.06.</t>
        </is>
      </c>
      <c r="C161" s="130" t="n">
        <v>498</v>
      </c>
      <c r="D161" s="131" t="n">
        <v>53.9</v>
      </c>
      <c r="E161" s="132" t="n">
        <v>16</v>
      </c>
      <c r="F161" s="131" t="n">
        <v>40</v>
      </c>
      <c r="G161" s="17" t="n">
        <v>12</v>
      </c>
      <c r="H161" s="133" t="n">
        <v>498</v>
      </c>
      <c r="I161" s="134" t="n">
        <v>4000</v>
      </c>
      <c r="J161" s="134" t="inlineStr">
        <is>
          <t>18</t>
        </is>
      </c>
      <c r="K161" s="134" t="n">
        <v>5000</v>
      </c>
      <c r="L161" s="134" t="inlineStr">
        <is>
          <t>11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n">
        <v>53</v>
      </c>
      <c r="U161" s="9" t="n"/>
    </row>
    <row r="162" ht="12" customFormat="1" customHeight="1" s="37">
      <c r="A162" s="75" t="inlineStr">
        <is>
          <t>소룡동 소룡진흥</t>
        </is>
      </c>
      <c r="B162" s="76" t="inlineStr">
        <is>
          <t>91.05.</t>
        </is>
      </c>
      <c r="C162" s="130" t="n">
        <v>499</v>
      </c>
      <c r="D162" s="131" t="n">
        <v>63.4</v>
      </c>
      <c r="E162" s="132" t="n">
        <v>19</v>
      </c>
      <c r="F162" s="131" t="n">
        <v>49.3</v>
      </c>
      <c r="G162" s="17" t="n">
        <v>15</v>
      </c>
      <c r="H162" s="133" t="n">
        <v>50</v>
      </c>
      <c r="I162" s="134" t="n">
        <v>3100</v>
      </c>
      <c r="J162" s="134" t="inlineStr">
        <is>
          <t>12</t>
        </is>
      </c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n">
        <v>63</v>
      </c>
      <c r="U162" s="9" t="n"/>
    </row>
    <row r="163" ht="12" customFormat="1" customHeight="1" s="37">
      <c r="A163" s="75" t="inlineStr">
        <is>
          <t>소룡동 스카이타운</t>
        </is>
      </c>
      <c r="B163" s="76" t="inlineStr">
        <is>
          <t>08.08.</t>
        </is>
      </c>
      <c r="C163" s="130" t="n">
        <v>398</v>
      </c>
      <c r="D163" s="131" t="n">
        <v>41.3</v>
      </c>
      <c r="E163" s="132" t="n">
        <v>12</v>
      </c>
      <c r="F163" s="131" t="n">
        <v>31.8</v>
      </c>
      <c r="G163" s="17" t="n">
        <v>10</v>
      </c>
      <c r="H163" s="133" t="n">
        <v>390</v>
      </c>
      <c r="I163" s="134" t="n">
        <v>3000</v>
      </c>
      <c r="J163" s="134" t="inlineStr">
        <is>
          <t>11</t>
        </is>
      </c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n">
        <v>41</v>
      </c>
      <c r="U163" s="9" t="n"/>
    </row>
    <row r="164" ht="12" customFormat="1" customHeight="1" s="37">
      <c r="A164" s="75" t="inlineStr">
        <is>
          <t>미룡동 산북부향하나로3차</t>
        </is>
      </c>
      <c r="B164" s="76" t="inlineStr">
        <is>
          <t>98.04.</t>
        </is>
      </c>
      <c r="C164" s="130" t="n">
        <v>346</v>
      </c>
      <c r="D164" s="131" t="n">
        <v>55.1</v>
      </c>
      <c r="E164" s="132" t="n">
        <v>17</v>
      </c>
      <c r="F164" s="131" t="n">
        <v>40</v>
      </c>
      <c r="G164" s="17" t="n">
        <v>12</v>
      </c>
      <c r="H164" s="133" t="n">
        <v>334</v>
      </c>
      <c r="I164" s="134" t="n">
        <v>2700</v>
      </c>
      <c r="J164" s="134" t="inlineStr">
        <is>
          <t>12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n">
        <v>55</v>
      </c>
      <c r="U164" s="9" t="n"/>
    </row>
    <row r="165" ht="12" customFormat="1" customHeight="1" s="37">
      <c r="A165" s="75" t="inlineStr">
        <is>
          <t>산북동 부향하나로1차</t>
        </is>
      </c>
      <c r="B165" s="76" t="inlineStr">
        <is>
          <t>97.03.</t>
        </is>
      </c>
      <c r="C165" s="130" t="n">
        <v>349</v>
      </c>
      <c r="D165" s="131" t="n">
        <v>51.5</v>
      </c>
      <c r="E165" s="132" t="n">
        <v>16</v>
      </c>
      <c r="F165" s="131" t="n">
        <v>39</v>
      </c>
      <c r="G165" s="17" t="n">
        <v>12</v>
      </c>
      <c r="H165" s="133" t="n">
        <v>295</v>
      </c>
      <c r="I165" s="134" t="n">
        <v>2100</v>
      </c>
      <c r="J165" s="134" t="inlineStr">
        <is>
          <t>7</t>
        </is>
      </c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2</v>
      </c>
      <c r="R165" s="121" t="n">
        <v>1</v>
      </c>
      <c r="S165" s="121" t="inlineStr">
        <is>
          <t>복</t>
        </is>
      </c>
      <c r="T165" s="5" t="n">
        <v>51</v>
      </c>
      <c r="U165" s="9" t="n"/>
    </row>
    <row r="166" ht="12" customFormat="1" customHeight="1" s="37">
      <c r="A166" s="75" t="inlineStr">
        <is>
          <t>산북동 산북부향하나로4차</t>
        </is>
      </c>
      <c r="B166" s="76" t="inlineStr">
        <is>
          <t>97.12.</t>
        </is>
      </c>
      <c r="C166" s="130" t="n">
        <v>404</v>
      </c>
      <c r="D166" s="131" t="n">
        <v>52.1</v>
      </c>
      <c r="E166" s="132" t="n">
        <v>16</v>
      </c>
      <c r="F166" s="131" t="n">
        <v>39.1</v>
      </c>
      <c r="G166" s="17" t="n">
        <v>12</v>
      </c>
      <c r="H166" s="133" t="n">
        <v>105</v>
      </c>
      <c r="I166" s="134" t="n">
        <v>2000</v>
      </c>
      <c r="J166" s="134" t="inlineStr">
        <is>
          <t>11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52</v>
      </c>
      <c r="U166" s="9" t="n"/>
    </row>
    <row r="167" ht="12" customFormat="1" customHeight="1" s="37">
      <c r="A167" s="75" t="inlineStr">
        <is>
          <t>경암동 새한</t>
        </is>
      </c>
      <c r="B167" s="76" t="inlineStr">
        <is>
          <t>95.06.</t>
        </is>
      </c>
      <c r="C167" s="130" t="n">
        <v>304</v>
      </c>
      <c r="D167" s="131" t="n">
        <v>76.8</v>
      </c>
      <c r="E167" s="132" t="n">
        <v>23</v>
      </c>
      <c r="F167" s="131" t="n">
        <v>59.3</v>
      </c>
      <c r="G167" s="17" t="n">
        <v>18</v>
      </c>
      <c r="H167" s="133" t="n">
        <v>138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복</t>
        </is>
      </c>
      <c r="T167" s="5" t="n">
        <v>76</v>
      </c>
      <c r="U167" s="9" t="n"/>
    </row>
    <row r="168" ht="12" customFormat="1" customHeight="1" s="37">
      <c r="A168" s="75" t="inlineStr">
        <is>
          <t>경암동 새한</t>
        </is>
      </c>
      <c r="B168" s="76" t="inlineStr">
        <is>
          <t>95.06.</t>
        </is>
      </c>
      <c r="C168" s="130" t="n">
        <v>304</v>
      </c>
      <c r="D168" s="131" t="n">
        <v>91.09999999999999</v>
      </c>
      <c r="E168" s="132" t="n">
        <v>28</v>
      </c>
      <c r="F168" s="131" t="n">
        <v>74.09999999999999</v>
      </c>
      <c r="G168" s="17" t="n">
        <v>22</v>
      </c>
      <c r="H168" s="133" t="n">
        <v>87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91</v>
      </c>
      <c r="U168" s="9" t="n"/>
    </row>
    <row r="169" ht="12" customFormat="1" customHeight="1" s="37">
      <c r="A169" s="75" t="inlineStr">
        <is>
          <t>구암동 세풍</t>
        </is>
      </c>
      <c r="B169" s="76" t="inlineStr">
        <is>
          <t>97.01.</t>
        </is>
      </c>
      <c r="C169" s="130" t="n">
        <v>437</v>
      </c>
      <c r="D169" s="131" t="n">
        <v>74.7</v>
      </c>
      <c r="E169" s="132" t="n">
        <v>23</v>
      </c>
      <c r="F169" s="131" t="n">
        <v>59.9</v>
      </c>
      <c r="G169" s="17" t="n">
        <v>18</v>
      </c>
      <c r="H169" s="133" t="n">
        <v>164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inlineStr">
        <is>
          <t>74B</t>
        </is>
      </c>
      <c r="U169" s="9" t="n"/>
    </row>
    <row r="170" ht="12" customFormat="1" customHeight="1" s="37">
      <c r="A170" s="75" t="inlineStr">
        <is>
          <t>금광동 삼성</t>
        </is>
      </c>
      <c r="B170" s="76" t="inlineStr">
        <is>
          <t>90.11.</t>
        </is>
      </c>
      <c r="C170" s="130" t="n">
        <v>424</v>
      </c>
      <c r="D170" s="131" t="n">
        <v>155.4</v>
      </c>
      <c r="E170" s="132" t="n">
        <v>47</v>
      </c>
      <c r="F170" s="131" t="n">
        <v>128.5</v>
      </c>
      <c r="G170" s="17" t="n">
        <v>39</v>
      </c>
      <c r="H170" s="133" t="n">
        <v>88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복</t>
        </is>
      </c>
      <c r="T170" s="5" t="n">
        <v>155</v>
      </c>
      <c r="U170" s="9" t="n"/>
    </row>
    <row r="171" ht="12" customFormat="1" customHeight="1" s="37">
      <c r="A171" s="75" t="inlineStr">
        <is>
          <t>나운동 나운금호어울림센트럴</t>
        </is>
      </c>
      <c r="B171" s="76" t="inlineStr">
        <is>
          <t>22.09.</t>
        </is>
      </c>
      <c r="C171" s="130" t="n">
        <v>993</v>
      </c>
      <c r="D171" s="131" t="n">
        <v>80.5</v>
      </c>
      <c r="E171" s="132" t="n">
        <v>24</v>
      </c>
      <c r="F171" s="131" t="n">
        <v>59.8</v>
      </c>
      <c r="G171" s="17" t="n">
        <v>18</v>
      </c>
      <c r="H171" s="133" t="n">
        <v>178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80A</t>
        </is>
      </c>
      <c r="U171" s="9" t="n"/>
    </row>
    <row r="172" ht="12" customFormat="1" customHeight="1" s="37">
      <c r="A172" s="75" t="inlineStr">
        <is>
          <t>나운동 나운금호어울림센트럴</t>
        </is>
      </c>
      <c r="B172" s="76" t="inlineStr">
        <is>
          <t>22.09.</t>
        </is>
      </c>
      <c r="C172" s="130" t="n">
        <v>993</v>
      </c>
      <c r="D172" s="131" t="n">
        <v>98.3</v>
      </c>
      <c r="E172" s="132" t="n">
        <v>30</v>
      </c>
      <c r="F172" s="131" t="n">
        <v>73.40000000000001</v>
      </c>
      <c r="G172" s="17" t="n">
        <v>22</v>
      </c>
      <c r="H172" s="133" t="n">
        <v>86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98</v>
      </c>
      <c r="U172" s="9" t="n"/>
    </row>
    <row r="173" ht="12" customFormat="1" customHeight="1" s="37">
      <c r="A173" s="75" t="inlineStr">
        <is>
          <t>나운동 나운금호어울림센트럴</t>
        </is>
      </c>
      <c r="B173" s="76" t="inlineStr">
        <is>
          <t>22.09.</t>
        </is>
      </c>
      <c r="C173" s="130" t="n">
        <v>993</v>
      </c>
      <c r="D173" s="131" t="n">
        <v>112.4</v>
      </c>
      <c r="E173" s="132" t="n">
        <v>34</v>
      </c>
      <c r="F173" s="131" t="n">
        <v>85</v>
      </c>
      <c r="G173" s="17" t="n">
        <v>26</v>
      </c>
      <c r="H173" s="133" t="n">
        <v>36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112A</t>
        </is>
      </c>
      <c r="U173" s="9" t="n"/>
    </row>
    <row r="174" ht="12" customFormat="1" customHeight="1" s="37">
      <c r="A174" s="75" t="inlineStr">
        <is>
          <t>나운동 금호타운2차</t>
        </is>
      </c>
      <c r="B174" s="76" t="inlineStr">
        <is>
          <t>94.09.</t>
        </is>
      </c>
      <c r="C174" s="130" t="n">
        <v>336</v>
      </c>
      <c r="D174" s="131" t="n">
        <v>148.8</v>
      </c>
      <c r="E174" s="132" t="n">
        <v>45</v>
      </c>
      <c r="F174" s="131" t="n">
        <v>126.6</v>
      </c>
      <c r="G174" s="17" t="n">
        <v>38</v>
      </c>
      <c r="H174" s="133" t="n">
        <v>96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148</v>
      </c>
      <c r="U174" s="9" t="n"/>
    </row>
    <row r="175" ht="12" customFormat="1" customHeight="1" s="37">
      <c r="A175" s="75" t="inlineStr">
        <is>
          <t>나운동 나운현대2차</t>
        </is>
      </c>
      <c r="B175" s="76" t="inlineStr">
        <is>
          <t>93.10.</t>
        </is>
      </c>
      <c r="C175" s="130" t="n">
        <v>899</v>
      </c>
      <c r="D175" s="131" t="n">
        <v>94.09999999999999</v>
      </c>
      <c r="E175" s="132" t="n">
        <v>28</v>
      </c>
      <c r="F175" s="131" t="n">
        <v>75.3</v>
      </c>
      <c r="G175" s="17" t="n">
        <v>23</v>
      </c>
      <c r="H175" s="133" t="n">
        <v>119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계</t>
        </is>
      </c>
      <c r="T175" s="5" t="n">
        <v>94</v>
      </c>
      <c r="U175" s="9" t="n"/>
    </row>
    <row r="176" ht="12" customFormat="1" customHeight="1" s="37">
      <c r="A176" s="75" t="inlineStr">
        <is>
          <t>나운동 현대1차</t>
        </is>
      </c>
      <c r="B176" s="76" t="inlineStr">
        <is>
          <t>90.04.</t>
        </is>
      </c>
      <c r="C176" s="130" t="n">
        <v>498</v>
      </c>
      <c r="D176" s="131" t="n">
        <v>149.3</v>
      </c>
      <c r="E176" s="132" t="n">
        <v>45</v>
      </c>
      <c r="F176" s="131" t="n">
        <v>126.2</v>
      </c>
      <c r="G176" s="17" t="n">
        <v>38</v>
      </c>
      <c r="H176" s="133" t="n">
        <v>56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149</v>
      </c>
      <c r="U176" s="9" t="n"/>
    </row>
    <row r="177" ht="12" customFormat="1" customHeight="1" s="37">
      <c r="A177" s="75" t="inlineStr">
        <is>
          <t>나운동 나운청솔</t>
        </is>
      </c>
      <c r="B177" s="76" t="inlineStr">
        <is>
          <t>02.12.</t>
        </is>
      </c>
      <c r="C177" s="130" t="n">
        <v>495</v>
      </c>
      <c r="D177" s="131" t="n">
        <v>63.7</v>
      </c>
      <c r="E177" s="132" t="n">
        <v>19</v>
      </c>
      <c r="F177" s="131" t="n">
        <v>49.7</v>
      </c>
      <c r="G177" s="17" t="n">
        <v>15</v>
      </c>
      <c r="H177" s="133" t="n">
        <v>495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2</v>
      </c>
      <c r="R177" s="121" t="n">
        <v>1</v>
      </c>
      <c r="S177" s="121" t="inlineStr">
        <is>
          <t>계</t>
        </is>
      </c>
      <c r="T177" s="5" t="n">
        <v>63</v>
      </c>
      <c r="U177" s="9" t="n"/>
    </row>
    <row r="178" ht="12" customFormat="1" customHeight="1" s="37">
      <c r="A178" s="75" t="inlineStr">
        <is>
          <t>나운동 롯데4차</t>
        </is>
      </c>
      <c r="B178" s="76" t="inlineStr">
        <is>
          <t>96.04.</t>
        </is>
      </c>
      <c r="C178" s="130" t="n">
        <v>210</v>
      </c>
      <c r="D178" s="131" t="n">
        <v>122.5</v>
      </c>
      <c r="E178" s="132" t="n">
        <v>37</v>
      </c>
      <c r="F178" s="131" t="n">
        <v>99.90000000000001</v>
      </c>
      <c r="G178" s="17" t="n">
        <v>30</v>
      </c>
      <c r="H178" s="133" t="n">
        <v>90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4</v>
      </c>
      <c r="R178" s="121" t="n">
        <v>2</v>
      </c>
      <c r="S178" s="121" t="inlineStr">
        <is>
          <t>계</t>
        </is>
      </c>
      <c r="T178" s="5" t="n">
        <v>122</v>
      </c>
      <c r="U178" s="9" t="n"/>
    </row>
    <row r="179" ht="12" customFormat="1" customHeight="1" s="37">
      <c r="A179" s="75" t="inlineStr">
        <is>
          <t>나운동 롯데4차</t>
        </is>
      </c>
      <c r="B179" s="76" t="inlineStr">
        <is>
          <t>96.04.</t>
        </is>
      </c>
      <c r="C179" s="130" t="n">
        <v>210</v>
      </c>
      <c r="D179" s="131" t="n">
        <v>160</v>
      </c>
      <c r="E179" s="132" t="n">
        <v>48</v>
      </c>
      <c r="F179" s="131" t="n">
        <v>134.9</v>
      </c>
      <c r="G179" s="17" t="n">
        <v>41</v>
      </c>
      <c r="H179" s="133" t="n">
        <v>90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4</v>
      </c>
      <c r="R179" s="121" t="n">
        <v>2</v>
      </c>
      <c r="S179" s="121" t="inlineStr">
        <is>
          <t>계</t>
        </is>
      </c>
      <c r="T179" s="5" t="n">
        <v>160</v>
      </c>
      <c r="U179" s="9" t="n"/>
    </row>
    <row r="180" ht="12" customFormat="1" customHeight="1" s="37">
      <c r="A180" s="75" t="inlineStr">
        <is>
          <t>나운동 롯데4차</t>
        </is>
      </c>
      <c r="B180" s="76" t="inlineStr">
        <is>
          <t>96.04.</t>
        </is>
      </c>
      <c r="C180" s="130" t="n">
        <v>210</v>
      </c>
      <c r="D180" s="131" t="n">
        <v>197.4</v>
      </c>
      <c r="E180" s="132" t="n">
        <v>60</v>
      </c>
      <c r="F180" s="131" t="n">
        <v>164.9</v>
      </c>
      <c r="G180" s="17" t="n">
        <v>50</v>
      </c>
      <c r="H180" s="133" t="n">
        <v>30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197</v>
      </c>
      <c r="U180" s="9" t="n"/>
    </row>
    <row r="181" ht="12" customFormat="1" customHeight="1" s="37">
      <c r="A181" s="75" t="inlineStr">
        <is>
          <t>나운동 롯데2차</t>
        </is>
      </c>
      <c r="B181" s="76" t="inlineStr">
        <is>
          <t>92.08.</t>
        </is>
      </c>
      <c r="C181" s="130" t="n">
        <v>460</v>
      </c>
      <c r="D181" s="131" t="n">
        <v>155.6</v>
      </c>
      <c r="E181" s="132" t="n">
        <v>47</v>
      </c>
      <c r="F181" s="131" t="n">
        <v>131.8</v>
      </c>
      <c r="G181" s="17" t="n">
        <v>40</v>
      </c>
      <c r="H181" s="133" t="n">
        <v>78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4</v>
      </c>
      <c r="R181" s="121" t="n">
        <v>2</v>
      </c>
      <c r="S181" s="121" t="inlineStr">
        <is>
          <t>계</t>
        </is>
      </c>
      <c r="T181" s="5" t="n">
        <v>155</v>
      </c>
      <c r="U181" s="9" t="n"/>
    </row>
    <row r="182" ht="12" customFormat="1" customHeight="1" s="37">
      <c r="A182" s="75" t="inlineStr">
        <is>
          <t>나운동 대우</t>
        </is>
      </c>
      <c r="B182" s="76" t="inlineStr">
        <is>
          <t>97.02.</t>
        </is>
      </c>
      <c r="C182" s="130" t="n">
        <v>260</v>
      </c>
      <c r="D182" s="131" t="n">
        <v>105.3</v>
      </c>
      <c r="E182" s="132" t="n">
        <v>32</v>
      </c>
      <c r="F182" s="131" t="n">
        <v>85</v>
      </c>
      <c r="G182" s="17" t="n">
        <v>26</v>
      </c>
      <c r="H182" s="133" t="n">
        <v>230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105</v>
      </c>
      <c r="U182" s="9" t="n"/>
    </row>
    <row r="183" ht="12" customFormat="1" customHeight="1" s="37">
      <c r="A183" s="75" t="inlineStr">
        <is>
          <t>나운동 대우</t>
        </is>
      </c>
      <c r="B183" s="76" t="inlineStr">
        <is>
          <t>97.02.</t>
        </is>
      </c>
      <c r="C183" s="130" t="n">
        <v>260</v>
      </c>
      <c r="D183" s="131" t="n">
        <v>225.8</v>
      </c>
      <c r="E183" s="132" t="n">
        <v>68</v>
      </c>
      <c r="F183" s="131" t="n">
        <v>187.1</v>
      </c>
      <c r="G183" s="17" t="n">
        <v>57</v>
      </c>
      <c r="H183" s="133" t="n">
        <v>30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5</v>
      </c>
      <c r="R183" s="121" t="n">
        <v>2</v>
      </c>
      <c r="S183" s="121" t="inlineStr">
        <is>
          <t>계</t>
        </is>
      </c>
      <c r="T183" s="5" t="n">
        <v>225</v>
      </c>
      <c r="U183" s="9" t="n"/>
    </row>
    <row r="184" ht="12" customFormat="1" customHeight="1" s="37">
      <c r="A184" s="75" t="inlineStr">
        <is>
          <t>나운동 롯데1차</t>
        </is>
      </c>
      <c r="B184" s="76" t="inlineStr">
        <is>
          <t>91.03.</t>
        </is>
      </c>
      <c r="C184" s="130" t="n">
        <v>420</v>
      </c>
      <c r="D184" s="131" t="n">
        <v>155.4</v>
      </c>
      <c r="E184" s="132" t="n">
        <v>47</v>
      </c>
      <c r="F184" s="131" t="n">
        <v>131.8</v>
      </c>
      <c r="G184" s="17" t="n">
        <v>40</v>
      </c>
      <c r="H184" s="133" t="n">
        <v>78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4</v>
      </c>
      <c r="R184" s="121" t="n">
        <v>2</v>
      </c>
      <c r="S184" s="121" t="inlineStr">
        <is>
          <t>계</t>
        </is>
      </c>
      <c r="T184" s="5" t="n">
        <v>155</v>
      </c>
      <c r="U184" s="9" t="n"/>
    </row>
    <row r="185" ht="12" customFormat="1" customHeight="1" s="37">
      <c r="A185" s="75" t="inlineStr">
        <is>
          <t>나운동 롯데1차</t>
        </is>
      </c>
      <c r="B185" s="76" t="inlineStr">
        <is>
          <t>91.03.</t>
        </is>
      </c>
      <c r="C185" s="130" t="n">
        <v>420</v>
      </c>
      <c r="D185" s="131" t="n">
        <v>191.8</v>
      </c>
      <c r="E185" s="132" t="n">
        <v>58</v>
      </c>
      <c r="F185" s="131" t="n">
        <v>162.9</v>
      </c>
      <c r="G185" s="17" t="n">
        <v>49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5</v>
      </c>
      <c r="R185" s="121" t="n">
        <v>2</v>
      </c>
      <c r="S185" s="121" t="inlineStr">
        <is>
          <t>계</t>
        </is>
      </c>
      <c r="T185" s="5" t="n">
        <v>191</v>
      </c>
      <c r="U185" s="9" t="n"/>
    </row>
    <row r="186" ht="12" customFormat="1" customHeight="1" s="37">
      <c r="A186" s="75" t="inlineStr">
        <is>
          <t>나운동 현대백조</t>
        </is>
      </c>
      <c r="B186" s="76" t="inlineStr">
        <is>
          <t>92.11.</t>
        </is>
      </c>
      <c r="C186" s="130" t="n">
        <v>498</v>
      </c>
      <c r="D186" s="131" t="n">
        <v>84.40000000000001</v>
      </c>
      <c r="E186" s="132" t="n">
        <v>26</v>
      </c>
      <c r="F186" s="131" t="n">
        <v>73.2</v>
      </c>
      <c r="G186" s="17" t="n">
        <v>22</v>
      </c>
      <c r="H186" s="133" t="n">
        <v>84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1</v>
      </c>
      <c r="S186" s="121" t="inlineStr">
        <is>
          <t>계</t>
        </is>
      </c>
      <c r="T186" s="5" t="n">
        <v>84</v>
      </c>
      <c r="U186" s="9" t="n"/>
    </row>
    <row r="187" ht="12" customFormat="1" customHeight="1" s="37">
      <c r="A187" s="75" t="inlineStr">
        <is>
          <t>나운동 동신진주</t>
        </is>
      </c>
      <c r="B187" s="76" t="inlineStr">
        <is>
          <t>93.12.</t>
        </is>
      </c>
      <c r="C187" s="130" t="n">
        <v>246</v>
      </c>
      <c r="D187" s="131" t="n">
        <v>74.40000000000001</v>
      </c>
      <c r="E187" s="132" t="n">
        <v>23</v>
      </c>
      <c r="F187" s="131" t="n">
        <v>59.1</v>
      </c>
      <c r="G187" s="17" t="n">
        <v>18</v>
      </c>
      <c r="H187" s="133" t="n">
        <v>168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1</v>
      </c>
      <c r="S187" s="121" t="inlineStr">
        <is>
          <t>계</t>
        </is>
      </c>
      <c r="T187" s="5" t="n">
        <v>74</v>
      </c>
      <c r="U187" s="9" t="n"/>
    </row>
    <row r="188" ht="12" customFormat="1" customHeight="1" s="37">
      <c r="A188" s="75" t="inlineStr">
        <is>
          <t>나운동 동신진주</t>
        </is>
      </c>
      <c r="B188" s="76" t="inlineStr">
        <is>
          <t>93.12.</t>
        </is>
      </c>
      <c r="C188" s="130" t="n">
        <v>246</v>
      </c>
      <c r="D188" s="131" t="n">
        <v>103.7</v>
      </c>
      <c r="E188" s="132" t="n">
        <v>31</v>
      </c>
      <c r="F188" s="131" t="n">
        <v>84.7</v>
      </c>
      <c r="G188" s="17" t="n">
        <v>26</v>
      </c>
      <c r="H188" s="133" t="n">
        <v>48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103</v>
      </c>
      <c r="U188" s="9" t="n"/>
    </row>
    <row r="189" ht="12" customFormat="1" customHeight="1" s="37">
      <c r="A189" s="75" t="inlineStr">
        <is>
          <t>나운동 수송금호어울림</t>
        </is>
      </c>
      <c r="B189" s="76" t="inlineStr">
        <is>
          <t>08.08.</t>
        </is>
      </c>
      <c r="C189" s="130" t="n">
        <v>773</v>
      </c>
      <c r="D189" s="131" t="n">
        <v>110.6</v>
      </c>
      <c r="E189" s="132" t="n">
        <v>33</v>
      </c>
      <c r="F189" s="131" t="n">
        <v>84.90000000000001</v>
      </c>
      <c r="G189" s="17" t="n">
        <v>26</v>
      </c>
      <c r="H189" s="133" t="n">
        <v>336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110A</t>
        </is>
      </c>
      <c r="U189" s="9" t="n"/>
    </row>
    <row r="190" ht="12" customFormat="1" customHeight="1" s="37">
      <c r="A190" s="75" t="inlineStr">
        <is>
          <t>나운동 비사벌</t>
        </is>
      </c>
      <c r="B190" s="76" t="inlineStr">
        <is>
          <t>97.02.</t>
        </is>
      </c>
      <c r="C190" s="130" t="n">
        <v>268</v>
      </c>
      <c r="D190" s="131" t="n">
        <v>78.2</v>
      </c>
      <c r="E190" s="132" t="n">
        <v>24</v>
      </c>
      <c r="F190" s="131" t="n">
        <v>59.9</v>
      </c>
      <c r="G190" s="17" t="n">
        <v>18</v>
      </c>
      <c r="H190" s="133" t="n">
        <v>268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2</v>
      </c>
      <c r="R190" s="121" t="n">
        <v>1</v>
      </c>
      <c r="S190" s="121" t="inlineStr">
        <is>
          <t>계</t>
        </is>
      </c>
      <c r="T190" s="5" t="n">
        <v>78</v>
      </c>
      <c r="U190" s="9" t="n"/>
    </row>
    <row r="191" ht="12" customFormat="1" customHeight="1" s="37">
      <c r="A191" s="75" t="inlineStr">
        <is>
          <t>나운동 현대4차</t>
        </is>
      </c>
      <c r="B191" s="76" t="inlineStr">
        <is>
          <t>98.09.</t>
        </is>
      </c>
      <c r="C191" s="130" t="n">
        <v>636</v>
      </c>
      <c r="D191" s="131" t="n">
        <v>147.3</v>
      </c>
      <c r="E191" s="132" t="n">
        <v>45</v>
      </c>
      <c r="F191" s="131" t="n">
        <v>118.2</v>
      </c>
      <c r="G191" s="17" t="n">
        <v>36</v>
      </c>
      <c r="H191" s="133" t="n">
        <v>40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4</v>
      </c>
      <c r="R191" s="121" t="n">
        <v>2</v>
      </c>
      <c r="S191" s="121" t="inlineStr">
        <is>
          <t>계</t>
        </is>
      </c>
      <c r="T191" s="5" t="n">
        <v>147</v>
      </c>
      <c r="U191" s="9" t="n"/>
    </row>
    <row r="192" ht="12" customFormat="1" customHeight="1" s="37">
      <c r="A192" s="75" t="inlineStr">
        <is>
          <t>나운동 롯데3차</t>
        </is>
      </c>
      <c r="B192" s="76" t="inlineStr">
        <is>
          <t>94.06.</t>
        </is>
      </c>
      <c r="C192" s="130" t="n">
        <v>572</v>
      </c>
      <c r="D192" s="131" t="n">
        <v>90.59999999999999</v>
      </c>
      <c r="E192" s="132" t="n">
        <v>27</v>
      </c>
      <c r="F192" s="131" t="n">
        <v>74</v>
      </c>
      <c r="G192" s="17" t="n">
        <v>22</v>
      </c>
      <c r="H192" s="133" t="n">
        <v>234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1</v>
      </c>
      <c r="S192" s="121" t="inlineStr">
        <is>
          <t>계</t>
        </is>
      </c>
      <c r="T192" s="5" t="n">
        <v>90</v>
      </c>
      <c r="U192" s="9" t="n"/>
    </row>
    <row r="193" ht="12" customFormat="1" customHeight="1" s="37">
      <c r="A193" s="75" t="inlineStr">
        <is>
          <t>나운동 우진</t>
        </is>
      </c>
      <c r="B193" s="76" t="inlineStr">
        <is>
          <t>79.01.</t>
        </is>
      </c>
      <c r="C193" s="130" t="n">
        <v>390</v>
      </c>
      <c r="D193" s="131" t="n">
        <v>61.2</v>
      </c>
      <c r="E193" s="132" t="n">
        <v>19</v>
      </c>
      <c r="F193" s="131" t="n">
        <v>55.4</v>
      </c>
      <c r="G193" s="17" t="n">
        <v>17</v>
      </c>
      <c r="H193" s="133" t="n">
        <v>170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61</v>
      </c>
      <c r="U193" s="9" t="n"/>
    </row>
    <row r="194" ht="12" customFormat="1" customHeight="1" s="37">
      <c r="A194" s="75" t="inlineStr">
        <is>
          <t>나운동 우진</t>
        </is>
      </c>
      <c r="B194" s="76" t="inlineStr">
        <is>
          <t>79.01.</t>
        </is>
      </c>
      <c r="C194" s="130" t="n">
        <v>390</v>
      </c>
      <c r="D194" s="131" t="n">
        <v>72.7</v>
      </c>
      <c r="E194" s="132" t="n">
        <v>22</v>
      </c>
      <c r="F194" s="131" t="n">
        <v>65.8</v>
      </c>
      <c r="G194" s="17" t="n">
        <v>20</v>
      </c>
      <c r="H194" s="133" t="n">
        <v>120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72</v>
      </c>
      <c r="U194" s="9" t="n"/>
    </row>
    <row r="195" ht="12" customFormat="1" customHeight="1" s="37">
      <c r="A195" s="75" t="inlineStr">
        <is>
          <t>대명동 현대메트로타워2차</t>
        </is>
      </c>
      <c r="B195" s="76" t="inlineStr">
        <is>
          <t>16.04.</t>
        </is>
      </c>
      <c r="C195" s="130" t="n">
        <v>942</v>
      </c>
      <c r="D195" s="131" t="n">
        <v>115.3</v>
      </c>
      <c r="E195" s="132" t="n">
        <v>35</v>
      </c>
      <c r="F195" s="131" t="n">
        <v>84.90000000000001</v>
      </c>
      <c r="G195" s="17" t="n">
        <v>26</v>
      </c>
      <c r="H195" s="133" t="n">
        <v>318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115C</t>
        </is>
      </c>
      <c r="U195" s="9" t="n"/>
    </row>
    <row r="196" ht="12" customFormat="1" customHeight="1" s="37">
      <c r="A196" s="75" t="inlineStr">
        <is>
          <t>대명동 현대메트로타워</t>
        </is>
      </c>
      <c r="B196" s="76" t="inlineStr">
        <is>
          <t>11.10.</t>
        </is>
      </c>
      <c r="C196" s="130" t="n">
        <v>614</v>
      </c>
      <c r="D196" s="131" t="n">
        <v>108.7</v>
      </c>
      <c r="E196" s="132" t="n">
        <v>33</v>
      </c>
      <c r="F196" s="131" t="n">
        <v>76.3</v>
      </c>
      <c r="G196" s="17" t="n">
        <v>23</v>
      </c>
      <c r="H196" s="133" t="n">
        <v>248</v>
      </c>
      <c r="I196" s="134" t="n"/>
      <c r="J196" s="134" t="n"/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n">
        <v>108</v>
      </c>
      <c r="U196" s="9" t="n"/>
    </row>
    <row r="197" ht="12" customFormat="1" customHeight="1" s="37">
      <c r="A197" s="75" t="inlineStr">
        <is>
          <t>대명동 현대메트로타워</t>
        </is>
      </c>
      <c r="B197" s="76" t="inlineStr">
        <is>
          <t>11.10.</t>
        </is>
      </c>
      <c r="C197" s="130" t="n">
        <v>614</v>
      </c>
      <c r="D197" s="131" t="n">
        <v>120.5</v>
      </c>
      <c r="E197" s="132" t="n">
        <v>36</v>
      </c>
      <c r="F197" s="131" t="n">
        <v>84.90000000000001</v>
      </c>
      <c r="G197" s="17" t="n">
        <v>26</v>
      </c>
      <c r="H197" s="133" t="n">
        <v>244</v>
      </c>
      <c r="I197" s="134" t="n"/>
      <c r="J197" s="134" t="n"/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n">
        <v>120</v>
      </c>
      <c r="U197" s="9" t="n"/>
    </row>
    <row r="198" ht="12" customFormat="1" customHeight="1" s="37">
      <c r="A198" s="75" t="inlineStr">
        <is>
          <t>미룡동 금광베네스타</t>
        </is>
      </c>
      <c r="B198" s="76" t="inlineStr">
        <is>
          <t>08.12.</t>
        </is>
      </c>
      <c r="C198" s="130" t="n">
        <v>950</v>
      </c>
      <c r="D198" s="131" t="n">
        <v>110.3</v>
      </c>
      <c r="E198" s="132" t="n">
        <v>33</v>
      </c>
      <c r="F198" s="131" t="n">
        <v>84.7</v>
      </c>
      <c r="G198" s="17" t="n">
        <v>26</v>
      </c>
      <c r="H198" s="133" t="n">
        <v>120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복</t>
        </is>
      </c>
      <c r="T198" s="5" t="inlineStr">
        <is>
          <t>110A</t>
        </is>
      </c>
      <c r="U198" s="9" t="n"/>
    </row>
    <row r="199" ht="12" customFormat="1" customHeight="1" s="37">
      <c r="A199" s="75" t="inlineStr">
        <is>
          <t>미룡동 은파롯데캐슬</t>
        </is>
      </c>
      <c r="B199" s="76" t="inlineStr">
        <is>
          <t>07.09.</t>
        </is>
      </c>
      <c r="C199" s="130" t="n">
        <v>307</v>
      </c>
      <c r="D199" s="131" t="n">
        <v>109.8</v>
      </c>
      <c r="E199" s="132" t="n">
        <v>33</v>
      </c>
      <c r="F199" s="131" t="n">
        <v>85</v>
      </c>
      <c r="G199" s="17" t="n">
        <v>26</v>
      </c>
      <c r="H199" s="133" t="n">
        <v>50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복</t>
        </is>
      </c>
      <c r="T199" s="5" t="n">
        <v>109</v>
      </c>
      <c r="U199" s="9" t="n"/>
    </row>
    <row r="200" ht="12" customFormat="1" customHeight="1" s="37">
      <c r="A200" s="75" t="inlineStr">
        <is>
          <t>미룡동 은파리젠시빌파크</t>
        </is>
      </c>
      <c r="B200" s="76" t="inlineStr">
        <is>
          <t>07.02.</t>
        </is>
      </c>
      <c r="C200" s="130" t="n">
        <v>317</v>
      </c>
      <c r="D200" s="131" t="n">
        <v>115.9</v>
      </c>
      <c r="E200" s="132" t="n">
        <v>35</v>
      </c>
      <c r="F200" s="131" t="n">
        <v>84.90000000000001</v>
      </c>
      <c r="G200" s="17" t="n">
        <v>26</v>
      </c>
      <c r="H200" s="133" t="n">
        <v>233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n">
        <v>115</v>
      </c>
      <c r="U200" s="9" t="n"/>
    </row>
    <row r="201" ht="12" customFormat="1" customHeight="1" s="37">
      <c r="A201" s="75" t="inlineStr">
        <is>
          <t>미룡동 미룡대명2차</t>
        </is>
      </c>
      <c r="B201" s="76" t="inlineStr">
        <is>
          <t>02.05.</t>
        </is>
      </c>
      <c r="C201" s="130" t="n">
        <v>276</v>
      </c>
      <c r="D201" s="131" t="n">
        <v>69.3</v>
      </c>
      <c r="E201" s="132" t="n">
        <v>21</v>
      </c>
      <c r="F201" s="131" t="n">
        <v>49.1</v>
      </c>
      <c r="G201" s="17" t="n">
        <v>15</v>
      </c>
      <c r="H201" s="133" t="n">
        <v>198</v>
      </c>
      <c r="I201" s="134" t="n"/>
      <c r="J201" s="134" t="n"/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2</v>
      </c>
      <c r="R201" s="121" t="n">
        <v>1</v>
      </c>
      <c r="S201" s="121" t="inlineStr">
        <is>
          <t>계</t>
        </is>
      </c>
      <c r="T201" s="5" t="inlineStr">
        <is>
          <t>69A</t>
        </is>
      </c>
      <c r="U201" s="9" t="n"/>
    </row>
    <row r="202" ht="12" customFormat="1" customHeight="1" s="37">
      <c r="A202" s="75" t="inlineStr">
        <is>
          <t>미장동 파인빌2차</t>
        </is>
      </c>
      <c r="B202" s="76" t="inlineStr">
        <is>
          <t>06.06.</t>
        </is>
      </c>
      <c r="C202" s="130" t="n">
        <v>351</v>
      </c>
      <c r="D202" s="131" t="n">
        <v>80.59999999999999</v>
      </c>
      <c r="E202" s="132" t="n">
        <v>24</v>
      </c>
      <c r="F202" s="131" t="n">
        <v>59.9</v>
      </c>
      <c r="G202" s="17" t="n">
        <v>18</v>
      </c>
      <c r="H202" s="133" t="n">
        <v>149</v>
      </c>
      <c r="I202" s="134" t="n"/>
      <c r="J202" s="134" t="n"/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80</v>
      </c>
      <c r="U202" s="9" t="n"/>
    </row>
    <row r="203" ht="12" customFormat="1" customHeight="1" s="37">
      <c r="A203" s="75" t="inlineStr">
        <is>
          <t>미장동 파인빌1차</t>
        </is>
      </c>
      <c r="B203" s="76" t="inlineStr">
        <is>
          <t>04.11.</t>
        </is>
      </c>
      <c r="C203" s="130" t="n">
        <v>499</v>
      </c>
      <c r="D203" s="131" t="n">
        <v>110.9</v>
      </c>
      <c r="E203" s="132" t="n">
        <v>34</v>
      </c>
      <c r="F203" s="131" t="n">
        <v>85</v>
      </c>
      <c r="G203" s="17" t="n">
        <v>26</v>
      </c>
      <c r="H203" s="133" t="n">
        <v>360</v>
      </c>
      <c r="I203" s="134" t="n"/>
      <c r="J203" s="134" t="n"/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110</v>
      </c>
      <c r="U203" s="9" t="n"/>
    </row>
    <row r="204" ht="12" customFormat="1" customHeight="1" s="37">
      <c r="A204" s="75" t="inlineStr">
        <is>
          <t>사정동 금호타운1단지</t>
        </is>
      </c>
      <c r="B204" s="76" t="inlineStr">
        <is>
          <t>93.02.</t>
        </is>
      </c>
      <c r="C204" s="130" t="n">
        <v>342</v>
      </c>
      <c r="D204" s="131" t="n">
        <v>89.40000000000001</v>
      </c>
      <c r="E204" s="132" t="n">
        <v>27</v>
      </c>
      <c r="F204" s="131" t="n">
        <v>73.09999999999999</v>
      </c>
      <c r="G204" s="17" t="n">
        <v>22</v>
      </c>
      <c r="H204" s="133" t="n">
        <v>138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n">
        <v>89</v>
      </c>
      <c r="U204" s="9" t="n"/>
    </row>
    <row r="205" ht="12" customFormat="1" customHeight="1" s="37">
      <c r="A205" s="75" t="inlineStr">
        <is>
          <t>산북동 시영1단지</t>
        </is>
      </c>
      <c r="B205" s="76" t="inlineStr">
        <is>
          <t>90.12.</t>
        </is>
      </c>
      <c r="C205" s="130" t="n">
        <v>280</v>
      </c>
      <c r="D205" s="131" t="n">
        <v>44.1</v>
      </c>
      <c r="E205" s="132" t="n">
        <v>13</v>
      </c>
      <c r="F205" s="131" t="n">
        <v>34.7</v>
      </c>
      <c r="G205" s="17" t="n">
        <v>10</v>
      </c>
      <c r="H205" s="133" t="n">
        <v>40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inlineStr">
        <is>
          <t>44B</t>
        </is>
      </c>
      <c r="U205" s="9" t="n"/>
    </row>
    <row r="206" ht="12" customFormat="1" customHeight="1" s="37">
      <c r="A206" s="75" t="inlineStr">
        <is>
          <t>산북동 시영1단지</t>
        </is>
      </c>
      <c r="B206" s="76" t="inlineStr">
        <is>
          <t>90.12.</t>
        </is>
      </c>
      <c r="C206" s="130" t="n">
        <v>280</v>
      </c>
      <c r="D206" s="131" t="n">
        <v>53.4</v>
      </c>
      <c r="E206" s="132" t="n">
        <v>16</v>
      </c>
      <c r="F206" s="131" t="n">
        <v>43.5</v>
      </c>
      <c r="G206" s="17" t="n">
        <v>13</v>
      </c>
      <c r="H206" s="133" t="n">
        <v>150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inlineStr">
        <is>
          <t>53A</t>
        </is>
      </c>
      <c r="U206" s="9" t="n"/>
    </row>
    <row r="207" ht="12" customFormat="1" customHeight="1" s="37">
      <c r="A207" s="75" t="inlineStr">
        <is>
          <t>산북동 산북대명1차</t>
        </is>
      </c>
      <c r="B207" s="76" t="inlineStr">
        <is>
          <t>97.09.</t>
        </is>
      </c>
      <c r="C207" s="130" t="n">
        <v>225</v>
      </c>
      <c r="D207" s="131" t="n">
        <v>56.1</v>
      </c>
      <c r="E207" s="132" t="n">
        <v>17</v>
      </c>
      <c r="F207" s="131" t="n">
        <v>40</v>
      </c>
      <c r="G207" s="17" t="n">
        <v>12</v>
      </c>
      <c r="H207" s="133" t="n">
        <v>225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2</v>
      </c>
      <c r="R207" s="121" t="n">
        <v>1</v>
      </c>
      <c r="S207" s="121" t="inlineStr">
        <is>
          <t>복</t>
        </is>
      </c>
      <c r="T207" s="5" t="n">
        <v>56</v>
      </c>
      <c r="U207" s="9" t="n"/>
    </row>
    <row r="208" ht="12" customFormat="1" customHeight="1" s="37">
      <c r="A208" s="75" t="inlineStr">
        <is>
          <t>산북동 시영2단지</t>
        </is>
      </c>
      <c r="B208" s="76" t="inlineStr">
        <is>
          <t>91.11.</t>
        </is>
      </c>
      <c r="C208" s="130" t="n">
        <v>200</v>
      </c>
      <c r="D208" s="131" t="n">
        <v>44.5</v>
      </c>
      <c r="E208" s="132" t="n">
        <v>13</v>
      </c>
      <c r="F208" s="131" t="n">
        <v>35.4</v>
      </c>
      <c r="G208" s="17" t="n">
        <v>11</v>
      </c>
      <c r="H208" s="133" t="n">
        <v>100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2</v>
      </c>
      <c r="R208" s="121" t="n">
        <v>1</v>
      </c>
      <c r="S208" s="121" t="inlineStr">
        <is>
          <t>계</t>
        </is>
      </c>
      <c r="T208" s="5" t="n">
        <v>44</v>
      </c>
      <c r="U208" s="9" t="n"/>
    </row>
    <row r="209" ht="12" customFormat="1" customHeight="1" s="37">
      <c r="A209" s="75" t="inlineStr">
        <is>
          <t>산북동 시영2단지</t>
        </is>
      </c>
      <c r="B209" s="76" t="inlineStr">
        <is>
          <t>91.11.</t>
        </is>
      </c>
      <c r="C209" s="130" t="n">
        <v>200</v>
      </c>
      <c r="D209" s="131" t="n">
        <v>59.9</v>
      </c>
      <c r="E209" s="132" t="n">
        <v>18</v>
      </c>
      <c r="F209" s="131" t="n">
        <v>48.5</v>
      </c>
      <c r="G209" s="17" t="n">
        <v>15</v>
      </c>
      <c r="H209" s="133" t="n">
        <v>100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1</v>
      </c>
      <c r="S209" s="121" t="inlineStr">
        <is>
          <t>계</t>
        </is>
      </c>
      <c r="T209" s="5" t="n">
        <v>59</v>
      </c>
      <c r="U209" s="9" t="n"/>
    </row>
    <row r="210" ht="12" customFormat="1" customHeight="1" s="37">
      <c r="A210" s="75" t="inlineStr">
        <is>
          <t>산북동 코오롱</t>
        </is>
      </c>
      <c r="B210" s="76" t="inlineStr">
        <is>
          <t>94.11.</t>
        </is>
      </c>
      <c r="C210" s="130" t="n">
        <v>380</v>
      </c>
      <c r="D210" s="131" t="n">
        <v>102.9</v>
      </c>
      <c r="E210" s="132" t="n">
        <v>31</v>
      </c>
      <c r="F210" s="131" t="n">
        <v>84.5</v>
      </c>
      <c r="G210" s="17" t="n">
        <v>26</v>
      </c>
      <c r="H210" s="133" t="n">
        <v>126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n">
        <v>102</v>
      </c>
      <c r="U210" s="9" t="n"/>
    </row>
    <row r="211" ht="12" customFormat="1" customHeight="1" s="37">
      <c r="A211" s="75" t="inlineStr">
        <is>
          <t>산북동 산북하늘가201동</t>
        </is>
      </c>
      <c r="B211" s="76" t="inlineStr">
        <is>
          <t>07.02.</t>
        </is>
      </c>
      <c r="C211" s="130" t="n">
        <v>220</v>
      </c>
      <c r="D211" s="131" t="n">
        <v>49</v>
      </c>
      <c r="E211" s="132" t="n">
        <v>15</v>
      </c>
      <c r="F211" s="131" t="n">
        <v>35.9</v>
      </c>
      <c r="G211" s="17" t="n">
        <v>11</v>
      </c>
      <c r="H211" s="133" t="n">
        <v>220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1</v>
      </c>
      <c r="R211" s="121" t="n">
        <v>1</v>
      </c>
      <c r="S211" s="121" t="inlineStr">
        <is>
          <t>계</t>
        </is>
      </c>
      <c r="T211" s="5" t="n">
        <v>48</v>
      </c>
      <c r="U211" s="9" t="n"/>
    </row>
    <row r="212" ht="12" customFormat="1" customHeight="1" s="37">
      <c r="A212" s="75" t="inlineStr">
        <is>
          <t>산북동 하늘가1차</t>
        </is>
      </c>
      <c r="B212" s="76" t="inlineStr">
        <is>
          <t>01.08.</t>
        </is>
      </c>
      <c r="C212" s="130" t="n">
        <v>221</v>
      </c>
      <c r="D212" s="131" t="n">
        <v>52</v>
      </c>
      <c r="E212" s="132" t="n">
        <v>16</v>
      </c>
      <c r="F212" s="131" t="n">
        <v>40</v>
      </c>
      <c r="G212" s="17" t="n">
        <v>12</v>
      </c>
      <c r="H212" s="133" t="n">
        <v>221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2</v>
      </c>
      <c r="R212" s="121" t="n">
        <v>1</v>
      </c>
      <c r="S212" s="121" t="inlineStr">
        <is>
          <t>복</t>
        </is>
      </c>
      <c r="T212" s="5" t="n">
        <v>52</v>
      </c>
      <c r="U212" s="9" t="n"/>
    </row>
    <row r="213" ht="12" customFormat="1" customHeight="1" s="37">
      <c r="A213" s="75" t="inlineStr">
        <is>
          <t>산북동 부향하나로1차</t>
        </is>
      </c>
      <c r="B213" s="76" t="inlineStr">
        <is>
          <t>97.03.</t>
        </is>
      </c>
      <c r="C213" s="130" t="n">
        <v>349</v>
      </c>
      <c r="D213" s="131" t="n">
        <v>35.6</v>
      </c>
      <c r="E213" s="132" t="n">
        <v>11</v>
      </c>
      <c r="F213" s="131" t="n">
        <v>27</v>
      </c>
      <c r="G213" s="17" t="n">
        <v>8</v>
      </c>
      <c r="H213" s="133" t="n">
        <v>54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1</v>
      </c>
      <c r="R213" s="121" t="n">
        <v>1</v>
      </c>
      <c r="S213" s="121" t="inlineStr">
        <is>
          <t>복</t>
        </is>
      </c>
      <c r="T213" s="5" t="n">
        <v>35</v>
      </c>
      <c r="U213" s="9" t="n"/>
    </row>
    <row r="214" ht="12" customFormat="1" customHeight="1" s="37">
      <c r="A214" s="75" t="inlineStr">
        <is>
          <t>서흥남동 고려타운</t>
        </is>
      </c>
      <c r="B214" s="76" t="inlineStr">
        <is>
          <t>92.05.</t>
        </is>
      </c>
      <c r="C214" s="130" t="n">
        <v>226</v>
      </c>
      <c r="D214" s="131" t="n">
        <v>77.5</v>
      </c>
      <c r="E214" s="132" t="n">
        <v>23</v>
      </c>
      <c r="F214" s="131" t="n">
        <v>59.7</v>
      </c>
      <c r="G214" s="17" t="n">
        <v>18</v>
      </c>
      <c r="H214" s="133" t="n">
        <v>60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77B</t>
        </is>
      </c>
      <c r="U214" s="9" t="n"/>
    </row>
    <row r="215" ht="12" customFormat="1" customHeight="1" s="37">
      <c r="A215" s="75" t="inlineStr">
        <is>
          <t>소룡동 금강골드빌</t>
        </is>
      </c>
      <c r="B215" s="76" t="inlineStr">
        <is>
          <t>03.02.</t>
        </is>
      </c>
      <c r="C215" s="130" t="n">
        <v>294</v>
      </c>
      <c r="D215" s="131" t="n">
        <v>113.6</v>
      </c>
      <c r="E215" s="132" t="n">
        <v>34</v>
      </c>
      <c r="F215" s="131" t="n">
        <v>84.7</v>
      </c>
      <c r="G215" s="17" t="n">
        <v>26</v>
      </c>
      <c r="H215" s="133" t="n">
        <v>294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n">
        <v>113</v>
      </c>
      <c r="U215" s="9" t="n"/>
    </row>
    <row r="216" ht="12" customFormat="1" customHeight="1" s="37">
      <c r="A216" s="75" t="inlineStr">
        <is>
          <t>소룡동 그린서해맨션</t>
        </is>
      </c>
      <c r="B216" s="76" t="inlineStr">
        <is>
          <t>93.12.</t>
        </is>
      </c>
      <c r="C216" s="130" t="n">
        <v>350</v>
      </c>
      <c r="D216" s="131" t="n">
        <v>77.8</v>
      </c>
      <c r="E216" s="132" t="n">
        <v>24</v>
      </c>
      <c r="F216" s="131" t="n">
        <v>59.4</v>
      </c>
      <c r="G216" s="17" t="n">
        <v>18</v>
      </c>
      <c r="H216" s="133" t="n">
        <v>174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복</t>
        </is>
      </c>
      <c r="T216" s="5" t="inlineStr">
        <is>
          <t>77A</t>
        </is>
      </c>
      <c r="U216" s="9" t="n"/>
    </row>
    <row r="217" ht="12" customFormat="1" customHeight="1" s="37">
      <c r="A217" s="75" t="inlineStr">
        <is>
          <t>소룡동 동아</t>
        </is>
      </c>
      <c r="B217" s="76" t="inlineStr">
        <is>
          <t>90.10.</t>
        </is>
      </c>
      <c r="C217" s="130" t="n">
        <v>702</v>
      </c>
      <c r="D217" s="131" t="n">
        <v>93.59999999999999</v>
      </c>
      <c r="E217" s="132" t="n">
        <v>28</v>
      </c>
      <c r="F217" s="131" t="n">
        <v>75.59999999999999</v>
      </c>
      <c r="G217" s="17" t="n">
        <v>23</v>
      </c>
      <c r="H217" s="133" t="n">
        <v>240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93</v>
      </c>
      <c r="U217" s="9" t="n"/>
    </row>
    <row r="218" ht="12" customFormat="1" customHeight="1" s="37">
      <c r="A218" s="75" t="inlineStr">
        <is>
          <t>소룡동 소룡진흥</t>
        </is>
      </c>
      <c r="B218" s="76" t="inlineStr">
        <is>
          <t>91.05.</t>
        </is>
      </c>
      <c r="C218" s="130" t="n">
        <v>499</v>
      </c>
      <c r="D218" s="131" t="n">
        <v>57.5</v>
      </c>
      <c r="E218" s="132" t="n">
        <v>17</v>
      </c>
      <c r="F218" s="131" t="n">
        <v>43.7</v>
      </c>
      <c r="G218" s="17" t="n">
        <v>13</v>
      </c>
      <c r="H218" s="133" t="n">
        <v>123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n">
        <v>57</v>
      </c>
      <c r="U218" s="9" t="n"/>
    </row>
    <row r="219" ht="12" customFormat="1" customHeight="1" s="37">
      <c r="A219" s="75" t="inlineStr">
        <is>
          <t>소룡동 소룡진흥</t>
        </is>
      </c>
      <c r="B219" s="76" t="inlineStr">
        <is>
          <t>91.05.</t>
        </is>
      </c>
      <c r="C219" s="130" t="n">
        <v>499</v>
      </c>
      <c r="D219" s="131" t="n">
        <v>102.8</v>
      </c>
      <c r="E219" s="132" t="n">
        <v>31</v>
      </c>
      <c r="F219" s="131" t="n">
        <v>85</v>
      </c>
      <c r="G219" s="17" t="n">
        <v>26</v>
      </c>
      <c r="H219" s="133" t="n">
        <v>100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102</v>
      </c>
      <c r="U219" s="9" t="n"/>
    </row>
    <row r="220" ht="12" customFormat="1" customHeight="1" s="37">
      <c r="A220" s="75" t="inlineStr">
        <is>
          <t>소룡동 소룡제이파크</t>
        </is>
      </c>
      <c r="B220" s="76" t="inlineStr">
        <is>
          <t>06.06.</t>
        </is>
      </c>
      <c r="C220" s="130" t="n">
        <v>972</v>
      </c>
      <c r="D220" s="131" t="n">
        <v>106.3</v>
      </c>
      <c r="E220" s="132" t="n">
        <v>32</v>
      </c>
      <c r="F220" s="131" t="n">
        <v>84.5</v>
      </c>
      <c r="G220" s="17" t="n">
        <v>26</v>
      </c>
      <c r="H220" s="133" t="n">
        <v>576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n">
        <v>106</v>
      </c>
      <c r="U220" s="9" t="n"/>
    </row>
    <row r="221" ht="12" customFormat="1" customHeight="1" s="37">
      <c r="A221" s="75" t="inlineStr">
        <is>
          <t>소룡동 이화</t>
        </is>
      </c>
      <c r="B221" s="76" t="inlineStr">
        <is>
          <t>92.02.</t>
        </is>
      </c>
      <c r="C221" s="130" t="n">
        <v>204</v>
      </c>
      <c r="D221" s="131" t="n">
        <v>58.6</v>
      </c>
      <c r="E221" s="132" t="n">
        <v>18</v>
      </c>
      <c r="F221" s="131" t="n">
        <v>44.8</v>
      </c>
      <c r="G221" s="17" t="n">
        <v>14</v>
      </c>
      <c r="H221" s="133" t="n">
        <v>60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58</v>
      </c>
      <c r="U221" s="9" t="n"/>
    </row>
    <row r="222" ht="12" customFormat="1" customHeight="1" s="37">
      <c r="A222" s="75" t="inlineStr">
        <is>
          <t>소룡동 이화</t>
        </is>
      </c>
      <c r="B222" s="76" t="inlineStr">
        <is>
          <t>92.02.</t>
        </is>
      </c>
      <c r="C222" s="130" t="n">
        <v>204</v>
      </c>
      <c r="D222" s="131" t="n">
        <v>69.3</v>
      </c>
      <c r="E222" s="132" t="n">
        <v>21</v>
      </c>
      <c r="F222" s="131" t="n">
        <v>53.9</v>
      </c>
      <c r="G222" s="17" t="n">
        <v>16</v>
      </c>
      <c r="H222" s="133" t="n">
        <v>132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3</v>
      </c>
      <c r="R222" s="121" t="n">
        <v>1</v>
      </c>
      <c r="S222" s="121" t="inlineStr">
        <is>
          <t>계</t>
        </is>
      </c>
      <c r="T222" s="5" t="n">
        <v>69</v>
      </c>
      <c r="U222" s="9" t="n"/>
    </row>
    <row r="223" ht="12" customFormat="1" customHeight="1" s="37">
      <c r="A223" s="75" t="inlineStr">
        <is>
          <t>수송동 한라비발디1단지</t>
        </is>
      </c>
      <c r="B223" s="76" t="inlineStr">
        <is>
          <t>08.11.</t>
        </is>
      </c>
      <c r="C223" s="130" t="n">
        <v>332</v>
      </c>
      <c r="D223" s="131" t="n">
        <v>133</v>
      </c>
      <c r="E223" s="132" t="n">
        <v>40</v>
      </c>
      <c r="F223" s="131" t="n">
        <v>100.4</v>
      </c>
      <c r="G223" s="17" t="n">
        <v>30</v>
      </c>
      <c r="H223" s="133" t="n">
        <v>59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2</v>
      </c>
      <c r="S223" s="121" t="inlineStr">
        <is>
          <t>계</t>
        </is>
      </c>
      <c r="T223" s="5" t="inlineStr">
        <is>
          <t>132A</t>
        </is>
      </c>
      <c r="U223" s="9" t="n"/>
    </row>
    <row r="224" ht="12" customFormat="1" customHeight="1" s="37">
      <c r="A224" s="75" t="inlineStr">
        <is>
          <t>수송동 한라비발디1단지</t>
        </is>
      </c>
      <c r="B224" s="76" t="inlineStr">
        <is>
          <t>08.11.</t>
        </is>
      </c>
      <c r="C224" s="130" t="n">
        <v>332</v>
      </c>
      <c r="D224" s="131" t="n">
        <v>159.2</v>
      </c>
      <c r="E224" s="132" t="n">
        <v>48</v>
      </c>
      <c r="F224" s="131" t="n">
        <v>123.1</v>
      </c>
      <c r="G224" s="17" t="n">
        <v>37</v>
      </c>
      <c r="H224" s="133" t="n">
        <v>80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4</v>
      </c>
      <c r="R224" s="121" t="n">
        <v>2</v>
      </c>
      <c r="S224" s="121" t="inlineStr">
        <is>
          <t>계</t>
        </is>
      </c>
      <c r="T224" s="5" t="inlineStr">
        <is>
          <t>159A</t>
        </is>
      </c>
      <c r="U224" s="9" t="n"/>
    </row>
    <row r="225" ht="12" customFormat="1" customHeight="1" s="37">
      <c r="A225" s="75" t="inlineStr">
        <is>
          <t>수송동 한라비발디1단지</t>
        </is>
      </c>
      <c r="B225" s="76" t="inlineStr">
        <is>
          <t>08.11.</t>
        </is>
      </c>
      <c r="C225" s="130" t="n">
        <v>332</v>
      </c>
      <c r="D225" s="131" t="n">
        <v>161.5</v>
      </c>
      <c r="E225" s="132" t="n">
        <v>49</v>
      </c>
      <c r="F225" s="131" t="n">
        <v>132.3</v>
      </c>
      <c r="G225" s="17" t="n">
        <v>40</v>
      </c>
      <c r="H225" s="133" t="n">
        <v>79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4</v>
      </c>
      <c r="R225" s="121" t="n">
        <v>2</v>
      </c>
      <c r="S225" s="121" t="inlineStr">
        <is>
          <t>계</t>
        </is>
      </c>
      <c r="T225" s="5" t="inlineStr">
        <is>
          <t>161B</t>
        </is>
      </c>
      <c r="U225" s="9" t="n"/>
    </row>
    <row r="226" ht="12" customFormat="1" customHeight="1" s="37">
      <c r="A226" s="75" t="inlineStr">
        <is>
          <t>수송동 동신</t>
        </is>
      </c>
      <c r="B226" s="76" t="inlineStr">
        <is>
          <t>91.09.</t>
        </is>
      </c>
      <c r="C226" s="130" t="n">
        <v>660</v>
      </c>
      <c r="D226" s="131" t="n">
        <v>73.59999999999999</v>
      </c>
      <c r="E226" s="132" t="n">
        <v>22</v>
      </c>
      <c r="F226" s="131" t="n">
        <v>59.5</v>
      </c>
      <c r="G226" s="17" t="n">
        <v>18</v>
      </c>
      <c r="H226" s="133" t="n">
        <v>120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계</t>
        </is>
      </c>
      <c r="T226" s="5" t="n">
        <v>73</v>
      </c>
      <c r="U226" s="9" t="n"/>
    </row>
    <row r="227" ht="12" customFormat="1" customHeight="1" s="37">
      <c r="A227" s="75" t="inlineStr">
        <is>
          <t>수송동 현대</t>
        </is>
      </c>
      <c r="B227" s="76" t="inlineStr">
        <is>
          <t>97.06.</t>
        </is>
      </c>
      <c r="C227" s="130" t="n">
        <v>657</v>
      </c>
      <c r="D227" s="131" t="n">
        <v>78.3</v>
      </c>
      <c r="E227" s="132" t="n">
        <v>24</v>
      </c>
      <c r="F227" s="131" t="n">
        <v>60</v>
      </c>
      <c r="G227" s="17" t="n">
        <v>18</v>
      </c>
      <c r="H227" s="133" t="n">
        <v>272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n">
        <v>78</v>
      </c>
      <c r="U227" s="9" t="n"/>
    </row>
    <row r="228" ht="12" customFormat="1" customHeight="1" s="37">
      <c r="A228" s="75" t="inlineStr">
        <is>
          <t>수송동 동영</t>
        </is>
      </c>
      <c r="B228" s="76" t="inlineStr">
        <is>
          <t>98.09.</t>
        </is>
      </c>
      <c r="C228" s="130" t="n">
        <v>360</v>
      </c>
      <c r="D228" s="131" t="n">
        <v>76</v>
      </c>
      <c r="E228" s="132" t="n">
        <v>23</v>
      </c>
      <c r="F228" s="131" t="n">
        <v>59.9</v>
      </c>
      <c r="G228" s="17" t="n">
        <v>18</v>
      </c>
      <c r="H228" s="133" t="n">
        <v>135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76B</t>
        </is>
      </c>
      <c r="U228" s="9" t="n"/>
    </row>
    <row r="229" ht="12" customFormat="1" customHeight="1" s="37">
      <c r="A229" s="75" t="inlineStr">
        <is>
          <t>신풍동 월명</t>
        </is>
      </c>
      <c r="B229" s="76" t="inlineStr">
        <is>
          <t>79.05.</t>
        </is>
      </c>
      <c r="C229" s="130" t="n">
        <v>240</v>
      </c>
      <c r="D229" s="131" t="n">
        <v>62</v>
      </c>
      <c r="E229" s="132" t="n">
        <v>19</v>
      </c>
      <c r="F229" s="131" t="n">
        <v>62</v>
      </c>
      <c r="G229" s="17" t="n">
        <v>19</v>
      </c>
      <c r="H229" s="133" t="n">
        <v>30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2</v>
      </c>
      <c r="R229" s="121" t="n">
        <v>1</v>
      </c>
      <c r="S229" s="121" t="inlineStr">
        <is>
          <t>계</t>
        </is>
      </c>
      <c r="T229" s="5" t="n">
        <v>61</v>
      </c>
      <c r="U229" s="9" t="n"/>
    </row>
    <row r="230" ht="12" customFormat="1" customHeight="1" s="37">
      <c r="A230" s="75" t="inlineStr">
        <is>
          <t>신풍동 월명</t>
        </is>
      </c>
      <c r="B230" s="76" t="inlineStr">
        <is>
          <t>79.05.</t>
        </is>
      </c>
      <c r="C230" s="130" t="n">
        <v>240</v>
      </c>
      <c r="D230" s="131" t="n">
        <v>70.7</v>
      </c>
      <c r="E230" s="132" t="n">
        <v>21</v>
      </c>
      <c r="F230" s="131" t="n">
        <v>70.7</v>
      </c>
      <c r="G230" s="17" t="n">
        <v>21</v>
      </c>
      <c r="H230" s="133" t="n">
        <v>30</v>
      </c>
      <c r="I230" s="134" t="n"/>
      <c r="J230" s="134" t="n"/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2</v>
      </c>
      <c r="R230" s="121" t="n">
        <v>1</v>
      </c>
      <c r="S230" s="121" t="inlineStr">
        <is>
          <t>계</t>
        </is>
      </c>
      <c r="T230" s="5" t="n">
        <v>70</v>
      </c>
      <c r="U230" s="9" t="n"/>
    </row>
    <row r="231" ht="12" customFormat="1" customHeight="1" s="37">
      <c r="A231" s="75" t="inlineStr">
        <is>
          <t>신풍동 월명</t>
        </is>
      </c>
      <c r="B231" s="76" t="inlineStr">
        <is>
          <t>79.05.</t>
        </is>
      </c>
      <c r="C231" s="130" t="n">
        <v>240</v>
      </c>
      <c r="D231" s="131" t="n">
        <v>78.5</v>
      </c>
      <c r="E231" s="132" t="n">
        <v>24</v>
      </c>
      <c r="F231" s="131" t="n">
        <v>78.5</v>
      </c>
      <c r="G231" s="17" t="n">
        <v>24</v>
      </c>
      <c r="H231" s="133" t="n">
        <v>60</v>
      </c>
      <c r="I231" s="134" t="n"/>
      <c r="J231" s="134" t="n"/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2</v>
      </c>
      <c r="R231" s="121" t="n">
        <v>1</v>
      </c>
      <c r="S231" s="121" t="inlineStr">
        <is>
          <t>계</t>
        </is>
      </c>
      <c r="T231" s="5" t="n">
        <v>78</v>
      </c>
      <c r="U231" s="9" t="n"/>
    </row>
    <row r="232" ht="12" customFormat="1" customHeight="1" s="37">
      <c r="A232" s="75" t="inlineStr">
        <is>
          <t>월명동 클래시움</t>
        </is>
      </c>
      <c r="B232" s="76" t="inlineStr">
        <is>
          <t>04.05.</t>
        </is>
      </c>
      <c r="C232" s="130" t="n">
        <v>210</v>
      </c>
      <c r="D232" s="131" t="n">
        <v>126.8</v>
      </c>
      <c r="E232" s="132" t="n">
        <v>38</v>
      </c>
      <c r="F232" s="131" t="n">
        <v>101.7</v>
      </c>
      <c r="G232" s="17" t="n">
        <v>31</v>
      </c>
      <c r="H232" s="133" t="n">
        <v>120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n">
        <v>126</v>
      </c>
      <c r="U232" s="9" t="n"/>
    </row>
    <row r="233" ht="12" customFormat="1" customHeight="1" s="37">
      <c r="A233" s="75" t="inlineStr">
        <is>
          <t>월명동 클래시움</t>
        </is>
      </c>
      <c r="B233" s="76" t="inlineStr">
        <is>
          <t>04.05.</t>
        </is>
      </c>
      <c r="C233" s="130" t="n">
        <v>210</v>
      </c>
      <c r="D233" s="131" t="n">
        <v>165</v>
      </c>
      <c r="E233" s="132" t="n">
        <v>50</v>
      </c>
      <c r="F233" s="131" t="n">
        <v>142.1</v>
      </c>
      <c r="G233" s="17" t="n">
        <v>43</v>
      </c>
      <c r="H233" s="133" t="n">
        <v>30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4</v>
      </c>
      <c r="R233" s="121" t="n">
        <v>2</v>
      </c>
      <c r="S233" s="121" t="inlineStr">
        <is>
          <t>계</t>
        </is>
      </c>
      <c r="T233" s="5" t="n">
        <v>164</v>
      </c>
      <c r="U233" s="9" t="n"/>
    </row>
    <row r="234" ht="12" customFormat="1" customHeight="1" s="37">
      <c r="A234" s="75" t="inlineStr">
        <is>
          <t>월명동 클래시움</t>
        </is>
      </c>
      <c r="B234" s="76" t="inlineStr">
        <is>
          <t>04.05.</t>
        </is>
      </c>
      <c r="C234" s="130" t="n">
        <v>210</v>
      </c>
      <c r="D234" s="131" t="n">
        <v>189.9</v>
      </c>
      <c r="E234" s="132" t="n">
        <v>57</v>
      </c>
      <c r="F234" s="131" t="n">
        <v>166.5</v>
      </c>
      <c r="G234" s="17" t="n">
        <v>50</v>
      </c>
      <c r="H234" s="133" t="n">
        <v>45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4</v>
      </c>
      <c r="R234" s="121" t="n">
        <v>2</v>
      </c>
      <c r="S234" s="121" t="inlineStr">
        <is>
          <t>계</t>
        </is>
      </c>
      <c r="T234" s="5" t="n">
        <v>189</v>
      </c>
      <c r="U234" s="9" t="n"/>
    </row>
    <row r="235" ht="12" customFormat="1" customHeight="1" s="37">
      <c r="A235" s="75" t="inlineStr">
        <is>
          <t>조촌동 부향하나로</t>
        </is>
      </c>
      <c r="B235" s="76" t="inlineStr">
        <is>
          <t>96.09.</t>
        </is>
      </c>
      <c r="C235" s="130" t="n">
        <v>402</v>
      </c>
      <c r="D235" s="131" t="n">
        <v>53.7</v>
      </c>
      <c r="E235" s="132" t="n">
        <v>16</v>
      </c>
      <c r="F235" s="131" t="n">
        <v>40</v>
      </c>
      <c r="G235" s="17" t="n">
        <v>12</v>
      </c>
      <c r="H235" s="133" t="n">
        <v>402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2</v>
      </c>
      <c r="R235" s="121" t="n">
        <v>1</v>
      </c>
      <c r="S235" s="121" t="inlineStr">
        <is>
          <t>계</t>
        </is>
      </c>
      <c r="T235" s="5" t="n">
        <v>53</v>
      </c>
      <c r="U235" s="9" t="n"/>
    </row>
    <row r="236" ht="12" customFormat="1" customHeight="1" s="37">
      <c r="A236" s="75" t="inlineStr">
        <is>
          <t>조촌동 e편한세상군산디오션시티</t>
        </is>
      </c>
      <c r="B236" s="76" t="inlineStr">
        <is>
          <t>18.11.</t>
        </is>
      </c>
      <c r="C236" s="130" t="n">
        <v>854</v>
      </c>
      <c r="D236" s="131" t="n">
        <v>140.3</v>
      </c>
      <c r="E236" s="132" t="n">
        <v>42</v>
      </c>
      <c r="F236" s="131" t="n">
        <v>106.4</v>
      </c>
      <c r="G236" s="17" t="n">
        <v>32</v>
      </c>
      <c r="H236" s="133" t="n">
        <v>87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4</v>
      </c>
      <c r="R236" s="121" t="n">
        <v>2</v>
      </c>
      <c r="S236" s="121" t="inlineStr">
        <is>
          <t>계</t>
        </is>
      </c>
      <c r="T236" s="5" t="n">
        <v>140</v>
      </c>
      <c r="U236" s="9" t="n"/>
    </row>
    <row r="237" ht="12" customFormat="1" customHeight="1" s="37">
      <c r="A237" s="75" t="inlineStr">
        <is>
          <t>조촌동 시영</t>
        </is>
      </c>
      <c r="B237" s="76" t="inlineStr">
        <is>
          <t>93.12.</t>
        </is>
      </c>
      <c r="C237" s="130" t="n">
        <v>270</v>
      </c>
      <c r="D237" s="131" t="n">
        <v>66.59999999999999</v>
      </c>
      <c r="E237" s="132" t="n">
        <v>20</v>
      </c>
      <c r="F237" s="131" t="n">
        <v>49.1</v>
      </c>
      <c r="G237" s="17" t="n">
        <v>15</v>
      </c>
      <c r="H237" s="133" t="n">
        <v>150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2</v>
      </c>
      <c r="R237" s="121" t="n">
        <v>1</v>
      </c>
      <c r="S237" s="121" t="inlineStr">
        <is>
          <t>복</t>
        </is>
      </c>
      <c r="T237" s="5" t="n">
        <v>66</v>
      </c>
      <c r="U237" s="9" t="n"/>
    </row>
    <row r="238" ht="12" customFormat="1" customHeight="1" s="37">
      <c r="A238" s="75" t="inlineStr">
        <is>
          <t>조촌동 시영</t>
        </is>
      </c>
      <c r="B238" s="76" t="inlineStr">
        <is>
          <t>93.12.</t>
        </is>
      </c>
      <c r="C238" s="130" t="n">
        <v>270</v>
      </c>
      <c r="D238" s="131" t="n">
        <v>79.40000000000001</v>
      </c>
      <c r="E238" s="132" t="n">
        <v>24</v>
      </c>
      <c r="F238" s="131" t="n">
        <v>59.4</v>
      </c>
      <c r="G238" s="17" t="n">
        <v>18</v>
      </c>
      <c r="H238" s="133" t="n">
        <v>120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1</v>
      </c>
      <c r="S238" s="121" t="inlineStr">
        <is>
          <t>복</t>
        </is>
      </c>
      <c r="T238" s="5" t="n">
        <v>79</v>
      </c>
      <c r="U238" s="9" t="n"/>
    </row>
    <row r="239" ht="12" customFormat="1" customHeight="1" s="37">
      <c r="A239" s="75" t="inlineStr">
        <is>
          <t>조촌동 더샵디오션시티2차</t>
        </is>
      </c>
      <c r="B239" s="76" t="inlineStr">
        <is>
          <t>23.07.</t>
        </is>
      </c>
      <c r="C239" s="130" t="n">
        <v>771</v>
      </c>
      <c r="D239" s="131" t="n">
        <v>109.6</v>
      </c>
      <c r="E239" s="132" t="n">
        <v>33</v>
      </c>
      <c r="F239" s="131" t="n">
        <v>85</v>
      </c>
      <c r="G239" s="17" t="n">
        <v>26</v>
      </c>
      <c r="H239" s="133" t="n">
        <v>442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109A</t>
        </is>
      </c>
      <c r="U239" s="9" t="n"/>
    </row>
    <row r="240" ht="12" customFormat="1" customHeight="1" s="37">
      <c r="A240" s="75" t="inlineStr">
        <is>
          <t>조촌동 더샵디오션시티2차</t>
        </is>
      </c>
      <c r="B240" s="76" t="inlineStr">
        <is>
          <t>23.07.</t>
        </is>
      </c>
      <c r="C240" s="130" t="n">
        <v>771</v>
      </c>
      <c r="D240" s="131" t="n">
        <v>135.4</v>
      </c>
      <c r="E240" s="132" t="n">
        <v>41</v>
      </c>
      <c r="F240" s="131" t="n">
        <v>107</v>
      </c>
      <c r="G240" s="17" t="n">
        <v>32</v>
      </c>
      <c r="H240" s="133" t="n">
        <v>125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4</v>
      </c>
      <c r="R240" s="121" t="n">
        <v>2</v>
      </c>
      <c r="S240" s="121" t="inlineStr">
        <is>
          <t>계</t>
        </is>
      </c>
      <c r="T240" s="5" t="n">
        <v>135</v>
      </c>
      <c r="U240" s="9" t="n"/>
    </row>
    <row r="241" ht="12" customFormat="1" customHeight="1" s="37">
      <c r="A241" s="75" t="inlineStr">
        <is>
          <t>조촌동 더샵디오션시티2차</t>
        </is>
      </c>
      <c r="B241" s="76" t="inlineStr">
        <is>
          <t>23.07.</t>
        </is>
      </c>
      <c r="C241" s="130" t="n">
        <v>771</v>
      </c>
      <c r="D241" s="131" t="n">
        <v>158</v>
      </c>
      <c r="E241" s="132" t="n">
        <v>48</v>
      </c>
      <c r="F241" s="131" t="n">
        <v>124.9</v>
      </c>
      <c r="G241" s="17" t="n">
        <v>38</v>
      </c>
      <c r="H241" s="133" t="n">
        <v>54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4</v>
      </c>
      <c r="R241" s="121" t="n">
        <v>2</v>
      </c>
      <c r="S241" s="121" t="inlineStr">
        <is>
          <t>계</t>
        </is>
      </c>
      <c r="T241" s="5" t="n">
        <v>158</v>
      </c>
      <c r="U241" s="9" t="n"/>
    </row>
    <row r="242" ht="12" customFormat="1" customHeight="1" s="37">
      <c r="A242" s="75" t="inlineStr">
        <is>
          <t>조촌동 더샵디오션시티</t>
        </is>
      </c>
      <c r="B242" s="76" t="inlineStr">
        <is>
          <t>21.10.</t>
        </is>
      </c>
      <c r="C242" s="130" t="n">
        <v>973</v>
      </c>
      <c r="D242" s="131" t="n">
        <v>110.7</v>
      </c>
      <c r="E242" s="132" t="n">
        <v>33</v>
      </c>
      <c r="F242" s="131" t="n">
        <v>85</v>
      </c>
      <c r="G242" s="17" t="n">
        <v>26</v>
      </c>
      <c r="H242" s="133" t="n">
        <v>492</v>
      </c>
      <c r="I242" s="134" t="n"/>
      <c r="J242" s="134" t="n"/>
      <c r="K242" s="134" t="n">
        <v>36000</v>
      </c>
      <c r="L242" s="134" t="inlineStr">
        <is>
          <t>13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75" t="inlineStr">
        <is>
          <t>조촌동 더샵디오션시티</t>
        </is>
      </c>
      <c r="B243" s="76" t="inlineStr">
        <is>
          <t>21.10.</t>
        </is>
      </c>
      <c r="C243" s="130" t="n">
        <v>973</v>
      </c>
      <c r="D243" s="131" t="n">
        <v>134.2</v>
      </c>
      <c r="E243" s="132" t="n">
        <v>41</v>
      </c>
      <c r="F243" s="131" t="n">
        <v>104</v>
      </c>
      <c r="G243" s="17" t="n">
        <v>31</v>
      </c>
      <c r="H243" s="133" t="n">
        <v>112</v>
      </c>
      <c r="I243" s="134" t="n"/>
      <c r="J243" s="134" t="n"/>
      <c r="K243" s="134" t="n">
        <v>43000</v>
      </c>
      <c r="L243" s="134" t="inlineStr">
        <is>
          <t>15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4</v>
      </c>
      <c r="R243" s="121" t="n">
        <v>2</v>
      </c>
      <c r="S243" s="121" t="inlineStr">
        <is>
          <t>계</t>
        </is>
      </c>
      <c r="T243" s="5" t="n">
        <v>134</v>
      </c>
      <c r="U243" s="9" t="n"/>
    </row>
    <row r="244" ht="12" customFormat="1" customHeight="1" s="37">
      <c r="A244" s="75" t="inlineStr">
        <is>
          <t>조촌동 더샵디오션시티</t>
        </is>
      </c>
      <c r="B244" s="76" t="inlineStr">
        <is>
          <t>21.10.</t>
        </is>
      </c>
      <c r="C244" s="130" t="n">
        <v>973</v>
      </c>
      <c r="D244" s="131" t="n">
        <v>153.2</v>
      </c>
      <c r="E244" s="132" t="n">
        <v>46</v>
      </c>
      <c r="F244" s="131" t="n">
        <v>119</v>
      </c>
      <c r="G244" s="17" t="n">
        <v>36</v>
      </c>
      <c r="H244" s="133" t="n">
        <v>56</v>
      </c>
      <c r="I244" s="134" t="n"/>
      <c r="J244" s="134" t="n"/>
      <c r="K244" s="134" t="n">
        <v>52000</v>
      </c>
      <c r="L244" s="134" t="inlineStr">
        <is>
          <t>5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4</v>
      </c>
      <c r="R244" s="121" t="n">
        <v>2</v>
      </c>
      <c r="S244" s="121" t="inlineStr">
        <is>
          <t>계</t>
        </is>
      </c>
      <c r="T244" s="5" t="n">
        <v>153</v>
      </c>
      <c r="U244" s="9" t="n"/>
    </row>
    <row r="245" ht="12" customFormat="1" customHeight="1" s="37">
      <c r="A245" s="75" t="inlineStr">
        <is>
          <t>조촌동 세경</t>
        </is>
      </c>
      <c r="B245" s="76" t="inlineStr">
        <is>
          <t>18.03.</t>
        </is>
      </c>
      <c r="C245" s="130" t="n">
        <v>1400</v>
      </c>
      <c r="D245" s="131" t="n">
        <v>82</v>
      </c>
      <c r="E245" s="132" t="n">
        <v>25</v>
      </c>
      <c r="F245" s="131" t="n">
        <v>60</v>
      </c>
      <c r="G245" s="17" t="n">
        <v>18</v>
      </c>
      <c r="H245" s="133" t="n">
        <v>189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3198" operator="greaterThan" dxfId="13">
      <formula>0.9</formula>
    </cfRule>
    <cfRule type="cellIs" priority="53199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121588" dxfId="3">
      <formula>AND(IF(OR($Q4=1,$Q4=2),1,0),IF(#REF!&lt;=20,1,0))</formula>
    </cfRule>
    <cfRule type="expression" priority="121589" dxfId="2">
      <formula>AND(IF($Q4=2,1,0),IF(#REF!&lt;30,1,0))</formula>
    </cfRule>
    <cfRule type="expression" priority="121590" dxfId="1">
      <formula>AND(IF($Q4=3,1,0),IF(#REF!&lt;30,1,0))</formula>
    </cfRule>
    <cfRule type="expression" priority="1215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6" sqref="G16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3"/>
    <col width="17.5" customWidth="1" style="120" min="54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미장동</t>
        </is>
      </c>
      <c r="E4" s="120" t="inlineStr">
        <is>
          <t>수송동</t>
        </is>
      </c>
      <c r="F4" s="120" t="inlineStr">
        <is>
          <t>나운동</t>
        </is>
      </c>
      <c r="G4" s="120" t="inlineStr">
        <is>
          <t>조촌동</t>
        </is>
      </c>
      <c r="H4" s="120" t="inlineStr">
        <is>
          <t>지곡동</t>
        </is>
      </c>
      <c r="I4" s="120" t="inlineStr">
        <is>
          <t>나운동</t>
        </is>
      </c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n"/>
      <c r="F12" s="56" t="n"/>
      <c r="G12" s="56" t="inlineStr">
        <is>
          <t>군산디오션시티푸르지오(35평/4.9)_x000D_
e편한세상군산디오션시티(34평/4.8)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미장대원칸타빌(34평/3.8)_x000D_
군산미장2차아이파크(30평/3.8)_x000D_
군산미장아이파크(34평/3.6)_x000D_
미장대원칸타빌(30평/3.3)_x000D_
수송공원삼성쉐르빌(34평/3.1)</t>
        </is>
      </c>
      <c r="E13" s="61" t="inlineStr">
        <is>
          <t>한라비발디2단지(34평/3.2)_x000D_
군산수송세영리첼(35평/3.1)_x000D_
군산수송제일오투그란데1단지(35평/3.1)</t>
        </is>
      </c>
      <c r="F13" s="61" t="n"/>
      <c r="G13" s="61" t="inlineStr">
        <is>
          <t>군산디오션시티푸르지오(31평/4.0)_x000D_
e편한세상군산디오션시티(30평/3.9)_x000D_
더샵디오션시티(24평/3.5)_x000D_
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4">
      <c r="A14" s="149" t="n">
        <v>2.5</v>
      </c>
      <c r="B14" s="60" t="inlineStr">
        <is>
          <t>~</t>
        </is>
      </c>
      <c r="C14" s="150" t="n">
        <v>3</v>
      </c>
      <c r="D14" s="61" t="inlineStr">
        <is>
          <t>미장대원칸타빌(24평/2.9)_x000D_
미장대원칸타빌(27평/2.9)_x000D_
군산미장아이파크(24평/2.5)</t>
        </is>
      </c>
      <c r="E14" s="61" t="inlineStr">
        <is>
          <t>군산수송제일오투그란데1단지(30평/2.5)</t>
        </is>
      </c>
      <c r="F14" s="61" t="n"/>
      <c r="G14" s="61" t="inlineStr">
        <is>
          <t>센트럴파크(33평/2.8)_x000D_
타워써미트(34평/2.6)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파인빌2차(36평/2.1)</t>
        </is>
      </c>
      <c r="E15" s="61" t="inlineStr">
        <is>
          <t>수송오투그란데2차(25평/2.2)</t>
        </is>
      </c>
      <c r="F15" s="61" t="inlineStr">
        <is>
          <t>주공3단지(20평/2.2)_x000D_
나운보람더하임(33평/2.1)_x000D_
수송코아루(26평/2.0)</t>
        </is>
      </c>
      <c r="G15" s="61" t="inlineStr">
        <is>
          <t>타워써미트(24평/2.0)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파인빌1차(24평/1.7)</t>
        </is>
      </c>
      <c r="E16" s="63" t="inlineStr">
        <is>
          <t>수송제일(34평/1.9)_x000D_
현대(32평/1.9)_x000D_
수송오투그란데2차(22평/1.8)_x000D_
현대(29평/1.8)</t>
        </is>
      </c>
      <c r="F16" s="63" t="inlineStr">
        <is>
          <t>현대4차(32평/1.9)_x000D_
현대4차(28평/1.9)_x000D_
롯데2차(32평/1.8)_x000D_
금호타운2차(31평/1.7)_x000D_
삼성(401)(32평/1.7)_x000D_
주공3단지(16평/1.7)_x000D_
롯데3차(32평/1.7)_x000D_
주공3단지(16평/1.7)_x000D_
삼성(401)(29평/1.6)_x000D_
금호타운1차(31평/1.6)_x000D_
나운현대2차(32평/1.5)_x000D_
서호(31평/1.5)_x000D_
롯데1차(32평/1.5)_x000D_
현대3차(32평/1.5)</t>
        </is>
      </c>
      <c r="G16" s="63" t="inlineStr">
        <is>
          <t>현대(31평/1.9)_x000D_
삼성(32평/1.7)_x000D_
삼성(28평/1.5)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inlineStr">
        <is>
          <t>동신(32평/1.2)_x000D_
동신(29평/1.1)</t>
        </is>
      </c>
      <c r="F17" s="63" t="inlineStr">
        <is>
          <t>금호타운1차(27평/1.4)_x000D_
나운보람더하임(24평/1.4)_x000D_
현대4차(23평/1.4)_x000D_
롯데2차(28평/1.3)_x000D_
롯데1차(28평/1.3)_x000D_
신일(23평/1.3)_x000D_
영창(23평/1.2)_x000D_
서호(25평/1.2)_x000D_
한울(23평/1.1)_x000D_
현대3차(22평/1.1)_x000D_
금호타운2차(25평/1.1)</t>
        </is>
      </c>
      <c r="G17" s="63" t="inlineStr">
        <is>
          <t>현대(28평/1.4)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inlineStr">
        <is>
          <t>군산디오션시티푸르지오('18/4.9)_x000D_
e편한세상군산디오션시티('18/4.8)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미장대원칸타빌('18/3.8)_x000D_
군산미장2차아이파크('17/3.8)_x000D_
군산미장아이파크('15/3.6)_x000D_
미장대원칸타빌('18/3.3)_x000D_
수송공원삼성쉐르빌('09/3.1)</t>
        </is>
      </c>
      <c r="E26" s="61" t="inlineStr">
        <is>
          <t>한라비발디2단지('08/3.2)_x000D_
군산수송세영리첼('10/3.1)_x000D_
군산수송제일오투그란데1단지('08/3.1)</t>
        </is>
      </c>
      <c r="F26" s="61" t="n"/>
      <c r="G26" s="61" t="inlineStr">
        <is>
          <t>군산디오션시티푸르지오('18/4.0)_x000D_
e편한세상군산디오션시티('18/3.9)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군산수송제일오투그란데1단지('08/2.5)</t>
        </is>
      </c>
      <c r="F27" s="61" t="n"/>
      <c r="G27" s="61" t="inlineStr">
        <is>
          <t>센트럴파크('17/2.8)_x000D_
타워써미트('12/2.6)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파인빌2차('06/2.1)</t>
        </is>
      </c>
      <c r="E28" s="61" t="n"/>
      <c r="F28" s="61" t="inlineStr">
        <is>
          <t>나운보람더하임('10/2.1)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inlineStr">
        <is>
          <t>수송제일('02/1.9)_x000D_
현대('97/1.9)</t>
        </is>
      </c>
      <c r="F29" s="63" t="inlineStr">
        <is>
          <t>현대4차('98/1.9)_x000D_
롯데2차('92/1.8)_x000D_
금호타운2차('94/1.7)_x000D_
삼성(401)('98/1.7)_x000D_
롯데3차('94/1.7)_x000D_
금호타운1차('91/1.6)_x000D_
나운현대2차('93/1.5)_x000D_
서호('95/1.5)_x000D_
롯데1차('91/1.5)_x000D_
현대3차('95/1.5)</t>
        </is>
      </c>
      <c r="G29" s="63" t="inlineStr">
        <is>
          <t>현대('95/1.9)_x000D_
삼성('92/1.7)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4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inlineStr">
        <is>
          <t>동신('91/1.2)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inlineStr">
        <is>
          <t>더샵디오션시티('21/3.5)_x000D_
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inlineStr">
        <is>
          <t>미장대원칸타빌('18/2.9)_x000D_
미장대원칸타빌('18/2.9)_x000D_
군산미장아이파크('15/2.5)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수송오투그란데2차('11/2.2)</t>
        </is>
      </c>
      <c r="F41" s="61" t="inlineStr">
        <is>
          <t>주공3단지('83/2.2)_x000D_
수송코아루('09/2.0)</t>
        </is>
      </c>
      <c r="G41" s="61" t="inlineStr">
        <is>
          <t>타워써미트('12/2.0)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파인빌1차('04/1.7)</t>
        </is>
      </c>
      <c r="E42" s="63" t="inlineStr">
        <is>
          <t>현대('97/1.8)</t>
        </is>
      </c>
      <c r="F42" s="63" t="inlineStr">
        <is>
          <t>현대4차('98/1.9)_x000D_
삼성(401)('98/1.6)</t>
        </is>
      </c>
      <c r="G42" s="63" t="inlineStr">
        <is>
          <t>삼성('92/1.5)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동신('91/1.1)</t>
        </is>
      </c>
      <c r="F43" s="63" t="inlineStr">
        <is>
          <t>금호타운1차('91/1.4)_x000D_
나운보람더하임('10/1.4)_x000D_
현대4차('98/1.4)_x000D_
롯데2차('92/1.3)_x000D_
롯데1차('91/1.3)_x000D_
신일('95/1.3)_x000D_
영창('95/1.2)_x000D_
서호('95/1.2)_x000D_
한울('96/1.1)_x000D_
현대3차('95/1.1)</t>
        </is>
      </c>
      <c r="G43" s="63" t="inlineStr">
        <is>
          <t>현대('95/1.4)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inlineStr">
        <is>
          <t>금호타운2차('94/1.1)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4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inlineStr">
        <is>
          <t>주공3단지('83/1.7)_x000D_
주공3단지('83/1.7)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0" t="inlineStr">
        <is>
          <t>동 이름 :</t>
        </is>
      </c>
      <c r="B1" s="71" t="n"/>
    </row>
    <row r="2">
      <c r="A2" s="74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4" min="1" max="38"/>
  </cols>
  <sheetData>
    <row r="1">
      <c r="A1" s="74" t="inlineStr">
        <is>
          <t>[경암동]</t>
        </is>
      </c>
      <c r="B1" s="74" t="n">
        <v>4952</v>
      </c>
      <c r="C1" s="74" t="n">
        <v>1</v>
      </c>
      <c r="D1" s="74" t="inlineStr">
        <is>
          <t>새한</t>
        </is>
      </c>
      <c r="E1" s="74" t="inlineStr">
        <is>
          <t>1995.06.</t>
        </is>
      </c>
      <c r="F1" s="74" t="n">
        <v>304</v>
      </c>
      <c r="G1" s="74" t="n">
        <v>23.24</v>
      </c>
      <c r="H1" s="74" t="n">
        <v>76.83</v>
      </c>
      <c r="I1" s="74" t="n">
        <v>17.92</v>
      </c>
      <c r="J1" s="74" t="n">
        <v>59.25</v>
      </c>
      <c r="K1" s="74" t="n">
        <v>138</v>
      </c>
      <c r="T1" s="74" t="n">
        <v>3</v>
      </c>
      <c r="U1" s="74" t="n">
        <v>1</v>
      </c>
      <c r="V1" s="74" t="inlineStr">
        <is>
          <t>복도식</t>
        </is>
      </c>
      <c r="W1" s="74" t="n">
        <v>76</v>
      </c>
      <c r="X1" s="74" t="n">
        <v>15</v>
      </c>
      <c r="Y1" s="74" t="n">
        <v>7</v>
      </c>
      <c r="Z1" s="74" t="inlineStr">
        <is>
          <t>https://new.land.naver.com/complexes/4952?tab=detail&amp;rf=Y</t>
        </is>
      </c>
      <c r="AA1" s="74" t="inlineStr">
        <is>
          <t>전라북도 군산시 경암동 539-9</t>
        </is>
      </c>
      <c r="AB1" s="74" t="inlineStr">
        <is>
          <t>전라북도</t>
        </is>
      </c>
      <c r="AC1" s="74" t="inlineStr">
        <is>
          <t>군산시</t>
        </is>
      </c>
      <c r="AD1" s="74" t="inlineStr">
        <is>
          <t>경암동</t>
        </is>
      </c>
      <c r="AG1" s="74" t="inlineStr">
        <is>
          <t>전라북도 군산시 경촌3길 23</t>
        </is>
      </c>
      <c r="AH1" s="74" t="n">
        <v>0</v>
      </c>
      <c r="AI1" s="74" t="n">
        <v>0</v>
      </c>
      <c r="AJ1" s="74" t="n">
        <v>0</v>
      </c>
      <c r="AK1" s="74" t="n">
        <v>0</v>
      </c>
      <c r="AL1" s="74" t="n">
        <v>0</v>
      </c>
    </row>
    <row r="2">
      <c r="A2" s="74" t="inlineStr">
        <is>
          <t>[경암동]</t>
        </is>
      </c>
      <c r="B2" s="74" t="n">
        <v>4952</v>
      </c>
      <c r="C2" s="74" t="n">
        <v>2</v>
      </c>
      <c r="D2" s="74" t="inlineStr">
        <is>
          <t>새한</t>
        </is>
      </c>
      <c r="E2" s="74" t="inlineStr">
        <is>
          <t>1995.06.</t>
        </is>
      </c>
      <c r="F2" s="74" t="n">
        <v>304</v>
      </c>
      <c r="G2" s="74" t="n">
        <v>27.55</v>
      </c>
      <c r="H2" s="74" t="n">
        <v>91.09999999999999</v>
      </c>
      <c r="I2" s="74" t="n">
        <v>22.42</v>
      </c>
      <c r="J2" s="74" t="n">
        <v>74.14</v>
      </c>
      <c r="K2" s="74" t="n">
        <v>87</v>
      </c>
      <c r="T2" s="74" t="n">
        <v>3</v>
      </c>
      <c r="U2" s="74" t="n">
        <v>2</v>
      </c>
      <c r="V2" s="74" t="inlineStr">
        <is>
          <t>계단식</t>
        </is>
      </c>
      <c r="W2" s="74" t="n">
        <v>91</v>
      </c>
      <c r="X2" s="74" t="n">
        <v>15</v>
      </c>
      <c r="Y2" s="74" t="n">
        <v>7</v>
      </c>
      <c r="Z2" s="74" t="inlineStr">
        <is>
          <t>https://new.land.naver.com/complexes/4952?tab=detail&amp;rf=Y</t>
        </is>
      </c>
      <c r="AA2" s="74" t="inlineStr">
        <is>
          <t>전라북도 군산시 경암동 539-9</t>
        </is>
      </c>
      <c r="AB2" s="74" t="inlineStr">
        <is>
          <t>전라북도</t>
        </is>
      </c>
      <c r="AC2" s="74" t="inlineStr">
        <is>
          <t>군산시</t>
        </is>
      </c>
      <c r="AD2" s="74" t="inlineStr">
        <is>
          <t>경암동</t>
        </is>
      </c>
      <c r="AG2" s="74" t="inlineStr">
        <is>
          <t>전라북도 군산시 경촌3길 23</t>
        </is>
      </c>
      <c r="AH2" s="74" t="n">
        <v>0</v>
      </c>
      <c r="AI2" s="74" t="n">
        <v>0</v>
      </c>
      <c r="AJ2" s="74" t="n">
        <v>0</v>
      </c>
      <c r="AK2" s="74" t="n">
        <v>0</v>
      </c>
      <c r="AL2" s="74" t="n">
        <v>0</v>
      </c>
    </row>
    <row r="3">
      <c r="A3" s="74" t="inlineStr">
        <is>
          <t>[경암동]</t>
        </is>
      </c>
      <c r="B3" s="74" t="n">
        <v>4952</v>
      </c>
      <c r="C3" s="74" t="n">
        <v>3</v>
      </c>
      <c r="D3" s="74" t="inlineStr">
        <is>
          <t>새한</t>
        </is>
      </c>
      <c r="E3" s="74" t="inlineStr">
        <is>
          <t>1995.06.</t>
        </is>
      </c>
      <c r="F3" s="74" t="n">
        <v>304</v>
      </c>
      <c r="G3" s="74" t="n">
        <v>31.9</v>
      </c>
      <c r="H3" s="74" t="n">
        <v>105.47</v>
      </c>
      <c r="I3" s="74" t="n">
        <v>25.71</v>
      </c>
      <c r="J3" s="74" t="n">
        <v>85</v>
      </c>
      <c r="K3" s="74" t="n">
        <v>79</v>
      </c>
      <c r="T3" s="74" t="n">
        <v>3</v>
      </c>
      <c r="U3" s="74" t="n">
        <v>2</v>
      </c>
      <c r="V3" s="74" t="inlineStr">
        <is>
          <t>계단식</t>
        </is>
      </c>
      <c r="W3" s="74" t="n">
        <v>105</v>
      </c>
      <c r="X3" s="74" t="n">
        <v>15</v>
      </c>
      <c r="Y3" s="74" t="n">
        <v>7</v>
      </c>
      <c r="Z3" s="74" t="inlineStr">
        <is>
          <t>https://new.land.naver.com/complexes/4952?tab=detail&amp;rf=Y</t>
        </is>
      </c>
      <c r="AA3" s="74" t="inlineStr">
        <is>
          <t>전라북도 군산시 경암동 539-9</t>
        </is>
      </c>
      <c r="AB3" s="74" t="inlineStr">
        <is>
          <t>전라북도</t>
        </is>
      </c>
      <c r="AC3" s="74" t="inlineStr">
        <is>
          <t>군산시</t>
        </is>
      </c>
      <c r="AD3" s="74" t="inlineStr">
        <is>
          <t>경암동</t>
        </is>
      </c>
      <c r="AG3" s="74" t="inlineStr">
        <is>
          <t>전라북도 군산시 경촌3길 23</t>
        </is>
      </c>
      <c r="AH3" s="74" t="n">
        <v>0</v>
      </c>
      <c r="AI3" s="74" t="n">
        <v>0</v>
      </c>
      <c r="AJ3" s="74" t="n">
        <v>0</v>
      </c>
      <c r="AK3" s="74" t="n">
        <v>0</v>
      </c>
      <c r="AL3" s="74" t="n">
        <v>0</v>
      </c>
    </row>
    <row r="4">
      <c r="A4" s="74" t="inlineStr">
        <is>
          <t>[경암동]</t>
        </is>
      </c>
      <c r="B4" s="74" t="n">
        <v>16980</v>
      </c>
      <c r="C4" s="74" t="n">
        <v>1</v>
      </c>
      <c r="D4" s="74" t="inlineStr">
        <is>
          <t>명성타운</t>
        </is>
      </c>
      <c r="E4" s="74" t="inlineStr">
        <is>
          <t>1992.07.</t>
        </is>
      </c>
      <c r="F4" s="74" t="n">
        <v>72</v>
      </c>
      <c r="G4" s="74" t="n">
        <v>22.84</v>
      </c>
      <c r="H4" s="74" t="n">
        <v>75.52</v>
      </c>
      <c r="I4" s="74" t="n">
        <v>18.14</v>
      </c>
      <c r="J4" s="74" t="n">
        <v>59.97</v>
      </c>
      <c r="K4" s="74" t="n">
        <v>36</v>
      </c>
      <c r="T4" s="74" t="n">
        <v>3</v>
      </c>
      <c r="U4" s="74" t="n">
        <v>1</v>
      </c>
      <c r="V4" s="74" t="inlineStr">
        <is>
          <t>계단식</t>
        </is>
      </c>
      <c r="W4" s="74" t="n">
        <v>75</v>
      </c>
      <c r="X4" s="74" t="n">
        <v>6</v>
      </c>
      <c r="Y4" s="74" t="n">
        <v>6</v>
      </c>
      <c r="Z4" s="74" t="inlineStr">
        <is>
          <t>https://new.land.naver.com/complexes/16980?tab=detail&amp;rf=Y</t>
        </is>
      </c>
      <c r="AA4" s="74" t="inlineStr">
        <is>
          <t>전라북도 군산시 경암동 540-13</t>
        </is>
      </c>
      <c r="AB4" s="74" t="inlineStr">
        <is>
          <t>전라북도</t>
        </is>
      </c>
      <c r="AC4" s="74" t="inlineStr">
        <is>
          <t>군산시</t>
        </is>
      </c>
      <c r="AD4" s="74" t="inlineStr">
        <is>
          <t>경암동</t>
        </is>
      </c>
      <c r="AG4" s="74" t="inlineStr">
        <is>
          <t>전라북도 군산시 경촌1길 52</t>
        </is>
      </c>
      <c r="AH4" s="74" t="n">
        <v>0</v>
      </c>
      <c r="AI4" s="74" t="n">
        <v>0</v>
      </c>
      <c r="AJ4" s="74" t="n">
        <v>0</v>
      </c>
      <c r="AK4" s="74" t="n">
        <v>0</v>
      </c>
      <c r="AL4" s="74" t="n">
        <v>0</v>
      </c>
    </row>
    <row r="5">
      <c r="A5" s="74" t="inlineStr">
        <is>
          <t>[경암동]</t>
        </is>
      </c>
      <c r="B5" s="74" t="n">
        <v>16980</v>
      </c>
      <c r="C5" s="74" t="n">
        <v>2</v>
      </c>
      <c r="D5" s="74" t="inlineStr">
        <is>
          <t>명성타운</t>
        </is>
      </c>
      <c r="E5" s="74" t="inlineStr">
        <is>
          <t>1992.07.</t>
        </is>
      </c>
      <c r="F5" s="74" t="n">
        <v>72</v>
      </c>
      <c r="G5" s="74" t="n">
        <v>31.1</v>
      </c>
      <c r="H5" s="74" t="n">
        <v>102.82</v>
      </c>
      <c r="I5" s="74" t="n">
        <v>25.31</v>
      </c>
      <c r="J5" s="74" t="n">
        <v>83.7</v>
      </c>
      <c r="K5" s="74" t="n">
        <v>36</v>
      </c>
      <c r="T5" s="74" t="n">
        <v>3</v>
      </c>
      <c r="U5" s="74" t="n">
        <v>2</v>
      </c>
      <c r="V5" s="74" t="inlineStr">
        <is>
          <t>계단식</t>
        </is>
      </c>
      <c r="W5" s="74" t="n">
        <v>102</v>
      </c>
      <c r="X5" s="74" t="n">
        <v>6</v>
      </c>
      <c r="Y5" s="74" t="n">
        <v>6</v>
      </c>
      <c r="Z5" s="74" t="inlineStr">
        <is>
          <t>https://new.land.naver.com/complexes/16980?tab=detail&amp;rf=Y</t>
        </is>
      </c>
      <c r="AA5" s="74" t="inlineStr">
        <is>
          <t>전라북도 군산시 경암동 540-13</t>
        </is>
      </c>
      <c r="AB5" s="74" t="inlineStr">
        <is>
          <t>전라북도</t>
        </is>
      </c>
      <c r="AC5" s="74" t="inlineStr">
        <is>
          <t>군산시</t>
        </is>
      </c>
      <c r="AD5" s="74" t="inlineStr">
        <is>
          <t>경암동</t>
        </is>
      </c>
      <c r="AG5" s="74" t="inlineStr">
        <is>
          <t>전라북도 군산시 경촌1길 52</t>
        </is>
      </c>
      <c r="AH5" s="74" t="n">
        <v>0</v>
      </c>
      <c r="AI5" s="74" t="n">
        <v>0</v>
      </c>
      <c r="AJ5" s="74" t="n">
        <v>0</v>
      </c>
      <c r="AK5" s="74" t="n">
        <v>0</v>
      </c>
      <c r="AL5" s="74" t="n">
        <v>0</v>
      </c>
    </row>
    <row r="6">
      <c r="A6" s="74" t="inlineStr">
        <is>
          <t>[경암동]</t>
        </is>
      </c>
      <c r="B6" s="74" t="n">
        <v>107110</v>
      </c>
      <c r="C6" s="74" t="n">
        <v>1</v>
      </c>
      <c r="D6" s="74" t="inlineStr">
        <is>
          <t>경암제일오투그란데</t>
        </is>
      </c>
      <c r="E6" s="74" t="inlineStr">
        <is>
          <t>2015.11.</t>
        </is>
      </c>
      <c r="F6" s="74" t="n">
        <v>352</v>
      </c>
      <c r="G6" s="74" t="n">
        <v>32.96</v>
      </c>
      <c r="H6" s="74" t="n">
        <v>108.97</v>
      </c>
      <c r="I6" s="74" t="n">
        <v>25.36</v>
      </c>
      <c r="J6" s="74" t="n">
        <v>83.86</v>
      </c>
      <c r="K6" s="74" t="n">
        <v>20</v>
      </c>
      <c r="T6" s="74" t="n">
        <v>3</v>
      </c>
      <c r="U6" s="74" t="n">
        <v>2</v>
      </c>
      <c r="V6" s="74" t="inlineStr">
        <is>
          <t>계단식</t>
        </is>
      </c>
      <c r="W6" s="74" t="inlineStr">
        <is>
          <t>108C</t>
        </is>
      </c>
      <c r="X6" s="74" t="n">
        <v>29</v>
      </c>
      <c r="Y6" s="74" t="n">
        <v>10</v>
      </c>
      <c r="Z6" s="74" t="inlineStr">
        <is>
          <t>https://new.land.naver.com/complexes/107110?tab=detail&amp;rf=Y</t>
        </is>
      </c>
      <c r="AA6" s="74" t="inlineStr">
        <is>
          <t>전라북도 군산시 경암동 709</t>
        </is>
      </c>
      <c r="AB6" s="74" t="inlineStr">
        <is>
          <t>전라북도</t>
        </is>
      </c>
      <c r="AC6" s="74" t="inlineStr">
        <is>
          <t>군산시</t>
        </is>
      </c>
      <c r="AD6" s="74" t="inlineStr">
        <is>
          <t>경암동</t>
        </is>
      </c>
      <c r="AG6" s="74" t="inlineStr">
        <is>
          <t>전라북도 군산시 조촌로 214</t>
        </is>
      </c>
      <c r="AH6" s="74" t="n">
        <v>0</v>
      </c>
      <c r="AI6" s="74" t="n">
        <v>219</v>
      </c>
      <c r="AJ6" s="74" t="n">
        <v>58</v>
      </c>
      <c r="AK6" s="74" t="n">
        <v>423</v>
      </c>
      <c r="AL6" s="74" t="n">
        <v>1.2</v>
      </c>
    </row>
    <row r="7">
      <c r="A7" s="74" t="inlineStr">
        <is>
          <t>[경암동]</t>
        </is>
      </c>
      <c r="B7" s="74" t="n">
        <v>107110</v>
      </c>
      <c r="C7" s="74" t="n">
        <v>2</v>
      </c>
      <c r="D7" s="74" t="inlineStr">
        <is>
          <t>경암제일오투그란데</t>
        </is>
      </c>
      <c r="E7" s="74" t="inlineStr">
        <is>
          <t>2015.11.</t>
        </is>
      </c>
      <c r="F7" s="74" t="n">
        <v>352</v>
      </c>
      <c r="G7" s="74" t="n">
        <v>33.12</v>
      </c>
      <c r="H7" s="74" t="n">
        <v>109.49</v>
      </c>
      <c r="I7" s="74" t="n">
        <v>25.7</v>
      </c>
      <c r="J7" s="74" t="n">
        <v>84.97</v>
      </c>
      <c r="K7" s="74" t="n">
        <v>104</v>
      </c>
      <c r="T7" s="74" t="n">
        <v>3</v>
      </c>
      <c r="U7" s="74" t="n">
        <v>2</v>
      </c>
      <c r="V7" s="74" t="inlineStr">
        <is>
          <t>계단식</t>
        </is>
      </c>
      <c r="W7" s="74" t="inlineStr">
        <is>
          <t>109D</t>
        </is>
      </c>
      <c r="X7" s="74" t="n">
        <v>29</v>
      </c>
      <c r="Y7" s="74" t="n">
        <v>10</v>
      </c>
      <c r="Z7" s="74" t="inlineStr">
        <is>
          <t>https://new.land.naver.com/complexes/107110?tab=detail&amp;rf=Y</t>
        </is>
      </c>
      <c r="AA7" s="74" t="inlineStr">
        <is>
          <t>전라북도 군산시 경암동 709</t>
        </is>
      </c>
      <c r="AB7" s="74" t="inlineStr">
        <is>
          <t>전라북도</t>
        </is>
      </c>
      <c r="AC7" s="74" t="inlineStr">
        <is>
          <t>군산시</t>
        </is>
      </c>
      <c r="AD7" s="74" t="inlineStr">
        <is>
          <t>경암동</t>
        </is>
      </c>
      <c r="AG7" s="74" t="inlineStr">
        <is>
          <t>전라북도 군산시 조촌로 214</t>
        </is>
      </c>
      <c r="AH7" s="74" t="n">
        <v>0</v>
      </c>
      <c r="AI7" s="74" t="n">
        <v>219</v>
      </c>
      <c r="AJ7" s="74" t="n">
        <v>58</v>
      </c>
      <c r="AK7" s="74" t="n">
        <v>423</v>
      </c>
      <c r="AL7" s="74" t="n">
        <v>1.2</v>
      </c>
    </row>
    <row r="8">
      <c r="A8" s="74" t="inlineStr">
        <is>
          <t>[경암동]</t>
        </is>
      </c>
      <c r="B8" s="74" t="n">
        <v>107110</v>
      </c>
      <c r="C8" s="74" t="n">
        <v>3</v>
      </c>
      <c r="D8" s="74" t="inlineStr">
        <is>
          <t>경암제일오투그란데</t>
        </is>
      </c>
      <c r="E8" s="74" t="inlineStr">
        <is>
          <t>2015.11.</t>
        </is>
      </c>
      <c r="F8" s="74" t="n">
        <v>352</v>
      </c>
      <c r="G8" s="74" t="n">
        <v>33.46</v>
      </c>
      <c r="H8" s="74" t="n">
        <v>110.64</v>
      </c>
      <c r="I8" s="74" t="n">
        <v>25.55</v>
      </c>
      <c r="J8" s="74" t="n">
        <v>84.48999999999999</v>
      </c>
      <c r="K8" s="74" t="n">
        <v>131</v>
      </c>
      <c r="T8" s="74" t="n">
        <v>3</v>
      </c>
      <c r="U8" s="74" t="n">
        <v>2</v>
      </c>
      <c r="V8" s="74" t="inlineStr">
        <is>
          <t>계단식</t>
        </is>
      </c>
      <c r="W8" s="74" t="inlineStr">
        <is>
          <t>110B</t>
        </is>
      </c>
      <c r="X8" s="74" t="n">
        <v>29</v>
      </c>
      <c r="Y8" s="74" t="n">
        <v>10</v>
      </c>
      <c r="Z8" s="74" t="inlineStr">
        <is>
          <t>https://new.land.naver.com/complexes/107110?tab=detail&amp;rf=Y</t>
        </is>
      </c>
      <c r="AA8" s="74" t="inlineStr">
        <is>
          <t>전라북도 군산시 경암동 709</t>
        </is>
      </c>
      <c r="AB8" s="74" t="inlineStr">
        <is>
          <t>전라북도</t>
        </is>
      </c>
      <c r="AC8" s="74" t="inlineStr">
        <is>
          <t>군산시</t>
        </is>
      </c>
      <c r="AD8" s="74" t="inlineStr">
        <is>
          <t>경암동</t>
        </is>
      </c>
      <c r="AG8" s="74" t="inlineStr">
        <is>
          <t>전라북도 군산시 조촌로 214</t>
        </is>
      </c>
      <c r="AH8" s="74" t="n">
        <v>0</v>
      </c>
      <c r="AI8" s="74" t="n">
        <v>219</v>
      </c>
      <c r="AJ8" s="74" t="n">
        <v>58</v>
      </c>
      <c r="AK8" s="74" t="n">
        <v>423</v>
      </c>
      <c r="AL8" s="74" t="n">
        <v>1.2</v>
      </c>
    </row>
    <row r="9">
      <c r="A9" s="74" t="inlineStr">
        <is>
          <t>[경암동]</t>
        </is>
      </c>
      <c r="B9" s="74" t="n">
        <v>107110</v>
      </c>
      <c r="C9" s="74" t="n">
        <v>4</v>
      </c>
      <c r="D9" s="74" t="inlineStr">
        <is>
          <t>경암제일오투그란데</t>
        </is>
      </c>
      <c r="E9" s="74" t="inlineStr">
        <is>
          <t>2015.11.</t>
        </is>
      </c>
      <c r="F9" s="74" t="n">
        <v>352</v>
      </c>
      <c r="G9" s="74" t="n">
        <v>33.31</v>
      </c>
      <c r="H9" s="74" t="n">
        <v>110.14</v>
      </c>
      <c r="I9" s="74" t="n">
        <v>25.69</v>
      </c>
      <c r="J9" s="74" t="n">
        <v>84.94</v>
      </c>
      <c r="K9" s="74" t="n">
        <v>97</v>
      </c>
      <c r="T9" s="74" t="n">
        <v>3</v>
      </c>
      <c r="U9" s="74" t="n">
        <v>2</v>
      </c>
      <c r="V9" s="74" t="inlineStr">
        <is>
          <t>계단식</t>
        </is>
      </c>
      <c r="W9" s="74" t="inlineStr">
        <is>
          <t>110A</t>
        </is>
      </c>
      <c r="X9" s="74" t="n">
        <v>29</v>
      </c>
      <c r="Y9" s="74" t="n">
        <v>10</v>
      </c>
      <c r="Z9" s="74" t="inlineStr">
        <is>
          <t>https://new.land.naver.com/complexes/107110?tab=detail&amp;rf=Y</t>
        </is>
      </c>
      <c r="AA9" s="74" t="inlineStr">
        <is>
          <t>전라북도 군산시 경암동 709</t>
        </is>
      </c>
      <c r="AB9" s="74" t="inlineStr">
        <is>
          <t>전라북도</t>
        </is>
      </c>
      <c r="AC9" s="74" t="inlineStr">
        <is>
          <t>군산시</t>
        </is>
      </c>
      <c r="AD9" s="74" t="inlineStr">
        <is>
          <t>경암동</t>
        </is>
      </c>
      <c r="AG9" s="74" t="inlineStr">
        <is>
          <t>전라북도 군산시 조촌로 214</t>
        </is>
      </c>
      <c r="AH9" s="74" t="n">
        <v>0</v>
      </c>
      <c r="AI9" s="74" t="n">
        <v>219</v>
      </c>
      <c r="AJ9" s="74" t="n">
        <v>58</v>
      </c>
      <c r="AK9" s="74" t="n">
        <v>423</v>
      </c>
      <c r="AL9" s="74" t="n">
        <v>1.2</v>
      </c>
    </row>
    <row r="10">
      <c r="A10" s="74" t="inlineStr">
        <is>
          <t>[경암동]</t>
        </is>
      </c>
      <c r="B10" s="74" t="n">
        <v>14952</v>
      </c>
      <c r="C10" s="74" t="n">
        <v>1</v>
      </c>
      <c r="D10" s="74" t="inlineStr">
        <is>
          <t>신흥</t>
        </is>
      </c>
      <c r="E10" s="74" t="inlineStr">
        <is>
          <t>1994.01.</t>
        </is>
      </c>
      <c r="F10" s="74" t="n">
        <v>84</v>
      </c>
      <c r="G10" s="74" t="n">
        <v>24.51</v>
      </c>
      <c r="H10" s="74" t="n">
        <v>81.05</v>
      </c>
      <c r="I10" s="74" t="n">
        <v>18.06</v>
      </c>
      <c r="J10" s="74" t="n">
        <v>59.73</v>
      </c>
      <c r="K10" s="74" t="n">
        <v>67</v>
      </c>
      <c r="T10" s="74" t="n">
        <v>3</v>
      </c>
      <c r="U10" s="74" t="n">
        <v>1</v>
      </c>
      <c r="V10" s="74" t="inlineStr">
        <is>
          <t>계단식</t>
        </is>
      </c>
      <c r="W10" s="74" t="n">
        <v>81</v>
      </c>
      <c r="X10" s="74" t="n">
        <v>10</v>
      </c>
      <c r="Y10" s="74" t="n">
        <v>7</v>
      </c>
      <c r="Z10" s="74" t="inlineStr">
        <is>
          <t>https://new.land.naver.com/complexes/14952?tab=detail&amp;rf=Y</t>
        </is>
      </c>
      <c r="AA10" s="74" t="inlineStr">
        <is>
          <t>전라북도 군산시 경암동 544-8</t>
        </is>
      </c>
      <c r="AB10" s="74" t="inlineStr">
        <is>
          <t>전라북도</t>
        </is>
      </c>
      <c r="AC10" s="74" t="inlineStr">
        <is>
          <t>군산시</t>
        </is>
      </c>
      <c r="AD10" s="74" t="inlineStr">
        <is>
          <t>경암동</t>
        </is>
      </c>
      <c r="AG10" s="74" t="inlineStr">
        <is>
          <t>전라북도 군산시 경촌안1길 38</t>
        </is>
      </c>
      <c r="AH10" s="74" t="n">
        <v>0</v>
      </c>
      <c r="AI10" s="74" t="n">
        <v>256</v>
      </c>
      <c r="AJ10" s="74" t="n">
        <v>33</v>
      </c>
      <c r="AK10" s="74" t="n">
        <v>37</v>
      </c>
      <c r="AL10" s="74" t="n">
        <v>0.44</v>
      </c>
    </row>
    <row r="11">
      <c r="A11" s="74" t="inlineStr">
        <is>
          <t>[경암동]</t>
        </is>
      </c>
      <c r="B11" s="74" t="n">
        <v>14952</v>
      </c>
      <c r="C11" s="74" t="n">
        <v>2</v>
      </c>
      <c r="D11" s="74" t="inlineStr">
        <is>
          <t>신흥</t>
        </is>
      </c>
      <c r="E11" s="74" t="inlineStr">
        <is>
          <t>1994.01.</t>
        </is>
      </c>
      <c r="F11" s="74" t="n">
        <v>84</v>
      </c>
      <c r="G11" s="74" t="n">
        <v>34.17</v>
      </c>
      <c r="H11" s="74" t="n">
        <v>112.97</v>
      </c>
      <c r="I11" s="74" t="n">
        <v>25.18</v>
      </c>
      <c r="J11" s="74" t="n">
        <v>83.25</v>
      </c>
      <c r="K11" s="74" t="n">
        <v>10</v>
      </c>
      <c r="T11" s="74" t="n">
        <v>3</v>
      </c>
      <c r="U11" s="74" t="n">
        <v>2</v>
      </c>
      <c r="V11" s="74" t="inlineStr">
        <is>
          <t>계단식</t>
        </is>
      </c>
      <c r="W11" s="74" t="n">
        <v>112</v>
      </c>
      <c r="X11" s="74" t="n">
        <v>10</v>
      </c>
      <c r="Y11" s="74" t="n">
        <v>7</v>
      </c>
      <c r="Z11" s="74" t="inlineStr">
        <is>
          <t>https://new.land.naver.com/complexes/14952?tab=detail&amp;rf=Y</t>
        </is>
      </c>
      <c r="AA11" s="74" t="inlineStr">
        <is>
          <t>전라북도 군산시 경암동 544-8</t>
        </is>
      </c>
      <c r="AB11" s="74" t="inlineStr">
        <is>
          <t>전라북도</t>
        </is>
      </c>
      <c r="AC11" s="74" t="inlineStr">
        <is>
          <t>군산시</t>
        </is>
      </c>
      <c r="AD11" s="74" t="inlineStr">
        <is>
          <t>경암동</t>
        </is>
      </c>
      <c r="AG11" s="74" t="inlineStr">
        <is>
          <t>전라북도 군산시 경촌안1길 38</t>
        </is>
      </c>
      <c r="AH11" s="74" t="n">
        <v>0</v>
      </c>
      <c r="AI11" s="74" t="n">
        <v>256</v>
      </c>
      <c r="AJ11" s="74" t="n">
        <v>33</v>
      </c>
      <c r="AK11" s="74" t="n">
        <v>37</v>
      </c>
      <c r="AL11" s="74" t="n">
        <v>0.44</v>
      </c>
    </row>
    <row r="12">
      <c r="A12" s="74" t="inlineStr">
        <is>
          <t>[경암동]</t>
        </is>
      </c>
      <c r="B12" s="74" t="n">
        <v>14952</v>
      </c>
      <c r="C12" s="74" t="n">
        <v>3</v>
      </c>
      <c r="D12" s="74" t="inlineStr">
        <is>
          <t>신흥</t>
        </is>
      </c>
      <c r="E12" s="74" t="inlineStr">
        <is>
          <t>1994.01.</t>
        </is>
      </c>
      <c r="F12" s="74" t="n">
        <v>84</v>
      </c>
      <c r="G12" s="74" t="n">
        <v>34.87</v>
      </c>
      <c r="H12" s="74" t="n">
        <v>115.29</v>
      </c>
      <c r="I12" s="74" t="n">
        <v>25.7</v>
      </c>
      <c r="J12" s="74" t="n">
        <v>84.95999999999999</v>
      </c>
      <c r="K12" s="74" t="n">
        <v>7</v>
      </c>
      <c r="T12" s="74" t="n">
        <v>3</v>
      </c>
      <c r="U12" s="74" t="n">
        <v>2</v>
      </c>
      <c r="V12" s="74" t="inlineStr">
        <is>
          <t>계단식</t>
        </is>
      </c>
      <c r="W12" s="74" t="n">
        <v>115</v>
      </c>
      <c r="X12" s="74" t="n">
        <v>10</v>
      </c>
      <c r="Y12" s="74" t="n">
        <v>7</v>
      </c>
      <c r="Z12" s="74" t="inlineStr">
        <is>
          <t>https://new.land.naver.com/complexes/14952?tab=detail&amp;rf=Y</t>
        </is>
      </c>
      <c r="AA12" s="74" t="inlineStr">
        <is>
          <t>전라북도 군산시 경암동 544-8</t>
        </is>
      </c>
      <c r="AB12" s="74" t="inlineStr">
        <is>
          <t>전라북도</t>
        </is>
      </c>
      <c r="AC12" s="74" t="inlineStr">
        <is>
          <t>군산시</t>
        </is>
      </c>
      <c r="AD12" s="74" t="inlineStr">
        <is>
          <t>경암동</t>
        </is>
      </c>
      <c r="AG12" s="74" t="inlineStr">
        <is>
          <t>전라북도 군산시 경촌안1길 38</t>
        </is>
      </c>
      <c r="AH12" s="74" t="n">
        <v>0</v>
      </c>
      <c r="AI12" s="74" t="n">
        <v>256</v>
      </c>
      <c r="AJ12" s="74" t="n">
        <v>33</v>
      </c>
      <c r="AK12" s="74" t="n">
        <v>37</v>
      </c>
      <c r="AL12" s="74" t="n">
        <v>0.44</v>
      </c>
    </row>
    <row r="13">
      <c r="A13" s="74" t="inlineStr">
        <is>
          <t>[경암동]</t>
        </is>
      </c>
      <c r="B13" s="74" t="n">
        <v>117452</v>
      </c>
      <c r="C13" s="74" t="n">
        <v>1</v>
      </c>
      <c r="D13" s="74" t="inlineStr">
        <is>
          <t>경암부향하나로</t>
        </is>
      </c>
      <c r="E13" s="74" t="inlineStr">
        <is>
          <t>1998.09.</t>
        </is>
      </c>
      <c r="F13" s="74" t="n">
        <v>880</v>
      </c>
      <c r="G13" s="74" t="n">
        <v>16.62</v>
      </c>
      <c r="H13" s="74" t="n">
        <v>54.95</v>
      </c>
      <c r="I13" s="74" t="n">
        <v>12.08</v>
      </c>
      <c r="J13" s="74" t="n">
        <v>39.95</v>
      </c>
      <c r="K13" s="74" t="n">
        <v>163</v>
      </c>
      <c r="T13" s="74" t="n">
        <v>3</v>
      </c>
      <c r="U13" s="74" t="n">
        <v>1</v>
      </c>
      <c r="V13" s="74" t="inlineStr">
        <is>
          <t>계단식</t>
        </is>
      </c>
      <c r="W13" s="74" t="n">
        <v>54</v>
      </c>
      <c r="X13" s="74" t="n">
        <v>17</v>
      </c>
      <c r="Y13" s="74" t="n">
        <v>13</v>
      </c>
      <c r="Z13" s="74" t="inlineStr">
        <is>
          <t>https://new.land.naver.com/complexes/117452?tab=detail&amp;rf=Y</t>
        </is>
      </c>
      <c r="AA13" s="74" t="inlineStr">
        <is>
          <t>전라북도 군산시 경암동 540-8</t>
        </is>
      </c>
      <c r="AB13" s="74" t="inlineStr">
        <is>
          <t>전라북도</t>
        </is>
      </c>
      <c r="AC13" s="74" t="inlineStr">
        <is>
          <t>군산시</t>
        </is>
      </c>
      <c r="AD13" s="74" t="inlineStr">
        <is>
          <t>경암동</t>
        </is>
      </c>
      <c r="AG13" s="74" t="inlineStr">
        <is>
          <t>전라북도 군산시 경촌1길 56</t>
        </is>
      </c>
      <c r="AH13" s="74" t="n">
        <v>717</v>
      </c>
      <c r="AI13" s="74" t="n">
        <v>317</v>
      </c>
      <c r="AJ13" s="74" t="n">
        <v>29</v>
      </c>
      <c r="AK13" s="74" t="n">
        <v>539</v>
      </c>
      <c r="AL13" s="74" t="n">
        <v>0.61</v>
      </c>
    </row>
    <row r="14">
      <c r="A14" s="74" t="inlineStr">
        <is>
          <t>[경장동]</t>
        </is>
      </c>
      <c r="B14" s="74" t="n">
        <v>100924</v>
      </c>
      <c r="C14" s="74" t="n">
        <v>1</v>
      </c>
      <c r="D14" s="74" t="inlineStr">
        <is>
          <t>오르빌</t>
        </is>
      </c>
      <c r="E14" s="74" t="inlineStr">
        <is>
          <t>2004.05.</t>
        </is>
      </c>
      <c r="F14" s="74" t="n">
        <v>173</v>
      </c>
      <c r="G14" s="74" t="n">
        <v>27.32</v>
      </c>
      <c r="H14" s="74" t="n">
        <v>90.34</v>
      </c>
      <c r="I14" s="74" t="n">
        <v>18.14</v>
      </c>
      <c r="J14" s="74" t="n">
        <v>59.98</v>
      </c>
      <c r="K14" s="74" t="n">
        <v>89</v>
      </c>
      <c r="T14" s="74" t="n">
        <v>3</v>
      </c>
      <c r="U14" s="74" t="n">
        <v>1</v>
      </c>
      <c r="V14" s="74" t="inlineStr">
        <is>
          <t>복도식</t>
        </is>
      </c>
      <c r="W14" s="74" t="n">
        <v>90</v>
      </c>
      <c r="X14" s="74" t="n">
        <v>15</v>
      </c>
      <c r="Y14" s="74" t="n">
        <v>15</v>
      </c>
      <c r="Z14" s="74" t="inlineStr">
        <is>
          <t>https://new.land.naver.com/complexes/100924?tab=detail&amp;rf=Y</t>
        </is>
      </c>
      <c r="AA14" s="74" t="inlineStr">
        <is>
          <t>전라북도 군산시 경장동 511-6</t>
        </is>
      </c>
      <c r="AB14" s="74" t="inlineStr">
        <is>
          <t>전라북도</t>
        </is>
      </c>
      <c r="AC14" s="74" t="inlineStr">
        <is>
          <t>군산시</t>
        </is>
      </c>
      <c r="AD14" s="74" t="inlineStr">
        <is>
          <t>경장동</t>
        </is>
      </c>
      <c r="AG14" s="74" t="inlineStr">
        <is>
          <t>전라북도 군산시 번영로 86</t>
        </is>
      </c>
      <c r="AH14" s="74" t="n">
        <v>0</v>
      </c>
      <c r="AI14" s="74" t="n">
        <v>433</v>
      </c>
      <c r="AJ14" s="74" t="n">
        <v>31</v>
      </c>
      <c r="AK14" s="74" t="n">
        <v>148</v>
      </c>
      <c r="AL14" s="74" t="n">
        <v>0.86</v>
      </c>
    </row>
    <row r="15">
      <c r="A15" s="74" t="inlineStr">
        <is>
          <t>[경장동]</t>
        </is>
      </c>
      <c r="B15" s="74" t="n">
        <v>100924</v>
      </c>
      <c r="C15" s="74" t="n">
        <v>2</v>
      </c>
      <c r="D15" s="74" t="inlineStr">
        <is>
          <t>오르빌</t>
        </is>
      </c>
      <c r="E15" s="74" t="inlineStr">
        <is>
          <t>2004.05.</t>
        </is>
      </c>
      <c r="F15" s="74" t="n">
        <v>173</v>
      </c>
      <c r="G15" s="74" t="n">
        <v>28.21</v>
      </c>
      <c r="H15" s="74" t="n">
        <v>93.27</v>
      </c>
      <c r="I15" s="74" t="n">
        <v>18.14</v>
      </c>
      <c r="J15" s="74" t="n">
        <v>59.98</v>
      </c>
      <c r="K15" s="74" t="n">
        <v>84</v>
      </c>
      <c r="T15" s="74" t="n">
        <v>3</v>
      </c>
      <c r="U15" s="74" t="n">
        <v>1</v>
      </c>
      <c r="V15" s="74" t="inlineStr">
        <is>
          <t>복도식</t>
        </is>
      </c>
      <c r="W15" s="74" t="n">
        <v>93</v>
      </c>
      <c r="X15" s="74" t="n">
        <v>15</v>
      </c>
      <c r="Y15" s="74" t="n">
        <v>15</v>
      </c>
      <c r="Z15" s="74" t="inlineStr">
        <is>
          <t>https://new.land.naver.com/complexes/100924?tab=detail&amp;rf=Y</t>
        </is>
      </c>
      <c r="AA15" s="74" t="inlineStr">
        <is>
          <t>전라북도 군산시 경장동 511-6</t>
        </is>
      </c>
      <c r="AB15" s="74" t="inlineStr">
        <is>
          <t>전라북도</t>
        </is>
      </c>
      <c r="AC15" s="74" t="inlineStr">
        <is>
          <t>군산시</t>
        </is>
      </c>
      <c r="AD15" s="74" t="inlineStr">
        <is>
          <t>경장동</t>
        </is>
      </c>
      <c r="AG15" s="74" t="inlineStr">
        <is>
          <t>전라북도 군산시 번영로 86</t>
        </is>
      </c>
      <c r="AH15" s="74" t="n">
        <v>0</v>
      </c>
      <c r="AI15" s="74" t="n">
        <v>433</v>
      </c>
      <c r="AJ15" s="74" t="n">
        <v>31</v>
      </c>
      <c r="AK15" s="74" t="n">
        <v>148</v>
      </c>
      <c r="AL15" s="74" t="n">
        <v>0.86</v>
      </c>
    </row>
    <row r="16">
      <c r="A16" s="74" t="inlineStr">
        <is>
          <t>[구암동]</t>
        </is>
      </c>
      <c r="B16" s="74" t="n">
        <v>4953</v>
      </c>
      <c r="C16" s="74" t="n">
        <v>1</v>
      </c>
      <c r="D16" s="74" t="inlineStr">
        <is>
          <t>현대</t>
        </is>
      </c>
      <c r="E16" s="74" t="inlineStr">
        <is>
          <t>1994.03.</t>
        </is>
      </c>
      <c r="F16" s="74" t="n">
        <v>1084</v>
      </c>
      <c r="G16" s="74" t="n">
        <v>24.22</v>
      </c>
      <c r="H16" s="74" t="n">
        <v>80.06999999999999</v>
      </c>
      <c r="I16" s="74" t="n">
        <v>18.11</v>
      </c>
      <c r="J16" s="74" t="n">
        <v>59.9</v>
      </c>
      <c r="K16" s="74" t="n">
        <v>427</v>
      </c>
      <c r="T16" s="74" t="n">
        <v>3</v>
      </c>
      <c r="U16" s="74" t="n">
        <v>1</v>
      </c>
      <c r="V16" s="74" t="inlineStr">
        <is>
          <t>계단식</t>
        </is>
      </c>
      <c r="W16" s="74" t="n">
        <v>80</v>
      </c>
      <c r="X16" s="74" t="n">
        <v>15</v>
      </c>
      <c r="Y16" s="74" t="n">
        <v>15</v>
      </c>
      <c r="Z16" s="74" t="inlineStr">
        <is>
          <t>https://new.land.naver.com/complexes/4953?tab=detail&amp;rf=Y</t>
        </is>
      </c>
      <c r="AA16" s="74" t="inlineStr">
        <is>
          <t>전라북도 군산시 구암동 65</t>
        </is>
      </c>
      <c r="AB16" s="74" t="inlineStr">
        <is>
          <t>전라북도</t>
        </is>
      </c>
      <c r="AC16" s="74" t="inlineStr">
        <is>
          <t>군산시</t>
        </is>
      </c>
      <c r="AD16" s="74" t="inlineStr">
        <is>
          <t>구암동</t>
        </is>
      </c>
      <c r="AG16" s="74" t="inlineStr">
        <is>
          <t>전라북도 군산시 서당길 11</t>
        </is>
      </c>
      <c r="AH16" s="74" t="n">
        <v>0</v>
      </c>
      <c r="AI16" s="74" t="n">
        <v>0</v>
      </c>
      <c r="AJ16" s="74" t="n">
        <v>0</v>
      </c>
      <c r="AK16" s="74" t="n">
        <v>654</v>
      </c>
      <c r="AL16" s="74" t="n">
        <v>0.6</v>
      </c>
    </row>
    <row r="17">
      <c r="A17" s="74" t="inlineStr">
        <is>
          <t>[구암동]</t>
        </is>
      </c>
      <c r="B17" s="74" t="n">
        <v>4953</v>
      </c>
      <c r="C17" s="74" t="n">
        <v>2</v>
      </c>
      <c r="D17" s="74" t="inlineStr">
        <is>
          <t>현대</t>
        </is>
      </c>
      <c r="E17" s="74" t="inlineStr">
        <is>
          <t>1994.03.</t>
        </is>
      </c>
      <c r="F17" s="74" t="n">
        <v>1084</v>
      </c>
      <c r="G17" s="74" t="n">
        <v>31</v>
      </c>
      <c r="H17" s="74" t="n">
        <v>102.5</v>
      </c>
      <c r="I17" s="74" t="n">
        <v>25.68</v>
      </c>
      <c r="J17" s="74" t="n">
        <v>84.90000000000001</v>
      </c>
      <c r="K17" s="74" t="n">
        <v>537</v>
      </c>
      <c r="T17" s="74" t="n">
        <v>3</v>
      </c>
      <c r="U17" s="74" t="n">
        <v>2</v>
      </c>
      <c r="V17" s="74" t="inlineStr">
        <is>
          <t>계단식</t>
        </is>
      </c>
      <c r="W17" s="74" t="n">
        <v>102</v>
      </c>
      <c r="X17" s="74" t="n">
        <v>15</v>
      </c>
      <c r="Y17" s="74" t="n">
        <v>15</v>
      </c>
      <c r="Z17" s="74" t="inlineStr">
        <is>
          <t>https://new.land.naver.com/complexes/4953?tab=detail&amp;rf=Y</t>
        </is>
      </c>
      <c r="AA17" s="74" t="inlineStr">
        <is>
          <t>전라북도 군산시 구암동 65</t>
        </is>
      </c>
      <c r="AB17" s="74" t="inlineStr">
        <is>
          <t>전라북도</t>
        </is>
      </c>
      <c r="AC17" s="74" t="inlineStr">
        <is>
          <t>군산시</t>
        </is>
      </c>
      <c r="AD17" s="74" t="inlineStr">
        <is>
          <t>구암동</t>
        </is>
      </c>
      <c r="AG17" s="74" t="inlineStr">
        <is>
          <t>전라북도 군산시 서당길 11</t>
        </is>
      </c>
      <c r="AH17" s="74" t="n">
        <v>0</v>
      </c>
      <c r="AI17" s="74" t="n">
        <v>0</v>
      </c>
      <c r="AJ17" s="74" t="n">
        <v>0</v>
      </c>
      <c r="AK17" s="74" t="n">
        <v>654</v>
      </c>
      <c r="AL17" s="74" t="n">
        <v>0.6</v>
      </c>
    </row>
    <row r="18">
      <c r="A18" s="74" t="inlineStr">
        <is>
          <t>[구암동]</t>
        </is>
      </c>
      <c r="B18" s="74" t="n">
        <v>4953</v>
      </c>
      <c r="C18" s="74" t="n">
        <v>3</v>
      </c>
      <c r="D18" s="74" t="inlineStr">
        <is>
          <t>현대</t>
        </is>
      </c>
      <c r="E18" s="74" t="inlineStr">
        <is>
          <t>1994.03.</t>
        </is>
      </c>
      <c r="F18" s="74" t="n">
        <v>1084</v>
      </c>
      <c r="G18" s="74" t="n">
        <v>44.25</v>
      </c>
      <c r="H18" s="74" t="n">
        <v>146.29</v>
      </c>
      <c r="I18" s="74" t="n">
        <v>38.08</v>
      </c>
      <c r="J18" s="74" t="n">
        <v>125.89</v>
      </c>
      <c r="K18" s="74" t="n">
        <v>120</v>
      </c>
      <c r="T18" s="74" t="n">
        <v>4</v>
      </c>
      <c r="U18" s="74" t="n">
        <v>2</v>
      </c>
      <c r="V18" s="74" t="inlineStr">
        <is>
          <t>계단식</t>
        </is>
      </c>
      <c r="W18" s="74" t="n">
        <v>146</v>
      </c>
      <c r="X18" s="74" t="n">
        <v>15</v>
      </c>
      <c r="Y18" s="74" t="n">
        <v>15</v>
      </c>
      <c r="Z18" s="74" t="inlineStr">
        <is>
          <t>https://new.land.naver.com/complexes/4953?tab=detail&amp;rf=Y</t>
        </is>
      </c>
      <c r="AA18" s="74" t="inlineStr">
        <is>
          <t>전라북도 군산시 구암동 65</t>
        </is>
      </c>
      <c r="AB18" s="74" t="inlineStr">
        <is>
          <t>전라북도</t>
        </is>
      </c>
      <c r="AC18" s="74" t="inlineStr">
        <is>
          <t>군산시</t>
        </is>
      </c>
      <c r="AD18" s="74" t="inlineStr">
        <is>
          <t>구암동</t>
        </is>
      </c>
      <c r="AG18" s="74" t="inlineStr">
        <is>
          <t>전라북도 군산시 서당길 11</t>
        </is>
      </c>
      <c r="AH18" s="74" t="n">
        <v>0</v>
      </c>
      <c r="AI18" s="74" t="n">
        <v>0</v>
      </c>
      <c r="AJ18" s="74" t="n">
        <v>0</v>
      </c>
      <c r="AK18" s="74" t="n">
        <v>654</v>
      </c>
      <c r="AL18" s="74" t="n">
        <v>0.6</v>
      </c>
    </row>
    <row r="19">
      <c r="A19" s="74" t="inlineStr">
        <is>
          <t>[구암동]</t>
        </is>
      </c>
      <c r="B19" s="74" t="n">
        <v>14954</v>
      </c>
      <c r="C19" s="74" t="n">
        <v>1</v>
      </c>
      <c r="D19" s="74" t="inlineStr">
        <is>
          <t>세풍</t>
        </is>
      </c>
      <c r="E19" s="74" t="inlineStr">
        <is>
          <t>1997.01.</t>
        </is>
      </c>
      <c r="F19" s="74" t="n">
        <v>437</v>
      </c>
      <c r="G19" s="74" t="n">
        <v>22.6</v>
      </c>
      <c r="H19" s="74" t="n">
        <v>74.72</v>
      </c>
      <c r="I19" s="74" t="n">
        <v>18.11</v>
      </c>
      <c r="J19" s="74" t="n">
        <v>59.88</v>
      </c>
      <c r="K19" s="74" t="n">
        <v>164</v>
      </c>
      <c r="T19" s="74" t="n">
        <v>3</v>
      </c>
      <c r="U19" s="74" t="n">
        <v>1</v>
      </c>
      <c r="V19" s="74" t="inlineStr">
        <is>
          <t>계단식</t>
        </is>
      </c>
      <c r="W19" s="74" t="inlineStr">
        <is>
          <t>74B</t>
        </is>
      </c>
      <c r="X19" s="74" t="n">
        <v>15</v>
      </c>
      <c r="Y19" s="74" t="n">
        <v>7</v>
      </c>
      <c r="Z19" s="74" t="inlineStr">
        <is>
          <t>https://new.land.naver.com/complexes/14954?tab=detail&amp;rf=Y</t>
        </is>
      </c>
      <c r="AA19" s="74" t="inlineStr">
        <is>
          <t>전라북도 군산시 구암동 333-1</t>
        </is>
      </c>
      <c r="AB19" s="74" t="inlineStr">
        <is>
          <t>전라북도</t>
        </is>
      </c>
      <c r="AC19" s="74" t="inlineStr">
        <is>
          <t>군산시</t>
        </is>
      </c>
      <c r="AD19" s="74" t="inlineStr">
        <is>
          <t>구암동</t>
        </is>
      </c>
      <c r="AG19" s="74" t="inlineStr">
        <is>
          <t>전라북도 군산시 영명길 6</t>
        </is>
      </c>
      <c r="AH19" s="74" t="n">
        <v>0</v>
      </c>
      <c r="AI19" s="74" t="n">
        <v>0</v>
      </c>
      <c r="AJ19" s="74" t="n">
        <v>0</v>
      </c>
      <c r="AK19" s="74" t="n">
        <v>0</v>
      </c>
      <c r="AL19" s="74" t="n">
        <v>0</v>
      </c>
    </row>
    <row r="20">
      <c r="A20" s="74" t="inlineStr">
        <is>
          <t>[구암동]</t>
        </is>
      </c>
      <c r="B20" s="74" t="n">
        <v>14954</v>
      </c>
      <c r="C20" s="74" t="n">
        <v>2</v>
      </c>
      <c r="D20" s="74" t="inlineStr">
        <is>
          <t>세풍</t>
        </is>
      </c>
      <c r="E20" s="74" t="inlineStr">
        <is>
          <t>1997.01.</t>
        </is>
      </c>
      <c r="F20" s="74" t="n">
        <v>437</v>
      </c>
      <c r="G20" s="74" t="n">
        <v>22.45</v>
      </c>
      <c r="H20" s="74" t="n">
        <v>74.22</v>
      </c>
      <c r="I20" s="74" t="n">
        <v>17.99</v>
      </c>
      <c r="J20" s="74" t="n">
        <v>59.48</v>
      </c>
      <c r="K20" s="74" t="n">
        <v>11</v>
      </c>
      <c r="T20" s="74" t="n">
        <v>3</v>
      </c>
      <c r="U20" s="74" t="n">
        <v>1</v>
      </c>
      <c r="V20" s="74" t="inlineStr">
        <is>
          <t>계단식</t>
        </is>
      </c>
      <c r="W20" s="74" t="inlineStr">
        <is>
          <t>74A</t>
        </is>
      </c>
      <c r="X20" s="74" t="n">
        <v>15</v>
      </c>
      <c r="Y20" s="74" t="n">
        <v>7</v>
      </c>
      <c r="Z20" s="74" t="inlineStr">
        <is>
          <t>https://new.land.naver.com/complexes/14954?tab=detail&amp;rf=Y</t>
        </is>
      </c>
      <c r="AA20" s="74" t="inlineStr">
        <is>
          <t>전라북도 군산시 구암동 333-1</t>
        </is>
      </c>
      <c r="AB20" s="74" t="inlineStr">
        <is>
          <t>전라북도</t>
        </is>
      </c>
      <c r="AC20" s="74" t="inlineStr">
        <is>
          <t>군산시</t>
        </is>
      </c>
      <c r="AD20" s="74" t="inlineStr">
        <is>
          <t>구암동</t>
        </is>
      </c>
      <c r="AG20" s="74" t="inlineStr">
        <is>
          <t>전라북도 군산시 영명길 6</t>
        </is>
      </c>
      <c r="AH20" s="74" t="n">
        <v>0</v>
      </c>
      <c r="AI20" s="74" t="n">
        <v>0</v>
      </c>
      <c r="AJ20" s="74" t="n">
        <v>0</v>
      </c>
      <c r="AK20" s="74" t="n">
        <v>0</v>
      </c>
      <c r="AL20" s="74" t="n">
        <v>0</v>
      </c>
    </row>
    <row r="21">
      <c r="A21" s="74" t="inlineStr">
        <is>
          <t>[구암동]</t>
        </is>
      </c>
      <c r="B21" s="74" t="n">
        <v>14954</v>
      </c>
      <c r="C21" s="74" t="n">
        <v>3</v>
      </c>
      <c r="D21" s="74" t="inlineStr">
        <is>
          <t>세풍</t>
        </is>
      </c>
      <c r="E21" s="74" t="inlineStr">
        <is>
          <t>1997.01.</t>
        </is>
      </c>
      <c r="F21" s="74" t="n">
        <v>437</v>
      </c>
      <c r="G21" s="74" t="n">
        <v>32.07</v>
      </c>
      <c r="H21" s="74" t="n">
        <v>106.03</v>
      </c>
      <c r="I21" s="74" t="n">
        <v>25.7</v>
      </c>
      <c r="J21" s="74" t="n">
        <v>84.98</v>
      </c>
      <c r="K21" s="74" t="n">
        <v>208</v>
      </c>
      <c r="T21" s="74" t="n">
        <v>3</v>
      </c>
      <c r="U21" s="74" t="n">
        <v>2</v>
      </c>
      <c r="V21" s="74" t="inlineStr">
        <is>
          <t>계단식</t>
        </is>
      </c>
      <c r="W21" s="74" t="inlineStr">
        <is>
          <t>106B</t>
        </is>
      </c>
      <c r="X21" s="74" t="n">
        <v>15</v>
      </c>
      <c r="Y21" s="74" t="n">
        <v>7</v>
      </c>
      <c r="Z21" s="74" t="inlineStr">
        <is>
          <t>https://new.land.naver.com/complexes/14954?tab=detail&amp;rf=Y</t>
        </is>
      </c>
      <c r="AA21" s="74" t="inlineStr">
        <is>
          <t>전라북도 군산시 구암동 333-1</t>
        </is>
      </c>
      <c r="AB21" s="74" t="inlineStr">
        <is>
          <t>전라북도</t>
        </is>
      </c>
      <c r="AC21" s="74" t="inlineStr">
        <is>
          <t>군산시</t>
        </is>
      </c>
      <c r="AD21" s="74" t="inlineStr">
        <is>
          <t>구암동</t>
        </is>
      </c>
      <c r="AG21" s="74" t="inlineStr">
        <is>
          <t>전라북도 군산시 영명길 6</t>
        </is>
      </c>
      <c r="AH21" s="74" t="n">
        <v>0</v>
      </c>
      <c r="AI21" s="74" t="n">
        <v>0</v>
      </c>
      <c r="AJ21" s="74" t="n">
        <v>0</v>
      </c>
      <c r="AK21" s="74" t="n">
        <v>0</v>
      </c>
      <c r="AL21" s="74" t="n">
        <v>0</v>
      </c>
    </row>
    <row r="22">
      <c r="A22" s="74" t="inlineStr">
        <is>
          <t>[구암동]</t>
        </is>
      </c>
      <c r="B22" s="74" t="n">
        <v>14954</v>
      </c>
      <c r="C22" s="74" t="n">
        <v>4</v>
      </c>
      <c r="D22" s="74" t="inlineStr">
        <is>
          <t>세풍</t>
        </is>
      </c>
      <c r="E22" s="74" t="inlineStr">
        <is>
          <t>1997.01.</t>
        </is>
      </c>
      <c r="F22" s="74" t="n">
        <v>437</v>
      </c>
      <c r="G22" s="74" t="n">
        <v>32.07</v>
      </c>
      <c r="H22" s="74" t="n">
        <v>106.02</v>
      </c>
      <c r="I22" s="74" t="n">
        <v>25.7</v>
      </c>
      <c r="J22" s="74" t="n">
        <v>84.95999999999999</v>
      </c>
      <c r="K22" s="74" t="n">
        <v>32</v>
      </c>
      <c r="T22" s="74" t="n">
        <v>3</v>
      </c>
      <c r="U22" s="74" t="n">
        <v>2</v>
      </c>
      <c r="V22" s="74" t="inlineStr">
        <is>
          <t>계단식</t>
        </is>
      </c>
      <c r="W22" s="74" t="inlineStr">
        <is>
          <t>106A</t>
        </is>
      </c>
      <c r="X22" s="74" t="n">
        <v>15</v>
      </c>
      <c r="Y22" s="74" t="n">
        <v>7</v>
      </c>
      <c r="Z22" s="74" t="inlineStr">
        <is>
          <t>https://new.land.naver.com/complexes/14954?tab=detail&amp;rf=Y</t>
        </is>
      </c>
      <c r="AA22" s="74" t="inlineStr">
        <is>
          <t>전라북도 군산시 구암동 333-1</t>
        </is>
      </c>
      <c r="AB22" s="74" t="inlineStr">
        <is>
          <t>전라북도</t>
        </is>
      </c>
      <c r="AC22" s="74" t="inlineStr">
        <is>
          <t>군산시</t>
        </is>
      </c>
      <c r="AD22" s="74" t="inlineStr">
        <is>
          <t>구암동</t>
        </is>
      </c>
      <c r="AG22" s="74" t="inlineStr">
        <is>
          <t>전라북도 군산시 영명길 6</t>
        </is>
      </c>
      <c r="AH22" s="74" t="n">
        <v>0</v>
      </c>
      <c r="AI22" s="74" t="n">
        <v>0</v>
      </c>
      <c r="AJ22" s="74" t="n">
        <v>0</v>
      </c>
      <c r="AK22" s="74" t="n">
        <v>0</v>
      </c>
      <c r="AL22" s="74" t="n">
        <v>0</v>
      </c>
    </row>
    <row r="23">
      <c r="A23" s="74" t="inlineStr">
        <is>
          <t>[구암동]</t>
        </is>
      </c>
      <c r="B23" s="74" t="n">
        <v>14954</v>
      </c>
      <c r="C23" s="74" t="n">
        <v>5</v>
      </c>
      <c r="D23" s="74" t="inlineStr">
        <is>
          <t>세풍</t>
        </is>
      </c>
      <c r="E23" s="74" t="inlineStr">
        <is>
          <t>1997.01.</t>
        </is>
      </c>
      <c r="F23" s="74" t="n">
        <v>437</v>
      </c>
      <c r="G23" s="74" t="n">
        <v>37.76</v>
      </c>
      <c r="H23" s="74" t="n">
        <v>124.84</v>
      </c>
      <c r="I23" s="74" t="n">
        <v>30.26</v>
      </c>
      <c r="J23" s="74" t="n">
        <v>100.05</v>
      </c>
      <c r="K23" s="74" t="n">
        <v>22</v>
      </c>
      <c r="T23" s="74" t="n">
        <v>3</v>
      </c>
      <c r="U23" s="74" t="n">
        <v>2</v>
      </c>
      <c r="V23" s="74" t="inlineStr">
        <is>
          <t>계단식</t>
        </is>
      </c>
      <c r="W23" s="74" t="n">
        <v>124</v>
      </c>
      <c r="X23" s="74" t="n">
        <v>15</v>
      </c>
      <c r="Y23" s="74" t="n">
        <v>7</v>
      </c>
      <c r="Z23" s="74" t="inlineStr">
        <is>
          <t>https://new.land.naver.com/complexes/14954?tab=detail&amp;rf=Y</t>
        </is>
      </c>
      <c r="AA23" s="74" t="inlineStr">
        <is>
          <t>전라북도 군산시 구암동 333-1</t>
        </is>
      </c>
      <c r="AB23" s="74" t="inlineStr">
        <is>
          <t>전라북도</t>
        </is>
      </c>
      <c r="AC23" s="74" t="inlineStr">
        <is>
          <t>군산시</t>
        </is>
      </c>
      <c r="AD23" s="74" t="inlineStr">
        <is>
          <t>구암동</t>
        </is>
      </c>
      <c r="AG23" s="74" t="inlineStr">
        <is>
          <t>전라북도 군산시 영명길 6</t>
        </is>
      </c>
      <c r="AH23" s="74" t="n">
        <v>0</v>
      </c>
      <c r="AI23" s="74" t="n">
        <v>0</v>
      </c>
      <c r="AJ23" s="74" t="n">
        <v>0</v>
      </c>
      <c r="AK23" s="74" t="n">
        <v>0</v>
      </c>
      <c r="AL23" s="74" t="n">
        <v>0</v>
      </c>
    </row>
    <row r="24">
      <c r="A24" s="74" t="inlineStr">
        <is>
          <t>[구암동]</t>
        </is>
      </c>
      <c r="B24" s="74" t="n">
        <v>140320</v>
      </c>
      <c r="C24" s="74" t="n">
        <v>1</v>
      </c>
      <c r="D24" s="74" t="inlineStr">
        <is>
          <t>리버힐스</t>
        </is>
      </c>
      <c r="E24" s="74" t="inlineStr">
        <is>
          <t>2019.05.</t>
        </is>
      </c>
      <c r="F24" s="74" t="n">
        <v>29</v>
      </c>
      <c r="G24" s="74" t="n">
        <v>20</v>
      </c>
      <c r="H24" s="74" t="n">
        <v>66.12</v>
      </c>
      <c r="I24" s="74" t="n">
        <v>16.89</v>
      </c>
      <c r="J24" s="74" t="n">
        <v>55.84</v>
      </c>
      <c r="K24" s="74" t="n">
        <v>3</v>
      </c>
      <c r="T24" s="74" t="n">
        <v>3</v>
      </c>
      <c r="U24" s="74" t="n">
        <v>1</v>
      </c>
      <c r="V24" s="74" t="inlineStr">
        <is>
          <t>계단식</t>
        </is>
      </c>
      <c r="W24" s="74" t="inlineStr">
        <is>
          <t>66A</t>
        </is>
      </c>
      <c r="X24" s="74" t="n">
        <v>5</v>
      </c>
      <c r="Y24" s="74" t="n">
        <v>3</v>
      </c>
      <c r="Z24" s="74" t="inlineStr">
        <is>
          <t>https://new.land.naver.com/complexes/140320?tab=detail&amp;rf=Y</t>
        </is>
      </c>
      <c r="AA24" s="74" t="inlineStr">
        <is>
          <t>전라북도 군산시 구암동 358-9</t>
        </is>
      </c>
      <c r="AB24" s="74" t="inlineStr">
        <is>
          <t>전라북도</t>
        </is>
      </c>
      <c r="AC24" s="74" t="inlineStr">
        <is>
          <t>군산시</t>
        </is>
      </c>
      <c r="AD24" s="74" t="inlineStr">
        <is>
          <t>구암동</t>
        </is>
      </c>
      <c r="AG24" s="74" t="inlineStr">
        <is>
          <t>전라북도 군산시 외산3길 11</t>
        </is>
      </c>
      <c r="AH24" s="74" t="n">
        <v>0</v>
      </c>
      <c r="AI24" s="74" t="n">
        <v>98</v>
      </c>
      <c r="AJ24" s="74" t="n">
        <v>34</v>
      </c>
      <c r="AK24" s="74" t="n">
        <v>33</v>
      </c>
      <c r="AL24" s="74" t="n">
        <v>1.14</v>
      </c>
    </row>
    <row r="25">
      <c r="A25" s="74" t="inlineStr">
        <is>
          <t>[구암동]</t>
        </is>
      </c>
      <c r="B25" s="74" t="n">
        <v>140320</v>
      </c>
      <c r="C25" s="74" t="n">
        <v>2</v>
      </c>
      <c r="D25" s="74" t="inlineStr">
        <is>
          <t>리버힐스</t>
        </is>
      </c>
      <c r="E25" s="74" t="inlineStr">
        <is>
          <t>2019.05.</t>
        </is>
      </c>
      <c r="F25" s="74" t="n">
        <v>29</v>
      </c>
      <c r="G25" s="74" t="n">
        <v>20.4</v>
      </c>
      <c r="H25" s="74" t="n">
        <v>67.45</v>
      </c>
      <c r="I25" s="74" t="n">
        <v>17.23</v>
      </c>
      <c r="J25" s="74" t="n">
        <v>56.96</v>
      </c>
      <c r="K25" s="74" t="n">
        <v>2</v>
      </c>
      <c r="T25" s="74" t="n">
        <v>3</v>
      </c>
      <c r="U25" s="74" t="n">
        <v>1</v>
      </c>
      <c r="V25" s="74" t="inlineStr">
        <is>
          <t>계단식</t>
        </is>
      </c>
      <c r="W25" s="74" t="inlineStr">
        <is>
          <t>67B</t>
        </is>
      </c>
      <c r="X25" s="74" t="n">
        <v>5</v>
      </c>
      <c r="Y25" s="74" t="n">
        <v>3</v>
      </c>
      <c r="Z25" s="74" t="inlineStr">
        <is>
          <t>https://new.land.naver.com/complexes/140320?tab=detail&amp;rf=Y</t>
        </is>
      </c>
      <c r="AA25" s="74" t="inlineStr">
        <is>
          <t>전라북도 군산시 구암동 358-9</t>
        </is>
      </c>
      <c r="AB25" s="74" t="inlineStr">
        <is>
          <t>전라북도</t>
        </is>
      </c>
      <c r="AC25" s="74" t="inlineStr">
        <is>
          <t>군산시</t>
        </is>
      </c>
      <c r="AD25" s="74" t="inlineStr">
        <is>
          <t>구암동</t>
        </is>
      </c>
      <c r="AG25" s="74" t="inlineStr">
        <is>
          <t>전라북도 군산시 외산3길 11</t>
        </is>
      </c>
      <c r="AH25" s="74" t="n">
        <v>0</v>
      </c>
      <c r="AI25" s="74" t="n">
        <v>98</v>
      </c>
      <c r="AJ25" s="74" t="n">
        <v>34</v>
      </c>
      <c r="AK25" s="74" t="n">
        <v>33</v>
      </c>
      <c r="AL25" s="74" t="n">
        <v>1.14</v>
      </c>
    </row>
    <row r="26">
      <c r="A26" s="74" t="inlineStr">
        <is>
          <t>[구암동]</t>
        </is>
      </c>
      <c r="B26" s="74" t="n">
        <v>140320</v>
      </c>
      <c r="C26" s="74" t="n">
        <v>3</v>
      </c>
      <c r="D26" s="74" t="inlineStr">
        <is>
          <t>리버힐스</t>
        </is>
      </c>
      <c r="E26" s="74" t="inlineStr">
        <is>
          <t>2019.05.</t>
        </is>
      </c>
      <c r="F26" s="74" t="n">
        <v>29</v>
      </c>
      <c r="G26" s="74" t="n">
        <v>24.03</v>
      </c>
      <c r="H26" s="74" t="n">
        <v>79.45</v>
      </c>
      <c r="I26" s="74" t="n">
        <v>20.53</v>
      </c>
      <c r="J26" s="74" t="n">
        <v>67.87</v>
      </c>
      <c r="K26" s="74" t="n">
        <v>2</v>
      </c>
      <c r="T26" s="74" t="n">
        <v>2</v>
      </c>
      <c r="U26" s="74" t="n">
        <v>2</v>
      </c>
      <c r="V26" s="74" t="inlineStr">
        <is>
          <t>계단식</t>
        </is>
      </c>
      <c r="W26" s="74" t="n">
        <v>79</v>
      </c>
      <c r="X26" s="74" t="n">
        <v>5</v>
      </c>
      <c r="Y26" s="74" t="n">
        <v>3</v>
      </c>
      <c r="Z26" s="74" t="inlineStr">
        <is>
          <t>https://new.land.naver.com/complexes/140320?tab=detail&amp;rf=Y</t>
        </is>
      </c>
      <c r="AA26" s="74" t="inlineStr">
        <is>
          <t>전라북도 군산시 구암동 358-9</t>
        </is>
      </c>
      <c r="AB26" s="74" t="inlineStr">
        <is>
          <t>전라북도</t>
        </is>
      </c>
      <c r="AC26" s="74" t="inlineStr">
        <is>
          <t>군산시</t>
        </is>
      </c>
      <c r="AD26" s="74" t="inlineStr">
        <is>
          <t>구암동</t>
        </is>
      </c>
      <c r="AG26" s="74" t="inlineStr">
        <is>
          <t>전라북도 군산시 외산3길 11</t>
        </is>
      </c>
      <c r="AH26" s="74" t="n">
        <v>0</v>
      </c>
      <c r="AI26" s="74" t="n">
        <v>98</v>
      </c>
      <c r="AJ26" s="74" t="n">
        <v>34</v>
      </c>
      <c r="AK26" s="74" t="n">
        <v>33</v>
      </c>
      <c r="AL26" s="74" t="n">
        <v>1.14</v>
      </c>
    </row>
    <row r="27">
      <c r="A27" s="74" t="inlineStr">
        <is>
          <t>[구암동]</t>
        </is>
      </c>
      <c r="B27" s="74" t="n">
        <v>140320</v>
      </c>
      <c r="C27" s="74" t="n">
        <v>4</v>
      </c>
      <c r="D27" s="74" t="inlineStr">
        <is>
          <t>리버힐스</t>
        </is>
      </c>
      <c r="E27" s="74" t="inlineStr">
        <is>
          <t>2019.05.</t>
        </is>
      </c>
      <c r="F27" s="74" t="n">
        <v>29</v>
      </c>
      <c r="G27" s="74" t="n">
        <v>29.6</v>
      </c>
      <c r="H27" s="74" t="n">
        <v>97.86</v>
      </c>
      <c r="I27" s="74" t="n">
        <v>25.19</v>
      </c>
      <c r="J27" s="74" t="n">
        <v>83.28</v>
      </c>
      <c r="K27" s="74" t="n">
        <v>4</v>
      </c>
      <c r="T27" s="74" t="n">
        <v>3</v>
      </c>
      <c r="U27" s="74" t="n">
        <v>2</v>
      </c>
      <c r="V27" s="74" t="inlineStr">
        <is>
          <t>계단식</t>
        </is>
      </c>
      <c r="W27" s="74" t="inlineStr">
        <is>
          <t>97A</t>
        </is>
      </c>
      <c r="X27" s="74" t="n">
        <v>5</v>
      </c>
      <c r="Y27" s="74" t="n">
        <v>3</v>
      </c>
      <c r="Z27" s="74" t="inlineStr">
        <is>
          <t>https://new.land.naver.com/complexes/140320?tab=detail&amp;rf=Y</t>
        </is>
      </c>
      <c r="AA27" s="74" t="inlineStr">
        <is>
          <t>전라북도 군산시 구암동 358-9</t>
        </is>
      </c>
      <c r="AB27" s="74" t="inlineStr">
        <is>
          <t>전라북도</t>
        </is>
      </c>
      <c r="AC27" s="74" t="inlineStr">
        <is>
          <t>군산시</t>
        </is>
      </c>
      <c r="AD27" s="74" t="inlineStr">
        <is>
          <t>구암동</t>
        </is>
      </c>
      <c r="AG27" s="74" t="inlineStr">
        <is>
          <t>전라북도 군산시 외산3길 11</t>
        </is>
      </c>
      <c r="AH27" s="74" t="n">
        <v>0</v>
      </c>
      <c r="AI27" s="74" t="n">
        <v>98</v>
      </c>
      <c r="AJ27" s="74" t="n">
        <v>34</v>
      </c>
      <c r="AK27" s="74" t="n">
        <v>33</v>
      </c>
      <c r="AL27" s="74" t="n">
        <v>1.14</v>
      </c>
    </row>
    <row r="28">
      <c r="A28" s="74" t="inlineStr">
        <is>
          <t>[구암동]</t>
        </is>
      </c>
      <c r="B28" s="74" t="n">
        <v>140320</v>
      </c>
      <c r="C28" s="74" t="n">
        <v>5</v>
      </c>
      <c r="D28" s="74" t="inlineStr">
        <is>
          <t>리버힐스</t>
        </is>
      </c>
      <c r="E28" s="74" t="inlineStr">
        <is>
          <t>2019.05.</t>
        </is>
      </c>
      <c r="F28" s="74" t="n">
        <v>29</v>
      </c>
      <c r="G28" s="74" t="n">
        <v>29.65</v>
      </c>
      <c r="H28" s="74" t="n">
        <v>98.04000000000001</v>
      </c>
      <c r="I28" s="74" t="n">
        <v>25.23</v>
      </c>
      <c r="J28" s="74" t="n">
        <v>83.43000000000001</v>
      </c>
      <c r="K28" s="74" t="n">
        <v>8</v>
      </c>
      <c r="T28" s="74" t="n">
        <v>3</v>
      </c>
      <c r="U28" s="74" t="n">
        <v>2</v>
      </c>
      <c r="V28" s="74" t="inlineStr">
        <is>
          <t>계단식</t>
        </is>
      </c>
      <c r="W28" s="74" t="inlineStr">
        <is>
          <t>98B</t>
        </is>
      </c>
      <c r="X28" s="74" t="n">
        <v>5</v>
      </c>
      <c r="Y28" s="74" t="n">
        <v>3</v>
      </c>
      <c r="Z28" s="74" t="inlineStr">
        <is>
          <t>https://new.land.naver.com/complexes/140320?tab=detail&amp;rf=Y</t>
        </is>
      </c>
      <c r="AA28" s="74" t="inlineStr">
        <is>
          <t>전라북도 군산시 구암동 358-9</t>
        </is>
      </c>
      <c r="AB28" s="74" t="inlineStr">
        <is>
          <t>전라북도</t>
        </is>
      </c>
      <c r="AC28" s="74" t="inlineStr">
        <is>
          <t>군산시</t>
        </is>
      </c>
      <c r="AD28" s="74" t="inlineStr">
        <is>
          <t>구암동</t>
        </is>
      </c>
      <c r="AG28" s="74" t="inlineStr">
        <is>
          <t>전라북도 군산시 외산3길 11</t>
        </is>
      </c>
      <c r="AH28" s="74" t="n">
        <v>0</v>
      </c>
      <c r="AI28" s="74" t="n">
        <v>98</v>
      </c>
      <c r="AJ28" s="74" t="n">
        <v>34</v>
      </c>
      <c r="AK28" s="74" t="n">
        <v>33</v>
      </c>
      <c r="AL28" s="74" t="n">
        <v>1.14</v>
      </c>
    </row>
    <row r="29">
      <c r="A29" s="74" t="inlineStr">
        <is>
          <t>[구암동]</t>
        </is>
      </c>
      <c r="B29" s="74" t="n">
        <v>140320</v>
      </c>
      <c r="C29" s="74" t="n">
        <v>6</v>
      </c>
      <c r="D29" s="74" t="inlineStr">
        <is>
          <t>리버힐스</t>
        </is>
      </c>
      <c r="E29" s="74" t="inlineStr">
        <is>
          <t>2019.05.</t>
        </is>
      </c>
      <c r="F29" s="74" t="n">
        <v>29</v>
      </c>
      <c r="G29" s="74" t="n">
        <v>37.71</v>
      </c>
      <c r="H29" s="74" t="n">
        <v>124.68</v>
      </c>
      <c r="I29" s="74" t="n">
        <v>32.09</v>
      </c>
      <c r="J29" s="74" t="n">
        <v>106.11</v>
      </c>
      <c r="K29" s="74" t="n">
        <v>4</v>
      </c>
      <c r="T29" s="74" t="n">
        <v>3</v>
      </c>
      <c r="U29" s="74" t="n">
        <v>2</v>
      </c>
      <c r="V29" s="74" t="inlineStr">
        <is>
          <t>계단식</t>
        </is>
      </c>
      <c r="W29" s="74" t="n">
        <v>124</v>
      </c>
      <c r="X29" s="74" t="n">
        <v>5</v>
      </c>
      <c r="Y29" s="74" t="n">
        <v>3</v>
      </c>
      <c r="Z29" s="74" t="inlineStr">
        <is>
          <t>https://new.land.naver.com/complexes/140320?tab=detail&amp;rf=Y</t>
        </is>
      </c>
      <c r="AA29" s="74" t="inlineStr">
        <is>
          <t>전라북도 군산시 구암동 358-9</t>
        </is>
      </c>
      <c r="AB29" s="74" t="inlineStr">
        <is>
          <t>전라북도</t>
        </is>
      </c>
      <c r="AC29" s="74" t="inlineStr">
        <is>
          <t>군산시</t>
        </is>
      </c>
      <c r="AD29" s="74" t="inlineStr">
        <is>
          <t>구암동</t>
        </is>
      </c>
      <c r="AG29" s="74" t="inlineStr">
        <is>
          <t>전라북도 군산시 외산3길 11</t>
        </is>
      </c>
      <c r="AH29" s="74" t="n">
        <v>0</v>
      </c>
      <c r="AI29" s="74" t="n">
        <v>98</v>
      </c>
      <c r="AJ29" s="74" t="n">
        <v>34</v>
      </c>
      <c r="AK29" s="74" t="n">
        <v>33</v>
      </c>
      <c r="AL29" s="74" t="n">
        <v>1.14</v>
      </c>
    </row>
    <row r="30">
      <c r="A30" s="74" t="inlineStr">
        <is>
          <t>[구암동]</t>
        </is>
      </c>
      <c r="B30" s="74" t="n">
        <v>140320</v>
      </c>
      <c r="C30" s="74" t="n">
        <v>7</v>
      </c>
      <c r="D30" s="74" t="inlineStr">
        <is>
          <t>리버힐스</t>
        </is>
      </c>
      <c r="E30" s="74" t="inlineStr">
        <is>
          <t>2019.05.</t>
        </is>
      </c>
      <c r="F30" s="74" t="n">
        <v>29</v>
      </c>
      <c r="G30" s="74" t="n">
        <v>42.92</v>
      </c>
      <c r="H30" s="74" t="n">
        <v>141.91</v>
      </c>
      <c r="I30" s="74" t="n">
        <v>36.25</v>
      </c>
      <c r="J30" s="74" t="n">
        <v>119.84</v>
      </c>
      <c r="K30" s="74" t="n">
        <v>1</v>
      </c>
      <c r="T30" s="74" t="n">
        <v>4</v>
      </c>
      <c r="U30" s="74" t="n">
        <v>2</v>
      </c>
      <c r="V30" s="74" t="inlineStr">
        <is>
          <t>계단식</t>
        </is>
      </c>
      <c r="W30" s="74" t="inlineStr">
        <is>
          <t>141A</t>
        </is>
      </c>
      <c r="X30" s="74" t="n">
        <v>5</v>
      </c>
      <c r="Y30" s="74" t="n">
        <v>3</v>
      </c>
      <c r="Z30" s="74" t="inlineStr">
        <is>
          <t>https://new.land.naver.com/complexes/140320?tab=detail&amp;rf=Y</t>
        </is>
      </c>
      <c r="AA30" s="74" t="inlineStr">
        <is>
          <t>전라북도 군산시 구암동 358-9</t>
        </is>
      </c>
      <c r="AB30" s="74" t="inlineStr">
        <is>
          <t>전라북도</t>
        </is>
      </c>
      <c r="AC30" s="74" t="inlineStr">
        <is>
          <t>군산시</t>
        </is>
      </c>
      <c r="AD30" s="74" t="inlineStr">
        <is>
          <t>구암동</t>
        </is>
      </c>
      <c r="AG30" s="74" t="inlineStr">
        <is>
          <t>전라북도 군산시 외산3길 11</t>
        </is>
      </c>
      <c r="AH30" s="74" t="n">
        <v>0</v>
      </c>
      <c r="AI30" s="74" t="n">
        <v>98</v>
      </c>
      <c r="AJ30" s="74" t="n">
        <v>34</v>
      </c>
      <c r="AK30" s="74" t="n">
        <v>33</v>
      </c>
      <c r="AL30" s="74" t="n">
        <v>1.14</v>
      </c>
    </row>
    <row r="31">
      <c r="A31" s="74" t="inlineStr">
        <is>
          <t>[구암동]</t>
        </is>
      </c>
      <c r="B31" s="74" t="n">
        <v>140320</v>
      </c>
      <c r="C31" s="74" t="n">
        <v>8</v>
      </c>
      <c r="D31" s="74" t="inlineStr">
        <is>
          <t>리버힐스</t>
        </is>
      </c>
      <c r="E31" s="74" t="inlineStr">
        <is>
          <t>2019.05.</t>
        </is>
      </c>
      <c r="F31" s="74" t="n">
        <v>29</v>
      </c>
      <c r="G31" s="74" t="n">
        <v>43.22</v>
      </c>
      <c r="H31" s="74" t="n">
        <v>142.89</v>
      </c>
      <c r="I31" s="74" t="n">
        <v>36.5</v>
      </c>
      <c r="J31" s="74" t="n">
        <v>120.67</v>
      </c>
      <c r="K31" s="74" t="n">
        <v>3</v>
      </c>
      <c r="T31" s="74" t="n">
        <v>4</v>
      </c>
      <c r="U31" s="74" t="n">
        <v>2</v>
      </c>
      <c r="V31" s="74" t="inlineStr">
        <is>
          <t>계단식</t>
        </is>
      </c>
      <c r="W31" s="74" t="inlineStr">
        <is>
          <t>142B</t>
        </is>
      </c>
      <c r="X31" s="74" t="n">
        <v>5</v>
      </c>
      <c r="Y31" s="74" t="n">
        <v>3</v>
      </c>
      <c r="Z31" s="74" t="inlineStr">
        <is>
          <t>https://new.land.naver.com/complexes/140320?tab=detail&amp;rf=Y</t>
        </is>
      </c>
      <c r="AA31" s="74" t="inlineStr">
        <is>
          <t>전라북도 군산시 구암동 358-9</t>
        </is>
      </c>
      <c r="AB31" s="74" t="inlineStr">
        <is>
          <t>전라북도</t>
        </is>
      </c>
      <c r="AC31" s="74" t="inlineStr">
        <is>
          <t>군산시</t>
        </is>
      </c>
      <c r="AD31" s="74" t="inlineStr">
        <is>
          <t>구암동</t>
        </is>
      </c>
      <c r="AG31" s="74" t="inlineStr">
        <is>
          <t>전라북도 군산시 외산3길 11</t>
        </is>
      </c>
      <c r="AH31" s="74" t="n">
        <v>0</v>
      </c>
      <c r="AI31" s="74" t="n">
        <v>98</v>
      </c>
      <c r="AJ31" s="74" t="n">
        <v>34</v>
      </c>
      <c r="AK31" s="74" t="n">
        <v>33</v>
      </c>
      <c r="AL31" s="74" t="n">
        <v>1.14</v>
      </c>
    </row>
    <row r="32">
      <c r="A32" s="74" t="inlineStr">
        <is>
          <t>[구암동]</t>
        </is>
      </c>
      <c r="B32" s="74" t="n">
        <v>140320</v>
      </c>
      <c r="C32" s="74" t="n">
        <v>9</v>
      </c>
      <c r="D32" s="74" t="inlineStr">
        <is>
          <t>리버힐스</t>
        </is>
      </c>
      <c r="E32" s="74" t="inlineStr">
        <is>
          <t>2019.05.</t>
        </is>
      </c>
      <c r="F32" s="74" t="n">
        <v>29</v>
      </c>
      <c r="G32" s="74" t="n">
        <v>58.78</v>
      </c>
      <c r="H32" s="74" t="n">
        <v>194.33</v>
      </c>
      <c r="I32" s="74" t="n">
        <v>49.64</v>
      </c>
      <c r="J32" s="74" t="n">
        <v>164.11</v>
      </c>
      <c r="K32" s="74" t="n">
        <v>2</v>
      </c>
      <c r="T32" s="74" t="n">
        <v>5</v>
      </c>
      <c r="U32" s="74" t="n">
        <v>3</v>
      </c>
      <c r="V32" s="74" t="inlineStr">
        <is>
          <t>계단식</t>
        </is>
      </c>
      <c r="W32" s="74" t="n">
        <v>194</v>
      </c>
      <c r="X32" s="74" t="n">
        <v>5</v>
      </c>
      <c r="Y32" s="74" t="n">
        <v>3</v>
      </c>
      <c r="Z32" s="74" t="inlineStr">
        <is>
          <t>https://new.land.naver.com/complexes/140320?tab=detail&amp;rf=Y</t>
        </is>
      </c>
      <c r="AA32" s="74" t="inlineStr">
        <is>
          <t>전라북도 군산시 구암동 358-9</t>
        </is>
      </c>
      <c r="AB32" s="74" t="inlineStr">
        <is>
          <t>전라북도</t>
        </is>
      </c>
      <c r="AC32" s="74" t="inlineStr">
        <is>
          <t>군산시</t>
        </is>
      </c>
      <c r="AD32" s="74" t="inlineStr">
        <is>
          <t>구암동</t>
        </is>
      </c>
      <c r="AG32" s="74" t="inlineStr">
        <is>
          <t>전라북도 군산시 외산3길 11</t>
        </is>
      </c>
      <c r="AH32" s="74" t="n">
        <v>0</v>
      </c>
      <c r="AI32" s="74" t="n">
        <v>98</v>
      </c>
      <c r="AJ32" s="74" t="n">
        <v>34</v>
      </c>
      <c r="AK32" s="74" t="n">
        <v>33</v>
      </c>
      <c r="AL32" s="74" t="n">
        <v>1.14</v>
      </c>
    </row>
    <row r="33">
      <c r="A33" s="74" t="inlineStr">
        <is>
          <t>[금광동]</t>
        </is>
      </c>
      <c r="B33" s="74" t="n">
        <v>4960</v>
      </c>
      <c r="C33" s="74" t="n">
        <v>1</v>
      </c>
      <c r="D33" s="74" t="inlineStr">
        <is>
          <t>삼성</t>
        </is>
      </c>
      <c r="E33" s="74" t="inlineStr">
        <is>
          <t>1990.11.</t>
        </is>
      </c>
      <c r="F33" s="74" t="n">
        <v>424</v>
      </c>
      <c r="G33" s="74" t="n">
        <v>32.27</v>
      </c>
      <c r="H33" s="74" t="n">
        <v>106.7</v>
      </c>
      <c r="I33" s="74" t="n">
        <v>25.68</v>
      </c>
      <c r="J33" s="74" t="n">
        <v>84.90000000000001</v>
      </c>
      <c r="K33" s="74" t="n">
        <v>192</v>
      </c>
      <c r="T33" s="74" t="n">
        <v>3</v>
      </c>
      <c r="U33" s="74" t="n">
        <v>2</v>
      </c>
      <c r="V33" s="74" t="inlineStr">
        <is>
          <t>계단식</t>
        </is>
      </c>
      <c r="W33" s="74" t="inlineStr">
        <is>
          <t>106B</t>
        </is>
      </c>
      <c r="X33" s="74" t="n">
        <v>15</v>
      </c>
      <c r="Y33" s="74" t="n">
        <v>8</v>
      </c>
      <c r="Z33" s="74" t="inlineStr">
        <is>
          <t>https://new.land.naver.com/complexes/4960?tab=detail&amp;rf=Y</t>
        </is>
      </c>
      <c r="AA33" s="74" t="inlineStr">
        <is>
          <t>전라북도 군산시 금광동 172</t>
        </is>
      </c>
      <c r="AB33" s="74" t="inlineStr">
        <is>
          <t>전라북도</t>
        </is>
      </c>
      <c r="AC33" s="74" t="inlineStr">
        <is>
          <t>군산시</t>
        </is>
      </c>
      <c r="AD33" s="74" t="inlineStr">
        <is>
          <t>금광동</t>
        </is>
      </c>
      <c r="AG33" s="74" t="inlineStr">
        <is>
          <t>전라북도 군산시 대학로 114-1</t>
        </is>
      </c>
      <c r="AH33" s="74" t="n">
        <v>0</v>
      </c>
      <c r="AI33" s="74" t="n">
        <v>244</v>
      </c>
      <c r="AJ33" s="74" t="n">
        <v>22</v>
      </c>
      <c r="AK33" s="74" t="n">
        <v>0</v>
      </c>
      <c r="AL33" s="74" t="n">
        <v>0</v>
      </c>
    </row>
    <row r="34">
      <c r="A34" s="74" t="inlineStr">
        <is>
          <t>[금광동]</t>
        </is>
      </c>
      <c r="B34" s="74" t="n">
        <v>4960</v>
      </c>
      <c r="C34" s="74" t="n">
        <v>2</v>
      </c>
      <c r="D34" s="74" t="inlineStr">
        <is>
          <t>삼성</t>
        </is>
      </c>
      <c r="E34" s="74" t="inlineStr">
        <is>
          <t>1990.11.</t>
        </is>
      </c>
      <c r="F34" s="74" t="n">
        <v>424</v>
      </c>
      <c r="G34" s="74" t="n">
        <v>32.34</v>
      </c>
      <c r="H34" s="74" t="n">
        <v>106.94</v>
      </c>
      <c r="I34" s="74" t="n">
        <v>25.67</v>
      </c>
      <c r="J34" s="74" t="n">
        <v>84.87</v>
      </c>
      <c r="K34" s="74" t="n">
        <v>66</v>
      </c>
      <c r="T34" s="74" t="n">
        <v>3</v>
      </c>
      <c r="U34" s="74" t="n">
        <v>2</v>
      </c>
      <c r="V34" s="74" t="inlineStr">
        <is>
          <t>계단식</t>
        </is>
      </c>
      <c r="W34" s="74" t="inlineStr">
        <is>
          <t>106A</t>
        </is>
      </c>
      <c r="X34" s="74" t="n">
        <v>15</v>
      </c>
      <c r="Y34" s="74" t="n">
        <v>8</v>
      </c>
      <c r="Z34" s="74" t="inlineStr">
        <is>
          <t>https://new.land.naver.com/complexes/4960?tab=detail&amp;rf=Y</t>
        </is>
      </c>
      <c r="AA34" s="74" t="inlineStr">
        <is>
          <t>전라북도 군산시 금광동 172</t>
        </is>
      </c>
      <c r="AB34" s="74" t="inlineStr">
        <is>
          <t>전라북도</t>
        </is>
      </c>
      <c r="AC34" s="74" t="inlineStr">
        <is>
          <t>군산시</t>
        </is>
      </c>
      <c r="AD34" s="74" t="inlineStr">
        <is>
          <t>금광동</t>
        </is>
      </c>
      <c r="AG34" s="74" t="inlineStr">
        <is>
          <t>전라북도 군산시 대학로 114-1</t>
        </is>
      </c>
      <c r="AH34" s="74" t="n">
        <v>0</v>
      </c>
      <c r="AI34" s="74" t="n">
        <v>244</v>
      </c>
      <c r="AJ34" s="74" t="n">
        <v>22</v>
      </c>
      <c r="AK34" s="74" t="n">
        <v>0</v>
      </c>
      <c r="AL34" s="74" t="n">
        <v>0</v>
      </c>
    </row>
    <row r="35">
      <c r="A35" s="74" t="inlineStr">
        <is>
          <t>[금광동]</t>
        </is>
      </c>
      <c r="B35" s="74" t="n">
        <v>4960</v>
      </c>
      <c r="C35" s="74" t="n">
        <v>3</v>
      </c>
      <c r="D35" s="74" t="inlineStr">
        <is>
          <t>삼성</t>
        </is>
      </c>
      <c r="E35" s="74" t="inlineStr">
        <is>
          <t>1990.11.</t>
        </is>
      </c>
      <c r="F35" s="74" t="n">
        <v>424</v>
      </c>
      <c r="G35" s="74" t="n">
        <v>46.86</v>
      </c>
      <c r="H35" s="74" t="n">
        <v>154.91</v>
      </c>
      <c r="I35" s="74" t="n">
        <v>38.62</v>
      </c>
      <c r="J35" s="74" t="n">
        <v>127.67</v>
      </c>
      <c r="K35" s="74" t="n">
        <v>78</v>
      </c>
      <c r="T35" s="74" t="n">
        <v>4</v>
      </c>
      <c r="U35" s="74" t="n">
        <v>2</v>
      </c>
      <c r="V35" s="74" t="inlineStr">
        <is>
          <t>계단식</t>
        </is>
      </c>
      <c r="W35" s="74" t="n">
        <v>154</v>
      </c>
      <c r="X35" s="74" t="n">
        <v>15</v>
      </c>
      <c r="Y35" s="74" t="n">
        <v>8</v>
      </c>
      <c r="Z35" s="74" t="inlineStr">
        <is>
          <t>https://new.land.naver.com/complexes/4960?tab=detail&amp;rf=Y</t>
        </is>
      </c>
      <c r="AA35" s="74" t="inlineStr">
        <is>
          <t>전라북도 군산시 금광동 172</t>
        </is>
      </c>
      <c r="AB35" s="74" t="inlineStr">
        <is>
          <t>전라북도</t>
        </is>
      </c>
      <c r="AC35" s="74" t="inlineStr">
        <is>
          <t>군산시</t>
        </is>
      </c>
      <c r="AD35" s="74" t="inlineStr">
        <is>
          <t>금광동</t>
        </is>
      </c>
      <c r="AG35" s="74" t="inlineStr">
        <is>
          <t>전라북도 군산시 대학로 114-1</t>
        </is>
      </c>
      <c r="AH35" s="74" t="n">
        <v>0</v>
      </c>
      <c r="AI35" s="74" t="n">
        <v>244</v>
      </c>
      <c r="AJ35" s="74" t="n">
        <v>22</v>
      </c>
      <c r="AK35" s="74" t="n">
        <v>0</v>
      </c>
      <c r="AL35" s="74" t="n">
        <v>0</v>
      </c>
    </row>
    <row r="36">
      <c r="A36" s="74" t="inlineStr">
        <is>
          <t>[금광동]</t>
        </is>
      </c>
      <c r="B36" s="74" t="n">
        <v>4960</v>
      </c>
      <c r="C36" s="74" t="n">
        <v>4</v>
      </c>
      <c r="D36" s="74" t="inlineStr">
        <is>
          <t>삼성</t>
        </is>
      </c>
      <c r="E36" s="74" t="inlineStr">
        <is>
          <t>1990.11.</t>
        </is>
      </c>
      <c r="F36" s="74" t="n">
        <v>424</v>
      </c>
      <c r="G36" s="74" t="n">
        <v>46.99</v>
      </c>
      <c r="H36" s="74" t="n">
        <v>155.35</v>
      </c>
      <c r="I36" s="74" t="n">
        <v>38.87</v>
      </c>
      <c r="J36" s="74" t="n">
        <v>128.51</v>
      </c>
      <c r="K36" s="74" t="n">
        <v>88</v>
      </c>
      <c r="T36" s="74" t="n">
        <v>4</v>
      </c>
      <c r="U36" s="74" t="n">
        <v>2</v>
      </c>
      <c r="V36" s="74" t="inlineStr">
        <is>
          <t>복도식</t>
        </is>
      </c>
      <c r="W36" s="74" t="n">
        <v>155</v>
      </c>
      <c r="X36" s="74" t="n">
        <v>15</v>
      </c>
      <c r="Y36" s="74" t="n">
        <v>8</v>
      </c>
      <c r="Z36" s="74" t="inlineStr">
        <is>
          <t>https://new.land.naver.com/complexes/4960?tab=detail&amp;rf=Y</t>
        </is>
      </c>
      <c r="AA36" s="74" t="inlineStr">
        <is>
          <t>전라북도 군산시 금광동 172</t>
        </is>
      </c>
      <c r="AB36" s="74" t="inlineStr">
        <is>
          <t>전라북도</t>
        </is>
      </c>
      <c r="AC36" s="74" t="inlineStr">
        <is>
          <t>군산시</t>
        </is>
      </c>
      <c r="AD36" s="74" t="inlineStr">
        <is>
          <t>금광동</t>
        </is>
      </c>
      <c r="AG36" s="74" t="inlineStr">
        <is>
          <t>전라북도 군산시 대학로 114-1</t>
        </is>
      </c>
      <c r="AH36" s="74" t="n">
        <v>0</v>
      </c>
      <c r="AI36" s="74" t="n">
        <v>244</v>
      </c>
      <c r="AJ36" s="74" t="n">
        <v>22</v>
      </c>
      <c r="AK36" s="74" t="n">
        <v>0</v>
      </c>
      <c r="AL36" s="74" t="n">
        <v>0</v>
      </c>
    </row>
    <row r="37">
      <c r="A37" s="74" t="inlineStr">
        <is>
          <t>[금동]</t>
        </is>
      </c>
      <c r="B37" s="74" t="n">
        <v>14955</v>
      </c>
      <c r="C37" s="74" t="n">
        <v>1</v>
      </c>
      <c r="D37" s="74" t="inlineStr">
        <is>
          <t>동신</t>
        </is>
      </c>
      <c r="E37" s="74" t="inlineStr">
        <is>
          <t>1992.08.</t>
        </is>
      </c>
      <c r="F37" s="74" t="n">
        <v>169</v>
      </c>
      <c r="G37" s="74" t="n">
        <v>22.14</v>
      </c>
      <c r="H37" s="74" t="n">
        <v>73.2</v>
      </c>
      <c r="I37" s="74" t="n">
        <v>18.13</v>
      </c>
      <c r="J37" s="74" t="n">
        <v>59.94</v>
      </c>
      <c r="K37" s="74" t="n">
        <v>44</v>
      </c>
      <c r="T37" s="74" t="n">
        <v>3</v>
      </c>
      <c r="U37" s="74" t="n">
        <v>1</v>
      </c>
      <c r="V37" s="74" t="inlineStr">
        <is>
          <t>계단식</t>
        </is>
      </c>
      <c r="W37" s="74" t="n">
        <v>73</v>
      </c>
      <c r="X37" s="74" t="n">
        <v>11</v>
      </c>
      <c r="Y37" s="74" t="n">
        <v>6</v>
      </c>
      <c r="Z37" s="74" t="inlineStr">
        <is>
          <t>https://new.land.naver.com/complexes/14955?tab=detail&amp;rf=Y</t>
        </is>
      </c>
      <c r="AA37" s="74" t="inlineStr">
        <is>
          <t>전라북도 군산시 금동 10</t>
        </is>
      </c>
      <c r="AB37" s="74" t="inlineStr">
        <is>
          <t>전라북도</t>
        </is>
      </c>
      <c r="AC37" s="74" t="inlineStr">
        <is>
          <t>군산시</t>
        </is>
      </c>
      <c r="AD37" s="74" t="inlineStr">
        <is>
          <t>금동</t>
        </is>
      </c>
      <c r="AG37" s="74" t="inlineStr">
        <is>
          <t>전라북도 군산시 구영신창길 77</t>
        </is>
      </c>
      <c r="AH37" s="74" t="n">
        <v>0</v>
      </c>
      <c r="AI37" s="74" t="n">
        <v>224</v>
      </c>
      <c r="AJ37" s="74" t="n">
        <v>23</v>
      </c>
      <c r="AK37" s="74" t="n">
        <v>0</v>
      </c>
      <c r="AL37" s="74" t="n">
        <v>0</v>
      </c>
    </row>
    <row r="38">
      <c r="A38" s="74" t="inlineStr">
        <is>
          <t>[금동]</t>
        </is>
      </c>
      <c r="B38" s="74" t="n">
        <v>14955</v>
      </c>
      <c r="C38" s="74" t="n">
        <v>2</v>
      </c>
      <c r="D38" s="74" t="inlineStr">
        <is>
          <t>동신</t>
        </is>
      </c>
      <c r="E38" s="74" t="inlineStr">
        <is>
          <t>1992.08.</t>
        </is>
      </c>
      <c r="F38" s="74" t="n">
        <v>169</v>
      </c>
      <c r="G38" s="74" t="n">
        <v>22.14</v>
      </c>
      <c r="H38" s="74" t="n">
        <v>73.2</v>
      </c>
      <c r="I38" s="74" t="n">
        <v>18.13</v>
      </c>
      <c r="J38" s="74" t="n">
        <v>59.94</v>
      </c>
      <c r="K38" s="74" t="n">
        <v>24</v>
      </c>
      <c r="T38" s="74" t="n">
        <v>3</v>
      </c>
      <c r="U38" s="74" t="n">
        <v>1</v>
      </c>
      <c r="V38" s="74" t="inlineStr">
        <is>
          <t>계단식</t>
        </is>
      </c>
      <c r="W38" s="74" t="n">
        <v>73</v>
      </c>
      <c r="X38" s="74" t="n">
        <v>11</v>
      </c>
      <c r="Y38" s="74" t="n">
        <v>6</v>
      </c>
      <c r="Z38" s="74" t="inlineStr">
        <is>
          <t>https://new.land.naver.com/complexes/14955?tab=detail&amp;rf=Y</t>
        </is>
      </c>
      <c r="AA38" s="74" t="inlineStr">
        <is>
          <t>전라북도 군산시 금동 10</t>
        </is>
      </c>
      <c r="AB38" s="74" t="inlineStr">
        <is>
          <t>전라북도</t>
        </is>
      </c>
      <c r="AC38" s="74" t="inlineStr">
        <is>
          <t>군산시</t>
        </is>
      </c>
      <c r="AD38" s="74" t="inlineStr">
        <is>
          <t>금동</t>
        </is>
      </c>
      <c r="AG38" s="74" t="inlineStr">
        <is>
          <t>전라북도 군산시 구영신창길 77</t>
        </is>
      </c>
      <c r="AH38" s="74" t="n">
        <v>0</v>
      </c>
      <c r="AI38" s="74" t="n">
        <v>224</v>
      </c>
      <c r="AJ38" s="74" t="n">
        <v>23</v>
      </c>
      <c r="AK38" s="74" t="n">
        <v>0</v>
      </c>
      <c r="AL38" s="74" t="n">
        <v>0</v>
      </c>
    </row>
    <row r="39">
      <c r="A39" s="74" t="inlineStr">
        <is>
          <t>[금동]</t>
        </is>
      </c>
      <c r="B39" s="74" t="n">
        <v>14955</v>
      </c>
      <c r="C39" s="74" t="n">
        <v>3</v>
      </c>
      <c r="D39" s="74" t="inlineStr">
        <is>
          <t>동신</t>
        </is>
      </c>
      <c r="E39" s="74" t="inlineStr">
        <is>
          <t>1992.08.</t>
        </is>
      </c>
      <c r="F39" s="74" t="n">
        <v>169</v>
      </c>
      <c r="G39" s="74" t="n">
        <v>24.76</v>
      </c>
      <c r="H39" s="74" t="n">
        <v>81.88</v>
      </c>
      <c r="I39" s="74" t="n">
        <v>20.23</v>
      </c>
      <c r="J39" s="74" t="n">
        <v>66.90000000000001</v>
      </c>
      <c r="K39" s="74" t="n">
        <v>23</v>
      </c>
      <c r="T39" s="74" t="n">
        <v>3</v>
      </c>
      <c r="U39" s="74" t="n">
        <v>2</v>
      </c>
      <c r="V39" s="74" t="inlineStr">
        <is>
          <t>계단식</t>
        </is>
      </c>
      <c r="W39" s="74" t="inlineStr">
        <is>
          <t>81B</t>
        </is>
      </c>
      <c r="X39" s="74" t="n">
        <v>11</v>
      </c>
      <c r="Y39" s="74" t="n">
        <v>6</v>
      </c>
      <c r="Z39" s="74" t="inlineStr">
        <is>
          <t>https://new.land.naver.com/complexes/14955?tab=detail&amp;rf=Y</t>
        </is>
      </c>
      <c r="AA39" s="74" t="inlineStr">
        <is>
          <t>전라북도 군산시 금동 10</t>
        </is>
      </c>
      <c r="AB39" s="74" t="inlineStr">
        <is>
          <t>전라북도</t>
        </is>
      </c>
      <c r="AC39" s="74" t="inlineStr">
        <is>
          <t>군산시</t>
        </is>
      </c>
      <c r="AD39" s="74" t="inlineStr">
        <is>
          <t>금동</t>
        </is>
      </c>
      <c r="AG39" s="74" t="inlineStr">
        <is>
          <t>전라북도 군산시 구영신창길 77</t>
        </is>
      </c>
      <c r="AH39" s="74" t="n">
        <v>0</v>
      </c>
      <c r="AI39" s="74" t="n">
        <v>224</v>
      </c>
      <c r="AJ39" s="74" t="n">
        <v>23</v>
      </c>
      <c r="AK39" s="74" t="n">
        <v>0</v>
      </c>
      <c r="AL39" s="74" t="n">
        <v>0</v>
      </c>
    </row>
    <row r="40">
      <c r="A40" s="74" t="inlineStr">
        <is>
          <t>[금동]</t>
        </is>
      </c>
      <c r="B40" s="74" t="n">
        <v>14955</v>
      </c>
      <c r="C40" s="74" t="n">
        <v>4</v>
      </c>
      <c r="D40" s="74" t="inlineStr">
        <is>
          <t>동신</t>
        </is>
      </c>
      <c r="E40" s="74" t="inlineStr">
        <is>
          <t>1992.08.</t>
        </is>
      </c>
      <c r="F40" s="74" t="n">
        <v>169</v>
      </c>
      <c r="G40" s="74" t="n">
        <v>24.67</v>
      </c>
      <c r="H40" s="74" t="n">
        <v>81.58</v>
      </c>
      <c r="I40" s="74" t="n">
        <v>20.14</v>
      </c>
      <c r="J40" s="74" t="n">
        <v>66.59999999999999</v>
      </c>
      <c r="K40" s="74" t="n">
        <v>1</v>
      </c>
      <c r="T40" s="74" t="n">
        <v>3</v>
      </c>
      <c r="U40" s="74" t="n">
        <v>1</v>
      </c>
      <c r="V40" s="74" t="inlineStr">
        <is>
          <t>계단식</t>
        </is>
      </c>
      <c r="W40" s="74" t="inlineStr">
        <is>
          <t>81A</t>
        </is>
      </c>
      <c r="X40" s="74" t="n">
        <v>11</v>
      </c>
      <c r="Y40" s="74" t="n">
        <v>6</v>
      </c>
      <c r="Z40" s="74" t="inlineStr">
        <is>
          <t>https://new.land.naver.com/complexes/14955?tab=detail&amp;rf=Y</t>
        </is>
      </c>
      <c r="AA40" s="74" t="inlineStr">
        <is>
          <t>전라북도 군산시 금동 10</t>
        </is>
      </c>
      <c r="AB40" s="74" t="inlineStr">
        <is>
          <t>전라북도</t>
        </is>
      </c>
      <c r="AC40" s="74" t="inlineStr">
        <is>
          <t>군산시</t>
        </is>
      </c>
      <c r="AD40" s="74" t="inlineStr">
        <is>
          <t>금동</t>
        </is>
      </c>
      <c r="AG40" s="74" t="inlineStr">
        <is>
          <t>전라북도 군산시 구영신창길 77</t>
        </is>
      </c>
      <c r="AH40" s="74" t="n">
        <v>0</v>
      </c>
      <c r="AI40" s="74" t="n">
        <v>224</v>
      </c>
      <c r="AJ40" s="74" t="n">
        <v>23</v>
      </c>
      <c r="AK40" s="74" t="n">
        <v>0</v>
      </c>
      <c r="AL40" s="74" t="n">
        <v>0</v>
      </c>
    </row>
    <row r="41">
      <c r="A41" s="74" t="inlineStr">
        <is>
          <t>[금동]</t>
        </is>
      </c>
      <c r="B41" s="74" t="n">
        <v>14955</v>
      </c>
      <c r="C41" s="74" t="n">
        <v>5</v>
      </c>
      <c r="D41" s="74" t="inlineStr">
        <is>
          <t>동신</t>
        </is>
      </c>
      <c r="E41" s="74" t="inlineStr">
        <is>
          <t>1992.08.</t>
        </is>
      </c>
      <c r="F41" s="74" t="n">
        <v>169</v>
      </c>
      <c r="G41" s="74" t="n">
        <v>27.97</v>
      </c>
      <c r="H41" s="74" t="n">
        <v>92.48</v>
      </c>
      <c r="I41" s="74" t="n">
        <v>22.64</v>
      </c>
      <c r="J41" s="74" t="n">
        <v>74.86</v>
      </c>
      <c r="K41" s="74" t="n">
        <v>44</v>
      </c>
      <c r="T41" s="74" t="n">
        <v>3</v>
      </c>
      <c r="U41" s="74" t="n">
        <v>1</v>
      </c>
      <c r="V41" s="74" t="inlineStr">
        <is>
          <t>계단식</t>
        </is>
      </c>
      <c r="W41" s="74" t="n">
        <v>92</v>
      </c>
      <c r="X41" s="74" t="n">
        <v>11</v>
      </c>
      <c r="Y41" s="74" t="n">
        <v>6</v>
      </c>
      <c r="Z41" s="74" t="inlineStr">
        <is>
          <t>https://new.land.naver.com/complexes/14955?tab=detail&amp;rf=Y</t>
        </is>
      </c>
      <c r="AA41" s="74" t="inlineStr">
        <is>
          <t>전라북도 군산시 금동 10</t>
        </is>
      </c>
      <c r="AB41" s="74" t="inlineStr">
        <is>
          <t>전라북도</t>
        </is>
      </c>
      <c r="AC41" s="74" t="inlineStr">
        <is>
          <t>군산시</t>
        </is>
      </c>
      <c r="AD41" s="74" t="inlineStr">
        <is>
          <t>금동</t>
        </is>
      </c>
      <c r="AG41" s="74" t="inlineStr">
        <is>
          <t>전라북도 군산시 구영신창길 77</t>
        </is>
      </c>
      <c r="AH41" s="74" t="n">
        <v>0</v>
      </c>
      <c r="AI41" s="74" t="n">
        <v>224</v>
      </c>
      <c r="AJ41" s="74" t="n">
        <v>23</v>
      </c>
      <c r="AK41" s="74" t="n">
        <v>0</v>
      </c>
      <c r="AL41" s="74" t="n">
        <v>0</v>
      </c>
    </row>
    <row r="42">
      <c r="A42" s="74" t="inlineStr">
        <is>
          <t>[금동]</t>
        </is>
      </c>
      <c r="B42" s="74" t="n">
        <v>14955</v>
      </c>
      <c r="C42" s="74" t="n">
        <v>6</v>
      </c>
      <c r="D42" s="74" t="inlineStr">
        <is>
          <t>동신</t>
        </is>
      </c>
      <c r="E42" s="74" t="inlineStr">
        <is>
          <t>1992.08.</t>
        </is>
      </c>
      <c r="F42" s="74" t="n">
        <v>169</v>
      </c>
      <c r="G42" s="74" t="n">
        <v>30.88</v>
      </c>
      <c r="H42" s="74" t="n">
        <v>102.11</v>
      </c>
      <c r="I42" s="74" t="n">
        <v>25.28</v>
      </c>
      <c r="J42" s="74" t="n">
        <v>83.59</v>
      </c>
      <c r="K42" s="74" t="n">
        <v>33</v>
      </c>
      <c r="T42" s="74" t="n">
        <v>3</v>
      </c>
      <c r="U42" s="74" t="n">
        <v>2</v>
      </c>
      <c r="V42" s="74" t="inlineStr">
        <is>
          <t>계단식</t>
        </is>
      </c>
      <c r="W42" s="74" t="n">
        <v>102</v>
      </c>
      <c r="X42" s="74" t="n">
        <v>11</v>
      </c>
      <c r="Y42" s="74" t="n">
        <v>6</v>
      </c>
      <c r="Z42" s="74" t="inlineStr">
        <is>
          <t>https://new.land.naver.com/complexes/14955?tab=detail&amp;rf=Y</t>
        </is>
      </c>
      <c r="AA42" s="74" t="inlineStr">
        <is>
          <t>전라북도 군산시 금동 10</t>
        </is>
      </c>
      <c r="AB42" s="74" t="inlineStr">
        <is>
          <t>전라북도</t>
        </is>
      </c>
      <c r="AC42" s="74" t="inlineStr">
        <is>
          <t>군산시</t>
        </is>
      </c>
      <c r="AD42" s="74" t="inlineStr">
        <is>
          <t>금동</t>
        </is>
      </c>
      <c r="AG42" s="74" t="inlineStr">
        <is>
          <t>전라북도 군산시 구영신창길 77</t>
        </is>
      </c>
      <c r="AH42" s="74" t="n">
        <v>0</v>
      </c>
      <c r="AI42" s="74" t="n">
        <v>224</v>
      </c>
      <c r="AJ42" s="74" t="n">
        <v>23</v>
      </c>
      <c r="AK42" s="74" t="n">
        <v>0</v>
      </c>
      <c r="AL42" s="74" t="n">
        <v>0</v>
      </c>
    </row>
    <row r="43">
      <c r="A43" s="74" t="inlineStr">
        <is>
          <t>[금동]</t>
        </is>
      </c>
      <c r="B43" s="74" t="n">
        <v>14958</v>
      </c>
      <c r="C43" s="74" t="n">
        <v>1</v>
      </c>
      <c r="D43" s="74" t="inlineStr">
        <is>
          <t>한신88맨션</t>
        </is>
      </c>
      <c r="E43" s="74" t="inlineStr">
        <is>
          <t>1989.04.</t>
        </is>
      </c>
      <c r="F43" s="74" t="n">
        <v>99</v>
      </c>
      <c r="G43" s="74" t="n">
        <v>24.5</v>
      </c>
      <c r="H43" s="74" t="n">
        <v>81</v>
      </c>
      <c r="I43" s="74" t="n">
        <v>19.92</v>
      </c>
      <c r="J43" s="74" t="n">
        <v>65.88</v>
      </c>
      <c r="K43" s="74" t="n">
        <v>9</v>
      </c>
      <c r="T43" s="74" t="n">
        <v>3</v>
      </c>
      <c r="U43" s="74" t="n">
        <v>1</v>
      </c>
      <c r="V43" s="74" t="inlineStr">
        <is>
          <t>복도식</t>
        </is>
      </c>
      <c r="W43" s="74" t="n">
        <v>81</v>
      </c>
      <c r="X43" s="74" t="n">
        <v>9</v>
      </c>
      <c r="Y43" s="74" t="n">
        <v>9</v>
      </c>
      <c r="Z43" s="74" t="inlineStr">
        <is>
          <t>https://new.land.naver.com/complexes/14958?tab=detail&amp;rf=Y</t>
        </is>
      </c>
      <c r="AA43" s="74" t="inlineStr">
        <is>
          <t>전라북도 군산시 금동 26-2</t>
        </is>
      </c>
      <c r="AB43" s="74" t="inlineStr">
        <is>
          <t>전라북도</t>
        </is>
      </c>
      <c r="AC43" s="74" t="inlineStr">
        <is>
          <t>군산시</t>
        </is>
      </c>
      <c r="AD43" s="74" t="inlineStr">
        <is>
          <t>금동</t>
        </is>
      </c>
      <c r="AG43" s="74" t="inlineStr">
        <is>
          <t>전라북도 군산시 구영1길 113</t>
        </is>
      </c>
      <c r="AH43" s="74" t="n">
        <v>0</v>
      </c>
      <c r="AI43" s="74" t="n">
        <v>267</v>
      </c>
      <c r="AJ43" s="74" t="n">
        <v>31</v>
      </c>
      <c r="AK43" s="74" t="n">
        <v>0</v>
      </c>
      <c r="AL43" s="74" t="n">
        <v>0</v>
      </c>
    </row>
    <row r="44">
      <c r="A44" s="74" t="inlineStr">
        <is>
          <t>[금동]</t>
        </is>
      </c>
      <c r="B44" s="74" t="n">
        <v>14958</v>
      </c>
      <c r="C44" s="74" t="n">
        <v>2</v>
      </c>
      <c r="D44" s="74" t="inlineStr">
        <is>
          <t>한신88맨션</t>
        </is>
      </c>
      <c r="E44" s="74" t="inlineStr">
        <is>
          <t>1989.04.</t>
        </is>
      </c>
      <c r="F44" s="74" t="n">
        <v>99</v>
      </c>
      <c r="G44" s="74" t="n">
        <v>30.95</v>
      </c>
      <c r="H44" s="74" t="n">
        <v>102.32</v>
      </c>
      <c r="I44" s="74" t="n">
        <v>25.15</v>
      </c>
      <c r="J44" s="74" t="n">
        <v>83.16</v>
      </c>
      <c r="K44" s="74" t="n">
        <v>90</v>
      </c>
      <c r="T44" s="74" t="n">
        <v>3</v>
      </c>
      <c r="U44" s="74" t="n">
        <v>2</v>
      </c>
      <c r="V44" s="74" t="inlineStr">
        <is>
          <t>복도식</t>
        </is>
      </c>
      <c r="W44" s="74" t="n">
        <v>102</v>
      </c>
      <c r="X44" s="74" t="n">
        <v>9</v>
      </c>
      <c r="Y44" s="74" t="n">
        <v>9</v>
      </c>
      <c r="Z44" s="74" t="inlineStr">
        <is>
          <t>https://new.land.naver.com/complexes/14958?tab=detail&amp;rf=Y</t>
        </is>
      </c>
      <c r="AA44" s="74" t="inlineStr">
        <is>
          <t>전라북도 군산시 금동 26-2</t>
        </is>
      </c>
      <c r="AB44" s="74" t="inlineStr">
        <is>
          <t>전라북도</t>
        </is>
      </c>
      <c r="AC44" s="74" t="inlineStr">
        <is>
          <t>군산시</t>
        </is>
      </c>
      <c r="AD44" s="74" t="inlineStr">
        <is>
          <t>금동</t>
        </is>
      </c>
      <c r="AG44" s="74" t="inlineStr">
        <is>
          <t>전라북도 군산시 구영1길 113</t>
        </is>
      </c>
      <c r="AH44" s="74" t="n">
        <v>0</v>
      </c>
      <c r="AI44" s="74" t="n">
        <v>267</v>
      </c>
      <c r="AJ44" s="74" t="n">
        <v>31</v>
      </c>
      <c r="AK44" s="74" t="n">
        <v>0</v>
      </c>
      <c r="AL44" s="74" t="n">
        <v>0</v>
      </c>
    </row>
    <row r="45">
      <c r="A45" s="74" t="inlineStr">
        <is>
          <t>[나운동]</t>
        </is>
      </c>
      <c r="B45" s="74" t="n">
        <v>132110</v>
      </c>
      <c r="C45" s="74" t="n">
        <v>1</v>
      </c>
      <c r="D45" s="74" t="inlineStr">
        <is>
          <t>나운금호어울림센트럴</t>
        </is>
      </c>
      <c r="E45" s="74" t="inlineStr">
        <is>
          <t>2022.09.</t>
        </is>
      </c>
      <c r="F45" s="74" t="n">
        <v>993</v>
      </c>
      <c r="G45" s="74" t="n">
        <v>24.35</v>
      </c>
      <c r="H45" s="74" t="n">
        <v>80.51000000000001</v>
      </c>
      <c r="I45" s="74" t="n">
        <v>18.08</v>
      </c>
      <c r="J45" s="74" t="n">
        <v>59.78</v>
      </c>
      <c r="K45" s="74" t="n">
        <v>178</v>
      </c>
      <c r="T45" s="74" t="n">
        <v>3</v>
      </c>
      <c r="U45" s="74" t="n">
        <v>2</v>
      </c>
      <c r="V45" s="74" t="inlineStr">
        <is>
          <t>계단식</t>
        </is>
      </c>
      <c r="W45" s="74" t="inlineStr">
        <is>
          <t>80A</t>
        </is>
      </c>
      <c r="X45" s="74" t="n">
        <v>26</v>
      </c>
      <c r="Y45" s="74" t="n">
        <v>16</v>
      </c>
      <c r="Z45" s="74" t="inlineStr">
        <is>
          <t>https://new.land.naver.com/complexes/132110?tab=detail&amp;rf=Y</t>
        </is>
      </c>
      <c r="AA45" s="74" t="inlineStr">
        <is>
          <t>전라북도 군산시 나운동 831번지 일원</t>
        </is>
      </c>
      <c r="AB45" s="74" t="inlineStr">
        <is>
          <t>전라북도</t>
        </is>
      </c>
      <c r="AC45" s="74" t="inlineStr">
        <is>
          <t>군산시</t>
        </is>
      </c>
      <c r="AD45" s="74" t="inlineStr">
        <is>
          <t>나운동</t>
        </is>
      </c>
      <c r="AG45" s="74" t="inlineStr">
        <is>
          <t>전라북도 군산시</t>
        </is>
      </c>
      <c r="AH45" s="74" t="n">
        <v>0</v>
      </c>
      <c r="AI45" s="74" t="n">
        <v>269</v>
      </c>
      <c r="AJ45" s="74" t="n">
        <v>21</v>
      </c>
      <c r="AK45" s="74" t="n">
        <v>1275</v>
      </c>
      <c r="AL45" s="74" t="n">
        <v>1.28</v>
      </c>
    </row>
    <row r="46">
      <c r="A46" s="74" t="inlineStr">
        <is>
          <t>[나운동]</t>
        </is>
      </c>
      <c r="B46" s="74" t="n">
        <v>132110</v>
      </c>
      <c r="C46" s="74" t="n">
        <v>2</v>
      </c>
      <c r="D46" s="74" t="inlineStr">
        <is>
          <t>나운금호어울림센트럴</t>
        </is>
      </c>
      <c r="E46" s="74" t="inlineStr">
        <is>
          <t>2022.09.</t>
        </is>
      </c>
      <c r="F46" s="74" t="n">
        <v>993</v>
      </c>
      <c r="G46" s="74" t="n">
        <v>24.38</v>
      </c>
      <c r="H46" s="74" t="n">
        <v>80.59999999999999</v>
      </c>
      <c r="I46" s="74" t="n">
        <v>18.13</v>
      </c>
      <c r="J46" s="74" t="n">
        <v>59.96</v>
      </c>
      <c r="K46" s="74" t="n">
        <v>82</v>
      </c>
      <c r="T46" s="74" t="n">
        <v>3</v>
      </c>
      <c r="U46" s="74" t="n">
        <v>2</v>
      </c>
      <c r="V46" s="74" t="inlineStr">
        <is>
          <t>계단식</t>
        </is>
      </c>
      <c r="W46" s="74" t="inlineStr">
        <is>
          <t>80B</t>
        </is>
      </c>
      <c r="X46" s="74" t="n">
        <v>26</v>
      </c>
      <c r="Y46" s="74" t="n">
        <v>16</v>
      </c>
      <c r="Z46" s="74" t="inlineStr">
        <is>
          <t>https://new.land.naver.com/complexes/132110?tab=detail&amp;rf=Y</t>
        </is>
      </c>
      <c r="AA46" s="74" t="inlineStr">
        <is>
          <t>전라북도 군산시 나운동 831번지 일원</t>
        </is>
      </c>
      <c r="AB46" s="74" t="inlineStr">
        <is>
          <t>전라북도</t>
        </is>
      </c>
      <c r="AC46" s="74" t="inlineStr">
        <is>
          <t>군산시</t>
        </is>
      </c>
      <c r="AD46" s="74" t="inlineStr">
        <is>
          <t>나운동</t>
        </is>
      </c>
      <c r="AG46" s="74" t="inlineStr">
        <is>
          <t>전라북도 군산시</t>
        </is>
      </c>
      <c r="AH46" s="74" t="n">
        <v>0</v>
      </c>
      <c r="AI46" s="74" t="n">
        <v>269</v>
      </c>
      <c r="AJ46" s="74" t="n">
        <v>21</v>
      </c>
      <c r="AK46" s="74" t="n">
        <v>1275</v>
      </c>
      <c r="AL46" s="74" t="n">
        <v>1.28</v>
      </c>
    </row>
    <row r="47">
      <c r="A47" s="74" t="inlineStr">
        <is>
          <t>[나운동]</t>
        </is>
      </c>
      <c r="B47" s="74" t="n">
        <v>132110</v>
      </c>
      <c r="C47" s="74" t="n">
        <v>3</v>
      </c>
      <c r="D47" s="74" t="inlineStr">
        <is>
          <t>나운금호어울림센트럴</t>
        </is>
      </c>
      <c r="E47" s="74" t="inlineStr">
        <is>
          <t>2022.09.</t>
        </is>
      </c>
      <c r="F47" s="74" t="n">
        <v>993</v>
      </c>
      <c r="G47" s="74" t="n">
        <v>29.74</v>
      </c>
      <c r="H47" s="74" t="n">
        <v>98.34</v>
      </c>
      <c r="I47" s="74" t="n">
        <v>22.2</v>
      </c>
      <c r="J47" s="74" t="n">
        <v>73.42</v>
      </c>
      <c r="K47" s="74" t="n">
        <v>86</v>
      </c>
      <c r="T47" s="74" t="n">
        <v>3</v>
      </c>
      <c r="U47" s="74" t="n">
        <v>2</v>
      </c>
      <c r="V47" s="74" t="inlineStr">
        <is>
          <t>계단식</t>
        </is>
      </c>
      <c r="W47" s="74" t="n">
        <v>98</v>
      </c>
      <c r="X47" s="74" t="n">
        <v>26</v>
      </c>
      <c r="Y47" s="74" t="n">
        <v>16</v>
      </c>
      <c r="Z47" s="74" t="inlineStr">
        <is>
          <t>https://new.land.naver.com/complexes/132110?tab=detail&amp;rf=Y</t>
        </is>
      </c>
      <c r="AA47" s="74" t="inlineStr">
        <is>
          <t>전라북도 군산시 나운동 831번지 일원</t>
        </is>
      </c>
      <c r="AB47" s="74" t="inlineStr">
        <is>
          <t>전라북도</t>
        </is>
      </c>
      <c r="AC47" s="74" t="inlineStr">
        <is>
          <t>군산시</t>
        </is>
      </c>
      <c r="AD47" s="74" t="inlineStr">
        <is>
          <t>나운동</t>
        </is>
      </c>
      <c r="AG47" s="74" t="inlineStr">
        <is>
          <t>전라북도 군산시</t>
        </is>
      </c>
      <c r="AH47" s="74" t="n">
        <v>0</v>
      </c>
      <c r="AI47" s="74" t="n">
        <v>269</v>
      </c>
      <c r="AJ47" s="74" t="n">
        <v>21</v>
      </c>
      <c r="AK47" s="74" t="n">
        <v>1275</v>
      </c>
      <c r="AL47" s="74" t="n">
        <v>1.28</v>
      </c>
    </row>
    <row r="48">
      <c r="A48" s="74" t="inlineStr">
        <is>
          <t>[나운동]</t>
        </is>
      </c>
      <c r="B48" s="74" t="n">
        <v>132110</v>
      </c>
      <c r="C48" s="74" t="n">
        <v>4</v>
      </c>
      <c r="D48" s="74" t="inlineStr">
        <is>
          <t>나운금호어울림센트럴</t>
        </is>
      </c>
      <c r="E48" s="74" t="inlineStr">
        <is>
          <t>2022.09.</t>
        </is>
      </c>
      <c r="F48" s="74" t="n">
        <v>993</v>
      </c>
      <c r="G48" s="74" t="n">
        <v>33.99</v>
      </c>
      <c r="H48" s="74" t="n">
        <v>112.39</v>
      </c>
      <c r="I48" s="74" t="n">
        <v>25.7</v>
      </c>
      <c r="J48" s="74" t="n">
        <v>84.98999999999999</v>
      </c>
      <c r="K48" s="74" t="n">
        <v>36</v>
      </c>
      <c r="T48" s="74" t="n">
        <v>3</v>
      </c>
      <c r="U48" s="74" t="n">
        <v>2</v>
      </c>
      <c r="V48" s="74" t="inlineStr">
        <is>
          <t>계단식</t>
        </is>
      </c>
      <c r="W48" s="74" t="inlineStr">
        <is>
          <t>112A</t>
        </is>
      </c>
      <c r="X48" s="74" t="n">
        <v>26</v>
      </c>
      <c r="Y48" s="74" t="n">
        <v>16</v>
      </c>
      <c r="Z48" s="74" t="inlineStr">
        <is>
          <t>https://new.land.naver.com/complexes/132110?tab=detail&amp;rf=Y</t>
        </is>
      </c>
      <c r="AA48" s="74" t="inlineStr">
        <is>
          <t>전라북도 군산시 나운동 831번지 일원</t>
        </is>
      </c>
      <c r="AB48" s="74" t="inlineStr">
        <is>
          <t>전라북도</t>
        </is>
      </c>
      <c r="AC48" s="74" t="inlineStr">
        <is>
          <t>군산시</t>
        </is>
      </c>
      <c r="AD48" s="74" t="inlineStr">
        <is>
          <t>나운동</t>
        </is>
      </c>
      <c r="AG48" s="74" t="inlineStr">
        <is>
          <t>전라북도 군산시</t>
        </is>
      </c>
      <c r="AH48" s="74" t="n">
        <v>0</v>
      </c>
      <c r="AI48" s="74" t="n">
        <v>269</v>
      </c>
      <c r="AJ48" s="74" t="n">
        <v>21</v>
      </c>
      <c r="AK48" s="74" t="n">
        <v>1275</v>
      </c>
      <c r="AL48" s="74" t="n">
        <v>1.28</v>
      </c>
    </row>
    <row r="49">
      <c r="A49" s="74" t="inlineStr">
        <is>
          <t>[나운동]</t>
        </is>
      </c>
      <c r="B49" s="74" t="n">
        <v>132110</v>
      </c>
      <c r="C49" s="74" t="n">
        <v>5</v>
      </c>
      <c r="D49" s="74" t="inlineStr">
        <is>
          <t>나운금호어울림센트럴</t>
        </is>
      </c>
      <c r="E49" s="74" t="inlineStr">
        <is>
          <t>2022.09.</t>
        </is>
      </c>
      <c r="F49" s="74" t="n">
        <v>993</v>
      </c>
      <c r="G49" s="74" t="n">
        <v>34.3</v>
      </c>
      <c r="H49" s="74" t="n">
        <v>113.41</v>
      </c>
      <c r="I49" s="74" t="n">
        <v>25.68</v>
      </c>
      <c r="J49" s="74" t="n">
        <v>84.92</v>
      </c>
      <c r="K49" s="74" t="n">
        <v>4</v>
      </c>
      <c r="T49" s="74" t="n">
        <v>3</v>
      </c>
      <c r="U49" s="74" t="n">
        <v>2</v>
      </c>
      <c r="V49" s="74" t="inlineStr">
        <is>
          <t>계단식</t>
        </is>
      </c>
      <c r="W49" s="74" t="inlineStr">
        <is>
          <t>113B</t>
        </is>
      </c>
      <c r="X49" s="74" t="n">
        <v>26</v>
      </c>
      <c r="Y49" s="74" t="n">
        <v>16</v>
      </c>
      <c r="Z49" s="74" t="inlineStr">
        <is>
          <t>https://new.land.naver.com/complexes/132110?tab=detail&amp;rf=Y</t>
        </is>
      </c>
      <c r="AA49" s="74" t="inlineStr">
        <is>
          <t>전라북도 군산시 나운동 831번지 일원</t>
        </is>
      </c>
      <c r="AB49" s="74" t="inlineStr">
        <is>
          <t>전라북도</t>
        </is>
      </c>
      <c r="AC49" s="74" t="inlineStr">
        <is>
          <t>군산시</t>
        </is>
      </c>
      <c r="AD49" s="74" t="inlineStr">
        <is>
          <t>나운동</t>
        </is>
      </c>
      <c r="AG49" s="74" t="inlineStr">
        <is>
          <t>전라북도 군산시</t>
        </is>
      </c>
      <c r="AH49" s="74" t="n">
        <v>0</v>
      </c>
      <c r="AI49" s="74" t="n">
        <v>269</v>
      </c>
      <c r="AJ49" s="74" t="n">
        <v>21</v>
      </c>
      <c r="AK49" s="74" t="n">
        <v>1275</v>
      </c>
      <c r="AL49" s="74" t="n">
        <v>1.28</v>
      </c>
    </row>
    <row r="50">
      <c r="A50" s="74" t="inlineStr">
        <is>
          <t>[나운동]</t>
        </is>
      </c>
      <c r="B50" s="74" t="n">
        <v>132110</v>
      </c>
      <c r="C50" s="74" t="n">
        <v>6</v>
      </c>
      <c r="D50" s="74" t="inlineStr">
        <is>
          <t>나운금호어울림센트럴</t>
        </is>
      </c>
      <c r="E50" s="74" t="inlineStr">
        <is>
          <t>2022.09.</t>
        </is>
      </c>
      <c r="F50" s="74" t="n">
        <v>993</v>
      </c>
      <c r="G50" s="74" t="n">
        <v>34.87</v>
      </c>
      <c r="H50" s="74" t="n">
        <v>115.3</v>
      </c>
      <c r="I50" s="74" t="n">
        <v>25.68</v>
      </c>
      <c r="J50" s="74" t="n">
        <v>84.92</v>
      </c>
      <c r="K50" s="74" t="n">
        <v>6</v>
      </c>
      <c r="T50" s="74" t="n">
        <v>3</v>
      </c>
      <c r="U50" s="74" t="n">
        <v>2</v>
      </c>
      <c r="V50" s="74" t="inlineStr">
        <is>
          <t>계단식</t>
        </is>
      </c>
      <c r="W50" s="74" t="inlineStr">
        <is>
          <t>115C</t>
        </is>
      </c>
      <c r="X50" s="74" t="n">
        <v>26</v>
      </c>
      <c r="Y50" s="74" t="n">
        <v>16</v>
      </c>
      <c r="Z50" s="74" t="inlineStr">
        <is>
          <t>https://new.land.naver.com/complexes/132110?tab=detail&amp;rf=Y</t>
        </is>
      </c>
      <c r="AA50" s="74" t="inlineStr">
        <is>
          <t>전라북도 군산시 나운동 831번지 일원</t>
        </is>
      </c>
      <c r="AB50" s="74" t="inlineStr">
        <is>
          <t>전라북도</t>
        </is>
      </c>
      <c r="AC50" s="74" t="inlineStr">
        <is>
          <t>군산시</t>
        </is>
      </c>
      <c r="AD50" s="74" t="inlineStr">
        <is>
          <t>나운동</t>
        </is>
      </c>
      <c r="AG50" s="74" t="inlineStr">
        <is>
          <t>전라북도 군산시</t>
        </is>
      </c>
      <c r="AH50" s="74" t="n">
        <v>0</v>
      </c>
      <c r="AI50" s="74" t="n">
        <v>269</v>
      </c>
      <c r="AJ50" s="74" t="n">
        <v>21</v>
      </c>
      <c r="AK50" s="74" t="n">
        <v>1275</v>
      </c>
      <c r="AL50" s="74" t="n">
        <v>1.28</v>
      </c>
    </row>
    <row r="51">
      <c r="A51" s="74" t="inlineStr">
        <is>
          <t>[나운동]</t>
        </is>
      </c>
      <c r="B51" s="74" t="n">
        <v>14959</v>
      </c>
      <c r="C51" s="74" t="n">
        <v>1</v>
      </c>
      <c r="D51" s="74" t="inlineStr">
        <is>
          <t>금호2차</t>
        </is>
      </c>
      <c r="E51" s="74" t="inlineStr">
        <is>
          <t>1987.09.</t>
        </is>
      </c>
      <c r="F51" s="74" t="n">
        <v>100</v>
      </c>
      <c r="G51" s="74" t="n">
        <v>21.56</v>
      </c>
      <c r="H51" s="74" t="n">
        <v>71.3</v>
      </c>
      <c r="I51" s="74" t="n">
        <v>18.13</v>
      </c>
      <c r="J51" s="74" t="n">
        <v>59.94</v>
      </c>
      <c r="K51" s="74" t="n">
        <v>70</v>
      </c>
      <c r="T51" s="74" t="n">
        <v>3</v>
      </c>
      <c r="U51" s="74" t="n">
        <v>1</v>
      </c>
      <c r="V51" s="74" t="inlineStr">
        <is>
          <t>계단식</t>
        </is>
      </c>
      <c r="W51" s="74" t="inlineStr">
        <is>
          <t>71B</t>
        </is>
      </c>
      <c r="X51" s="74" t="n">
        <v>5</v>
      </c>
      <c r="Y51" s="74" t="n">
        <v>5</v>
      </c>
      <c r="Z51" s="74" t="inlineStr">
        <is>
          <t>https://new.land.naver.com/complexes/14959?tab=detail&amp;rf=Y</t>
        </is>
      </c>
      <c r="AA51" s="74" t="inlineStr">
        <is>
          <t>전라북도 군산시 나운동 1187-2</t>
        </is>
      </c>
      <c r="AB51" s="74" t="inlineStr">
        <is>
          <t>전라북도</t>
        </is>
      </c>
      <c r="AC51" s="74" t="inlineStr">
        <is>
          <t>군산시</t>
        </is>
      </c>
      <c r="AD51" s="74" t="inlineStr">
        <is>
          <t>나운동</t>
        </is>
      </c>
      <c r="AG51" s="74" t="inlineStr">
        <is>
          <t>전라북도 군산시 한밭2길 10</t>
        </is>
      </c>
      <c r="AH51" s="74" t="n">
        <v>0</v>
      </c>
      <c r="AI51" s="74" t="n">
        <v>0</v>
      </c>
      <c r="AJ51" s="74" t="n">
        <v>0</v>
      </c>
      <c r="AK51" s="74" t="n">
        <v>0</v>
      </c>
      <c r="AL51" s="74" t="n">
        <v>0</v>
      </c>
    </row>
    <row r="52">
      <c r="A52" s="74" t="inlineStr">
        <is>
          <t>[나운동]</t>
        </is>
      </c>
      <c r="B52" s="74" t="n">
        <v>14959</v>
      </c>
      <c r="C52" s="74" t="n">
        <v>2</v>
      </c>
      <c r="D52" s="74" t="inlineStr">
        <is>
          <t>금호2차</t>
        </is>
      </c>
      <c r="E52" s="74" t="inlineStr">
        <is>
          <t>1987.09.</t>
        </is>
      </c>
      <c r="F52" s="74" t="n">
        <v>100</v>
      </c>
      <c r="G52" s="74" t="n">
        <v>21.5</v>
      </c>
      <c r="H52" s="74" t="n">
        <v>71.08</v>
      </c>
      <c r="I52" s="74" t="n">
        <v>18.06</v>
      </c>
      <c r="J52" s="74" t="n">
        <v>59.72</v>
      </c>
      <c r="K52" s="74" t="n">
        <v>30</v>
      </c>
      <c r="T52" s="74" t="n">
        <v>3</v>
      </c>
      <c r="U52" s="74" t="n">
        <v>1</v>
      </c>
      <c r="V52" s="74" t="inlineStr">
        <is>
          <t>계단식</t>
        </is>
      </c>
      <c r="W52" s="74" t="inlineStr">
        <is>
          <t>71A</t>
        </is>
      </c>
      <c r="X52" s="74" t="n">
        <v>5</v>
      </c>
      <c r="Y52" s="74" t="n">
        <v>5</v>
      </c>
      <c r="Z52" s="74" t="inlineStr">
        <is>
          <t>https://new.land.naver.com/complexes/14959?tab=detail&amp;rf=Y</t>
        </is>
      </c>
      <c r="AA52" s="74" t="inlineStr">
        <is>
          <t>전라북도 군산시 나운동 1187-2</t>
        </is>
      </c>
      <c r="AB52" s="74" t="inlineStr">
        <is>
          <t>전라북도</t>
        </is>
      </c>
      <c r="AC52" s="74" t="inlineStr">
        <is>
          <t>군산시</t>
        </is>
      </c>
      <c r="AD52" s="74" t="inlineStr">
        <is>
          <t>나운동</t>
        </is>
      </c>
      <c r="AG52" s="74" t="inlineStr">
        <is>
          <t>전라북도 군산시 한밭2길 10</t>
        </is>
      </c>
      <c r="AH52" s="74" t="n">
        <v>0</v>
      </c>
      <c r="AI52" s="74" t="n">
        <v>0</v>
      </c>
      <c r="AJ52" s="74" t="n">
        <v>0</v>
      </c>
      <c r="AK52" s="74" t="n">
        <v>0</v>
      </c>
      <c r="AL52" s="74" t="n">
        <v>0</v>
      </c>
    </row>
    <row r="53">
      <c r="A53" s="74" t="inlineStr">
        <is>
          <t>[나운동]</t>
        </is>
      </c>
      <c r="B53" s="74" t="n">
        <v>117992</v>
      </c>
      <c r="C53" s="74" t="n">
        <v>1</v>
      </c>
      <c r="D53" s="74" t="inlineStr">
        <is>
          <t>동북</t>
        </is>
      </c>
      <c r="E53" s="74" t="inlineStr">
        <is>
          <t>1988.07.</t>
        </is>
      </c>
      <c r="F53" s="74" t="n">
        <v>65</v>
      </c>
      <c r="G53" s="74" t="n">
        <v>16.66</v>
      </c>
      <c r="H53" s="74" t="n">
        <v>55.08</v>
      </c>
      <c r="I53" s="74" t="n">
        <v>15.02</v>
      </c>
      <c r="J53" s="74" t="n">
        <v>49.68</v>
      </c>
      <c r="K53" s="74" t="n">
        <v>40</v>
      </c>
      <c r="T53" s="74" t="n">
        <v>2</v>
      </c>
      <c r="U53" s="74" t="n">
        <v>1</v>
      </c>
      <c r="V53" s="74" t="inlineStr">
        <is>
          <t>복도식</t>
        </is>
      </c>
      <c r="W53" s="74" t="n">
        <v>55</v>
      </c>
      <c r="X53" s="74" t="n">
        <v>5</v>
      </c>
      <c r="Y53" s="74" t="n">
        <v>5</v>
      </c>
      <c r="Z53" s="74" t="inlineStr">
        <is>
          <t>https://new.land.naver.com/complexes/117992?tab=detail&amp;rf=Y</t>
        </is>
      </c>
      <c r="AA53" s="74" t="inlineStr">
        <is>
          <t>전라북도 군산시 나운동 785-1</t>
        </is>
      </c>
      <c r="AB53" s="74" t="inlineStr">
        <is>
          <t>전라북도</t>
        </is>
      </c>
      <c r="AC53" s="74" t="inlineStr">
        <is>
          <t>군산시</t>
        </is>
      </c>
      <c r="AD53" s="74" t="inlineStr">
        <is>
          <t>나운동</t>
        </is>
      </c>
      <c r="AG53" s="74" t="inlineStr">
        <is>
          <t>전라북도 군산시 신설1길 27</t>
        </is>
      </c>
      <c r="AH53" s="74" t="n">
        <v>0</v>
      </c>
      <c r="AI53" s="74" t="n">
        <v>0</v>
      </c>
      <c r="AJ53" s="74" t="n">
        <v>0</v>
      </c>
      <c r="AK53" s="74" t="n">
        <v>0</v>
      </c>
      <c r="AL53" s="74" t="n">
        <v>0</v>
      </c>
    </row>
    <row r="54">
      <c r="A54" s="74" t="inlineStr">
        <is>
          <t>[나운동]</t>
        </is>
      </c>
      <c r="B54" s="74" t="n">
        <v>117992</v>
      </c>
      <c r="C54" s="74" t="n">
        <v>2</v>
      </c>
      <c r="D54" s="74" t="inlineStr">
        <is>
          <t>동북</t>
        </is>
      </c>
      <c r="E54" s="74" t="inlineStr">
        <is>
          <t>1988.07.</t>
        </is>
      </c>
      <c r="F54" s="74" t="n">
        <v>65</v>
      </c>
      <c r="G54" s="74" t="n">
        <v>19.74</v>
      </c>
      <c r="H54" s="74" t="n">
        <v>65.28</v>
      </c>
      <c r="I54" s="74" t="n">
        <v>18.11</v>
      </c>
      <c r="J54" s="74" t="n">
        <v>59.88</v>
      </c>
      <c r="K54" s="74" t="n">
        <v>20</v>
      </c>
      <c r="T54" s="74" t="n">
        <v>3</v>
      </c>
      <c r="U54" s="74" t="n">
        <v>2</v>
      </c>
      <c r="V54" s="74" t="inlineStr">
        <is>
          <t>복도식</t>
        </is>
      </c>
      <c r="W54" s="74" t="n">
        <v>65</v>
      </c>
      <c r="X54" s="74" t="n">
        <v>5</v>
      </c>
      <c r="Y54" s="74" t="n">
        <v>5</v>
      </c>
      <c r="Z54" s="74" t="inlineStr">
        <is>
          <t>https://new.land.naver.com/complexes/117992?tab=detail&amp;rf=Y</t>
        </is>
      </c>
      <c r="AA54" s="74" t="inlineStr">
        <is>
          <t>전라북도 군산시 나운동 785-1</t>
        </is>
      </c>
      <c r="AB54" s="74" t="inlineStr">
        <is>
          <t>전라북도</t>
        </is>
      </c>
      <c r="AC54" s="74" t="inlineStr">
        <is>
          <t>군산시</t>
        </is>
      </c>
      <c r="AD54" s="74" t="inlineStr">
        <is>
          <t>나운동</t>
        </is>
      </c>
      <c r="AG54" s="74" t="inlineStr">
        <is>
          <t>전라북도 군산시 신설1길 27</t>
        </is>
      </c>
      <c r="AH54" s="74" t="n">
        <v>0</v>
      </c>
      <c r="AI54" s="74" t="n">
        <v>0</v>
      </c>
      <c r="AJ54" s="74" t="n">
        <v>0</v>
      </c>
      <c r="AK54" s="74" t="n">
        <v>0</v>
      </c>
      <c r="AL54" s="74" t="n">
        <v>0</v>
      </c>
    </row>
    <row r="55">
      <c r="A55" s="74" t="inlineStr">
        <is>
          <t>[나운동]</t>
        </is>
      </c>
      <c r="B55" s="74" t="n">
        <v>117992</v>
      </c>
      <c r="C55" s="74" t="n">
        <v>3</v>
      </c>
      <c r="D55" s="74" t="inlineStr">
        <is>
          <t>동북</t>
        </is>
      </c>
      <c r="E55" s="74" t="inlineStr">
        <is>
          <t>1988.07.</t>
        </is>
      </c>
      <c r="F55" s="74" t="n">
        <v>65</v>
      </c>
      <c r="G55" s="74" t="n">
        <v>21.38</v>
      </c>
      <c r="H55" s="74" t="n">
        <v>70.68000000000001</v>
      </c>
      <c r="I55" s="74" t="n">
        <v>18.11</v>
      </c>
      <c r="J55" s="74" t="n">
        <v>59.88</v>
      </c>
      <c r="K55" s="74" t="n">
        <v>5</v>
      </c>
      <c r="T55" s="74" t="n">
        <v>3</v>
      </c>
      <c r="U55" s="74" t="n">
        <v>2</v>
      </c>
      <c r="V55" s="74" t="inlineStr">
        <is>
          <t>복도식</t>
        </is>
      </c>
      <c r="W55" s="74" t="n">
        <v>70</v>
      </c>
      <c r="X55" s="74" t="n">
        <v>5</v>
      </c>
      <c r="Y55" s="74" t="n">
        <v>5</v>
      </c>
      <c r="Z55" s="74" t="inlineStr">
        <is>
          <t>https://new.land.naver.com/complexes/117992?tab=detail&amp;rf=Y</t>
        </is>
      </c>
      <c r="AA55" s="74" t="inlineStr">
        <is>
          <t>전라북도 군산시 나운동 785-1</t>
        </is>
      </c>
      <c r="AB55" s="74" t="inlineStr">
        <is>
          <t>전라북도</t>
        </is>
      </c>
      <c r="AC55" s="74" t="inlineStr">
        <is>
          <t>군산시</t>
        </is>
      </c>
      <c r="AD55" s="74" t="inlineStr">
        <is>
          <t>나운동</t>
        </is>
      </c>
      <c r="AG55" s="74" t="inlineStr">
        <is>
          <t>전라북도 군산시 신설1길 27</t>
        </is>
      </c>
      <c r="AH55" s="74" t="n">
        <v>0</v>
      </c>
      <c r="AI55" s="74" t="n">
        <v>0</v>
      </c>
      <c r="AJ55" s="74" t="n">
        <v>0</v>
      </c>
      <c r="AK55" s="74" t="n">
        <v>0</v>
      </c>
      <c r="AL55" s="74" t="n">
        <v>0</v>
      </c>
    </row>
    <row r="56">
      <c r="A56" s="74" t="inlineStr">
        <is>
          <t>[나운동]</t>
        </is>
      </c>
      <c r="B56" s="74" t="n">
        <v>140899</v>
      </c>
      <c r="C56" s="74" t="n">
        <v>1</v>
      </c>
      <c r="D56" s="74" t="inlineStr">
        <is>
          <t>하이스타운3차</t>
        </is>
      </c>
      <c r="E56" s="74" t="inlineStr">
        <is>
          <t>2011.04.</t>
        </is>
      </c>
      <c r="F56" s="74" t="n">
        <v>38</v>
      </c>
      <c r="G56" s="74" t="n">
        <v>19.23</v>
      </c>
      <c r="H56" s="74" t="n">
        <v>63.58</v>
      </c>
      <c r="I56" s="74" t="n">
        <v>13.81</v>
      </c>
      <c r="J56" s="74" t="n">
        <v>45.68</v>
      </c>
      <c r="K56" s="74" t="n">
        <v>4</v>
      </c>
      <c r="T56" s="74" t="n">
        <v>2</v>
      </c>
      <c r="U56" s="74" t="n">
        <v>1</v>
      </c>
      <c r="V56" s="74" t="inlineStr">
        <is>
          <t>계단식</t>
        </is>
      </c>
      <c r="W56" s="74" t="n">
        <v>63</v>
      </c>
      <c r="X56" s="74" t="n">
        <v>6</v>
      </c>
      <c r="Y56" s="74" t="n">
        <v>5</v>
      </c>
      <c r="Z56" s="74" t="inlineStr">
        <is>
          <t>https://new.land.naver.com/complexes/140899?tab=detail&amp;rf=Y</t>
        </is>
      </c>
      <c r="AA56" s="74" t="inlineStr">
        <is>
          <t>전라북도 군산시 나운동 763-1</t>
        </is>
      </c>
      <c r="AB56" s="74" t="inlineStr">
        <is>
          <t>전라북도</t>
        </is>
      </c>
      <c r="AC56" s="74" t="inlineStr">
        <is>
          <t>군산시</t>
        </is>
      </c>
      <c r="AD56" s="74" t="inlineStr">
        <is>
          <t>나운동</t>
        </is>
      </c>
      <c r="AG56" s="74" t="inlineStr">
        <is>
          <t>전라북도 군산시 상신3길 19-3</t>
        </is>
      </c>
      <c r="AH56" s="74" t="n">
        <v>0</v>
      </c>
      <c r="AI56" s="74" t="n">
        <v>231</v>
      </c>
      <c r="AJ56" s="74" t="n">
        <v>56</v>
      </c>
      <c r="AK56" s="74" t="n">
        <v>28</v>
      </c>
      <c r="AL56" s="74" t="n">
        <v>0.74</v>
      </c>
    </row>
    <row r="57">
      <c r="A57" s="74" t="inlineStr">
        <is>
          <t>[나운동]</t>
        </is>
      </c>
      <c r="B57" s="74" t="n">
        <v>140899</v>
      </c>
      <c r="C57" s="74" t="n">
        <v>2</v>
      </c>
      <c r="D57" s="74" t="inlineStr">
        <is>
          <t>하이스타운3차</t>
        </is>
      </c>
      <c r="E57" s="74" t="inlineStr">
        <is>
          <t>2011.04.</t>
        </is>
      </c>
      <c r="F57" s="74" t="n">
        <v>38</v>
      </c>
      <c r="G57" s="74" t="n">
        <v>21.09</v>
      </c>
      <c r="H57" s="74" t="n">
        <v>69.72</v>
      </c>
      <c r="I57" s="74" t="n">
        <v>15.18</v>
      </c>
      <c r="J57" s="74" t="n">
        <v>50.21</v>
      </c>
      <c r="K57" s="74" t="n">
        <v>32</v>
      </c>
      <c r="T57" s="74" t="n">
        <v>3</v>
      </c>
      <c r="U57" s="74" t="n">
        <v>1</v>
      </c>
      <c r="V57" s="74" t="inlineStr">
        <is>
          <t>계단식</t>
        </is>
      </c>
      <c r="W57" s="74" t="n">
        <v>69</v>
      </c>
      <c r="X57" s="74" t="n">
        <v>6</v>
      </c>
      <c r="Y57" s="74" t="n">
        <v>5</v>
      </c>
      <c r="Z57" s="74" t="inlineStr">
        <is>
          <t>https://new.land.naver.com/complexes/140899?tab=detail&amp;rf=Y</t>
        </is>
      </c>
      <c r="AA57" s="74" t="inlineStr">
        <is>
          <t>전라북도 군산시 나운동 763-1</t>
        </is>
      </c>
      <c r="AB57" s="74" t="inlineStr">
        <is>
          <t>전라북도</t>
        </is>
      </c>
      <c r="AC57" s="74" t="inlineStr">
        <is>
          <t>군산시</t>
        </is>
      </c>
      <c r="AD57" s="74" t="inlineStr">
        <is>
          <t>나운동</t>
        </is>
      </c>
      <c r="AG57" s="74" t="inlineStr">
        <is>
          <t>전라북도 군산시 상신3길 19-3</t>
        </is>
      </c>
      <c r="AH57" s="74" t="n">
        <v>0</v>
      </c>
      <c r="AI57" s="74" t="n">
        <v>231</v>
      </c>
      <c r="AJ57" s="74" t="n">
        <v>56</v>
      </c>
      <c r="AK57" s="74" t="n">
        <v>28</v>
      </c>
      <c r="AL57" s="74" t="n">
        <v>0.74</v>
      </c>
    </row>
    <row r="58">
      <c r="A58" s="74" t="inlineStr">
        <is>
          <t>[나운동]</t>
        </is>
      </c>
      <c r="B58" s="74" t="n">
        <v>140899</v>
      </c>
      <c r="C58" s="74" t="n">
        <v>3</v>
      </c>
      <c r="D58" s="74" t="inlineStr">
        <is>
          <t>하이스타운3차</t>
        </is>
      </c>
      <c r="E58" s="74" t="inlineStr">
        <is>
          <t>2011.04.</t>
        </is>
      </c>
      <c r="F58" s="74" t="n">
        <v>38</v>
      </c>
      <c r="G58" s="74" t="n">
        <v>35.18</v>
      </c>
      <c r="H58" s="74" t="n">
        <v>116.33</v>
      </c>
      <c r="I58" s="74" t="n">
        <v>25.57</v>
      </c>
      <c r="J58" s="74" t="n">
        <v>84.54000000000001</v>
      </c>
      <c r="K58" s="74" t="n">
        <v>1</v>
      </c>
      <c r="T58" s="74" t="n">
        <v>3</v>
      </c>
      <c r="U58" s="74" t="n">
        <v>2</v>
      </c>
      <c r="V58" s="74" t="inlineStr">
        <is>
          <t>계단식</t>
        </is>
      </c>
      <c r="W58" s="74" t="inlineStr">
        <is>
          <t>116A</t>
        </is>
      </c>
      <c r="X58" s="74" t="n">
        <v>6</v>
      </c>
      <c r="Y58" s="74" t="n">
        <v>5</v>
      </c>
      <c r="Z58" s="74" t="inlineStr">
        <is>
          <t>https://new.land.naver.com/complexes/140899?tab=detail&amp;rf=Y</t>
        </is>
      </c>
      <c r="AA58" s="74" t="inlineStr">
        <is>
          <t>전라북도 군산시 나운동 763-1</t>
        </is>
      </c>
      <c r="AB58" s="74" t="inlineStr">
        <is>
          <t>전라북도</t>
        </is>
      </c>
      <c r="AC58" s="74" t="inlineStr">
        <is>
          <t>군산시</t>
        </is>
      </c>
      <c r="AD58" s="74" t="inlineStr">
        <is>
          <t>나운동</t>
        </is>
      </c>
      <c r="AG58" s="74" t="inlineStr">
        <is>
          <t>전라북도 군산시 상신3길 19-3</t>
        </is>
      </c>
      <c r="AH58" s="74" t="n">
        <v>0</v>
      </c>
      <c r="AI58" s="74" t="n">
        <v>231</v>
      </c>
      <c r="AJ58" s="74" t="n">
        <v>56</v>
      </c>
      <c r="AK58" s="74" t="n">
        <v>28</v>
      </c>
      <c r="AL58" s="74" t="n">
        <v>0.74</v>
      </c>
    </row>
    <row r="59">
      <c r="A59" s="74" t="inlineStr">
        <is>
          <t>[나운동]</t>
        </is>
      </c>
      <c r="B59" s="74" t="n">
        <v>140899</v>
      </c>
      <c r="C59" s="74" t="n">
        <v>4</v>
      </c>
      <c r="D59" s="74" t="inlineStr">
        <is>
          <t>하이스타운3차</t>
        </is>
      </c>
      <c r="E59" s="74" t="inlineStr">
        <is>
          <t>2011.04.</t>
        </is>
      </c>
      <c r="F59" s="74" t="n">
        <v>38</v>
      </c>
      <c r="G59" s="74" t="n">
        <v>35.37</v>
      </c>
      <c r="H59" s="74" t="n">
        <v>116.93</v>
      </c>
      <c r="I59" s="74" t="n">
        <v>25.7</v>
      </c>
      <c r="J59" s="74" t="n">
        <v>84.95999999999999</v>
      </c>
      <c r="K59" s="74" t="n">
        <v>1</v>
      </c>
      <c r="T59" s="74" t="n">
        <v>3</v>
      </c>
      <c r="U59" s="74" t="n">
        <v>2</v>
      </c>
      <c r="V59" s="74" t="inlineStr">
        <is>
          <t>계단식</t>
        </is>
      </c>
      <c r="W59" s="74" t="inlineStr">
        <is>
          <t>116B</t>
        </is>
      </c>
      <c r="X59" s="74" t="n">
        <v>6</v>
      </c>
      <c r="Y59" s="74" t="n">
        <v>5</v>
      </c>
      <c r="Z59" s="74" t="inlineStr">
        <is>
          <t>https://new.land.naver.com/complexes/140899?tab=detail&amp;rf=Y</t>
        </is>
      </c>
      <c r="AA59" s="74" t="inlineStr">
        <is>
          <t>전라북도 군산시 나운동 763-1</t>
        </is>
      </c>
      <c r="AB59" s="74" t="inlineStr">
        <is>
          <t>전라북도</t>
        </is>
      </c>
      <c r="AC59" s="74" t="inlineStr">
        <is>
          <t>군산시</t>
        </is>
      </c>
      <c r="AD59" s="74" t="inlineStr">
        <is>
          <t>나운동</t>
        </is>
      </c>
      <c r="AG59" s="74" t="inlineStr">
        <is>
          <t>전라북도 군산시 상신3길 19-3</t>
        </is>
      </c>
      <c r="AH59" s="74" t="n">
        <v>0</v>
      </c>
      <c r="AI59" s="74" t="n">
        <v>231</v>
      </c>
      <c r="AJ59" s="74" t="n">
        <v>56</v>
      </c>
      <c r="AK59" s="74" t="n">
        <v>28</v>
      </c>
      <c r="AL59" s="74" t="n">
        <v>0.74</v>
      </c>
    </row>
    <row r="60">
      <c r="A60" s="74" t="inlineStr">
        <is>
          <t>[나운동]</t>
        </is>
      </c>
      <c r="B60" s="74" t="n">
        <v>112786</v>
      </c>
      <c r="C60" s="74" t="n">
        <v>1</v>
      </c>
      <c r="D60" s="74" t="inlineStr">
        <is>
          <t>현대</t>
        </is>
      </c>
      <c r="E60" s="74" t="inlineStr">
        <is>
          <t>1987.03.</t>
        </is>
      </c>
      <c r="F60" s="74" t="n">
        <v>70</v>
      </c>
      <c r="G60" s="74" t="n">
        <v>19.32</v>
      </c>
      <c r="H60" s="74" t="n">
        <v>63.9</v>
      </c>
      <c r="I60" s="74" t="n">
        <v>17.58</v>
      </c>
      <c r="J60" s="74" t="n">
        <v>58.14</v>
      </c>
      <c r="K60" s="74" t="n">
        <v>30</v>
      </c>
      <c r="T60" s="74" t="n">
        <v>2</v>
      </c>
      <c r="U60" s="74" t="n">
        <v>1</v>
      </c>
      <c r="V60" s="74" t="inlineStr">
        <is>
          <t>계단식</t>
        </is>
      </c>
      <c r="W60" s="74" t="n">
        <v>63</v>
      </c>
      <c r="X60" s="74" t="n">
        <v>5</v>
      </c>
      <c r="Y60" s="74" t="n">
        <v>5</v>
      </c>
      <c r="Z60" s="74" t="inlineStr">
        <is>
          <t>https://new.land.naver.com/complexes/112786?tab=detail&amp;rf=Y</t>
        </is>
      </c>
      <c r="AA60" s="74" t="inlineStr">
        <is>
          <t>전라북도 군산시 나운동 783-4</t>
        </is>
      </c>
      <c r="AB60" s="74" t="inlineStr">
        <is>
          <t>전라북도</t>
        </is>
      </c>
      <c r="AC60" s="74" t="inlineStr">
        <is>
          <t>군산시</t>
        </is>
      </c>
      <c r="AD60" s="74" t="inlineStr">
        <is>
          <t>나운동</t>
        </is>
      </c>
      <c r="AG60" s="74" t="inlineStr">
        <is>
          <t>전라북도 군산시 신설2길 18</t>
        </is>
      </c>
      <c r="AH60" s="74" t="n">
        <v>0</v>
      </c>
      <c r="AI60" s="74" t="n">
        <v>0</v>
      </c>
      <c r="AJ60" s="74" t="n">
        <v>0</v>
      </c>
      <c r="AK60" s="74" t="n">
        <v>0</v>
      </c>
      <c r="AL60" s="74" t="n">
        <v>0</v>
      </c>
    </row>
    <row r="61">
      <c r="A61" s="74" t="inlineStr">
        <is>
          <t>[나운동]</t>
        </is>
      </c>
      <c r="B61" s="74" t="n">
        <v>112786</v>
      </c>
      <c r="C61" s="74" t="n">
        <v>2</v>
      </c>
      <c r="D61" s="74" t="inlineStr">
        <is>
          <t>현대</t>
        </is>
      </c>
      <c r="E61" s="74" t="inlineStr">
        <is>
          <t>1987.03.</t>
        </is>
      </c>
      <c r="F61" s="74" t="n">
        <v>70</v>
      </c>
      <c r="G61" s="74" t="n">
        <v>19.6</v>
      </c>
      <c r="H61" s="74" t="n">
        <v>64.8</v>
      </c>
      <c r="I61" s="74" t="n">
        <v>17.85</v>
      </c>
      <c r="J61" s="74" t="n">
        <v>59.04</v>
      </c>
      <c r="K61" s="74" t="n">
        <v>40</v>
      </c>
      <c r="T61" s="74" t="n">
        <v>2</v>
      </c>
      <c r="U61" s="74" t="n">
        <v>1</v>
      </c>
      <c r="V61" s="74" t="inlineStr">
        <is>
          <t>계단식</t>
        </is>
      </c>
      <c r="W61" s="74" t="n">
        <v>64</v>
      </c>
      <c r="X61" s="74" t="n">
        <v>5</v>
      </c>
      <c r="Y61" s="74" t="n">
        <v>5</v>
      </c>
      <c r="Z61" s="74" t="inlineStr">
        <is>
          <t>https://new.land.naver.com/complexes/112786?tab=detail&amp;rf=Y</t>
        </is>
      </c>
      <c r="AA61" s="74" t="inlineStr">
        <is>
          <t>전라북도 군산시 나운동 783-4</t>
        </is>
      </c>
      <c r="AB61" s="74" t="inlineStr">
        <is>
          <t>전라북도</t>
        </is>
      </c>
      <c r="AC61" s="74" t="inlineStr">
        <is>
          <t>군산시</t>
        </is>
      </c>
      <c r="AD61" s="74" t="inlineStr">
        <is>
          <t>나운동</t>
        </is>
      </c>
      <c r="AG61" s="74" t="inlineStr">
        <is>
          <t>전라북도 군산시 신설2길 18</t>
        </is>
      </c>
      <c r="AH61" s="74" t="n">
        <v>0</v>
      </c>
      <c r="AI61" s="74" t="n">
        <v>0</v>
      </c>
      <c r="AJ61" s="74" t="n">
        <v>0</v>
      </c>
      <c r="AK61" s="74" t="n">
        <v>0</v>
      </c>
      <c r="AL61" s="74" t="n">
        <v>0</v>
      </c>
    </row>
    <row r="62">
      <c r="A62" s="74" t="inlineStr">
        <is>
          <t>[나운동]</t>
        </is>
      </c>
      <c r="B62" s="74" t="n">
        <v>132778</v>
      </c>
      <c r="C62" s="74" t="n">
        <v>1</v>
      </c>
      <c r="D62" s="74" t="inlineStr">
        <is>
          <t>힐하우스</t>
        </is>
      </c>
      <c r="E62" s="74" t="inlineStr">
        <is>
          <t>2001.02.</t>
        </is>
      </c>
      <c r="F62" s="74" t="n">
        <v>19</v>
      </c>
      <c r="G62" s="74" t="n">
        <v>38.26</v>
      </c>
      <c r="H62" s="74" t="n">
        <v>126.48</v>
      </c>
      <c r="I62" s="74" t="n">
        <v>32.94</v>
      </c>
      <c r="J62" s="74" t="n">
        <v>108.9</v>
      </c>
      <c r="K62" s="74" t="n">
        <v>8</v>
      </c>
      <c r="T62" s="74" t="n">
        <v>4</v>
      </c>
      <c r="U62" s="74" t="n">
        <v>2</v>
      </c>
      <c r="V62" s="74" t="inlineStr">
        <is>
          <t>계단식</t>
        </is>
      </c>
      <c r="W62" s="74" t="n">
        <v>126</v>
      </c>
      <c r="X62" s="74" t="n">
        <v>5</v>
      </c>
      <c r="Y62" s="74" t="n">
        <v>5</v>
      </c>
      <c r="Z62" s="74" t="inlineStr">
        <is>
          <t>https://new.land.naver.com/complexes/132778?tab=detail&amp;rf=Y</t>
        </is>
      </c>
      <c r="AA62" s="74" t="inlineStr">
        <is>
          <t>전라북도 군산시 나운동 754-2</t>
        </is>
      </c>
      <c r="AB62" s="74" t="inlineStr">
        <is>
          <t>전라북도</t>
        </is>
      </c>
      <c r="AC62" s="74" t="inlineStr">
        <is>
          <t>군산시</t>
        </is>
      </c>
      <c r="AD62" s="74" t="inlineStr">
        <is>
          <t>나운동</t>
        </is>
      </c>
      <c r="AG62" s="74" t="inlineStr">
        <is>
          <t>전라북도 군산시 상신6길 21-6</t>
        </is>
      </c>
      <c r="AH62" s="74" t="n">
        <v>0</v>
      </c>
      <c r="AI62" s="74" t="n">
        <v>210</v>
      </c>
      <c r="AJ62" s="74" t="n">
        <v>45</v>
      </c>
      <c r="AK62" s="74" t="n">
        <v>31</v>
      </c>
      <c r="AL62" s="74" t="n">
        <v>1.63</v>
      </c>
    </row>
    <row r="63">
      <c r="A63" s="74" t="inlineStr">
        <is>
          <t>[나운동]</t>
        </is>
      </c>
      <c r="B63" s="74" t="n">
        <v>132778</v>
      </c>
      <c r="C63" s="74" t="n">
        <v>2</v>
      </c>
      <c r="D63" s="74" t="inlineStr">
        <is>
          <t>힐하우스</t>
        </is>
      </c>
      <c r="E63" s="74" t="inlineStr">
        <is>
          <t>2001.02.</t>
        </is>
      </c>
      <c r="F63" s="74" t="n">
        <v>19</v>
      </c>
      <c r="G63" s="74" t="n">
        <v>39.07</v>
      </c>
      <c r="H63" s="74" t="n">
        <v>129.17</v>
      </c>
      <c r="I63" s="74" t="n">
        <v>33.64</v>
      </c>
      <c r="J63" s="74" t="n">
        <v>111.21</v>
      </c>
      <c r="K63" s="74" t="n">
        <v>4</v>
      </c>
      <c r="T63" s="74" t="n">
        <v>4</v>
      </c>
      <c r="U63" s="74" t="n">
        <v>2</v>
      </c>
      <c r="V63" s="74" t="inlineStr">
        <is>
          <t>계단식</t>
        </is>
      </c>
      <c r="W63" s="74" t="inlineStr">
        <is>
          <t>129A</t>
        </is>
      </c>
      <c r="X63" s="74" t="n">
        <v>5</v>
      </c>
      <c r="Y63" s="74" t="n">
        <v>5</v>
      </c>
      <c r="Z63" s="74" t="inlineStr">
        <is>
          <t>https://new.land.naver.com/complexes/132778?tab=detail&amp;rf=Y</t>
        </is>
      </c>
      <c r="AA63" s="74" t="inlineStr">
        <is>
          <t>전라북도 군산시 나운동 754-2</t>
        </is>
      </c>
      <c r="AB63" s="74" t="inlineStr">
        <is>
          <t>전라북도</t>
        </is>
      </c>
      <c r="AC63" s="74" t="inlineStr">
        <is>
          <t>군산시</t>
        </is>
      </c>
      <c r="AD63" s="74" t="inlineStr">
        <is>
          <t>나운동</t>
        </is>
      </c>
      <c r="AG63" s="74" t="inlineStr">
        <is>
          <t>전라북도 군산시 상신6길 21-6</t>
        </is>
      </c>
      <c r="AH63" s="74" t="n">
        <v>0</v>
      </c>
      <c r="AI63" s="74" t="n">
        <v>210</v>
      </c>
      <c r="AJ63" s="74" t="n">
        <v>45</v>
      </c>
      <c r="AK63" s="74" t="n">
        <v>31</v>
      </c>
      <c r="AL63" s="74" t="n">
        <v>1.63</v>
      </c>
    </row>
    <row r="64">
      <c r="A64" s="74" t="inlineStr">
        <is>
          <t>[나운동]</t>
        </is>
      </c>
      <c r="B64" s="74" t="n">
        <v>132778</v>
      </c>
      <c r="C64" s="74" t="n">
        <v>3</v>
      </c>
      <c r="D64" s="74" t="inlineStr">
        <is>
          <t>힐하우스</t>
        </is>
      </c>
      <c r="E64" s="74" t="inlineStr">
        <is>
          <t>2001.02.</t>
        </is>
      </c>
      <c r="F64" s="74" t="n">
        <v>19</v>
      </c>
      <c r="G64" s="74" t="n">
        <v>39.16</v>
      </c>
      <c r="H64" s="74" t="n">
        <v>129.47</v>
      </c>
      <c r="I64" s="74" t="n">
        <v>33.71</v>
      </c>
      <c r="J64" s="74" t="n">
        <v>111.47</v>
      </c>
      <c r="K64" s="74" t="n">
        <v>4</v>
      </c>
      <c r="T64" s="74" t="n">
        <v>4</v>
      </c>
      <c r="U64" s="74" t="n">
        <v>2</v>
      </c>
      <c r="V64" s="74" t="inlineStr">
        <is>
          <t>계단식</t>
        </is>
      </c>
      <c r="W64" s="74" t="inlineStr">
        <is>
          <t>129B</t>
        </is>
      </c>
      <c r="X64" s="74" t="n">
        <v>5</v>
      </c>
      <c r="Y64" s="74" t="n">
        <v>5</v>
      </c>
      <c r="Z64" s="74" t="inlineStr">
        <is>
          <t>https://new.land.naver.com/complexes/132778?tab=detail&amp;rf=Y</t>
        </is>
      </c>
      <c r="AA64" s="74" t="inlineStr">
        <is>
          <t>전라북도 군산시 나운동 754-2</t>
        </is>
      </c>
      <c r="AB64" s="74" t="inlineStr">
        <is>
          <t>전라북도</t>
        </is>
      </c>
      <c r="AC64" s="74" t="inlineStr">
        <is>
          <t>군산시</t>
        </is>
      </c>
      <c r="AD64" s="74" t="inlineStr">
        <is>
          <t>나운동</t>
        </is>
      </c>
      <c r="AG64" s="74" t="inlineStr">
        <is>
          <t>전라북도 군산시 상신6길 21-6</t>
        </is>
      </c>
      <c r="AH64" s="74" t="n">
        <v>0</v>
      </c>
      <c r="AI64" s="74" t="n">
        <v>210</v>
      </c>
      <c r="AJ64" s="74" t="n">
        <v>45</v>
      </c>
      <c r="AK64" s="74" t="n">
        <v>31</v>
      </c>
      <c r="AL64" s="74" t="n">
        <v>1.63</v>
      </c>
    </row>
    <row r="65">
      <c r="A65" s="74" t="inlineStr">
        <is>
          <t>[나운동]</t>
        </is>
      </c>
      <c r="B65" s="74" t="n">
        <v>132778</v>
      </c>
      <c r="C65" s="74" t="n">
        <v>4</v>
      </c>
      <c r="D65" s="74" t="inlineStr">
        <is>
          <t>힐하우스</t>
        </is>
      </c>
      <c r="E65" s="74" t="inlineStr">
        <is>
          <t>2001.02.</t>
        </is>
      </c>
      <c r="F65" s="74" t="n">
        <v>19</v>
      </c>
      <c r="G65" s="74" t="n">
        <v>40.04</v>
      </c>
      <c r="H65" s="74" t="n">
        <v>132.38</v>
      </c>
      <c r="I65" s="74" t="n">
        <v>32.94</v>
      </c>
      <c r="J65" s="74" t="n">
        <v>108.9</v>
      </c>
      <c r="K65" s="74" t="n">
        <v>2</v>
      </c>
      <c r="T65" s="74" t="n">
        <v>5</v>
      </c>
      <c r="U65" s="74" t="n">
        <v>3</v>
      </c>
      <c r="V65" s="74" t="inlineStr">
        <is>
          <t>계단식</t>
        </is>
      </c>
      <c r="W65" s="74" t="n">
        <v>132</v>
      </c>
      <c r="X65" s="74" t="n">
        <v>5</v>
      </c>
      <c r="Y65" s="74" t="n">
        <v>5</v>
      </c>
      <c r="Z65" s="74" t="inlineStr">
        <is>
          <t>https://new.land.naver.com/complexes/132778?tab=detail&amp;rf=Y</t>
        </is>
      </c>
      <c r="AA65" s="74" t="inlineStr">
        <is>
          <t>전라북도 군산시 나운동 754-2</t>
        </is>
      </c>
      <c r="AB65" s="74" t="inlineStr">
        <is>
          <t>전라북도</t>
        </is>
      </c>
      <c r="AC65" s="74" t="inlineStr">
        <is>
          <t>군산시</t>
        </is>
      </c>
      <c r="AD65" s="74" t="inlineStr">
        <is>
          <t>나운동</t>
        </is>
      </c>
      <c r="AG65" s="74" t="inlineStr">
        <is>
          <t>전라북도 군산시 상신6길 21-6</t>
        </is>
      </c>
      <c r="AH65" s="74" t="n">
        <v>0</v>
      </c>
      <c r="AI65" s="74" t="n">
        <v>210</v>
      </c>
      <c r="AJ65" s="74" t="n">
        <v>45</v>
      </c>
      <c r="AK65" s="74" t="n">
        <v>31</v>
      </c>
      <c r="AL65" s="74" t="n">
        <v>1.63</v>
      </c>
    </row>
    <row r="66">
      <c r="A66" s="74" t="inlineStr">
        <is>
          <t>[나운동]</t>
        </is>
      </c>
      <c r="B66" s="74" t="n">
        <v>132778</v>
      </c>
      <c r="C66" s="74" t="n">
        <v>5</v>
      </c>
      <c r="D66" s="74" t="inlineStr">
        <is>
          <t>힐하우스</t>
        </is>
      </c>
      <c r="E66" s="74" t="inlineStr">
        <is>
          <t>2001.02.</t>
        </is>
      </c>
      <c r="F66" s="74" t="n">
        <v>19</v>
      </c>
      <c r="G66" s="74" t="n">
        <v>40.98</v>
      </c>
      <c r="H66" s="74" t="n">
        <v>135.5</v>
      </c>
      <c r="I66" s="74" t="n">
        <v>33.71</v>
      </c>
      <c r="J66" s="74" t="n">
        <v>111.47</v>
      </c>
      <c r="K66" s="74" t="n">
        <v>1</v>
      </c>
      <c r="T66" s="74" t="n">
        <v>5</v>
      </c>
      <c r="U66" s="74" t="n">
        <v>3</v>
      </c>
      <c r="V66" s="74" t="inlineStr">
        <is>
          <t>계단식</t>
        </is>
      </c>
      <c r="W66" s="74" t="n">
        <v>135</v>
      </c>
      <c r="X66" s="74" t="n">
        <v>5</v>
      </c>
      <c r="Y66" s="74" t="n">
        <v>5</v>
      </c>
      <c r="Z66" s="74" t="inlineStr">
        <is>
          <t>https://new.land.naver.com/complexes/132778?tab=detail&amp;rf=Y</t>
        </is>
      </c>
      <c r="AA66" s="74" t="inlineStr">
        <is>
          <t>전라북도 군산시 나운동 754-2</t>
        </is>
      </c>
      <c r="AB66" s="74" t="inlineStr">
        <is>
          <t>전라북도</t>
        </is>
      </c>
      <c r="AC66" s="74" t="inlineStr">
        <is>
          <t>군산시</t>
        </is>
      </c>
      <c r="AD66" s="74" t="inlineStr">
        <is>
          <t>나운동</t>
        </is>
      </c>
      <c r="AG66" s="74" t="inlineStr">
        <is>
          <t>전라북도 군산시 상신6길 21-6</t>
        </is>
      </c>
      <c r="AH66" s="74" t="n">
        <v>0</v>
      </c>
      <c r="AI66" s="74" t="n">
        <v>210</v>
      </c>
      <c r="AJ66" s="74" t="n">
        <v>45</v>
      </c>
      <c r="AK66" s="74" t="n">
        <v>31</v>
      </c>
      <c r="AL66" s="74" t="n">
        <v>1.63</v>
      </c>
    </row>
    <row r="67">
      <c r="A67" s="74" t="inlineStr">
        <is>
          <t>[나운동]</t>
        </is>
      </c>
      <c r="B67" s="74" t="n">
        <v>110310</v>
      </c>
      <c r="C67" s="74" t="n">
        <v>1</v>
      </c>
      <c r="D67" s="74" t="inlineStr">
        <is>
          <t>세경</t>
        </is>
      </c>
      <c r="E67" s="74" t="inlineStr">
        <is>
          <t>2002.12.</t>
        </is>
      </c>
      <c r="F67" s="74" t="n">
        <v>1186</v>
      </c>
      <c r="G67" s="74" t="n">
        <v>15.63</v>
      </c>
      <c r="H67" s="74" t="n">
        <v>51.68</v>
      </c>
      <c r="I67" s="74" t="n">
        <v>12.19</v>
      </c>
      <c r="J67" s="74" t="n">
        <v>40.32</v>
      </c>
      <c r="K67" s="74" t="n">
        <v>230</v>
      </c>
      <c r="T67" s="74" t="n">
        <v>1</v>
      </c>
      <c r="U67" s="74" t="n">
        <v>1</v>
      </c>
      <c r="V67" s="74" t="inlineStr">
        <is>
          <t>복도식</t>
        </is>
      </c>
      <c r="W67" s="74" t="n">
        <v>51</v>
      </c>
      <c r="X67" s="74" t="n">
        <v>15</v>
      </c>
      <c r="Y67" s="74" t="n">
        <v>10</v>
      </c>
      <c r="Z67" s="74" t="inlineStr">
        <is>
          <t>https://new.land.naver.com/complexes/110310?tab=detail&amp;rf=Y</t>
        </is>
      </c>
      <c r="AA67" s="74" t="inlineStr">
        <is>
          <t>전라북도 군산시 나운동 155</t>
        </is>
      </c>
      <c r="AB67" s="74" t="inlineStr">
        <is>
          <t>전라북도</t>
        </is>
      </c>
      <c r="AC67" s="74" t="inlineStr">
        <is>
          <t>군산시</t>
        </is>
      </c>
      <c r="AD67" s="74" t="inlineStr">
        <is>
          <t>나운동</t>
        </is>
      </c>
      <c r="AG67" s="74" t="inlineStr">
        <is>
          <t>전라북도 군산시 하나운로 28</t>
        </is>
      </c>
      <c r="AH67" s="74" t="n">
        <v>15</v>
      </c>
      <c r="AI67" s="74" t="n">
        <v>208</v>
      </c>
      <c r="AJ67" s="74" t="n">
        <v>24</v>
      </c>
      <c r="AK67" s="74" t="n">
        <v>1062</v>
      </c>
      <c r="AL67" s="74" t="n">
        <v>0.9</v>
      </c>
    </row>
    <row r="68">
      <c r="A68" s="74" t="inlineStr">
        <is>
          <t>[나운동]</t>
        </is>
      </c>
      <c r="B68" s="74" t="n">
        <v>110310</v>
      </c>
      <c r="C68" s="74" t="n">
        <v>2</v>
      </c>
      <c r="D68" s="74" t="inlineStr">
        <is>
          <t>세경</t>
        </is>
      </c>
      <c r="E68" s="74" t="inlineStr">
        <is>
          <t>2002.12.</t>
        </is>
      </c>
      <c r="F68" s="74" t="n">
        <v>1186</v>
      </c>
      <c r="G68" s="74" t="n">
        <v>20.86</v>
      </c>
      <c r="H68" s="74" t="n">
        <v>68.98</v>
      </c>
      <c r="I68" s="74" t="n">
        <v>16.28</v>
      </c>
      <c r="J68" s="74" t="n">
        <v>53.82</v>
      </c>
      <c r="K68" s="74" t="n">
        <v>941</v>
      </c>
      <c r="T68" s="74" t="n">
        <v>2</v>
      </c>
      <c r="U68" s="74" t="n">
        <v>1</v>
      </c>
      <c r="V68" s="74" t="inlineStr">
        <is>
          <t>복도식</t>
        </is>
      </c>
      <c r="W68" s="74" t="n">
        <v>68</v>
      </c>
      <c r="X68" s="74" t="n">
        <v>15</v>
      </c>
      <c r="Y68" s="74" t="n">
        <v>10</v>
      </c>
      <c r="Z68" s="74" t="inlineStr">
        <is>
          <t>https://new.land.naver.com/complexes/110310?tab=detail&amp;rf=Y</t>
        </is>
      </c>
      <c r="AA68" s="74" t="inlineStr">
        <is>
          <t>전라북도 군산시 나운동 155</t>
        </is>
      </c>
      <c r="AB68" s="74" t="inlineStr">
        <is>
          <t>전라북도</t>
        </is>
      </c>
      <c r="AC68" s="74" t="inlineStr">
        <is>
          <t>군산시</t>
        </is>
      </c>
      <c r="AD68" s="74" t="inlineStr">
        <is>
          <t>나운동</t>
        </is>
      </c>
      <c r="AG68" s="74" t="inlineStr">
        <is>
          <t>전라북도 군산시 하나운로 28</t>
        </is>
      </c>
      <c r="AH68" s="74" t="n">
        <v>15</v>
      </c>
      <c r="AI68" s="74" t="n">
        <v>208</v>
      </c>
      <c r="AJ68" s="74" t="n">
        <v>24</v>
      </c>
      <c r="AK68" s="74" t="n">
        <v>1062</v>
      </c>
      <c r="AL68" s="74" t="n">
        <v>0.9</v>
      </c>
    </row>
    <row r="69">
      <c r="A69" s="74" t="inlineStr">
        <is>
          <t>[나운동]</t>
        </is>
      </c>
      <c r="B69" s="74" t="n">
        <v>105136</v>
      </c>
      <c r="C69" s="74" t="n">
        <v>1</v>
      </c>
      <c r="D69" s="74" t="inlineStr">
        <is>
          <t>명성타운</t>
        </is>
      </c>
      <c r="E69" s="74" t="inlineStr">
        <is>
          <t>1991.10.</t>
        </is>
      </c>
      <c r="F69" s="74" t="n">
        <v>144</v>
      </c>
      <c r="G69" s="74" t="n">
        <v>19.42</v>
      </c>
      <c r="H69" s="74" t="n">
        <v>64.22</v>
      </c>
      <c r="I69" s="74" t="n">
        <v>15.76</v>
      </c>
      <c r="J69" s="74" t="n">
        <v>52.11</v>
      </c>
      <c r="K69" s="74" t="n">
        <v>72</v>
      </c>
      <c r="T69" s="74" t="n">
        <v>2</v>
      </c>
      <c r="U69" s="74" t="n">
        <v>1</v>
      </c>
      <c r="V69" s="74" t="inlineStr">
        <is>
          <t>계단식</t>
        </is>
      </c>
      <c r="W69" s="74" t="n">
        <v>64</v>
      </c>
      <c r="X69" s="74" t="n">
        <v>6</v>
      </c>
      <c r="Y69" s="74" t="n">
        <v>6</v>
      </c>
      <c r="Z69" s="74" t="inlineStr">
        <is>
          <t>https://new.land.naver.com/complexes/105136?tab=detail&amp;rf=Y</t>
        </is>
      </c>
      <c r="AA69" s="74" t="inlineStr">
        <is>
          <t>전라북도 군산시 나운동 786-1</t>
        </is>
      </c>
      <c r="AB69" s="74" t="inlineStr">
        <is>
          <t>전라북도</t>
        </is>
      </c>
      <c r="AC69" s="74" t="inlineStr">
        <is>
          <t>군산시</t>
        </is>
      </c>
      <c r="AD69" s="74" t="inlineStr">
        <is>
          <t>나운동</t>
        </is>
      </c>
      <c r="AG69" s="74" t="inlineStr">
        <is>
          <t>전라북도 군산시 상나운로 59</t>
        </is>
      </c>
      <c r="AH69" s="74" t="n">
        <v>0</v>
      </c>
      <c r="AI69" s="74" t="n">
        <v>0</v>
      </c>
      <c r="AJ69" s="74" t="n">
        <v>0</v>
      </c>
      <c r="AK69" s="74" t="n">
        <v>0</v>
      </c>
      <c r="AL69" s="74" t="n">
        <v>0</v>
      </c>
    </row>
    <row r="70">
      <c r="A70" s="74" t="inlineStr">
        <is>
          <t>[나운동]</t>
        </is>
      </c>
      <c r="B70" s="74" t="n">
        <v>105136</v>
      </c>
      <c r="C70" s="74" t="n">
        <v>2</v>
      </c>
      <c r="D70" s="74" t="inlineStr">
        <is>
          <t>명성타운</t>
        </is>
      </c>
      <c r="E70" s="74" t="inlineStr">
        <is>
          <t>1991.10.</t>
        </is>
      </c>
      <c r="F70" s="74" t="n">
        <v>144</v>
      </c>
      <c r="G70" s="74" t="n">
        <v>22.52</v>
      </c>
      <c r="H70" s="74" t="n">
        <v>74.45999999999999</v>
      </c>
      <c r="I70" s="74" t="n">
        <v>18.13</v>
      </c>
      <c r="J70" s="74" t="n">
        <v>59.94</v>
      </c>
      <c r="K70" s="74" t="n">
        <v>48</v>
      </c>
      <c r="T70" s="74" t="n">
        <v>2</v>
      </c>
      <c r="U70" s="74" t="n">
        <v>1</v>
      </c>
      <c r="V70" s="74" t="inlineStr">
        <is>
          <t>계단식</t>
        </is>
      </c>
      <c r="W70" s="74" t="n">
        <v>74</v>
      </c>
      <c r="X70" s="74" t="n">
        <v>6</v>
      </c>
      <c r="Y70" s="74" t="n">
        <v>6</v>
      </c>
      <c r="Z70" s="74" t="inlineStr">
        <is>
          <t>https://new.land.naver.com/complexes/105136?tab=detail&amp;rf=Y</t>
        </is>
      </c>
      <c r="AA70" s="74" t="inlineStr">
        <is>
          <t>전라북도 군산시 나운동 786-1</t>
        </is>
      </c>
      <c r="AB70" s="74" t="inlineStr">
        <is>
          <t>전라북도</t>
        </is>
      </c>
      <c r="AC70" s="74" t="inlineStr">
        <is>
          <t>군산시</t>
        </is>
      </c>
      <c r="AD70" s="74" t="inlineStr">
        <is>
          <t>나운동</t>
        </is>
      </c>
      <c r="AG70" s="74" t="inlineStr">
        <is>
          <t>전라북도 군산시 상나운로 59</t>
        </is>
      </c>
      <c r="AH70" s="74" t="n">
        <v>0</v>
      </c>
      <c r="AI70" s="74" t="n">
        <v>0</v>
      </c>
      <c r="AJ70" s="74" t="n">
        <v>0</v>
      </c>
      <c r="AK70" s="74" t="n">
        <v>0</v>
      </c>
      <c r="AL70" s="74" t="n">
        <v>0</v>
      </c>
    </row>
    <row r="71">
      <c r="A71" s="74" t="inlineStr">
        <is>
          <t>[나운동]</t>
        </is>
      </c>
      <c r="B71" s="74" t="n">
        <v>105136</v>
      </c>
      <c r="C71" s="74" t="n">
        <v>3</v>
      </c>
      <c r="D71" s="74" t="inlineStr">
        <is>
          <t>명성타운</t>
        </is>
      </c>
      <c r="E71" s="74" t="inlineStr">
        <is>
          <t>1991.10.</t>
        </is>
      </c>
      <c r="F71" s="74" t="n">
        <v>144</v>
      </c>
      <c r="G71" s="74" t="n">
        <v>24.36</v>
      </c>
      <c r="H71" s="74" t="n">
        <v>80.53</v>
      </c>
      <c r="I71" s="74" t="n">
        <v>20.22</v>
      </c>
      <c r="J71" s="74" t="n">
        <v>66.87</v>
      </c>
      <c r="K71" s="74" t="n">
        <v>24</v>
      </c>
      <c r="T71" s="74" t="n">
        <v>2</v>
      </c>
      <c r="U71" s="74" t="n">
        <v>1</v>
      </c>
      <c r="V71" s="74" t="inlineStr">
        <is>
          <t>계단식</t>
        </is>
      </c>
      <c r="W71" s="74" t="n">
        <v>80</v>
      </c>
      <c r="X71" s="74" t="n">
        <v>6</v>
      </c>
      <c r="Y71" s="74" t="n">
        <v>6</v>
      </c>
      <c r="Z71" s="74" t="inlineStr">
        <is>
          <t>https://new.land.naver.com/complexes/105136?tab=detail&amp;rf=Y</t>
        </is>
      </c>
      <c r="AA71" s="74" t="inlineStr">
        <is>
          <t>전라북도 군산시 나운동 786-1</t>
        </is>
      </c>
      <c r="AB71" s="74" t="inlineStr">
        <is>
          <t>전라북도</t>
        </is>
      </c>
      <c r="AC71" s="74" t="inlineStr">
        <is>
          <t>군산시</t>
        </is>
      </c>
      <c r="AD71" s="74" t="inlineStr">
        <is>
          <t>나운동</t>
        </is>
      </c>
      <c r="AG71" s="74" t="inlineStr">
        <is>
          <t>전라북도 군산시 상나운로 59</t>
        </is>
      </c>
      <c r="AH71" s="74" t="n">
        <v>0</v>
      </c>
      <c r="AI71" s="74" t="n">
        <v>0</v>
      </c>
      <c r="AJ71" s="74" t="n">
        <v>0</v>
      </c>
      <c r="AK71" s="74" t="n">
        <v>0</v>
      </c>
      <c r="AL71" s="74" t="n">
        <v>0</v>
      </c>
    </row>
    <row r="72">
      <c r="A72" s="74" t="inlineStr">
        <is>
          <t>[나운동]</t>
        </is>
      </c>
      <c r="B72" s="74" t="n">
        <v>120933</v>
      </c>
      <c r="C72" s="74" t="n">
        <v>1</v>
      </c>
      <c r="D72" s="74" t="inlineStr">
        <is>
          <t>상지파크뷰(도시형)</t>
        </is>
      </c>
      <c r="E72" s="74" t="inlineStr">
        <is>
          <t>2014.06.</t>
        </is>
      </c>
      <c r="F72" s="74" t="n">
        <v>48</v>
      </c>
      <c r="G72" s="74" t="n">
        <v>16.79</v>
      </c>
      <c r="H72" s="74" t="n">
        <v>55.51</v>
      </c>
      <c r="I72" s="74" t="n">
        <v>12.71</v>
      </c>
      <c r="J72" s="74" t="n">
        <v>42.04</v>
      </c>
      <c r="K72" s="74" t="n">
        <v>1</v>
      </c>
      <c r="T72" s="74" t="n">
        <v>1</v>
      </c>
      <c r="U72" s="74" t="n">
        <v>1</v>
      </c>
      <c r="V72" s="74" t="inlineStr">
        <is>
          <t>계단식</t>
        </is>
      </c>
      <c r="W72" s="74" t="inlineStr">
        <is>
          <t>55A</t>
        </is>
      </c>
      <c r="X72" s="74" t="n">
        <v>9</v>
      </c>
      <c r="Y72" s="74" t="n">
        <v>9</v>
      </c>
      <c r="Z72" s="74" t="inlineStr">
        <is>
          <t>https://new.land.naver.com/complexes/120933?tab=detail&amp;rf=Y</t>
        </is>
      </c>
      <c r="AA72" s="74" t="inlineStr">
        <is>
          <t>전라북도 군산시 나운동 795-10</t>
        </is>
      </c>
      <c r="AB72" s="74" t="inlineStr">
        <is>
          <t>전라북도</t>
        </is>
      </c>
      <c r="AC72" s="74" t="inlineStr">
        <is>
          <t>군산시</t>
        </is>
      </c>
      <c r="AD72" s="74" t="inlineStr">
        <is>
          <t>나운동</t>
        </is>
      </c>
      <c r="AG72" s="74" t="inlineStr">
        <is>
          <t>전라북도 군산시 상나운1길 6-6</t>
        </is>
      </c>
      <c r="AH72" s="74" t="n">
        <v>0</v>
      </c>
      <c r="AI72" s="74" t="n">
        <v>0</v>
      </c>
      <c r="AJ72" s="74" t="n">
        <v>0</v>
      </c>
      <c r="AK72" s="74" t="n">
        <v>26</v>
      </c>
      <c r="AL72" s="74" t="n">
        <v>0.54</v>
      </c>
    </row>
    <row r="73">
      <c r="A73" s="74" t="inlineStr">
        <is>
          <t>[나운동]</t>
        </is>
      </c>
      <c r="B73" s="74" t="n">
        <v>120933</v>
      </c>
      <c r="C73" s="74" t="n">
        <v>2</v>
      </c>
      <c r="D73" s="74" t="inlineStr">
        <is>
          <t>상지파크뷰(도시형)</t>
        </is>
      </c>
      <c r="E73" s="74" t="inlineStr">
        <is>
          <t>2014.06.</t>
        </is>
      </c>
      <c r="F73" s="74" t="n">
        <v>48</v>
      </c>
      <c r="G73" s="74" t="n">
        <v>16.99</v>
      </c>
      <c r="H73" s="74" t="n">
        <v>56.19</v>
      </c>
      <c r="I73" s="74" t="n">
        <v>12.71</v>
      </c>
      <c r="J73" s="74" t="n">
        <v>42.04</v>
      </c>
      <c r="K73" s="74" t="n">
        <v>1</v>
      </c>
      <c r="T73" s="74" t="n">
        <v>1</v>
      </c>
      <c r="U73" s="74" t="n">
        <v>1</v>
      </c>
      <c r="V73" s="74" t="inlineStr">
        <is>
          <t>계단식</t>
        </is>
      </c>
      <c r="W73" s="74" t="inlineStr">
        <is>
          <t>56B</t>
        </is>
      </c>
      <c r="X73" s="74" t="n">
        <v>9</v>
      </c>
      <c r="Y73" s="74" t="n">
        <v>9</v>
      </c>
      <c r="Z73" s="74" t="inlineStr">
        <is>
          <t>https://new.land.naver.com/complexes/120933?tab=detail&amp;rf=Y</t>
        </is>
      </c>
      <c r="AA73" s="74" t="inlineStr">
        <is>
          <t>전라북도 군산시 나운동 795-10</t>
        </is>
      </c>
      <c r="AB73" s="74" t="inlineStr">
        <is>
          <t>전라북도</t>
        </is>
      </c>
      <c r="AC73" s="74" t="inlineStr">
        <is>
          <t>군산시</t>
        </is>
      </c>
      <c r="AD73" s="74" t="inlineStr">
        <is>
          <t>나운동</t>
        </is>
      </c>
      <c r="AG73" s="74" t="inlineStr">
        <is>
          <t>전라북도 군산시 상나운1길 6-6</t>
        </is>
      </c>
      <c r="AH73" s="74" t="n">
        <v>0</v>
      </c>
      <c r="AI73" s="74" t="n">
        <v>0</v>
      </c>
      <c r="AJ73" s="74" t="n">
        <v>0</v>
      </c>
      <c r="AK73" s="74" t="n">
        <v>26</v>
      </c>
      <c r="AL73" s="74" t="n">
        <v>0.54</v>
      </c>
    </row>
    <row r="74">
      <c r="A74" s="74" t="inlineStr">
        <is>
          <t>[나운동]</t>
        </is>
      </c>
      <c r="B74" s="74" t="n">
        <v>120933</v>
      </c>
      <c r="C74" s="74" t="n">
        <v>3</v>
      </c>
      <c r="D74" s="74" t="inlineStr">
        <is>
          <t>상지파크뷰(도시형)</t>
        </is>
      </c>
      <c r="E74" s="74" t="inlineStr">
        <is>
          <t>2014.06.</t>
        </is>
      </c>
      <c r="F74" s="74" t="n">
        <v>48</v>
      </c>
      <c r="G74" s="74" t="n">
        <v>19.92</v>
      </c>
      <c r="H74" s="74" t="n">
        <v>65.88</v>
      </c>
      <c r="I74" s="74" t="n">
        <v>15.09</v>
      </c>
      <c r="J74" s="74" t="n">
        <v>49.9</v>
      </c>
      <c r="K74" s="74" t="n">
        <v>8</v>
      </c>
      <c r="T74" s="74" t="n">
        <v>1</v>
      </c>
      <c r="U74" s="74" t="n">
        <v>1</v>
      </c>
      <c r="V74" s="74" t="inlineStr">
        <is>
          <t>계단식</t>
        </is>
      </c>
      <c r="W74" s="74" t="inlineStr">
        <is>
          <t>65D</t>
        </is>
      </c>
      <c r="X74" s="74" t="n">
        <v>9</v>
      </c>
      <c r="Y74" s="74" t="n">
        <v>9</v>
      </c>
      <c r="Z74" s="74" t="inlineStr">
        <is>
          <t>https://new.land.naver.com/complexes/120933?tab=detail&amp;rf=Y</t>
        </is>
      </c>
      <c r="AA74" s="74" t="inlineStr">
        <is>
          <t>전라북도 군산시 나운동 795-10</t>
        </is>
      </c>
      <c r="AB74" s="74" t="inlineStr">
        <is>
          <t>전라북도</t>
        </is>
      </c>
      <c r="AC74" s="74" t="inlineStr">
        <is>
          <t>군산시</t>
        </is>
      </c>
      <c r="AD74" s="74" t="inlineStr">
        <is>
          <t>나운동</t>
        </is>
      </c>
      <c r="AG74" s="74" t="inlineStr">
        <is>
          <t>전라북도 군산시 상나운1길 6-6</t>
        </is>
      </c>
      <c r="AH74" s="74" t="n">
        <v>0</v>
      </c>
      <c r="AI74" s="74" t="n">
        <v>0</v>
      </c>
      <c r="AJ74" s="74" t="n">
        <v>0</v>
      </c>
      <c r="AK74" s="74" t="n">
        <v>26</v>
      </c>
      <c r="AL74" s="74" t="n">
        <v>0.54</v>
      </c>
    </row>
    <row r="75">
      <c r="A75" s="74" t="inlineStr">
        <is>
          <t>[나운동]</t>
        </is>
      </c>
      <c r="B75" s="74" t="n">
        <v>120933</v>
      </c>
      <c r="C75" s="74" t="n">
        <v>4</v>
      </c>
      <c r="D75" s="74" t="inlineStr">
        <is>
          <t>상지파크뷰(도시형)</t>
        </is>
      </c>
      <c r="E75" s="74" t="inlineStr">
        <is>
          <t>2014.06.</t>
        </is>
      </c>
      <c r="F75" s="74" t="n">
        <v>48</v>
      </c>
      <c r="G75" s="74" t="n">
        <v>19.94</v>
      </c>
      <c r="H75" s="74" t="n">
        <v>65.92</v>
      </c>
      <c r="I75" s="74" t="n">
        <v>15.1</v>
      </c>
      <c r="J75" s="74" t="n">
        <v>49.93</v>
      </c>
      <c r="K75" s="74" t="n">
        <v>8</v>
      </c>
      <c r="T75" s="74" t="n">
        <v>1</v>
      </c>
      <c r="U75" s="74" t="n">
        <v>1</v>
      </c>
      <c r="V75" s="74" t="inlineStr">
        <is>
          <t>계단식</t>
        </is>
      </c>
      <c r="W75" s="74" t="inlineStr">
        <is>
          <t>65E</t>
        </is>
      </c>
      <c r="X75" s="74" t="n">
        <v>9</v>
      </c>
      <c r="Y75" s="74" t="n">
        <v>9</v>
      </c>
      <c r="Z75" s="74" t="inlineStr">
        <is>
          <t>https://new.land.naver.com/complexes/120933?tab=detail&amp;rf=Y</t>
        </is>
      </c>
      <c r="AA75" s="74" t="inlineStr">
        <is>
          <t>전라북도 군산시 나운동 795-10</t>
        </is>
      </c>
      <c r="AB75" s="74" t="inlineStr">
        <is>
          <t>전라북도</t>
        </is>
      </c>
      <c r="AC75" s="74" t="inlineStr">
        <is>
          <t>군산시</t>
        </is>
      </c>
      <c r="AD75" s="74" t="inlineStr">
        <is>
          <t>나운동</t>
        </is>
      </c>
      <c r="AG75" s="74" t="inlineStr">
        <is>
          <t>전라북도 군산시 상나운1길 6-6</t>
        </is>
      </c>
      <c r="AH75" s="74" t="n">
        <v>0</v>
      </c>
      <c r="AI75" s="74" t="n">
        <v>0</v>
      </c>
      <c r="AJ75" s="74" t="n">
        <v>0</v>
      </c>
      <c r="AK75" s="74" t="n">
        <v>26</v>
      </c>
      <c r="AL75" s="74" t="n">
        <v>0.54</v>
      </c>
    </row>
    <row r="76">
      <c r="A76" s="74" t="inlineStr">
        <is>
          <t>[나운동]</t>
        </is>
      </c>
      <c r="B76" s="74" t="n">
        <v>120933</v>
      </c>
      <c r="C76" s="74" t="n">
        <v>5</v>
      </c>
      <c r="D76" s="74" t="inlineStr">
        <is>
          <t>상지파크뷰(도시형)</t>
        </is>
      </c>
      <c r="E76" s="74" t="inlineStr">
        <is>
          <t>2014.06.</t>
        </is>
      </c>
      <c r="F76" s="74" t="n">
        <v>48</v>
      </c>
      <c r="G76" s="74" t="n">
        <v>19.89</v>
      </c>
      <c r="H76" s="74" t="n">
        <v>65.78</v>
      </c>
      <c r="I76" s="74" t="n">
        <v>15.07</v>
      </c>
      <c r="J76" s="74" t="n">
        <v>49.82</v>
      </c>
      <c r="K76" s="74" t="n">
        <v>7</v>
      </c>
      <c r="T76" s="74" t="n">
        <v>1</v>
      </c>
      <c r="U76" s="74" t="n">
        <v>1</v>
      </c>
      <c r="V76" s="74" t="inlineStr">
        <is>
          <t>계단식</t>
        </is>
      </c>
      <c r="W76" s="74" t="inlineStr">
        <is>
          <t>65B</t>
        </is>
      </c>
      <c r="X76" s="74" t="n">
        <v>9</v>
      </c>
      <c r="Y76" s="74" t="n">
        <v>9</v>
      </c>
      <c r="Z76" s="74" t="inlineStr">
        <is>
          <t>https://new.land.naver.com/complexes/120933?tab=detail&amp;rf=Y</t>
        </is>
      </c>
      <c r="AA76" s="74" t="inlineStr">
        <is>
          <t>전라북도 군산시 나운동 795-10</t>
        </is>
      </c>
      <c r="AB76" s="74" t="inlineStr">
        <is>
          <t>전라북도</t>
        </is>
      </c>
      <c r="AC76" s="74" t="inlineStr">
        <is>
          <t>군산시</t>
        </is>
      </c>
      <c r="AD76" s="74" t="inlineStr">
        <is>
          <t>나운동</t>
        </is>
      </c>
      <c r="AG76" s="74" t="inlineStr">
        <is>
          <t>전라북도 군산시 상나운1길 6-6</t>
        </is>
      </c>
      <c r="AH76" s="74" t="n">
        <v>0</v>
      </c>
      <c r="AI76" s="74" t="n">
        <v>0</v>
      </c>
      <c r="AJ76" s="74" t="n">
        <v>0</v>
      </c>
      <c r="AK76" s="74" t="n">
        <v>26</v>
      </c>
      <c r="AL76" s="74" t="n">
        <v>0.54</v>
      </c>
    </row>
    <row r="77">
      <c r="A77" s="74" t="inlineStr">
        <is>
          <t>[나운동]</t>
        </is>
      </c>
      <c r="B77" s="74" t="n">
        <v>120933</v>
      </c>
      <c r="C77" s="74" t="n">
        <v>6</v>
      </c>
      <c r="D77" s="74" t="inlineStr">
        <is>
          <t>상지파크뷰(도시형)</t>
        </is>
      </c>
      <c r="E77" s="74" t="inlineStr">
        <is>
          <t>2014.06.</t>
        </is>
      </c>
      <c r="F77" s="74" t="n">
        <v>48</v>
      </c>
      <c r="G77" s="74" t="n">
        <v>20.14</v>
      </c>
      <c r="H77" s="74" t="n">
        <v>66.59</v>
      </c>
      <c r="I77" s="74" t="n">
        <v>15.07</v>
      </c>
      <c r="J77" s="74" t="n">
        <v>49.82</v>
      </c>
      <c r="K77" s="74" t="n">
        <v>15</v>
      </c>
      <c r="T77" s="74" t="n">
        <v>1</v>
      </c>
      <c r="U77" s="74" t="n">
        <v>1</v>
      </c>
      <c r="V77" s="74" t="inlineStr">
        <is>
          <t>계단식</t>
        </is>
      </c>
      <c r="W77" s="74" t="inlineStr">
        <is>
          <t>66C</t>
        </is>
      </c>
      <c r="X77" s="74" t="n">
        <v>9</v>
      </c>
      <c r="Y77" s="74" t="n">
        <v>9</v>
      </c>
      <c r="Z77" s="74" t="inlineStr">
        <is>
          <t>https://new.land.naver.com/complexes/120933?tab=detail&amp;rf=Y</t>
        </is>
      </c>
      <c r="AA77" s="74" t="inlineStr">
        <is>
          <t>전라북도 군산시 나운동 795-10</t>
        </is>
      </c>
      <c r="AB77" s="74" t="inlineStr">
        <is>
          <t>전라북도</t>
        </is>
      </c>
      <c r="AC77" s="74" t="inlineStr">
        <is>
          <t>군산시</t>
        </is>
      </c>
      <c r="AD77" s="74" t="inlineStr">
        <is>
          <t>나운동</t>
        </is>
      </c>
      <c r="AG77" s="74" t="inlineStr">
        <is>
          <t>전라북도 군산시 상나운1길 6-6</t>
        </is>
      </c>
      <c r="AH77" s="74" t="n">
        <v>0</v>
      </c>
      <c r="AI77" s="74" t="n">
        <v>0</v>
      </c>
      <c r="AJ77" s="74" t="n">
        <v>0</v>
      </c>
      <c r="AK77" s="74" t="n">
        <v>26</v>
      </c>
      <c r="AL77" s="74" t="n">
        <v>0.54</v>
      </c>
    </row>
    <row r="78">
      <c r="A78" s="74" t="inlineStr">
        <is>
          <t>[나운동]</t>
        </is>
      </c>
      <c r="B78" s="74" t="n">
        <v>120933</v>
      </c>
      <c r="C78" s="74" t="n">
        <v>7</v>
      </c>
      <c r="D78" s="74" t="inlineStr">
        <is>
          <t>상지파크뷰(도시형)</t>
        </is>
      </c>
      <c r="E78" s="74" t="inlineStr">
        <is>
          <t>2014.06.</t>
        </is>
      </c>
      <c r="F78" s="74" t="n">
        <v>48</v>
      </c>
      <c r="G78" s="74" t="n">
        <v>20.09</v>
      </c>
      <c r="H78" s="74" t="n">
        <v>66.44</v>
      </c>
      <c r="I78" s="74" t="n">
        <v>15.03</v>
      </c>
      <c r="J78" s="74" t="n">
        <v>49.71</v>
      </c>
      <c r="K78" s="74" t="n">
        <v>8</v>
      </c>
      <c r="T78" s="74" t="n">
        <v>1</v>
      </c>
      <c r="U78" s="74" t="n">
        <v>1</v>
      </c>
      <c r="V78" s="74" t="inlineStr">
        <is>
          <t>계단식</t>
        </is>
      </c>
      <c r="W78" s="74" t="inlineStr">
        <is>
          <t>66A</t>
        </is>
      </c>
      <c r="X78" s="74" t="n">
        <v>9</v>
      </c>
      <c r="Y78" s="74" t="n">
        <v>9</v>
      </c>
      <c r="Z78" s="74" t="inlineStr">
        <is>
          <t>https://new.land.naver.com/complexes/120933?tab=detail&amp;rf=Y</t>
        </is>
      </c>
      <c r="AA78" s="74" t="inlineStr">
        <is>
          <t>전라북도 군산시 나운동 795-10</t>
        </is>
      </c>
      <c r="AB78" s="74" t="inlineStr">
        <is>
          <t>전라북도</t>
        </is>
      </c>
      <c r="AC78" s="74" t="inlineStr">
        <is>
          <t>군산시</t>
        </is>
      </c>
      <c r="AD78" s="74" t="inlineStr">
        <is>
          <t>나운동</t>
        </is>
      </c>
      <c r="AG78" s="74" t="inlineStr">
        <is>
          <t>전라북도 군산시 상나운1길 6-6</t>
        </is>
      </c>
      <c r="AH78" s="74" t="n">
        <v>0</v>
      </c>
      <c r="AI78" s="74" t="n">
        <v>0</v>
      </c>
      <c r="AJ78" s="74" t="n">
        <v>0</v>
      </c>
      <c r="AK78" s="74" t="n">
        <v>26</v>
      </c>
      <c r="AL78" s="74" t="n">
        <v>0.54</v>
      </c>
    </row>
    <row r="79">
      <c r="A79" s="74" t="inlineStr">
        <is>
          <t>[나운동]</t>
        </is>
      </c>
      <c r="B79" s="74" t="n">
        <v>27028</v>
      </c>
      <c r="C79" s="74" t="n">
        <v>1</v>
      </c>
      <c r="D79" s="74" t="inlineStr">
        <is>
          <t>수송코아루</t>
        </is>
      </c>
      <c r="E79" s="74" t="inlineStr">
        <is>
          <t>2009.03.</t>
        </is>
      </c>
      <c r="F79" s="74" t="n">
        <v>392</v>
      </c>
      <c r="G79" s="74" t="n">
        <v>26.35</v>
      </c>
      <c r="H79" s="74" t="n">
        <v>87.13</v>
      </c>
      <c r="I79" s="74" t="n">
        <v>18.03</v>
      </c>
      <c r="J79" s="74" t="n">
        <v>59.61</v>
      </c>
      <c r="K79" s="74" t="n">
        <v>392</v>
      </c>
      <c r="T79" s="74" t="n">
        <v>3</v>
      </c>
      <c r="U79" s="74" t="n">
        <v>2</v>
      </c>
      <c r="V79" s="74" t="inlineStr">
        <is>
          <t>계단식</t>
        </is>
      </c>
      <c r="W79" s="74" t="n">
        <v>87</v>
      </c>
      <c r="X79" s="74" t="n">
        <v>20</v>
      </c>
      <c r="Y79" s="74" t="n">
        <v>16</v>
      </c>
      <c r="Z79" s="74" t="inlineStr">
        <is>
          <t>https://new.land.naver.com/complexes/27028?tab=detail&amp;rf=Y</t>
        </is>
      </c>
      <c r="AA79" s="74" t="inlineStr">
        <is>
          <t>전라북도 군산시 나운동 1526</t>
        </is>
      </c>
      <c r="AB79" s="74" t="inlineStr">
        <is>
          <t>전라북도</t>
        </is>
      </c>
      <c r="AC79" s="74" t="inlineStr">
        <is>
          <t>군산시</t>
        </is>
      </c>
      <c r="AD79" s="74" t="inlineStr">
        <is>
          <t>나운동</t>
        </is>
      </c>
      <c r="AG79" s="74" t="inlineStr">
        <is>
          <t>전라북도 군산시 축동로 83</t>
        </is>
      </c>
      <c r="AH79" s="74" t="n">
        <v>0</v>
      </c>
      <c r="AI79" s="74" t="n">
        <v>219</v>
      </c>
      <c r="AJ79" s="74" t="n">
        <v>18</v>
      </c>
      <c r="AK79" s="74" t="n">
        <v>434</v>
      </c>
      <c r="AL79" s="74" t="n">
        <v>1.11</v>
      </c>
    </row>
    <row r="80">
      <c r="A80" s="74" t="inlineStr">
        <is>
          <t>[나운동]</t>
        </is>
      </c>
      <c r="B80" s="74" t="n">
        <v>140531</v>
      </c>
      <c r="C80" s="74" t="n">
        <v>1</v>
      </c>
      <c r="D80" s="74" t="inlineStr">
        <is>
          <t>C&amp;G빌</t>
        </is>
      </c>
      <c r="E80" s="74" t="inlineStr">
        <is>
          <t>2005.01.</t>
        </is>
      </c>
      <c r="F80" s="74" t="n">
        <v>19</v>
      </c>
      <c r="G80" s="74" t="n">
        <v>28.63</v>
      </c>
      <c r="H80" s="74" t="n">
        <v>94.66</v>
      </c>
      <c r="I80" s="74" t="n">
        <v>25.67</v>
      </c>
      <c r="J80" s="74" t="n">
        <v>84.86</v>
      </c>
      <c r="K80" s="74" t="n">
        <v>6</v>
      </c>
      <c r="T80" s="74" t="n">
        <v>3</v>
      </c>
      <c r="U80" s="74" t="n">
        <v>2</v>
      </c>
      <c r="V80" s="74" t="inlineStr">
        <is>
          <t>계단식</t>
        </is>
      </c>
      <c r="W80" s="74" t="inlineStr">
        <is>
          <t>94A</t>
        </is>
      </c>
      <c r="X80" s="74" t="n">
        <v>7</v>
      </c>
      <c r="Y80" s="74" t="n">
        <v>6</v>
      </c>
      <c r="Z80" s="74" t="inlineStr">
        <is>
          <t>https://new.land.naver.com/complexes/140531?tab=detail&amp;rf=Y</t>
        </is>
      </c>
      <c r="AA80" s="74" t="inlineStr">
        <is>
          <t>전라북도 군산시 나운동 757-3</t>
        </is>
      </c>
      <c r="AB80" s="74" t="inlineStr">
        <is>
          <t>전라북도</t>
        </is>
      </c>
      <c r="AC80" s="74" t="inlineStr">
        <is>
          <t>군산시</t>
        </is>
      </c>
      <c r="AD80" s="74" t="inlineStr">
        <is>
          <t>나운동</t>
        </is>
      </c>
      <c r="AG80" s="74" t="inlineStr">
        <is>
          <t>전라북도 군산시 상신4길 15-6</t>
        </is>
      </c>
      <c r="AH80" s="74" t="n">
        <v>0</v>
      </c>
      <c r="AI80" s="74" t="n">
        <v>161</v>
      </c>
      <c r="AJ80" s="74" t="n">
        <v>26</v>
      </c>
      <c r="AK80" s="74" t="n">
        <v>24</v>
      </c>
      <c r="AL80" s="74" t="n">
        <v>1.26</v>
      </c>
    </row>
    <row r="81">
      <c r="A81" s="74" t="inlineStr">
        <is>
          <t>[나운동]</t>
        </is>
      </c>
      <c r="B81" s="74" t="n">
        <v>140531</v>
      </c>
      <c r="C81" s="74" t="n">
        <v>2</v>
      </c>
      <c r="D81" s="74" t="inlineStr">
        <is>
          <t>C&amp;G빌</t>
        </is>
      </c>
      <c r="E81" s="74" t="inlineStr">
        <is>
          <t>2005.01.</t>
        </is>
      </c>
      <c r="F81" s="74" t="n">
        <v>19</v>
      </c>
      <c r="G81" s="74" t="n">
        <v>28.64</v>
      </c>
      <c r="H81" s="74" t="n">
        <v>94.69</v>
      </c>
      <c r="I81" s="74" t="n">
        <v>25.67</v>
      </c>
      <c r="J81" s="74" t="n">
        <v>84.88</v>
      </c>
      <c r="K81" s="74" t="n">
        <v>6</v>
      </c>
      <c r="T81" s="74" t="n">
        <v>3</v>
      </c>
      <c r="U81" s="74" t="n">
        <v>2</v>
      </c>
      <c r="V81" s="74" t="inlineStr">
        <is>
          <t>계단식</t>
        </is>
      </c>
      <c r="W81" s="74" t="inlineStr">
        <is>
          <t>94B</t>
        </is>
      </c>
      <c r="X81" s="74" t="n">
        <v>7</v>
      </c>
      <c r="Y81" s="74" t="n">
        <v>6</v>
      </c>
      <c r="Z81" s="74" t="inlineStr">
        <is>
          <t>https://new.land.naver.com/complexes/140531?tab=detail&amp;rf=Y</t>
        </is>
      </c>
      <c r="AA81" s="74" t="inlineStr">
        <is>
          <t>전라북도 군산시 나운동 757-3</t>
        </is>
      </c>
      <c r="AB81" s="74" t="inlineStr">
        <is>
          <t>전라북도</t>
        </is>
      </c>
      <c r="AC81" s="74" t="inlineStr">
        <is>
          <t>군산시</t>
        </is>
      </c>
      <c r="AD81" s="74" t="inlineStr">
        <is>
          <t>나운동</t>
        </is>
      </c>
      <c r="AG81" s="74" t="inlineStr">
        <is>
          <t>전라북도 군산시 상신4길 15-6</t>
        </is>
      </c>
      <c r="AH81" s="74" t="n">
        <v>0</v>
      </c>
      <c r="AI81" s="74" t="n">
        <v>161</v>
      </c>
      <c r="AJ81" s="74" t="n">
        <v>26</v>
      </c>
      <c r="AK81" s="74" t="n">
        <v>24</v>
      </c>
      <c r="AL81" s="74" t="n">
        <v>1.26</v>
      </c>
    </row>
    <row r="82">
      <c r="A82" s="74" t="inlineStr">
        <is>
          <t>[나운동]</t>
        </is>
      </c>
      <c r="B82" s="74" t="n">
        <v>140531</v>
      </c>
      <c r="C82" s="74" t="n">
        <v>3</v>
      </c>
      <c r="D82" s="74" t="inlineStr">
        <is>
          <t>C&amp;G빌</t>
        </is>
      </c>
      <c r="E82" s="74" t="inlineStr">
        <is>
          <t>2005.01.</t>
        </is>
      </c>
      <c r="F82" s="74" t="n">
        <v>19</v>
      </c>
      <c r="G82" s="74" t="n">
        <v>30.87</v>
      </c>
      <c r="H82" s="74" t="n">
        <v>102.07</v>
      </c>
      <c r="I82" s="74" t="n">
        <v>27.67</v>
      </c>
      <c r="J82" s="74" t="n">
        <v>91.5</v>
      </c>
      <c r="K82" s="74" t="n">
        <v>6</v>
      </c>
      <c r="T82" s="74" t="n">
        <v>3</v>
      </c>
      <c r="U82" s="74" t="n">
        <v>2</v>
      </c>
      <c r="V82" s="74" t="inlineStr">
        <is>
          <t>계단식</t>
        </is>
      </c>
      <c r="W82" s="74" t="n">
        <v>102</v>
      </c>
      <c r="X82" s="74" t="n">
        <v>7</v>
      </c>
      <c r="Y82" s="74" t="n">
        <v>6</v>
      </c>
      <c r="Z82" s="74" t="inlineStr">
        <is>
          <t>https://new.land.naver.com/complexes/140531?tab=detail&amp;rf=Y</t>
        </is>
      </c>
      <c r="AA82" s="74" t="inlineStr">
        <is>
          <t>전라북도 군산시 나운동 757-3</t>
        </is>
      </c>
      <c r="AB82" s="74" t="inlineStr">
        <is>
          <t>전라북도</t>
        </is>
      </c>
      <c r="AC82" s="74" t="inlineStr">
        <is>
          <t>군산시</t>
        </is>
      </c>
      <c r="AD82" s="74" t="inlineStr">
        <is>
          <t>나운동</t>
        </is>
      </c>
      <c r="AG82" s="74" t="inlineStr">
        <is>
          <t>전라북도 군산시 상신4길 15-6</t>
        </is>
      </c>
      <c r="AH82" s="74" t="n">
        <v>0</v>
      </c>
      <c r="AI82" s="74" t="n">
        <v>161</v>
      </c>
      <c r="AJ82" s="74" t="n">
        <v>26</v>
      </c>
      <c r="AK82" s="74" t="n">
        <v>24</v>
      </c>
      <c r="AL82" s="74" t="n">
        <v>1.26</v>
      </c>
    </row>
    <row r="83">
      <c r="A83" s="74" t="inlineStr">
        <is>
          <t>[나운동]</t>
        </is>
      </c>
      <c r="B83" s="74" t="n">
        <v>140531</v>
      </c>
      <c r="C83" s="74" t="n">
        <v>4</v>
      </c>
      <c r="D83" s="74" t="inlineStr">
        <is>
          <t>C&amp;G빌</t>
        </is>
      </c>
      <c r="E83" s="74" t="inlineStr">
        <is>
          <t>2005.01.</t>
        </is>
      </c>
      <c r="F83" s="74" t="n">
        <v>19</v>
      </c>
      <c r="G83" s="74" t="n">
        <v>46.39</v>
      </c>
      <c r="H83" s="74" t="n">
        <v>153.38</v>
      </c>
      <c r="I83" s="74" t="n">
        <v>41.59</v>
      </c>
      <c r="J83" s="74" t="n">
        <v>137.5</v>
      </c>
      <c r="K83" s="74" t="n">
        <v>1</v>
      </c>
      <c r="T83" s="74" t="n">
        <v>4</v>
      </c>
      <c r="U83" s="74" t="n">
        <v>2</v>
      </c>
      <c r="V83" s="74" t="inlineStr">
        <is>
          <t>계단식</t>
        </is>
      </c>
      <c r="W83" s="74" t="n">
        <v>153</v>
      </c>
      <c r="X83" s="74" t="n">
        <v>7</v>
      </c>
      <c r="Y83" s="74" t="n">
        <v>6</v>
      </c>
      <c r="Z83" s="74" t="inlineStr">
        <is>
          <t>https://new.land.naver.com/complexes/140531?tab=detail&amp;rf=Y</t>
        </is>
      </c>
      <c r="AA83" s="74" t="inlineStr">
        <is>
          <t>전라북도 군산시 나운동 757-3</t>
        </is>
      </c>
      <c r="AB83" s="74" t="inlineStr">
        <is>
          <t>전라북도</t>
        </is>
      </c>
      <c r="AC83" s="74" t="inlineStr">
        <is>
          <t>군산시</t>
        </is>
      </c>
      <c r="AD83" s="74" t="inlineStr">
        <is>
          <t>나운동</t>
        </is>
      </c>
      <c r="AG83" s="74" t="inlineStr">
        <is>
          <t>전라북도 군산시 상신4길 15-6</t>
        </is>
      </c>
      <c r="AH83" s="74" t="n">
        <v>0</v>
      </c>
      <c r="AI83" s="74" t="n">
        <v>161</v>
      </c>
      <c r="AJ83" s="74" t="n">
        <v>26</v>
      </c>
      <c r="AK83" s="74" t="n">
        <v>24</v>
      </c>
      <c r="AL83" s="74" t="n">
        <v>1.26</v>
      </c>
    </row>
    <row r="84">
      <c r="A84" s="74" t="inlineStr">
        <is>
          <t>[나운동]</t>
        </is>
      </c>
      <c r="B84" s="74" t="n">
        <v>4969</v>
      </c>
      <c r="C84" s="74" t="n">
        <v>1</v>
      </c>
      <c r="D84" s="74" t="inlineStr">
        <is>
          <t>금호타운2차</t>
        </is>
      </c>
      <c r="E84" s="74" t="inlineStr">
        <is>
          <t>1994.09.</t>
        </is>
      </c>
      <c r="F84" s="74" t="n">
        <v>336</v>
      </c>
      <c r="G84" s="74" t="n">
        <v>25.34</v>
      </c>
      <c r="H84" s="74" t="n">
        <v>83.79000000000001</v>
      </c>
      <c r="I84" s="74" t="n">
        <v>18.11</v>
      </c>
      <c r="J84" s="74" t="n">
        <v>59.88</v>
      </c>
      <c r="K84" s="74" t="n">
        <v>120</v>
      </c>
      <c r="T84" s="74" t="n">
        <v>2</v>
      </c>
      <c r="U84" s="74" t="n">
        <v>1</v>
      </c>
      <c r="V84" s="74" t="inlineStr">
        <is>
          <t>계단식</t>
        </is>
      </c>
      <c r="W84" s="74" t="n">
        <v>83</v>
      </c>
      <c r="X84" s="74" t="n">
        <v>15</v>
      </c>
      <c r="Y84" s="74" t="n">
        <v>12</v>
      </c>
      <c r="Z84" s="74" t="inlineStr">
        <is>
          <t>https://new.land.naver.com/complexes/4969?tab=detail&amp;rf=Y</t>
        </is>
      </c>
      <c r="AA84" s="74" t="inlineStr">
        <is>
          <t>전라북도 군산시 나운동 92</t>
        </is>
      </c>
      <c r="AB84" s="74" t="inlineStr">
        <is>
          <t>전라북도</t>
        </is>
      </c>
      <c r="AC84" s="74" t="inlineStr">
        <is>
          <t>군산시</t>
        </is>
      </c>
      <c r="AD84" s="74" t="inlineStr">
        <is>
          <t>나운동</t>
        </is>
      </c>
      <c r="AG84" s="74" t="inlineStr">
        <is>
          <t>전라북도 군산시 수송로 71</t>
        </is>
      </c>
      <c r="AH84" s="74" t="n">
        <v>0</v>
      </c>
      <c r="AI84" s="74" t="n">
        <v>212</v>
      </c>
      <c r="AJ84" s="74" t="n">
        <v>21</v>
      </c>
      <c r="AK84" s="74" t="n">
        <v>241</v>
      </c>
      <c r="AL84" s="74" t="n">
        <v>0.72</v>
      </c>
    </row>
    <row r="85">
      <c r="A85" s="74" t="inlineStr">
        <is>
          <t>[나운동]</t>
        </is>
      </c>
      <c r="B85" s="74" t="n">
        <v>4969</v>
      </c>
      <c r="C85" s="74" t="n">
        <v>2</v>
      </c>
      <c r="D85" s="74" t="inlineStr">
        <is>
          <t>금호타운2차</t>
        </is>
      </c>
      <c r="E85" s="74" t="inlineStr">
        <is>
          <t>1994.09.</t>
        </is>
      </c>
      <c r="F85" s="74" t="n">
        <v>336</v>
      </c>
      <c r="G85" s="74" t="n">
        <v>31.16</v>
      </c>
      <c r="H85" s="74" t="n">
        <v>103.01</v>
      </c>
      <c r="I85" s="74" t="n">
        <v>25.66</v>
      </c>
      <c r="J85" s="74" t="n">
        <v>84.84</v>
      </c>
      <c r="K85" s="74" t="n">
        <v>120</v>
      </c>
      <c r="T85" s="74" t="n">
        <v>3</v>
      </c>
      <c r="U85" s="74" t="n">
        <v>2</v>
      </c>
      <c r="V85" s="74" t="inlineStr">
        <is>
          <t>계단식</t>
        </is>
      </c>
      <c r="W85" s="74" t="n">
        <v>103</v>
      </c>
      <c r="X85" s="74" t="n">
        <v>15</v>
      </c>
      <c r="Y85" s="74" t="n">
        <v>12</v>
      </c>
      <c r="Z85" s="74" t="inlineStr">
        <is>
          <t>https://new.land.naver.com/complexes/4969?tab=detail&amp;rf=Y</t>
        </is>
      </c>
      <c r="AA85" s="74" t="inlineStr">
        <is>
          <t>전라북도 군산시 나운동 92</t>
        </is>
      </c>
      <c r="AB85" s="74" t="inlineStr">
        <is>
          <t>전라북도</t>
        </is>
      </c>
      <c r="AC85" s="74" t="inlineStr">
        <is>
          <t>군산시</t>
        </is>
      </c>
      <c r="AD85" s="74" t="inlineStr">
        <is>
          <t>나운동</t>
        </is>
      </c>
      <c r="AG85" s="74" t="inlineStr">
        <is>
          <t>전라북도 군산시 수송로 71</t>
        </is>
      </c>
      <c r="AH85" s="74" t="n">
        <v>0</v>
      </c>
      <c r="AI85" s="74" t="n">
        <v>212</v>
      </c>
      <c r="AJ85" s="74" t="n">
        <v>21</v>
      </c>
      <c r="AK85" s="74" t="n">
        <v>241</v>
      </c>
      <c r="AL85" s="74" t="n">
        <v>0.72</v>
      </c>
    </row>
    <row r="86">
      <c r="A86" s="74" t="inlineStr">
        <is>
          <t>[나운동]</t>
        </is>
      </c>
      <c r="B86" s="74" t="n">
        <v>4969</v>
      </c>
      <c r="C86" s="74" t="n">
        <v>3</v>
      </c>
      <c r="D86" s="74" t="inlineStr">
        <is>
          <t>금호타운2차</t>
        </is>
      </c>
      <c r="E86" s="74" t="inlineStr">
        <is>
          <t>1994.09.</t>
        </is>
      </c>
      <c r="F86" s="74" t="n">
        <v>336</v>
      </c>
      <c r="G86" s="74" t="n">
        <v>45.01</v>
      </c>
      <c r="H86" s="74" t="n">
        <v>148.81</v>
      </c>
      <c r="I86" s="74" t="n">
        <v>38.3</v>
      </c>
      <c r="J86" s="74" t="n">
        <v>126.63</v>
      </c>
      <c r="K86" s="74" t="n">
        <v>96</v>
      </c>
      <c r="T86" s="74" t="n">
        <v>4</v>
      </c>
      <c r="U86" s="74" t="n">
        <v>2</v>
      </c>
      <c r="V86" s="74" t="inlineStr">
        <is>
          <t>계단식</t>
        </is>
      </c>
      <c r="W86" s="74" t="n">
        <v>148</v>
      </c>
      <c r="X86" s="74" t="n">
        <v>15</v>
      </c>
      <c r="Y86" s="74" t="n">
        <v>12</v>
      </c>
      <c r="Z86" s="74" t="inlineStr">
        <is>
          <t>https://new.land.naver.com/complexes/4969?tab=detail&amp;rf=Y</t>
        </is>
      </c>
      <c r="AA86" s="74" t="inlineStr">
        <is>
          <t>전라북도 군산시 나운동 92</t>
        </is>
      </c>
      <c r="AB86" s="74" t="inlineStr">
        <is>
          <t>전라북도</t>
        </is>
      </c>
      <c r="AC86" s="74" t="inlineStr">
        <is>
          <t>군산시</t>
        </is>
      </c>
      <c r="AD86" s="74" t="inlineStr">
        <is>
          <t>나운동</t>
        </is>
      </c>
      <c r="AG86" s="74" t="inlineStr">
        <is>
          <t>전라북도 군산시 수송로 71</t>
        </is>
      </c>
      <c r="AH86" s="74" t="n">
        <v>0</v>
      </c>
      <c r="AI86" s="74" t="n">
        <v>212</v>
      </c>
      <c r="AJ86" s="74" t="n">
        <v>21</v>
      </c>
      <c r="AK86" s="74" t="n">
        <v>241</v>
      </c>
      <c r="AL86" s="74" t="n">
        <v>0.72</v>
      </c>
    </row>
    <row r="87">
      <c r="A87" s="74" t="inlineStr">
        <is>
          <t>[나운동]</t>
        </is>
      </c>
      <c r="B87" s="74" t="n">
        <v>14960</v>
      </c>
      <c r="C87" s="74" t="n">
        <v>1</v>
      </c>
      <c r="D87" s="74" t="inlineStr">
        <is>
          <t>대명(834-1)</t>
        </is>
      </c>
      <c r="E87" s="74" t="inlineStr">
        <is>
          <t>1990.07.</t>
        </is>
      </c>
      <c r="F87" s="74" t="n">
        <v>175</v>
      </c>
      <c r="G87" s="74" t="n">
        <v>26.74</v>
      </c>
      <c r="H87" s="74" t="n">
        <v>88.40000000000001</v>
      </c>
      <c r="I87" s="74" t="n">
        <v>21.82</v>
      </c>
      <c r="J87" s="74" t="n">
        <v>72.15000000000001</v>
      </c>
      <c r="K87" s="74" t="n">
        <v>55</v>
      </c>
      <c r="T87" s="74" t="n">
        <v>3</v>
      </c>
      <c r="U87" s="74" t="n">
        <v>1</v>
      </c>
      <c r="V87" s="74" t="inlineStr">
        <is>
          <t>계단식</t>
        </is>
      </c>
      <c r="W87" s="74" t="n">
        <v>88</v>
      </c>
      <c r="X87" s="74" t="n">
        <v>15</v>
      </c>
      <c r="Y87" s="74" t="n">
        <v>15</v>
      </c>
      <c r="Z87" s="74" t="inlineStr">
        <is>
          <t>https://new.land.naver.com/complexes/14960?tab=detail&amp;rf=Y</t>
        </is>
      </c>
      <c r="AA87" s="74" t="inlineStr">
        <is>
          <t>전라북도 군산시 나운동 834-1</t>
        </is>
      </c>
      <c r="AB87" s="74" t="inlineStr">
        <is>
          <t>전라북도</t>
        </is>
      </c>
      <c r="AC87" s="74" t="inlineStr">
        <is>
          <t>군산시</t>
        </is>
      </c>
      <c r="AD87" s="74" t="inlineStr">
        <is>
          <t>나운동</t>
        </is>
      </c>
      <c r="AG87" s="74" t="inlineStr">
        <is>
          <t>전라북도 군산시 나운로 70</t>
        </is>
      </c>
      <c r="AH87" s="74" t="n">
        <v>0</v>
      </c>
      <c r="AI87" s="74" t="n">
        <v>0</v>
      </c>
      <c r="AJ87" s="74" t="n">
        <v>0</v>
      </c>
      <c r="AK87" s="74" t="n">
        <v>0</v>
      </c>
      <c r="AL87" s="74" t="n">
        <v>0</v>
      </c>
    </row>
    <row r="88">
      <c r="A88" s="74" t="inlineStr">
        <is>
          <t>[나운동]</t>
        </is>
      </c>
      <c r="B88" s="74" t="n">
        <v>14960</v>
      </c>
      <c r="C88" s="74" t="n">
        <v>2</v>
      </c>
      <c r="D88" s="74" t="inlineStr">
        <is>
          <t>대명(834-1)</t>
        </is>
      </c>
      <c r="E88" s="74" t="inlineStr">
        <is>
          <t>1990.07.</t>
        </is>
      </c>
      <c r="F88" s="74" t="n">
        <v>175</v>
      </c>
      <c r="G88" s="74" t="n">
        <v>31.47</v>
      </c>
      <c r="H88" s="74" t="n">
        <v>104.04</v>
      </c>
      <c r="I88" s="74" t="n">
        <v>25.68</v>
      </c>
      <c r="J88" s="74" t="n">
        <v>84.92</v>
      </c>
      <c r="K88" s="74" t="n">
        <v>120</v>
      </c>
      <c r="T88" s="74" t="n">
        <v>3</v>
      </c>
      <c r="U88" s="74" t="n">
        <v>2</v>
      </c>
      <c r="V88" s="74" t="inlineStr">
        <is>
          <t>계단식</t>
        </is>
      </c>
      <c r="W88" s="74" t="n">
        <v>104</v>
      </c>
      <c r="X88" s="74" t="n">
        <v>15</v>
      </c>
      <c r="Y88" s="74" t="n">
        <v>15</v>
      </c>
      <c r="Z88" s="74" t="inlineStr">
        <is>
          <t>https://new.land.naver.com/complexes/14960?tab=detail&amp;rf=Y</t>
        </is>
      </c>
      <c r="AA88" s="74" t="inlineStr">
        <is>
          <t>전라북도 군산시 나운동 834-1</t>
        </is>
      </c>
      <c r="AB88" s="74" t="inlineStr">
        <is>
          <t>전라북도</t>
        </is>
      </c>
      <c r="AC88" s="74" t="inlineStr">
        <is>
          <t>군산시</t>
        </is>
      </c>
      <c r="AD88" s="74" t="inlineStr">
        <is>
          <t>나운동</t>
        </is>
      </c>
      <c r="AG88" s="74" t="inlineStr">
        <is>
          <t>전라북도 군산시 나운로 70</t>
        </is>
      </c>
      <c r="AH88" s="74" t="n">
        <v>0</v>
      </c>
      <c r="AI88" s="74" t="n">
        <v>0</v>
      </c>
      <c r="AJ88" s="74" t="n">
        <v>0</v>
      </c>
      <c r="AK88" s="74" t="n">
        <v>0</v>
      </c>
      <c r="AL88" s="74" t="n">
        <v>0</v>
      </c>
    </row>
    <row r="89">
      <c r="A89" s="74" t="inlineStr">
        <is>
          <t>[나운동]</t>
        </is>
      </c>
      <c r="B89" s="74" t="n">
        <v>102461</v>
      </c>
      <c r="C89" s="74" t="n">
        <v>1</v>
      </c>
      <c r="D89" s="74" t="inlineStr">
        <is>
          <t>나운현대2차</t>
        </is>
      </c>
      <c r="E89" s="74" t="inlineStr">
        <is>
          <t>1993.10.</t>
        </is>
      </c>
      <c r="F89" s="74" t="n">
        <v>899</v>
      </c>
      <c r="G89" s="74" t="n">
        <v>22.44</v>
      </c>
      <c r="H89" s="74" t="n">
        <v>74.20999999999999</v>
      </c>
      <c r="I89" s="74" t="n">
        <v>17.96</v>
      </c>
      <c r="J89" s="74" t="n">
        <v>59.4</v>
      </c>
      <c r="K89" s="74" t="n">
        <v>344</v>
      </c>
      <c r="T89" s="74" t="n">
        <v>3</v>
      </c>
      <c r="U89" s="74" t="n">
        <v>1</v>
      </c>
      <c r="V89" s="74" t="inlineStr">
        <is>
          <t>계단식</t>
        </is>
      </c>
      <c r="W89" s="74" t="n">
        <v>74</v>
      </c>
      <c r="X89" s="74" t="n">
        <v>15</v>
      </c>
      <c r="Y89" s="74" t="n">
        <v>12</v>
      </c>
      <c r="Z89" s="74" t="inlineStr">
        <is>
          <t>https://new.land.naver.com/complexes/102461?tab=detail&amp;rf=Y</t>
        </is>
      </c>
      <c r="AA89" s="74" t="inlineStr">
        <is>
          <t>전라북도 군산시 나운동 527</t>
        </is>
      </c>
      <c r="AB89" s="74" t="inlineStr">
        <is>
          <t>전라북도</t>
        </is>
      </c>
      <c r="AC89" s="74" t="inlineStr">
        <is>
          <t>군산시</t>
        </is>
      </c>
      <c r="AD89" s="74" t="inlineStr">
        <is>
          <t>나운동</t>
        </is>
      </c>
      <c r="AG89" s="74" t="inlineStr">
        <is>
          <t>전라북도 군산시 나운로 39</t>
        </is>
      </c>
      <c r="AH89" s="74" t="n">
        <v>0</v>
      </c>
      <c r="AI89" s="74" t="n">
        <v>222</v>
      </c>
      <c r="AJ89" s="74" t="n">
        <v>19</v>
      </c>
      <c r="AK89" s="74" t="n">
        <v>681</v>
      </c>
      <c r="AL89" s="74" t="n">
        <v>0.76</v>
      </c>
    </row>
    <row r="90">
      <c r="A90" s="74" t="inlineStr">
        <is>
          <t>[나운동]</t>
        </is>
      </c>
      <c r="B90" s="74" t="n">
        <v>102461</v>
      </c>
      <c r="C90" s="74" t="n">
        <v>2</v>
      </c>
      <c r="D90" s="74" t="inlineStr">
        <is>
          <t>나운현대2차</t>
        </is>
      </c>
      <c r="E90" s="74" t="inlineStr">
        <is>
          <t>1993.10.</t>
        </is>
      </c>
      <c r="F90" s="74" t="n">
        <v>899</v>
      </c>
      <c r="G90" s="74" t="n">
        <v>28.45</v>
      </c>
      <c r="H90" s="74" t="n">
        <v>94.05</v>
      </c>
      <c r="I90" s="74" t="n">
        <v>22.76</v>
      </c>
      <c r="J90" s="74" t="n">
        <v>75.27</v>
      </c>
      <c r="K90" s="74" t="n">
        <v>119</v>
      </c>
      <c r="T90" s="74" t="n">
        <v>3</v>
      </c>
      <c r="U90" s="74" t="n">
        <v>1</v>
      </c>
      <c r="V90" s="74" t="inlineStr">
        <is>
          <t>계단식</t>
        </is>
      </c>
      <c r="W90" s="74" t="n">
        <v>94</v>
      </c>
      <c r="X90" s="74" t="n">
        <v>15</v>
      </c>
      <c r="Y90" s="74" t="n">
        <v>12</v>
      </c>
      <c r="Z90" s="74" t="inlineStr">
        <is>
          <t>https://new.land.naver.com/complexes/102461?tab=detail&amp;rf=Y</t>
        </is>
      </c>
      <c r="AA90" s="74" t="inlineStr">
        <is>
          <t>전라북도 군산시 나운동 527</t>
        </is>
      </c>
      <c r="AB90" s="74" t="inlineStr">
        <is>
          <t>전라북도</t>
        </is>
      </c>
      <c r="AC90" s="74" t="inlineStr">
        <is>
          <t>군산시</t>
        </is>
      </c>
      <c r="AD90" s="74" t="inlineStr">
        <is>
          <t>나운동</t>
        </is>
      </c>
      <c r="AG90" s="74" t="inlineStr">
        <is>
          <t>전라북도 군산시 나운로 39</t>
        </is>
      </c>
      <c r="AH90" s="74" t="n">
        <v>0</v>
      </c>
      <c r="AI90" s="74" t="n">
        <v>222</v>
      </c>
      <c r="AJ90" s="74" t="n">
        <v>19</v>
      </c>
      <c r="AK90" s="74" t="n">
        <v>681</v>
      </c>
      <c r="AL90" s="74" t="n">
        <v>0.76</v>
      </c>
    </row>
    <row r="91">
      <c r="A91" s="74" t="inlineStr">
        <is>
          <t>[나운동]</t>
        </is>
      </c>
      <c r="B91" s="74" t="n">
        <v>102461</v>
      </c>
      <c r="C91" s="74" t="n">
        <v>3</v>
      </c>
      <c r="D91" s="74" t="inlineStr">
        <is>
          <t>나운현대2차</t>
        </is>
      </c>
      <c r="E91" s="74" t="inlineStr">
        <is>
          <t>1993.10.</t>
        </is>
      </c>
      <c r="F91" s="74" t="n">
        <v>899</v>
      </c>
      <c r="G91" s="74" t="n">
        <v>32.02</v>
      </c>
      <c r="H91" s="74" t="n">
        <v>105.87</v>
      </c>
      <c r="I91" s="74" t="n">
        <v>25.63</v>
      </c>
      <c r="J91" s="74" t="n">
        <v>84.73</v>
      </c>
      <c r="K91" s="74" t="n">
        <v>377</v>
      </c>
      <c r="T91" s="74" t="n">
        <v>3</v>
      </c>
      <c r="U91" s="74" t="n">
        <v>2</v>
      </c>
      <c r="V91" s="74" t="inlineStr">
        <is>
          <t>계단식</t>
        </is>
      </c>
      <c r="W91" s="74" t="n">
        <v>105</v>
      </c>
      <c r="X91" s="74" t="n">
        <v>15</v>
      </c>
      <c r="Y91" s="74" t="n">
        <v>12</v>
      </c>
      <c r="Z91" s="74" t="inlineStr">
        <is>
          <t>https://new.land.naver.com/complexes/102461?tab=detail&amp;rf=Y</t>
        </is>
      </c>
      <c r="AA91" s="74" t="inlineStr">
        <is>
          <t>전라북도 군산시 나운동 527</t>
        </is>
      </c>
      <c r="AB91" s="74" t="inlineStr">
        <is>
          <t>전라북도</t>
        </is>
      </c>
      <c r="AC91" s="74" t="inlineStr">
        <is>
          <t>군산시</t>
        </is>
      </c>
      <c r="AD91" s="74" t="inlineStr">
        <is>
          <t>나운동</t>
        </is>
      </c>
      <c r="AG91" s="74" t="inlineStr">
        <is>
          <t>전라북도 군산시 나운로 39</t>
        </is>
      </c>
      <c r="AH91" s="74" t="n">
        <v>0</v>
      </c>
      <c r="AI91" s="74" t="n">
        <v>222</v>
      </c>
      <c r="AJ91" s="74" t="n">
        <v>19</v>
      </c>
      <c r="AK91" s="74" t="n">
        <v>681</v>
      </c>
      <c r="AL91" s="74" t="n">
        <v>0.76</v>
      </c>
    </row>
    <row r="92">
      <c r="A92" s="74" t="inlineStr">
        <is>
          <t>[나운동]</t>
        </is>
      </c>
      <c r="B92" s="74" t="n">
        <v>102461</v>
      </c>
      <c r="C92" s="74" t="n">
        <v>4</v>
      </c>
      <c r="D92" s="74" t="inlineStr">
        <is>
          <t>나운현대2차</t>
        </is>
      </c>
      <c r="E92" s="74" t="inlineStr">
        <is>
          <t>1993.10.</t>
        </is>
      </c>
      <c r="F92" s="74" t="n">
        <v>899</v>
      </c>
      <c r="G92" s="74" t="n">
        <v>50.86</v>
      </c>
      <c r="H92" s="74" t="n">
        <v>168.14</v>
      </c>
      <c r="I92" s="74" t="n">
        <v>40.7</v>
      </c>
      <c r="J92" s="74" t="n">
        <v>134.57</v>
      </c>
      <c r="K92" s="74" t="n">
        <v>59</v>
      </c>
      <c r="T92" s="74" t="n">
        <v>4</v>
      </c>
      <c r="U92" s="74" t="n">
        <v>2</v>
      </c>
      <c r="V92" s="74" t="inlineStr">
        <is>
          <t>계단식</t>
        </is>
      </c>
      <c r="W92" s="74" t="n">
        <v>168</v>
      </c>
      <c r="X92" s="74" t="n">
        <v>15</v>
      </c>
      <c r="Y92" s="74" t="n">
        <v>12</v>
      </c>
      <c r="Z92" s="74" t="inlineStr">
        <is>
          <t>https://new.land.naver.com/complexes/102461?tab=detail&amp;rf=Y</t>
        </is>
      </c>
      <c r="AA92" s="74" t="inlineStr">
        <is>
          <t>전라북도 군산시 나운동 527</t>
        </is>
      </c>
      <c r="AB92" s="74" t="inlineStr">
        <is>
          <t>전라북도</t>
        </is>
      </c>
      <c r="AC92" s="74" t="inlineStr">
        <is>
          <t>군산시</t>
        </is>
      </c>
      <c r="AD92" s="74" t="inlineStr">
        <is>
          <t>나운동</t>
        </is>
      </c>
      <c r="AG92" s="74" t="inlineStr">
        <is>
          <t>전라북도 군산시 나운로 39</t>
        </is>
      </c>
      <c r="AH92" s="74" t="n">
        <v>0</v>
      </c>
      <c r="AI92" s="74" t="n">
        <v>222</v>
      </c>
      <c r="AJ92" s="74" t="n">
        <v>19</v>
      </c>
      <c r="AK92" s="74" t="n">
        <v>681</v>
      </c>
      <c r="AL92" s="74" t="n">
        <v>0.76</v>
      </c>
    </row>
    <row r="93">
      <c r="A93" s="74" t="inlineStr">
        <is>
          <t>[나운동]</t>
        </is>
      </c>
      <c r="B93" s="74" t="n">
        <v>5014</v>
      </c>
      <c r="C93" s="74" t="n">
        <v>1</v>
      </c>
      <c r="D93" s="74" t="inlineStr">
        <is>
          <t>현대1차</t>
        </is>
      </c>
      <c r="E93" s="74" t="inlineStr">
        <is>
          <t>1990.04.</t>
        </is>
      </c>
      <c r="F93" s="74" t="n">
        <v>498</v>
      </c>
      <c r="G93" s="74" t="n">
        <v>27.07</v>
      </c>
      <c r="H93" s="74" t="n">
        <v>89.51000000000001</v>
      </c>
      <c r="I93" s="74" t="n">
        <v>21.82</v>
      </c>
      <c r="J93" s="74" t="n">
        <v>72.15000000000001</v>
      </c>
      <c r="K93" s="74" t="n">
        <v>112</v>
      </c>
      <c r="T93" s="74" t="n">
        <v>3</v>
      </c>
      <c r="U93" s="74" t="n">
        <v>1</v>
      </c>
      <c r="V93" s="74" t="inlineStr">
        <is>
          <t>계단식</t>
        </is>
      </c>
      <c r="W93" s="74" t="n">
        <v>89</v>
      </c>
      <c r="X93" s="74" t="n">
        <v>14</v>
      </c>
      <c r="Y93" s="74" t="n">
        <v>12</v>
      </c>
      <c r="Z93" s="74" t="inlineStr">
        <is>
          <t>https://new.land.naver.com/complexes/5014?tab=detail&amp;rf=Y</t>
        </is>
      </c>
      <c r="AA93" s="74" t="inlineStr">
        <is>
          <t>전라북도 군산시 나운동 1255-8</t>
        </is>
      </c>
      <c r="AB93" s="74" t="inlineStr">
        <is>
          <t>전라북도</t>
        </is>
      </c>
      <c r="AC93" s="74" t="inlineStr">
        <is>
          <t>군산시</t>
        </is>
      </c>
      <c r="AD93" s="74" t="inlineStr">
        <is>
          <t>나운동</t>
        </is>
      </c>
      <c r="AG93" s="74" t="inlineStr">
        <is>
          <t>전라북도 군산시 현충로 33</t>
        </is>
      </c>
      <c r="AH93" s="74" t="n">
        <v>0</v>
      </c>
      <c r="AI93" s="74" t="n">
        <v>0</v>
      </c>
      <c r="AJ93" s="74" t="n">
        <v>0</v>
      </c>
      <c r="AK93" s="74" t="n">
        <v>0</v>
      </c>
      <c r="AL93" s="74" t="n">
        <v>0</v>
      </c>
    </row>
    <row r="94">
      <c r="A94" s="74" t="inlineStr">
        <is>
          <t>[나운동]</t>
        </is>
      </c>
      <c r="B94" s="74" t="n">
        <v>5014</v>
      </c>
      <c r="C94" s="74" t="n">
        <v>2</v>
      </c>
      <c r="D94" s="74" t="inlineStr">
        <is>
          <t>현대1차</t>
        </is>
      </c>
      <c r="E94" s="74" t="inlineStr">
        <is>
          <t>1990.04.</t>
        </is>
      </c>
      <c r="F94" s="74" t="n">
        <v>498</v>
      </c>
      <c r="G94" s="74" t="n">
        <v>31.49</v>
      </c>
      <c r="H94" s="74" t="n">
        <v>104.13</v>
      </c>
      <c r="I94" s="74" t="n">
        <v>25.6</v>
      </c>
      <c r="J94" s="74" t="n">
        <v>84.66</v>
      </c>
      <c r="K94" s="74" t="n">
        <v>330</v>
      </c>
      <c r="T94" s="74" t="n">
        <v>3</v>
      </c>
      <c r="U94" s="74" t="n">
        <v>1</v>
      </c>
      <c r="V94" s="74" t="inlineStr">
        <is>
          <t>계단식</t>
        </is>
      </c>
      <c r="W94" s="74" t="n">
        <v>104</v>
      </c>
      <c r="X94" s="74" t="n">
        <v>14</v>
      </c>
      <c r="Y94" s="74" t="n">
        <v>12</v>
      </c>
      <c r="Z94" s="74" t="inlineStr">
        <is>
          <t>https://new.land.naver.com/complexes/5014?tab=detail&amp;rf=Y</t>
        </is>
      </c>
      <c r="AA94" s="74" t="inlineStr">
        <is>
          <t>전라북도 군산시 나운동 1255-8</t>
        </is>
      </c>
      <c r="AB94" s="74" t="inlineStr">
        <is>
          <t>전라북도</t>
        </is>
      </c>
      <c r="AC94" s="74" t="inlineStr">
        <is>
          <t>군산시</t>
        </is>
      </c>
      <c r="AD94" s="74" t="inlineStr">
        <is>
          <t>나운동</t>
        </is>
      </c>
      <c r="AG94" s="74" t="inlineStr">
        <is>
          <t>전라북도 군산시 현충로 33</t>
        </is>
      </c>
      <c r="AH94" s="74" t="n">
        <v>0</v>
      </c>
      <c r="AI94" s="74" t="n">
        <v>0</v>
      </c>
      <c r="AJ94" s="74" t="n">
        <v>0</v>
      </c>
      <c r="AK94" s="74" t="n">
        <v>0</v>
      </c>
      <c r="AL94" s="74" t="n">
        <v>0</v>
      </c>
    </row>
    <row r="95">
      <c r="A95" s="74" t="inlineStr">
        <is>
          <t>[나운동]</t>
        </is>
      </c>
      <c r="B95" s="74" t="n">
        <v>5014</v>
      </c>
      <c r="C95" s="74" t="n">
        <v>3</v>
      </c>
      <c r="D95" s="74" t="inlineStr">
        <is>
          <t>현대1차</t>
        </is>
      </c>
      <c r="E95" s="74" t="inlineStr">
        <is>
          <t>1990.04.</t>
        </is>
      </c>
      <c r="F95" s="74" t="n">
        <v>498</v>
      </c>
      <c r="G95" s="74" t="n">
        <v>45.15</v>
      </c>
      <c r="H95" s="74" t="n">
        <v>149.26</v>
      </c>
      <c r="I95" s="74" t="n">
        <v>38.18</v>
      </c>
      <c r="J95" s="74" t="n">
        <v>126.24</v>
      </c>
      <c r="K95" s="74" t="n">
        <v>56</v>
      </c>
      <c r="T95" s="74" t="n">
        <v>4</v>
      </c>
      <c r="U95" s="74" t="n">
        <v>2</v>
      </c>
      <c r="V95" s="74" t="inlineStr">
        <is>
          <t>계단식</t>
        </is>
      </c>
      <c r="W95" s="74" t="n">
        <v>149</v>
      </c>
      <c r="X95" s="74" t="n">
        <v>14</v>
      </c>
      <c r="Y95" s="74" t="n">
        <v>12</v>
      </c>
      <c r="Z95" s="74" t="inlineStr">
        <is>
          <t>https://new.land.naver.com/complexes/5014?tab=detail&amp;rf=Y</t>
        </is>
      </c>
      <c r="AA95" s="74" t="inlineStr">
        <is>
          <t>전라북도 군산시 나운동 1255-8</t>
        </is>
      </c>
      <c r="AB95" s="74" t="inlineStr">
        <is>
          <t>전라북도</t>
        </is>
      </c>
      <c r="AC95" s="74" t="inlineStr">
        <is>
          <t>군산시</t>
        </is>
      </c>
      <c r="AD95" s="74" t="inlineStr">
        <is>
          <t>나운동</t>
        </is>
      </c>
      <c r="AG95" s="74" t="inlineStr">
        <is>
          <t>전라북도 군산시 현충로 33</t>
        </is>
      </c>
      <c r="AH95" s="74" t="n">
        <v>0</v>
      </c>
      <c r="AI95" s="74" t="n">
        <v>0</v>
      </c>
      <c r="AJ95" s="74" t="n">
        <v>0</v>
      </c>
      <c r="AK95" s="74" t="n">
        <v>0</v>
      </c>
      <c r="AL95" s="74" t="n">
        <v>0</v>
      </c>
    </row>
    <row r="96">
      <c r="A96" s="74" t="inlineStr">
        <is>
          <t>[나운동]</t>
        </is>
      </c>
      <c r="B96" s="74" t="n">
        <v>14962</v>
      </c>
      <c r="C96" s="74" t="n">
        <v>1</v>
      </c>
      <c r="D96" s="74" t="inlineStr">
        <is>
          <t>세광타운</t>
        </is>
      </c>
      <c r="E96" s="74" t="inlineStr">
        <is>
          <t>1993.10.</t>
        </is>
      </c>
      <c r="F96" s="74" t="n">
        <v>174</v>
      </c>
      <c r="G96" s="74" t="n">
        <v>23.53</v>
      </c>
      <c r="H96" s="74" t="n">
        <v>77.81</v>
      </c>
      <c r="I96" s="74" t="n">
        <v>17.74</v>
      </c>
      <c r="J96" s="74" t="n">
        <v>58.66</v>
      </c>
      <c r="K96" s="74" t="n">
        <v>174</v>
      </c>
      <c r="T96" s="74" t="n">
        <v>3</v>
      </c>
      <c r="U96" s="74" t="n">
        <v>1</v>
      </c>
      <c r="V96" s="74" t="inlineStr">
        <is>
          <t>복도식</t>
        </is>
      </c>
      <c r="W96" s="74" t="n">
        <v>77</v>
      </c>
      <c r="X96" s="74" t="n">
        <v>12</v>
      </c>
      <c r="Y96" s="74" t="n">
        <v>7</v>
      </c>
      <c r="Z96" s="74" t="inlineStr">
        <is>
          <t>https://new.land.naver.com/complexes/14962?tab=detail&amp;rf=Y</t>
        </is>
      </c>
      <c r="AA96" s="74" t="inlineStr">
        <is>
          <t>전라북도 군산시 나운동 833-1</t>
        </is>
      </c>
      <c r="AB96" s="74" t="inlineStr">
        <is>
          <t>전라북도</t>
        </is>
      </c>
      <c r="AC96" s="74" t="inlineStr">
        <is>
          <t>군산시</t>
        </is>
      </c>
      <c r="AD96" s="74" t="inlineStr">
        <is>
          <t>나운동</t>
        </is>
      </c>
      <c r="AG96" s="74" t="inlineStr">
        <is>
          <t>전라북도 군산시 하나운1길 32</t>
        </is>
      </c>
      <c r="AH96" s="74" t="n">
        <v>0</v>
      </c>
      <c r="AI96" s="74" t="n">
        <v>279</v>
      </c>
      <c r="AJ96" s="74" t="n">
        <v>25</v>
      </c>
      <c r="AK96" s="74" t="n">
        <v>71</v>
      </c>
      <c r="AL96" s="74" t="n">
        <v>0.41</v>
      </c>
    </row>
    <row r="97">
      <c r="A97" s="74" t="inlineStr">
        <is>
          <t>[나운동]</t>
        </is>
      </c>
      <c r="B97" s="74" t="n">
        <v>16984</v>
      </c>
      <c r="C97" s="74" t="n">
        <v>1</v>
      </c>
      <c r="D97" s="74" t="inlineStr">
        <is>
          <t>나운청솔</t>
        </is>
      </c>
      <c r="E97" s="74" t="inlineStr">
        <is>
          <t>2002.12.</t>
        </is>
      </c>
      <c r="F97" s="74" t="n">
        <v>495</v>
      </c>
      <c r="G97" s="74" t="n">
        <v>19.26</v>
      </c>
      <c r="H97" s="74" t="n">
        <v>63.69</v>
      </c>
      <c r="I97" s="74" t="n">
        <v>15.01</v>
      </c>
      <c r="J97" s="74" t="n">
        <v>49.65</v>
      </c>
      <c r="K97" s="74" t="n">
        <v>495</v>
      </c>
      <c r="T97" s="74" t="n">
        <v>2</v>
      </c>
      <c r="U97" s="74" t="n">
        <v>1</v>
      </c>
      <c r="V97" s="74" t="inlineStr">
        <is>
          <t>계단식</t>
        </is>
      </c>
      <c r="W97" s="74" t="n">
        <v>63</v>
      </c>
      <c r="X97" s="74" t="n">
        <v>15</v>
      </c>
      <c r="Y97" s="74" t="n">
        <v>12</v>
      </c>
      <c r="Z97" s="74" t="inlineStr">
        <is>
          <t>https://new.land.naver.com/complexes/16984?tab=detail&amp;rf=Y</t>
        </is>
      </c>
      <c r="AA97" s="74" t="inlineStr">
        <is>
          <t>전라북도 군산시 나운동 161</t>
        </is>
      </c>
      <c r="AB97" s="74" t="inlineStr">
        <is>
          <t>전라북도</t>
        </is>
      </c>
      <c r="AC97" s="74" t="inlineStr">
        <is>
          <t>군산시</t>
        </is>
      </c>
      <c r="AD97" s="74" t="inlineStr">
        <is>
          <t>나운동</t>
        </is>
      </c>
      <c r="AG97" s="74" t="inlineStr">
        <is>
          <t>전라북도 군산시 나운로 133</t>
        </is>
      </c>
      <c r="AH97" s="74" t="n">
        <v>0</v>
      </c>
      <c r="AI97" s="74" t="n">
        <v>200</v>
      </c>
      <c r="AJ97" s="74" t="n">
        <v>21</v>
      </c>
      <c r="AK97" s="74" t="n">
        <v>519</v>
      </c>
      <c r="AL97" s="74" t="n">
        <v>1.05</v>
      </c>
    </row>
    <row r="98">
      <c r="A98" s="74" t="inlineStr">
        <is>
          <t>[나운동]</t>
        </is>
      </c>
      <c r="B98" s="74" t="n">
        <v>4995</v>
      </c>
      <c r="C98" s="74" t="n">
        <v>1</v>
      </c>
      <c r="D98" s="74" t="inlineStr">
        <is>
          <t>신일</t>
        </is>
      </c>
      <c r="E98" s="74" t="inlineStr">
        <is>
          <t>1995.12.</t>
        </is>
      </c>
      <c r="F98" s="74" t="n">
        <v>600</v>
      </c>
      <c r="G98" s="74" t="n">
        <v>22.7</v>
      </c>
      <c r="H98" s="74" t="n">
        <v>75.06</v>
      </c>
      <c r="I98" s="74" t="n">
        <v>18.1</v>
      </c>
      <c r="J98" s="74" t="n">
        <v>59.85</v>
      </c>
      <c r="K98" s="74" t="n">
        <v>600</v>
      </c>
      <c r="T98" s="74" t="n">
        <v>3</v>
      </c>
      <c r="U98" s="74" t="n">
        <v>1</v>
      </c>
      <c r="V98" s="74" t="inlineStr">
        <is>
          <t>계단식</t>
        </is>
      </c>
      <c r="W98" s="74" t="n">
        <v>75</v>
      </c>
      <c r="X98" s="74" t="n">
        <v>15</v>
      </c>
      <c r="Y98" s="74" t="n">
        <v>15</v>
      </c>
      <c r="Z98" s="74" t="inlineStr">
        <is>
          <t>https://new.land.naver.com/complexes/4995?tab=detail&amp;rf=Y</t>
        </is>
      </c>
      <c r="AA98" s="74" t="inlineStr">
        <is>
          <t>전라북도 군산시 나운동 156-2</t>
        </is>
      </c>
      <c r="AB98" s="74" t="inlineStr">
        <is>
          <t>전라북도</t>
        </is>
      </c>
      <c r="AC98" s="74" t="inlineStr">
        <is>
          <t>군산시</t>
        </is>
      </c>
      <c r="AD98" s="74" t="inlineStr">
        <is>
          <t>나운동</t>
        </is>
      </c>
      <c r="AG98" s="74" t="inlineStr">
        <is>
          <t>전라북도 군산시 의료원로 163</t>
        </is>
      </c>
      <c r="AH98" s="74" t="n">
        <v>0</v>
      </c>
      <c r="AI98" s="74" t="n">
        <v>84</v>
      </c>
      <c r="AJ98" s="74" t="n">
        <v>23</v>
      </c>
      <c r="AK98" s="74" t="n">
        <v>542</v>
      </c>
      <c r="AL98" s="74" t="n">
        <v>0.9</v>
      </c>
    </row>
    <row r="99">
      <c r="A99" s="74" t="inlineStr">
        <is>
          <t>[나운동]</t>
        </is>
      </c>
      <c r="B99" s="74" t="n">
        <v>122926</v>
      </c>
      <c r="C99" s="74" t="n">
        <v>1</v>
      </c>
      <c r="D99" s="74" t="inlineStr">
        <is>
          <t>나운하이스빌</t>
        </is>
      </c>
      <c r="E99" s="74" t="inlineStr">
        <is>
          <t>2011.07.</t>
        </is>
      </c>
      <c r="F99" s="74" t="n">
        <v>48</v>
      </c>
      <c r="G99" s="74" t="n">
        <v>22.3</v>
      </c>
      <c r="H99" s="74" t="n">
        <v>73.73999999999999</v>
      </c>
      <c r="I99" s="74" t="n">
        <v>17.14</v>
      </c>
      <c r="J99" s="74" t="n">
        <v>56.68</v>
      </c>
      <c r="K99" s="74" t="n">
        <v>12</v>
      </c>
      <c r="T99" s="74" t="n">
        <v>3</v>
      </c>
      <c r="U99" s="74" t="n">
        <v>1</v>
      </c>
      <c r="V99" s="74" t="inlineStr">
        <is>
          <t>계단식</t>
        </is>
      </c>
      <c r="W99" s="74" t="n">
        <v>73</v>
      </c>
      <c r="X99" s="74" t="n">
        <v>7</v>
      </c>
      <c r="Y99" s="74" t="n">
        <v>7</v>
      </c>
      <c r="Z99" s="74" t="inlineStr">
        <is>
          <t>https://new.land.naver.com/complexes/122926?tab=detail&amp;rf=Y</t>
        </is>
      </c>
      <c r="AA99" s="74" t="inlineStr">
        <is>
          <t>전라북도 군산시 나운동 749-4</t>
        </is>
      </c>
      <c r="AB99" s="74" t="inlineStr">
        <is>
          <t>전라북도</t>
        </is>
      </c>
      <c r="AC99" s="74" t="inlineStr">
        <is>
          <t>군산시</t>
        </is>
      </c>
      <c r="AD99" s="74" t="inlineStr">
        <is>
          <t>나운동</t>
        </is>
      </c>
      <c r="AG99" s="74" t="inlineStr">
        <is>
          <t>전라북도 군산시 상신3길 26</t>
        </is>
      </c>
      <c r="AH99" s="74" t="n">
        <v>0</v>
      </c>
      <c r="AI99" s="74" t="n">
        <v>197</v>
      </c>
      <c r="AJ99" s="74" t="n">
        <v>37</v>
      </c>
      <c r="AK99" s="74" t="n">
        <v>36</v>
      </c>
      <c r="AL99" s="74" t="n">
        <v>0.75</v>
      </c>
    </row>
    <row r="100">
      <c r="A100" s="74" t="inlineStr">
        <is>
          <t>[나운동]</t>
        </is>
      </c>
      <c r="B100" s="74" t="n">
        <v>122926</v>
      </c>
      <c r="C100" s="74" t="n">
        <v>2</v>
      </c>
      <c r="D100" s="74" t="inlineStr">
        <is>
          <t>나운하이스빌</t>
        </is>
      </c>
      <c r="E100" s="74" t="inlineStr">
        <is>
          <t>2011.07.</t>
        </is>
      </c>
      <c r="F100" s="74" t="n">
        <v>48</v>
      </c>
      <c r="G100" s="74" t="n">
        <v>23.29</v>
      </c>
      <c r="H100" s="74" t="n">
        <v>77.01000000000001</v>
      </c>
      <c r="I100" s="74" t="n">
        <v>17.96</v>
      </c>
      <c r="J100" s="74" t="n">
        <v>59.4</v>
      </c>
      <c r="K100" s="74" t="n">
        <v>24</v>
      </c>
      <c r="T100" s="74" t="n">
        <v>3</v>
      </c>
      <c r="U100" s="74" t="n">
        <v>1</v>
      </c>
      <c r="V100" s="74" t="inlineStr">
        <is>
          <t>계단식</t>
        </is>
      </c>
      <c r="W100" s="74" t="n">
        <v>77</v>
      </c>
      <c r="X100" s="74" t="n">
        <v>7</v>
      </c>
      <c r="Y100" s="74" t="n">
        <v>7</v>
      </c>
      <c r="Z100" s="74" t="inlineStr">
        <is>
          <t>https://new.land.naver.com/complexes/122926?tab=detail&amp;rf=Y</t>
        </is>
      </c>
      <c r="AA100" s="74" t="inlineStr">
        <is>
          <t>전라북도 군산시 나운동 749-4</t>
        </is>
      </c>
      <c r="AB100" s="74" t="inlineStr">
        <is>
          <t>전라북도</t>
        </is>
      </c>
      <c r="AC100" s="74" t="inlineStr">
        <is>
          <t>군산시</t>
        </is>
      </c>
      <c r="AD100" s="74" t="inlineStr">
        <is>
          <t>나운동</t>
        </is>
      </c>
      <c r="AG100" s="74" t="inlineStr">
        <is>
          <t>전라북도 군산시 상신3길 26</t>
        </is>
      </c>
      <c r="AH100" s="74" t="n">
        <v>0</v>
      </c>
      <c r="AI100" s="74" t="n">
        <v>197</v>
      </c>
      <c r="AJ100" s="74" t="n">
        <v>37</v>
      </c>
      <c r="AK100" s="74" t="n">
        <v>36</v>
      </c>
      <c r="AL100" s="74" t="n">
        <v>0.75</v>
      </c>
    </row>
    <row r="101">
      <c r="A101" s="74" t="inlineStr">
        <is>
          <t>[나운동]</t>
        </is>
      </c>
      <c r="B101" s="74" t="n">
        <v>122926</v>
      </c>
      <c r="C101" s="74" t="n">
        <v>3</v>
      </c>
      <c r="D101" s="74" t="inlineStr">
        <is>
          <t>나운하이스빌</t>
        </is>
      </c>
      <c r="E101" s="74" t="inlineStr">
        <is>
          <t>2011.07.</t>
        </is>
      </c>
      <c r="F101" s="74" t="n">
        <v>48</v>
      </c>
      <c r="G101" s="74" t="n">
        <v>23.51</v>
      </c>
      <c r="H101" s="74" t="n">
        <v>77.72</v>
      </c>
      <c r="I101" s="74" t="n">
        <v>18.13</v>
      </c>
      <c r="J101" s="74" t="n">
        <v>59.94</v>
      </c>
      <c r="K101" s="74" t="n">
        <v>12</v>
      </c>
      <c r="T101" s="74" t="n">
        <v>3</v>
      </c>
      <c r="U101" s="74" t="n">
        <v>1</v>
      </c>
      <c r="V101" s="74" t="inlineStr">
        <is>
          <t>계단식</t>
        </is>
      </c>
      <c r="W101" s="74" t="n">
        <v>77</v>
      </c>
      <c r="X101" s="74" t="n">
        <v>7</v>
      </c>
      <c r="Y101" s="74" t="n">
        <v>7</v>
      </c>
      <c r="Z101" s="74" t="inlineStr">
        <is>
          <t>https://new.land.naver.com/complexes/122926?tab=detail&amp;rf=Y</t>
        </is>
      </c>
      <c r="AA101" s="74" t="inlineStr">
        <is>
          <t>전라북도 군산시 나운동 749-4</t>
        </is>
      </c>
      <c r="AB101" s="74" t="inlineStr">
        <is>
          <t>전라북도</t>
        </is>
      </c>
      <c r="AC101" s="74" t="inlineStr">
        <is>
          <t>군산시</t>
        </is>
      </c>
      <c r="AD101" s="74" t="inlineStr">
        <is>
          <t>나운동</t>
        </is>
      </c>
      <c r="AG101" s="74" t="inlineStr">
        <is>
          <t>전라북도 군산시 상신3길 26</t>
        </is>
      </c>
      <c r="AH101" s="74" t="n">
        <v>0</v>
      </c>
      <c r="AI101" s="74" t="n">
        <v>197</v>
      </c>
      <c r="AJ101" s="74" t="n">
        <v>37</v>
      </c>
      <c r="AK101" s="74" t="n">
        <v>36</v>
      </c>
      <c r="AL101" s="74" t="n">
        <v>0.75</v>
      </c>
    </row>
    <row r="102">
      <c r="A102" s="74" t="inlineStr">
        <is>
          <t>[나운동]</t>
        </is>
      </c>
      <c r="B102" s="74" t="n">
        <v>132202</v>
      </c>
      <c r="C102" s="74" t="n">
        <v>1</v>
      </c>
      <c r="D102" s="74" t="inlineStr">
        <is>
          <t>하이스타운</t>
        </is>
      </c>
      <c r="E102" s="74" t="inlineStr">
        <is>
          <t>2013.04.</t>
        </is>
      </c>
      <c r="F102" s="74" t="n">
        <v>38</v>
      </c>
      <c r="G102" s="74" t="n">
        <v>24.17</v>
      </c>
      <c r="H102" s="74" t="n">
        <v>79.92</v>
      </c>
      <c r="I102" s="74" t="n">
        <v>17.57</v>
      </c>
      <c r="J102" s="74" t="n">
        <v>58.1</v>
      </c>
      <c r="K102" s="74" t="n">
        <v>6</v>
      </c>
      <c r="T102" s="74" t="n">
        <v>3</v>
      </c>
      <c r="U102" s="74" t="n">
        <v>2</v>
      </c>
      <c r="V102" s="74" t="inlineStr">
        <is>
          <t>계단식</t>
        </is>
      </c>
      <c r="W102" s="74" t="inlineStr">
        <is>
          <t>79A</t>
        </is>
      </c>
      <c r="X102" s="74" t="n">
        <v>8</v>
      </c>
      <c r="Y102" s="74" t="n">
        <v>7</v>
      </c>
      <c r="Z102" s="74" t="inlineStr">
        <is>
          <t>https://new.land.naver.com/complexes/132202?tab=detail&amp;rf=Y</t>
        </is>
      </c>
      <c r="AA102" s="74" t="inlineStr">
        <is>
          <t>전라북도 군산시 나운동 788-1</t>
        </is>
      </c>
      <c r="AB102" s="74" t="inlineStr">
        <is>
          <t>전라북도</t>
        </is>
      </c>
      <c r="AC102" s="74" t="inlineStr">
        <is>
          <t>군산시</t>
        </is>
      </c>
      <c r="AD102" s="74" t="inlineStr">
        <is>
          <t>나운동</t>
        </is>
      </c>
      <c r="AG102" s="74" t="inlineStr">
        <is>
          <t>전라북도 군산시 신설2길 9</t>
        </is>
      </c>
      <c r="AH102" s="74" t="n">
        <v>0</v>
      </c>
      <c r="AI102" s="74" t="n">
        <v>243</v>
      </c>
      <c r="AJ102" s="74" t="n">
        <v>47</v>
      </c>
      <c r="AK102" s="74" t="n">
        <v>40</v>
      </c>
      <c r="AL102" s="74" t="n">
        <v>1.05</v>
      </c>
    </row>
    <row r="103">
      <c r="A103" s="74" t="inlineStr">
        <is>
          <t>[나운동]</t>
        </is>
      </c>
      <c r="B103" s="74" t="n">
        <v>132202</v>
      </c>
      <c r="C103" s="74" t="n">
        <v>2</v>
      </c>
      <c r="D103" s="74" t="inlineStr">
        <is>
          <t>하이스타운</t>
        </is>
      </c>
      <c r="E103" s="74" t="inlineStr">
        <is>
          <t>2013.04.</t>
        </is>
      </c>
      <c r="F103" s="74" t="n">
        <v>38</v>
      </c>
      <c r="G103" s="74" t="n">
        <v>24.39</v>
      </c>
      <c r="H103" s="74" t="n">
        <v>80.63</v>
      </c>
      <c r="I103" s="74" t="n">
        <v>17.78</v>
      </c>
      <c r="J103" s="74" t="n">
        <v>58.78</v>
      </c>
      <c r="K103" s="74" t="n">
        <v>6</v>
      </c>
      <c r="T103" s="74" t="n">
        <v>3</v>
      </c>
      <c r="U103" s="74" t="n">
        <v>2</v>
      </c>
      <c r="V103" s="74" t="inlineStr">
        <is>
          <t>계단식</t>
        </is>
      </c>
      <c r="W103" s="74" t="inlineStr">
        <is>
          <t>80B</t>
        </is>
      </c>
      <c r="X103" s="74" t="n">
        <v>8</v>
      </c>
      <c r="Y103" s="74" t="n">
        <v>7</v>
      </c>
      <c r="Z103" s="74" t="inlineStr">
        <is>
          <t>https://new.land.naver.com/complexes/132202?tab=detail&amp;rf=Y</t>
        </is>
      </c>
      <c r="AA103" s="74" t="inlineStr">
        <is>
          <t>전라북도 군산시 나운동 788-1</t>
        </is>
      </c>
      <c r="AB103" s="74" t="inlineStr">
        <is>
          <t>전라북도</t>
        </is>
      </c>
      <c r="AC103" s="74" t="inlineStr">
        <is>
          <t>군산시</t>
        </is>
      </c>
      <c r="AD103" s="74" t="inlineStr">
        <is>
          <t>나운동</t>
        </is>
      </c>
      <c r="AG103" s="74" t="inlineStr">
        <is>
          <t>전라북도 군산시 신설2길 9</t>
        </is>
      </c>
      <c r="AH103" s="74" t="n">
        <v>0</v>
      </c>
      <c r="AI103" s="74" t="n">
        <v>243</v>
      </c>
      <c r="AJ103" s="74" t="n">
        <v>47</v>
      </c>
      <c r="AK103" s="74" t="n">
        <v>40</v>
      </c>
      <c r="AL103" s="74" t="n">
        <v>1.05</v>
      </c>
    </row>
    <row r="104">
      <c r="A104" s="74" t="inlineStr">
        <is>
          <t>[나운동]</t>
        </is>
      </c>
      <c r="B104" s="74" t="n">
        <v>132202</v>
      </c>
      <c r="C104" s="74" t="n">
        <v>3</v>
      </c>
      <c r="D104" s="74" t="inlineStr">
        <is>
          <t>하이스타운</t>
        </is>
      </c>
      <c r="E104" s="74" t="inlineStr">
        <is>
          <t>2013.04.</t>
        </is>
      </c>
      <c r="F104" s="74" t="n">
        <v>38</v>
      </c>
      <c r="G104" s="74" t="n">
        <v>24.7</v>
      </c>
      <c r="H104" s="74" t="n">
        <v>81.68000000000001</v>
      </c>
      <c r="I104" s="74" t="n">
        <v>18.06</v>
      </c>
      <c r="J104" s="74" t="n">
        <v>59.73</v>
      </c>
      <c r="K104" s="74" t="n">
        <v>24</v>
      </c>
      <c r="T104" s="74" t="n">
        <v>3</v>
      </c>
      <c r="U104" s="74" t="n">
        <v>2</v>
      </c>
      <c r="V104" s="74" t="inlineStr">
        <is>
          <t>계단식</t>
        </is>
      </c>
      <c r="W104" s="74" t="n">
        <v>81</v>
      </c>
      <c r="X104" s="74" t="n">
        <v>8</v>
      </c>
      <c r="Y104" s="74" t="n">
        <v>7</v>
      </c>
      <c r="Z104" s="74" t="inlineStr">
        <is>
          <t>https://new.land.naver.com/complexes/132202?tab=detail&amp;rf=Y</t>
        </is>
      </c>
      <c r="AA104" s="74" t="inlineStr">
        <is>
          <t>전라북도 군산시 나운동 788-1</t>
        </is>
      </c>
      <c r="AB104" s="74" t="inlineStr">
        <is>
          <t>전라북도</t>
        </is>
      </c>
      <c r="AC104" s="74" t="inlineStr">
        <is>
          <t>군산시</t>
        </is>
      </c>
      <c r="AD104" s="74" t="inlineStr">
        <is>
          <t>나운동</t>
        </is>
      </c>
      <c r="AG104" s="74" t="inlineStr">
        <is>
          <t>전라북도 군산시 신설2길 9</t>
        </is>
      </c>
      <c r="AH104" s="74" t="n">
        <v>0</v>
      </c>
      <c r="AI104" s="74" t="n">
        <v>243</v>
      </c>
      <c r="AJ104" s="74" t="n">
        <v>47</v>
      </c>
      <c r="AK104" s="74" t="n">
        <v>40</v>
      </c>
      <c r="AL104" s="74" t="n">
        <v>1.05</v>
      </c>
    </row>
    <row r="105">
      <c r="A105" s="74" t="inlineStr">
        <is>
          <t>[나운동]</t>
        </is>
      </c>
      <c r="B105" s="74" t="n">
        <v>132202</v>
      </c>
      <c r="C105" s="74" t="n">
        <v>4</v>
      </c>
      <c r="D105" s="74" t="inlineStr">
        <is>
          <t>하이스타운</t>
        </is>
      </c>
      <c r="E105" s="74" t="inlineStr">
        <is>
          <t>2013.04.</t>
        </is>
      </c>
      <c r="F105" s="74" t="n">
        <v>38</v>
      </c>
      <c r="G105" s="74" t="n">
        <v>34.98</v>
      </c>
      <c r="H105" s="74" t="n">
        <v>115.65</v>
      </c>
      <c r="I105" s="74" t="n">
        <v>25.6</v>
      </c>
      <c r="J105" s="74" t="n">
        <v>84.66</v>
      </c>
      <c r="K105" s="74" t="n">
        <v>1</v>
      </c>
      <c r="T105" s="74" t="n">
        <v>4</v>
      </c>
      <c r="U105" s="74" t="n">
        <v>2</v>
      </c>
      <c r="V105" s="74" t="inlineStr">
        <is>
          <t>계단식</t>
        </is>
      </c>
      <c r="W105" s="74" t="inlineStr">
        <is>
          <t>115A</t>
        </is>
      </c>
      <c r="X105" s="74" t="n">
        <v>8</v>
      </c>
      <c r="Y105" s="74" t="n">
        <v>7</v>
      </c>
      <c r="Z105" s="74" t="inlineStr">
        <is>
          <t>https://new.land.naver.com/complexes/132202?tab=detail&amp;rf=Y</t>
        </is>
      </c>
      <c r="AA105" s="74" t="inlineStr">
        <is>
          <t>전라북도 군산시 나운동 788-1</t>
        </is>
      </c>
      <c r="AB105" s="74" t="inlineStr">
        <is>
          <t>전라북도</t>
        </is>
      </c>
      <c r="AC105" s="74" t="inlineStr">
        <is>
          <t>군산시</t>
        </is>
      </c>
      <c r="AD105" s="74" t="inlineStr">
        <is>
          <t>나운동</t>
        </is>
      </c>
      <c r="AG105" s="74" t="inlineStr">
        <is>
          <t>전라북도 군산시 신설2길 9</t>
        </is>
      </c>
      <c r="AH105" s="74" t="n">
        <v>0</v>
      </c>
      <c r="AI105" s="74" t="n">
        <v>243</v>
      </c>
      <c r="AJ105" s="74" t="n">
        <v>47</v>
      </c>
      <c r="AK105" s="74" t="n">
        <v>40</v>
      </c>
      <c r="AL105" s="74" t="n">
        <v>1.05</v>
      </c>
    </row>
    <row r="106">
      <c r="A106" s="74" t="inlineStr">
        <is>
          <t>[나운동]</t>
        </is>
      </c>
      <c r="B106" s="74" t="n">
        <v>132202</v>
      </c>
      <c r="C106" s="74" t="n">
        <v>5</v>
      </c>
      <c r="D106" s="74" t="inlineStr">
        <is>
          <t>하이스타운</t>
        </is>
      </c>
      <c r="E106" s="74" t="inlineStr">
        <is>
          <t>2013.04.</t>
        </is>
      </c>
      <c r="F106" s="74" t="n">
        <v>38</v>
      </c>
      <c r="G106" s="74" t="n">
        <v>35.09</v>
      </c>
      <c r="H106" s="74" t="n">
        <v>116.03</v>
      </c>
      <c r="I106" s="74" t="n">
        <v>25.66</v>
      </c>
      <c r="J106" s="74" t="n">
        <v>84.83</v>
      </c>
      <c r="K106" s="74" t="n">
        <v>1</v>
      </c>
      <c r="T106" s="74" t="n">
        <v>4</v>
      </c>
      <c r="U106" s="74" t="n">
        <v>2</v>
      </c>
      <c r="V106" s="74" t="inlineStr">
        <is>
          <t>복도식</t>
        </is>
      </c>
      <c r="W106" s="74" t="inlineStr">
        <is>
          <t>116B</t>
        </is>
      </c>
      <c r="X106" s="74" t="n">
        <v>8</v>
      </c>
      <c r="Y106" s="74" t="n">
        <v>7</v>
      </c>
      <c r="Z106" s="74" t="inlineStr">
        <is>
          <t>https://new.land.naver.com/complexes/132202?tab=detail&amp;rf=Y</t>
        </is>
      </c>
      <c r="AA106" s="74" t="inlineStr">
        <is>
          <t>전라북도 군산시 나운동 788-1</t>
        </is>
      </c>
      <c r="AB106" s="74" t="inlineStr">
        <is>
          <t>전라북도</t>
        </is>
      </c>
      <c r="AC106" s="74" t="inlineStr">
        <is>
          <t>군산시</t>
        </is>
      </c>
      <c r="AD106" s="74" t="inlineStr">
        <is>
          <t>나운동</t>
        </is>
      </c>
      <c r="AG106" s="74" t="inlineStr">
        <is>
          <t>전라북도 군산시 신설2길 9</t>
        </is>
      </c>
      <c r="AH106" s="74" t="n">
        <v>0</v>
      </c>
      <c r="AI106" s="74" t="n">
        <v>243</v>
      </c>
      <c r="AJ106" s="74" t="n">
        <v>47</v>
      </c>
      <c r="AK106" s="74" t="n">
        <v>40</v>
      </c>
      <c r="AL106" s="74" t="n">
        <v>1.05</v>
      </c>
    </row>
    <row r="107">
      <c r="A107" s="74" t="inlineStr">
        <is>
          <t>[나운동]</t>
        </is>
      </c>
      <c r="B107" s="74" t="n">
        <v>4987</v>
      </c>
      <c r="C107" s="74" t="n">
        <v>1</v>
      </c>
      <c r="D107" s="74" t="inlineStr">
        <is>
          <t>롯데4차</t>
        </is>
      </c>
      <c r="E107" s="74" t="inlineStr">
        <is>
          <t>1996.04.</t>
        </is>
      </c>
      <c r="F107" s="74" t="n">
        <v>210</v>
      </c>
      <c r="G107" s="74" t="n">
        <v>37.04</v>
      </c>
      <c r="H107" s="74" t="n">
        <v>122.46</v>
      </c>
      <c r="I107" s="74" t="n">
        <v>30.23</v>
      </c>
      <c r="J107" s="74" t="n">
        <v>99.94</v>
      </c>
      <c r="K107" s="74" t="n">
        <v>90</v>
      </c>
      <c r="T107" s="74" t="n">
        <v>4</v>
      </c>
      <c r="U107" s="74" t="n">
        <v>2</v>
      </c>
      <c r="V107" s="74" t="inlineStr">
        <is>
          <t>계단식</t>
        </is>
      </c>
      <c r="W107" s="74" t="n">
        <v>122</v>
      </c>
      <c r="X107" s="74" t="n">
        <v>15</v>
      </c>
      <c r="Y107" s="74" t="n">
        <v>15</v>
      </c>
      <c r="Z107" s="74" t="inlineStr">
        <is>
          <t>https://new.land.naver.com/complexes/4987?tab=detail&amp;rf=Y</t>
        </is>
      </c>
      <c r="AA107" s="74" t="inlineStr">
        <is>
          <t>전라북도 군산시 나운동 155-6</t>
        </is>
      </c>
      <c r="AB107" s="74" t="inlineStr">
        <is>
          <t>전라북도</t>
        </is>
      </c>
      <c r="AC107" s="74" t="inlineStr">
        <is>
          <t>군산시</t>
        </is>
      </c>
      <c r="AD107" s="74" t="inlineStr">
        <is>
          <t>나운동</t>
        </is>
      </c>
      <c r="AG107" s="74" t="inlineStr">
        <is>
          <t>전라북도 군산시 백토로 242</t>
        </is>
      </c>
      <c r="AH107" s="74" t="n">
        <v>0</v>
      </c>
      <c r="AI107" s="74" t="n">
        <v>207</v>
      </c>
      <c r="AJ107" s="74" t="n">
        <v>23</v>
      </c>
      <c r="AK107" s="74" t="n">
        <v>0</v>
      </c>
      <c r="AL107" s="74" t="n">
        <v>0</v>
      </c>
    </row>
    <row r="108">
      <c r="A108" s="74" t="inlineStr">
        <is>
          <t>[나운동]</t>
        </is>
      </c>
      <c r="B108" s="74" t="n">
        <v>4987</v>
      </c>
      <c r="C108" s="74" t="n">
        <v>2</v>
      </c>
      <c r="D108" s="74" t="inlineStr">
        <is>
          <t>롯데4차</t>
        </is>
      </c>
      <c r="E108" s="74" t="inlineStr">
        <is>
          <t>1996.04.</t>
        </is>
      </c>
      <c r="F108" s="74" t="n">
        <v>210</v>
      </c>
      <c r="G108" s="74" t="n">
        <v>48.4</v>
      </c>
      <c r="H108" s="74" t="n">
        <v>160.01</v>
      </c>
      <c r="I108" s="74" t="n">
        <v>40.79</v>
      </c>
      <c r="J108" s="74" t="n">
        <v>134.85</v>
      </c>
      <c r="K108" s="74" t="n">
        <v>90</v>
      </c>
      <c r="T108" s="74" t="n">
        <v>4</v>
      </c>
      <c r="U108" s="74" t="n">
        <v>2</v>
      </c>
      <c r="V108" s="74" t="inlineStr">
        <is>
          <t>계단식</t>
        </is>
      </c>
      <c r="W108" s="74" t="n">
        <v>160</v>
      </c>
      <c r="X108" s="74" t="n">
        <v>15</v>
      </c>
      <c r="Y108" s="74" t="n">
        <v>15</v>
      </c>
      <c r="Z108" s="74" t="inlineStr">
        <is>
          <t>https://new.land.naver.com/complexes/4987?tab=detail&amp;rf=Y</t>
        </is>
      </c>
      <c r="AA108" s="74" t="inlineStr">
        <is>
          <t>전라북도 군산시 나운동 155-6</t>
        </is>
      </c>
      <c r="AB108" s="74" t="inlineStr">
        <is>
          <t>전라북도</t>
        </is>
      </c>
      <c r="AC108" s="74" t="inlineStr">
        <is>
          <t>군산시</t>
        </is>
      </c>
      <c r="AD108" s="74" t="inlineStr">
        <is>
          <t>나운동</t>
        </is>
      </c>
      <c r="AG108" s="74" t="inlineStr">
        <is>
          <t>전라북도 군산시 백토로 242</t>
        </is>
      </c>
      <c r="AH108" s="74" t="n">
        <v>0</v>
      </c>
      <c r="AI108" s="74" t="n">
        <v>207</v>
      </c>
      <c r="AJ108" s="74" t="n">
        <v>23</v>
      </c>
      <c r="AK108" s="74" t="n">
        <v>0</v>
      </c>
      <c r="AL108" s="74" t="n">
        <v>0</v>
      </c>
    </row>
    <row r="109">
      <c r="A109" s="74" t="inlineStr">
        <is>
          <t>[나운동]</t>
        </is>
      </c>
      <c r="B109" s="74" t="n">
        <v>4987</v>
      </c>
      <c r="C109" s="74" t="n">
        <v>3</v>
      </c>
      <c r="D109" s="74" t="inlineStr">
        <is>
          <t>롯데4차</t>
        </is>
      </c>
      <c r="E109" s="74" t="inlineStr">
        <is>
          <t>1996.04.</t>
        </is>
      </c>
      <c r="F109" s="74" t="n">
        <v>210</v>
      </c>
      <c r="G109" s="74" t="n">
        <v>59.72</v>
      </c>
      <c r="H109" s="74" t="n">
        <v>197.44</v>
      </c>
      <c r="I109" s="74" t="n">
        <v>49.86</v>
      </c>
      <c r="J109" s="74" t="n">
        <v>164.85</v>
      </c>
      <c r="K109" s="74" t="n">
        <v>30</v>
      </c>
      <c r="T109" s="74" t="n">
        <v>4</v>
      </c>
      <c r="U109" s="74" t="n">
        <v>2</v>
      </c>
      <c r="V109" s="74" t="inlineStr">
        <is>
          <t>계단식</t>
        </is>
      </c>
      <c r="W109" s="74" t="n">
        <v>197</v>
      </c>
      <c r="X109" s="74" t="n">
        <v>15</v>
      </c>
      <c r="Y109" s="74" t="n">
        <v>15</v>
      </c>
      <c r="Z109" s="74" t="inlineStr">
        <is>
          <t>https://new.land.naver.com/complexes/4987?tab=detail&amp;rf=Y</t>
        </is>
      </c>
      <c r="AA109" s="74" t="inlineStr">
        <is>
          <t>전라북도 군산시 나운동 155-6</t>
        </is>
      </c>
      <c r="AB109" s="74" t="inlineStr">
        <is>
          <t>전라북도</t>
        </is>
      </c>
      <c r="AC109" s="74" t="inlineStr">
        <is>
          <t>군산시</t>
        </is>
      </c>
      <c r="AD109" s="74" t="inlineStr">
        <is>
          <t>나운동</t>
        </is>
      </c>
      <c r="AG109" s="74" t="inlineStr">
        <is>
          <t>전라북도 군산시 백토로 242</t>
        </is>
      </c>
      <c r="AH109" s="74" t="n">
        <v>0</v>
      </c>
      <c r="AI109" s="74" t="n">
        <v>207</v>
      </c>
      <c r="AJ109" s="74" t="n">
        <v>23</v>
      </c>
      <c r="AK109" s="74" t="n">
        <v>0</v>
      </c>
      <c r="AL109" s="74" t="n">
        <v>0</v>
      </c>
    </row>
    <row r="110">
      <c r="A110" s="74" t="inlineStr">
        <is>
          <t>[나운동]</t>
        </is>
      </c>
      <c r="B110" s="74" t="n">
        <v>106426</v>
      </c>
      <c r="C110" s="74" t="n">
        <v>1</v>
      </c>
      <c r="D110" s="74" t="inlineStr">
        <is>
          <t>동원</t>
        </is>
      </c>
      <c r="E110" s="74" t="inlineStr">
        <is>
          <t>1987.06.</t>
        </is>
      </c>
      <c r="F110" s="74" t="n">
        <v>108</v>
      </c>
      <c r="G110" s="74" t="n">
        <v>13.27</v>
      </c>
      <c r="H110" s="74" t="n">
        <v>43.87</v>
      </c>
      <c r="I110" s="74" t="n">
        <v>11.89</v>
      </c>
      <c r="J110" s="74" t="n">
        <v>39.33</v>
      </c>
      <c r="K110" s="74" t="n">
        <v>54</v>
      </c>
      <c r="T110" s="74" t="n">
        <v>2</v>
      </c>
      <c r="U110" s="74" t="n">
        <v>1</v>
      </c>
      <c r="V110" s="74" t="inlineStr">
        <is>
          <t>계단식</t>
        </is>
      </c>
      <c r="W110" s="74" t="n">
        <v>43</v>
      </c>
      <c r="X110" s="74" t="n">
        <v>3</v>
      </c>
      <c r="Y110" s="74" t="n">
        <v>3</v>
      </c>
      <c r="Z110" s="74" t="inlineStr">
        <is>
          <t>https://new.land.naver.com/complexes/106426?tab=detail&amp;rf=Y</t>
        </is>
      </c>
      <c r="AA110" s="74" t="inlineStr">
        <is>
          <t>전라북도 군산시 나운동 803-2</t>
        </is>
      </c>
      <c r="AB110" s="74" t="inlineStr">
        <is>
          <t>전라북도</t>
        </is>
      </c>
      <c r="AC110" s="74" t="inlineStr">
        <is>
          <t>군산시</t>
        </is>
      </c>
      <c r="AD110" s="74" t="inlineStr">
        <is>
          <t>나운동</t>
        </is>
      </c>
      <c r="AG110" s="74" t="inlineStr">
        <is>
          <t>전라북도 군산시 상나운로 9</t>
        </is>
      </c>
      <c r="AH110" s="74" t="n">
        <v>0</v>
      </c>
      <c r="AI110" s="74" t="n">
        <v>0</v>
      </c>
      <c r="AJ110" s="74" t="n">
        <v>0</v>
      </c>
      <c r="AK110" s="74" t="n">
        <v>0</v>
      </c>
      <c r="AL110" s="74" t="n">
        <v>0</v>
      </c>
    </row>
    <row r="111">
      <c r="A111" s="74" t="inlineStr">
        <is>
          <t>[나운동]</t>
        </is>
      </c>
      <c r="B111" s="74" t="n">
        <v>106426</v>
      </c>
      <c r="C111" s="74" t="n">
        <v>2</v>
      </c>
      <c r="D111" s="74" t="inlineStr">
        <is>
          <t>동원</t>
        </is>
      </c>
      <c r="E111" s="74" t="inlineStr">
        <is>
          <t>1987.06.</t>
        </is>
      </c>
      <c r="F111" s="74" t="n">
        <v>108</v>
      </c>
      <c r="G111" s="74" t="n">
        <v>14.9</v>
      </c>
      <c r="H111" s="74" t="n">
        <v>49.27</v>
      </c>
      <c r="I111" s="74" t="n">
        <v>13.53</v>
      </c>
      <c r="J111" s="74" t="n">
        <v>44.73</v>
      </c>
      <c r="K111" s="74" t="n">
        <v>54</v>
      </c>
      <c r="T111" s="74" t="n">
        <v>2</v>
      </c>
      <c r="U111" s="74" t="n">
        <v>1</v>
      </c>
      <c r="V111" s="74" t="inlineStr">
        <is>
          <t>계단식</t>
        </is>
      </c>
      <c r="W111" s="74" t="n">
        <v>49</v>
      </c>
      <c r="X111" s="74" t="n">
        <v>3</v>
      </c>
      <c r="Y111" s="74" t="n">
        <v>3</v>
      </c>
      <c r="Z111" s="74" t="inlineStr">
        <is>
          <t>https://new.land.naver.com/complexes/106426?tab=detail&amp;rf=Y</t>
        </is>
      </c>
      <c r="AA111" s="74" t="inlineStr">
        <is>
          <t>전라북도 군산시 나운동 803-2</t>
        </is>
      </c>
      <c r="AB111" s="74" t="inlineStr">
        <is>
          <t>전라북도</t>
        </is>
      </c>
      <c r="AC111" s="74" t="inlineStr">
        <is>
          <t>군산시</t>
        </is>
      </c>
      <c r="AD111" s="74" t="inlineStr">
        <is>
          <t>나운동</t>
        </is>
      </c>
      <c r="AG111" s="74" t="inlineStr">
        <is>
          <t>전라북도 군산시 상나운로 9</t>
        </is>
      </c>
      <c r="AH111" s="74" t="n">
        <v>0</v>
      </c>
      <c r="AI111" s="74" t="n">
        <v>0</v>
      </c>
      <c r="AJ111" s="74" t="n">
        <v>0</v>
      </c>
      <c r="AK111" s="74" t="n">
        <v>0</v>
      </c>
      <c r="AL111" s="74" t="n">
        <v>0</v>
      </c>
    </row>
    <row r="112">
      <c r="A112" s="74" t="inlineStr">
        <is>
          <t>[나운동]</t>
        </is>
      </c>
      <c r="B112" s="74" t="n">
        <v>4980</v>
      </c>
      <c r="C112" s="74" t="n">
        <v>1</v>
      </c>
      <c r="D112" s="74" t="inlineStr">
        <is>
          <t>롯데2차</t>
        </is>
      </c>
      <c r="E112" s="74" t="inlineStr">
        <is>
          <t>1992.08.</t>
        </is>
      </c>
      <c r="F112" s="74" t="n">
        <v>460</v>
      </c>
      <c r="G112" s="74" t="n">
        <v>27.82</v>
      </c>
      <c r="H112" s="74" t="n">
        <v>91.97</v>
      </c>
      <c r="I112" s="74" t="n">
        <v>22.39</v>
      </c>
      <c r="J112" s="74" t="n">
        <v>74.02</v>
      </c>
      <c r="K112" s="74" t="n">
        <v>104</v>
      </c>
      <c r="T112" s="74" t="n">
        <v>3</v>
      </c>
      <c r="U112" s="74" t="n">
        <v>1</v>
      </c>
      <c r="V112" s="74" t="inlineStr">
        <is>
          <t>계단식</t>
        </is>
      </c>
      <c r="W112" s="74" t="n">
        <v>91</v>
      </c>
      <c r="X112" s="74" t="n">
        <v>13</v>
      </c>
      <c r="Y112" s="74" t="n">
        <v>10</v>
      </c>
      <c r="Z112" s="74" t="inlineStr">
        <is>
          <t>https://new.land.naver.com/complexes/4980?tab=detail&amp;rf=Y</t>
        </is>
      </c>
      <c r="AA112" s="74" t="inlineStr">
        <is>
          <t>전라북도 군산시 나운동 345</t>
        </is>
      </c>
      <c r="AB112" s="74" t="inlineStr">
        <is>
          <t>전라북도</t>
        </is>
      </c>
      <c r="AC112" s="74" t="inlineStr">
        <is>
          <t>군산시</t>
        </is>
      </c>
      <c r="AD112" s="74" t="inlineStr">
        <is>
          <t>나운동</t>
        </is>
      </c>
      <c r="AG112" s="74" t="inlineStr">
        <is>
          <t>전라북도 군산시 하나운로 45</t>
        </is>
      </c>
      <c r="AH112" s="74" t="n">
        <v>0</v>
      </c>
      <c r="AI112" s="74" t="n">
        <v>0</v>
      </c>
      <c r="AJ112" s="74" t="n">
        <v>0</v>
      </c>
      <c r="AK112" s="74" t="n">
        <v>0</v>
      </c>
      <c r="AL112" s="74" t="n">
        <v>0</v>
      </c>
    </row>
    <row r="113">
      <c r="A113" s="74" t="inlineStr">
        <is>
          <t>[나운동]</t>
        </is>
      </c>
      <c r="B113" s="74" t="n">
        <v>4980</v>
      </c>
      <c r="C113" s="74" t="n">
        <v>2</v>
      </c>
      <c r="D113" s="74" t="inlineStr">
        <is>
          <t>롯데2차</t>
        </is>
      </c>
      <c r="E113" s="74" t="inlineStr">
        <is>
          <t>1992.08.</t>
        </is>
      </c>
      <c r="F113" s="74" t="n">
        <v>460</v>
      </c>
      <c r="G113" s="74" t="n">
        <v>32.06</v>
      </c>
      <c r="H113" s="74" t="n">
        <v>105.99</v>
      </c>
      <c r="I113" s="74" t="n">
        <v>25.66</v>
      </c>
      <c r="J113" s="74" t="n">
        <v>84.84</v>
      </c>
      <c r="K113" s="74" t="n">
        <v>278</v>
      </c>
      <c r="T113" s="74" t="n">
        <v>3</v>
      </c>
      <c r="U113" s="74" t="n">
        <v>2</v>
      </c>
      <c r="V113" s="74" t="inlineStr">
        <is>
          <t>계단식</t>
        </is>
      </c>
      <c r="W113" s="74" t="n">
        <v>105</v>
      </c>
      <c r="X113" s="74" t="n">
        <v>13</v>
      </c>
      <c r="Y113" s="74" t="n">
        <v>10</v>
      </c>
      <c r="Z113" s="74" t="inlineStr">
        <is>
          <t>https://new.land.naver.com/complexes/4980?tab=detail&amp;rf=Y</t>
        </is>
      </c>
      <c r="AA113" s="74" t="inlineStr">
        <is>
          <t>전라북도 군산시 나운동 345</t>
        </is>
      </c>
      <c r="AB113" s="74" t="inlineStr">
        <is>
          <t>전라북도</t>
        </is>
      </c>
      <c r="AC113" s="74" t="inlineStr">
        <is>
          <t>군산시</t>
        </is>
      </c>
      <c r="AD113" s="74" t="inlineStr">
        <is>
          <t>나운동</t>
        </is>
      </c>
      <c r="AG113" s="74" t="inlineStr">
        <is>
          <t>전라북도 군산시 하나운로 45</t>
        </is>
      </c>
      <c r="AH113" s="74" t="n">
        <v>0</v>
      </c>
      <c r="AI113" s="74" t="n">
        <v>0</v>
      </c>
      <c r="AJ113" s="74" t="n">
        <v>0</v>
      </c>
      <c r="AK113" s="74" t="n">
        <v>0</v>
      </c>
      <c r="AL113" s="74" t="n">
        <v>0</v>
      </c>
    </row>
    <row r="114">
      <c r="A114" s="74" t="inlineStr">
        <is>
          <t>[나운동]</t>
        </is>
      </c>
      <c r="B114" s="74" t="n">
        <v>4980</v>
      </c>
      <c r="C114" s="74" t="n">
        <v>3</v>
      </c>
      <c r="D114" s="74" t="inlineStr">
        <is>
          <t>롯데2차</t>
        </is>
      </c>
      <c r="E114" s="74" t="inlineStr">
        <is>
          <t>1992.08.</t>
        </is>
      </c>
      <c r="F114" s="74" t="n">
        <v>460</v>
      </c>
      <c r="G114" s="74" t="n">
        <v>47.06</v>
      </c>
      <c r="H114" s="74" t="n">
        <v>155.59</v>
      </c>
      <c r="I114" s="74" t="n">
        <v>39.85</v>
      </c>
      <c r="J114" s="74" t="n">
        <v>131.75</v>
      </c>
      <c r="K114" s="74" t="n">
        <v>78</v>
      </c>
      <c r="T114" s="74" t="n">
        <v>4</v>
      </c>
      <c r="U114" s="74" t="n">
        <v>2</v>
      </c>
      <c r="V114" s="74" t="inlineStr">
        <is>
          <t>계단식</t>
        </is>
      </c>
      <c r="W114" s="74" t="n">
        <v>155</v>
      </c>
      <c r="X114" s="74" t="n">
        <v>13</v>
      </c>
      <c r="Y114" s="74" t="n">
        <v>10</v>
      </c>
      <c r="Z114" s="74" t="inlineStr">
        <is>
          <t>https://new.land.naver.com/complexes/4980?tab=detail&amp;rf=Y</t>
        </is>
      </c>
      <c r="AA114" s="74" t="inlineStr">
        <is>
          <t>전라북도 군산시 나운동 345</t>
        </is>
      </c>
      <c r="AB114" s="74" t="inlineStr">
        <is>
          <t>전라북도</t>
        </is>
      </c>
      <c r="AC114" s="74" t="inlineStr">
        <is>
          <t>군산시</t>
        </is>
      </c>
      <c r="AD114" s="74" t="inlineStr">
        <is>
          <t>나운동</t>
        </is>
      </c>
      <c r="AG114" s="74" t="inlineStr">
        <is>
          <t>전라북도 군산시 하나운로 45</t>
        </is>
      </c>
      <c r="AH114" s="74" t="n">
        <v>0</v>
      </c>
      <c r="AI114" s="74" t="n">
        <v>0</v>
      </c>
      <c r="AJ114" s="74" t="n">
        <v>0</v>
      </c>
      <c r="AK114" s="74" t="n">
        <v>0</v>
      </c>
      <c r="AL114" s="74" t="n">
        <v>0</v>
      </c>
    </row>
    <row r="115">
      <c r="A115" s="74" t="inlineStr">
        <is>
          <t>[나운동]</t>
        </is>
      </c>
      <c r="B115" s="74" t="n">
        <v>109105</v>
      </c>
      <c r="C115" s="74" t="n">
        <v>1</v>
      </c>
      <c r="D115" s="74" t="inlineStr">
        <is>
          <t>대명(775-1)</t>
        </is>
      </c>
      <c r="E115" s="74" t="inlineStr">
        <is>
          <t>1988.10.</t>
        </is>
      </c>
      <c r="F115" s="74" t="n">
        <v>80</v>
      </c>
      <c r="G115" s="74" t="n">
        <v>18.04</v>
      </c>
      <c r="H115" s="74" t="n">
        <v>59.64</v>
      </c>
      <c r="I115" s="74" t="n">
        <v>15.81</v>
      </c>
      <c r="J115" s="74" t="n">
        <v>52.29</v>
      </c>
      <c r="K115" s="74" t="n">
        <v>50</v>
      </c>
      <c r="T115" s="74" t="n">
        <v>2</v>
      </c>
      <c r="U115" s="74" t="n">
        <v>1</v>
      </c>
      <c r="V115" s="74" t="inlineStr">
        <is>
          <t>계단식</t>
        </is>
      </c>
      <c r="W115" s="74" t="n">
        <v>59</v>
      </c>
      <c r="X115" s="74" t="n">
        <v>5</v>
      </c>
      <c r="Y115" s="74" t="n">
        <v>5</v>
      </c>
      <c r="Z115" s="74" t="inlineStr">
        <is>
          <t>https://new.land.naver.com/complexes/109105?tab=detail&amp;rf=Y</t>
        </is>
      </c>
      <c r="AA115" s="74" t="inlineStr">
        <is>
          <t>전라북도 군산시 나운동 775-1</t>
        </is>
      </c>
      <c r="AB115" s="74" t="inlineStr">
        <is>
          <t>전라북도</t>
        </is>
      </c>
      <c r="AC115" s="74" t="inlineStr">
        <is>
          <t>군산시</t>
        </is>
      </c>
      <c r="AD115" s="74" t="inlineStr">
        <is>
          <t>나운동</t>
        </is>
      </c>
      <c r="AG115" s="74" t="inlineStr">
        <is>
          <t>전라북도 군산시 신설1길 37</t>
        </is>
      </c>
      <c r="AH115" s="74" t="n">
        <v>0</v>
      </c>
      <c r="AI115" s="74" t="n">
        <v>0</v>
      </c>
      <c r="AJ115" s="74" t="n">
        <v>40</v>
      </c>
      <c r="AK115" s="74" t="n">
        <v>0</v>
      </c>
      <c r="AL115" s="74" t="n">
        <v>0</v>
      </c>
    </row>
    <row r="116">
      <c r="A116" s="74" t="inlineStr">
        <is>
          <t>[나운동]</t>
        </is>
      </c>
      <c r="B116" s="74" t="n">
        <v>109105</v>
      </c>
      <c r="C116" s="74" t="n">
        <v>2</v>
      </c>
      <c r="D116" s="74" t="inlineStr">
        <is>
          <t>대명(775-1)</t>
        </is>
      </c>
      <c r="E116" s="74" t="inlineStr">
        <is>
          <t>1988.10.</t>
        </is>
      </c>
      <c r="F116" s="74" t="n">
        <v>80</v>
      </c>
      <c r="G116" s="74" t="n">
        <v>25.72</v>
      </c>
      <c r="H116" s="74" t="n">
        <v>85.05</v>
      </c>
      <c r="I116" s="74" t="n">
        <v>23.73</v>
      </c>
      <c r="J116" s="74" t="n">
        <v>78.47</v>
      </c>
      <c r="K116" s="74" t="n">
        <v>30</v>
      </c>
      <c r="T116" s="74" t="n">
        <v>3</v>
      </c>
      <c r="U116" s="74" t="n">
        <v>1</v>
      </c>
      <c r="V116" s="74" t="inlineStr">
        <is>
          <t>계단식</t>
        </is>
      </c>
      <c r="W116" s="74" t="n">
        <v>85</v>
      </c>
      <c r="X116" s="74" t="n">
        <v>5</v>
      </c>
      <c r="Y116" s="74" t="n">
        <v>5</v>
      </c>
      <c r="Z116" s="74" t="inlineStr">
        <is>
          <t>https://new.land.naver.com/complexes/109105?tab=detail&amp;rf=Y</t>
        </is>
      </c>
      <c r="AA116" s="74" t="inlineStr">
        <is>
          <t>전라북도 군산시 나운동 775-1</t>
        </is>
      </c>
      <c r="AB116" s="74" t="inlineStr">
        <is>
          <t>전라북도</t>
        </is>
      </c>
      <c r="AC116" s="74" t="inlineStr">
        <is>
          <t>군산시</t>
        </is>
      </c>
      <c r="AD116" s="74" t="inlineStr">
        <is>
          <t>나운동</t>
        </is>
      </c>
      <c r="AG116" s="74" t="inlineStr">
        <is>
          <t>전라북도 군산시 신설1길 37</t>
        </is>
      </c>
      <c r="AH116" s="74" t="n">
        <v>0</v>
      </c>
      <c r="AI116" s="74" t="n">
        <v>0</v>
      </c>
      <c r="AJ116" s="74" t="n">
        <v>40</v>
      </c>
      <c r="AK116" s="74" t="n">
        <v>0</v>
      </c>
      <c r="AL116" s="74" t="n">
        <v>0</v>
      </c>
    </row>
    <row r="117">
      <c r="A117" s="74" t="inlineStr">
        <is>
          <t>[나운동]</t>
        </is>
      </c>
      <c r="B117" s="74" t="n">
        <v>135672</v>
      </c>
      <c r="C117" s="74" t="n">
        <v>1</v>
      </c>
      <c r="D117" s="74" t="inlineStr">
        <is>
          <t>삼진아트맨션</t>
        </is>
      </c>
      <c r="E117" s="74" t="inlineStr">
        <is>
          <t>1990.06.</t>
        </is>
      </c>
      <c r="F117" s="74" t="n">
        <v>19</v>
      </c>
      <c r="G117" s="74" t="n">
        <v>27.95</v>
      </c>
      <c r="H117" s="74" t="n">
        <v>92.40000000000001</v>
      </c>
      <c r="I117" s="74" t="n">
        <v>23.05</v>
      </c>
      <c r="J117" s="74" t="n">
        <v>76.23</v>
      </c>
      <c r="K117" s="74" t="n">
        <v>4</v>
      </c>
      <c r="T117" s="74" t="n">
        <v>3</v>
      </c>
      <c r="U117" s="74" t="n">
        <v>2</v>
      </c>
      <c r="V117" s="74" t="inlineStr">
        <is>
          <t>계단식</t>
        </is>
      </c>
      <c r="W117" s="74" t="n">
        <v>92</v>
      </c>
      <c r="X117" s="74" t="n">
        <v>5</v>
      </c>
      <c r="Y117" s="74" t="n">
        <v>4</v>
      </c>
      <c r="Z117" s="74" t="inlineStr">
        <is>
          <t>https://new.land.naver.com/complexes/135672?tab=detail&amp;rf=Y</t>
        </is>
      </c>
      <c r="AA117" s="74" t="inlineStr">
        <is>
          <t>전라북도 군산시 나운동 768-6</t>
        </is>
      </c>
      <c r="AB117" s="74" t="inlineStr">
        <is>
          <t>전라북도</t>
        </is>
      </c>
      <c r="AC117" s="74" t="inlineStr">
        <is>
          <t>군산시</t>
        </is>
      </c>
      <c r="AD117" s="74" t="inlineStr">
        <is>
          <t>나운동</t>
        </is>
      </c>
      <c r="AG117" s="74" t="inlineStr">
        <is>
          <t>전라북도 군산시 신설로 34</t>
        </is>
      </c>
      <c r="AH117" s="74" t="n">
        <v>0</v>
      </c>
      <c r="AI117" s="74" t="n">
        <v>158</v>
      </c>
      <c r="AJ117" s="74" t="n">
        <v>0</v>
      </c>
      <c r="AK117" s="74" t="n">
        <v>0</v>
      </c>
      <c r="AL117" s="74" t="n">
        <v>0</v>
      </c>
    </row>
    <row r="118">
      <c r="A118" s="74" t="inlineStr">
        <is>
          <t>[나운동]</t>
        </is>
      </c>
      <c r="B118" s="74" t="n">
        <v>135672</v>
      </c>
      <c r="C118" s="74" t="n">
        <v>2</v>
      </c>
      <c r="D118" s="74" t="inlineStr">
        <is>
          <t>삼진아트맨션</t>
        </is>
      </c>
      <c r="E118" s="74" t="inlineStr">
        <is>
          <t>1990.06.</t>
        </is>
      </c>
      <c r="F118" s="74" t="n">
        <v>19</v>
      </c>
      <c r="G118" s="74" t="n">
        <v>29.36</v>
      </c>
      <c r="H118" s="74" t="n">
        <v>97.08</v>
      </c>
      <c r="I118" s="74" t="n">
        <v>25.21</v>
      </c>
      <c r="J118" s="74" t="n">
        <v>83.37</v>
      </c>
      <c r="K118" s="74" t="n">
        <v>10</v>
      </c>
      <c r="T118" s="74" t="n">
        <v>3</v>
      </c>
      <c r="U118" s="74" t="n">
        <v>2</v>
      </c>
      <c r="V118" s="74" t="inlineStr">
        <is>
          <t>계단식</t>
        </is>
      </c>
      <c r="W118" s="74" t="n">
        <v>97</v>
      </c>
      <c r="X118" s="74" t="n">
        <v>5</v>
      </c>
      <c r="Y118" s="74" t="n">
        <v>4</v>
      </c>
      <c r="Z118" s="74" t="inlineStr">
        <is>
          <t>https://new.land.naver.com/complexes/135672?tab=detail&amp;rf=Y</t>
        </is>
      </c>
      <c r="AA118" s="74" t="inlineStr">
        <is>
          <t>전라북도 군산시 나운동 768-6</t>
        </is>
      </c>
      <c r="AB118" s="74" t="inlineStr">
        <is>
          <t>전라북도</t>
        </is>
      </c>
      <c r="AC118" s="74" t="inlineStr">
        <is>
          <t>군산시</t>
        </is>
      </c>
      <c r="AD118" s="74" t="inlineStr">
        <is>
          <t>나운동</t>
        </is>
      </c>
      <c r="AG118" s="74" t="inlineStr">
        <is>
          <t>전라북도 군산시 신설로 34</t>
        </is>
      </c>
      <c r="AH118" s="74" t="n">
        <v>0</v>
      </c>
      <c r="AI118" s="74" t="n">
        <v>158</v>
      </c>
      <c r="AJ118" s="74" t="n">
        <v>0</v>
      </c>
      <c r="AK118" s="74" t="n">
        <v>0</v>
      </c>
      <c r="AL118" s="74" t="n">
        <v>0</v>
      </c>
    </row>
    <row r="119">
      <c r="A119" s="74" t="inlineStr">
        <is>
          <t>[나운동]</t>
        </is>
      </c>
      <c r="B119" s="74" t="n">
        <v>135672</v>
      </c>
      <c r="C119" s="74" t="n">
        <v>3</v>
      </c>
      <c r="D119" s="74" t="inlineStr">
        <is>
          <t>삼진아트맨션</t>
        </is>
      </c>
      <c r="E119" s="74" t="inlineStr">
        <is>
          <t>1990.06.</t>
        </is>
      </c>
      <c r="F119" s="74" t="n">
        <v>19</v>
      </c>
      <c r="G119" s="74" t="n">
        <v>30.77</v>
      </c>
      <c r="H119" s="74" t="n">
        <v>101.75</v>
      </c>
      <c r="I119" s="74" t="n">
        <v>25.68</v>
      </c>
      <c r="J119" s="74" t="n">
        <v>84.92</v>
      </c>
      <c r="K119" s="74" t="n">
        <v>4</v>
      </c>
      <c r="T119" s="74" t="n">
        <v>3</v>
      </c>
      <c r="U119" s="74" t="n">
        <v>2</v>
      </c>
      <c r="V119" s="74" t="inlineStr">
        <is>
          <t>계단식</t>
        </is>
      </c>
      <c r="W119" s="74" t="n">
        <v>101</v>
      </c>
      <c r="X119" s="74" t="n">
        <v>5</v>
      </c>
      <c r="Y119" s="74" t="n">
        <v>4</v>
      </c>
      <c r="Z119" s="74" t="inlineStr">
        <is>
          <t>https://new.land.naver.com/complexes/135672?tab=detail&amp;rf=Y</t>
        </is>
      </c>
      <c r="AA119" s="74" t="inlineStr">
        <is>
          <t>전라북도 군산시 나운동 768-6</t>
        </is>
      </c>
      <c r="AB119" s="74" t="inlineStr">
        <is>
          <t>전라북도</t>
        </is>
      </c>
      <c r="AC119" s="74" t="inlineStr">
        <is>
          <t>군산시</t>
        </is>
      </c>
      <c r="AD119" s="74" t="inlineStr">
        <is>
          <t>나운동</t>
        </is>
      </c>
      <c r="AG119" s="74" t="inlineStr">
        <is>
          <t>전라북도 군산시 신설로 34</t>
        </is>
      </c>
      <c r="AH119" s="74" t="n">
        <v>0</v>
      </c>
      <c r="AI119" s="74" t="n">
        <v>158</v>
      </c>
      <c r="AJ119" s="74" t="n">
        <v>0</v>
      </c>
      <c r="AK119" s="74" t="n">
        <v>0</v>
      </c>
      <c r="AL119" s="74" t="n">
        <v>0</v>
      </c>
    </row>
    <row r="120">
      <c r="A120" s="74" t="inlineStr">
        <is>
          <t>[나운동]</t>
        </is>
      </c>
      <c r="B120" s="74" t="n">
        <v>135672</v>
      </c>
      <c r="C120" s="74" t="n">
        <v>4</v>
      </c>
      <c r="D120" s="74" t="inlineStr">
        <is>
          <t>삼진아트맨션</t>
        </is>
      </c>
      <c r="E120" s="74" t="inlineStr">
        <is>
          <t>1990.06.</t>
        </is>
      </c>
      <c r="F120" s="74" t="n">
        <v>19</v>
      </c>
      <c r="G120" s="74" t="n">
        <v>33.96</v>
      </c>
      <c r="H120" s="74" t="n">
        <v>112.28</v>
      </c>
      <c r="I120" s="74" t="n">
        <v>25.68</v>
      </c>
      <c r="J120" s="74" t="n">
        <v>84.92</v>
      </c>
      <c r="K120" s="74" t="n">
        <v>1</v>
      </c>
      <c r="T120" s="74" t="n">
        <v>3</v>
      </c>
      <c r="U120" s="74" t="n">
        <v>2</v>
      </c>
      <c r="V120" s="74" t="inlineStr">
        <is>
          <t>계단식</t>
        </is>
      </c>
      <c r="W120" s="74" t="n">
        <v>112</v>
      </c>
      <c r="X120" s="74" t="n">
        <v>5</v>
      </c>
      <c r="Y120" s="74" t="n">
        <v>4</v>
      </c>
      <c r="Z120" s="74" t="inlineStr">
        <is>
          <t>https://new.land.naver.com/complexes/135672?tab=detail&amp;rf=Y</t>
        </is>
      </c>
      <c r="AA120" s="74" t="inlineStr">
        <is>
          <t>전라북도 군산시 나운동 768-6</t>
        </is>
      </c>
      <c r="AB120" s="74" t="inlineStr">
        <is>
          <t>전라북도</t>
        </is>
      </c>
      <c r="AC120" s="74" t="inlineStr">
        <is>
          <t>군산시</t>
        </is>
      </c>
      <c r="AD120" s="74" t="inlineStr">
        <is>
          <t>나운동</t>
        </is>
      </c>
      <c r="AG120" s="74" t="inlineStr">
        <is>
          <t>전라북도 군산시 신설로 34</t>
        </is>
      </c>
      <c r="AH120" s="74" t="n">
        <v>0</v>
      </c>
      <c r="AI120" s="74" t="n">
        <v>158</v>
      </c>
      <c r="AJ120" s="74" t="n">
        <v>0</v>
      </c>
      <c r="AK120" s="74" t="n">
        <v>0</v>
      </c>
      <c r="AL120" s="74" t="n">
        <v>0</v>
      </c>
    </row>
    <row r="121">
      <c r="A121" s="74" t="inlineStr">
        <is>
          <t>[나운동]</t>
        </is>
      </c>
      <c r="B121" s="74" t="n">
        <v>4999</v>
      </c>
      <c r="C121" s="74" t="n">
        <v>1</v>
      </c>
      <c r="D121" s="74" t="inlineStr">
        <is>
          <t>우성</t>
        </is>
      </c>
      <c r="E121" s="74" t="inlineStr">
        <is>
          <t>1995.06.</t>
        </is>
      </c>
      <c r="F121" s="74" t="n">
        <v>345</v>
      </c>
      <c r="G121" s="74" t="n">
        <v>34.99</v>
      </c>
      <c r="H121" s="74" t="n">
        <v>115.69</v>
      </c>
      <c r="I121" s="74" t="n">
        <v>28.3</v>
      </c>
      <c r="J121" s="74" t="n">
        <v>93.56</v>
      </c>
      <c r="K121" s="74" t="n">
        <v>75</v>
      </c>
      <c r="T121" s="74" t="n">
        <v>3</v>
      </c>
      <c r="U121" s="74" t="n">
        <v>2</v>
      </c>
      <c r="V121" s="74" t="inlineStr">
        <is>
          <t>계단식</t>
        </is>
      </c>
      <c r="W121" s="74" t="n">
        <v>115</v>
      </c>
      <c r="X121" s="74" t="n">
        <v>15</v>
      </c>
      <c r="Y121" s="74" t="n">
        <v>15</v>
      </c>
      <c r="Z121" s="74" t="inlineStr">
        <is>
          <t>https://new.land.naver.com/complexes/4999?tab=detail&amp;rf=Y</t>
        </is>
      </c>
      <c r="AA121" s="74" t="inlineStr">
        <is>
          <t>전라북도 군산시 나운동 155-7</t>
        </is>
      </c>
      <c r="AB121" s="74" t="inlineStr">
        <is>
          <t>전라북도</t>
        </is>
      </c>
      <c r="AC121" s="74" t="inlineStr">
        <is>
          <t>군산시</t>
        </is>
      </c>
      <c r="AD121" s="74" t="inlineStr">
        <is>
          <t>나운동</t>
        </is>
      </c>
      <c r="AG121" s="74" t="inlineStr">
        <is>
          <t>전라북도 군산시 백토로 230</t>
        </is>
      </c>
      <c r="AH121" s="74" t="n">
        <v>0</v>
      </c>
      <c r="AI121" s="74" t="n">
        <v>0</v>
      </c>
      <c r="AJ121" s="74" t="n">
        <v>0</v>
      </c>
      <c r="AK121" s="74" t="n">
        <v>0</v>
      </c>
      <c r="AL121" s="74" t="n">
        <v>0</v>
      </c>
    </row>
    <row r="122">
      <c r="A122" s="74" t="inlineStr">
        <is>
          <t>[나운동]</t>
        </is>
      </c>
      <c r="B122" s="74" t="n">
        <v>4999</v>
      </c>
      <c r="C122" s="74" t="n">
        <v>2</v>
      </c>
      <c r="D122" s="74" t="inlineStr">
        <is>
          <t>우성</t>
        </is>
      </c>
      <c r="E122" s="74" t="inlineStr">
        <is>
          <t>1995.06.</t>
        </is>
      </c>
      <c r="F122" s="74" t="n">
        <v>345</v>
      </c>
      <c r="G122" s="74" t="n">
        <v>36.34</v>
      </c>
      <c r="H122" s="74" t="n">
        <v>120.16</v>
      </c>
      <c r="I122" s="74" t="n">
        <v>30.23</v>
      </c>
      <c r="J122" s="74" t="n">
        <v>99.95999999999999</v>
      </c>
      <c r="K122" s="74" t="n">
        <v>270</v>
      </c>
      <c r="T122" s="74" t="n">
        <v>3</v>
      </c>
      <c r="U122" s="74" t="n">
        <v>2</v>
      </c>
      <c r="V122" s="74" t="inlineStr">
        <is>
          <t>계단식</t>
        </is>
      </c>
      <c r="W122" s="74" t="n">
        <v>120</v>
      </c>
      <c r="X122" s="74" t="n">
        <v>15</v>
      </c>
      <c r="Y122" s="74" t="n">
        <v>15</v>
      </c>
      <c r="Z122" s="74" t="inlineStr">
        <is>
          <t>https://new.land.naver.com/complexes/4999?tab=detail&amp;rf=Y</t>
        </is>
      </c>
      <c r="AA122" s="74" t="inlineStr">
        <is>
          <t>전라북도 군산시 나운동 155-7</t>
        </is>
      </c>
      <c r="AB122" s="74" t="inlineStr">
        <is>
          <t>전라북도</t>
        </is>
      </c>
      <c r="AC122" s="74" t="inlineStr">
        <is>
          <t>군산시</t>
        </is>
      </c>
      <c r="AD122" s="74" t="inlineStr">
        <is>
          <t>나운동</t>
        </is>
      </c>
      <c r="AG122" s="74" t="inlineStr">
        <is>
          <t>전라북도 군산시 백토로 230</t>
        </is>
      </c>
      <c r="AH122" s="74" t="n">
        <v>0</v>
      </c>
      <c r="AI122" s="74" t="n">
        <v>0</v>
      </c>
      <c r="AJ122" s="74" t="n">
        <v>0</v>
      </c>
      <c r="AK122" s="74" t="n">
        <v>0</v>
      </c>
      <c r="AL122" s="74" t="n">
        <v>0</v>
      </c>
    </row>
    <row r="123">
      <c r="A123" s="74" t="inlineStr">
        <is>
          <t>[나운동]</t>
        </is>
      </c>
      <c r="B123" s="74" t="n">
        <v>4966</v>
      </c>
      <c r="C123" s="74" t="n">
        <v>1</v>
      </c>
      <c r="D123" s="74" t="inlineStr">
        <is>
          <t>금호타운1차</t>
        </is>
      </c>
      <c r="E123" s="74" t="inlineStr">
        <is>
          <t>1991.09.</t>
        </is>
      </c>
      <c r="F123" s="74" t="n">
        <v>930</v>
      </c>
      <c r="G123" s="74" t="n">
        <v>26.94</v>
      </c>
      <c r="H123" s="74" t="n">
        <v>89.06</v>
      </c>
      <c r="I123" s="74" t="n">
        <v>22.1</v>
      </c>
      <c r="J123" s="74" t="n">
        <v>73.09</v>
      </c>
      <c r="K123" s="74" t="n">
        <v>330</v>
      </c>
      <c r="T123" s="74" t="n">
        <v>3</v>
      </c>
      <c r="U123" s="74" t="n">
        <v>2</v>
      </c>
      <c r="V123" s="74" t="inlineStr">
        <is>
          <t>계단식</t>
        </is>
      </c>
      <c r="W123" s="74" t="n">
        <v>89</v>
      </c>
      <c r="X123" s="74" t="n">
        <v>15</v>
      </c>
      <c r="Y123" s="74" t="n">
        <v>15</v>
      </c>
      <c r="Z123" s="74" t="inlineStr">
        <is>
          <t>https://new.land.naver.com/complexes/4966?tab=detail&amp;rf=Y</t>
        </is>
      </c>
      <c r="AA123" s="74" t="inlineStr">
        <is>
          <t>전라북도 군산시 나운동 489</t>
        </is>
      </c>
      <c r="AB123" s="74" t="inlineStr">
        <is>
          <t>전라북도</t>
        </is>
      </c>
      <c r="AC123" s="74" t="inlineStr">
        <is>
          <t>군산시</t>
        </is>
      </c>
      <c r="AD123" s="74" t="inlineStr">
        <is>
          <t>나운동</t>
        </is>
      </c>
      <c r="AG123" s="74" t="inlineStr">
        <is>
          <t>전라북도 군산시 수송로 49</t>
        </is>
      </c>
      <c r="AH123" s="74" t="n">
        <v>0</v>
      </c>
      <c r="AI123" s="74" t="n">
        <v>0</v>
      </c>
      <c r="AJ123" s="74" t="n">
        <v>0</v>
      </c>
      <c r="AK123" s="74" t="n">
        <v>200</v>
      </c>
      <c r="AL123" s="74" t="n">
        <v>0.22</v>
      </c>
    </row>
    <row r="124">
      <c r="A124" s="74" t="inlineStr">
        <is>
          <t>[나운동]</t>
        </is>
      </c>
      <c r="B124" s="74" t="n">
        <v>4966</v>
      </c>
      <c r="C124" s="74" t="n">
        <v>2</v>
      </c>
      <c r="D124" s="74" t="inlineStr">
        <is>
          <t>금호타운1차</t>
        </is>
      </c>
      <c r="E124" s="74" t="inlineStr">
        <is>
          <t>1991.09.</t>
        </is>
      </c>
      <c r="F124" s="74" t="n">
        <v>930</v>
      </c>
      <c r="G124" s="74" t="n">
        <v>30.76</v>
      </c>
      <c r="H124" s="74" t="n">
        <v>101.69</v>
      </c>
      <c r="I124" s="74" t="n">
        <v>25.64</v>
      </c>
      <c r="J124" s="74" t="n">
        <v>84.79000000000001</v>
      </c>
      <c r="K124" s="74" t="n">
        <v>600</v>
      </c>
      <c r="T124" s="74" t="n">
        <v>3</v>
      </c>
      <c r="U124" s="74" t="n">
        <v>2</v>
      </c>
      <c r="V124" s="74" t="inlineStr">
        <is>
          <t>계단식</t>
        </is>
      </c>
      <c r="W124" s="74" t="n">
        <v>101</v>
      </c>
      <c r="X124" s="74" t="n">
        <v>15</v>
      </c>
      <c r="Y124" s="74" t="n">
        <v>15</v>
      </c>
      <c r="Z124" s="74" t="inlineStr">
        <is>
          <t>https://new.land.naver.com/complexes/4966?tab=detail&amp;rf=Y</t>
        </is>
      </c>
      <c r="AA124" s="74" t="inlineStr">
        <is>
          <t>전라북도 군산시 나운동 489</t>
        </is>
      </c>
      <c r="AB124" s="74" t="inlineStr">
        <is>
          <t>전라북도</t>
        </is>
      </c>
      <c r="AC124" s="74" t="inlineStr">
        <is>
          <t>군산시</t>
        </is>
      </c>
      <c r="AD124" s="74" t="inlineStr">
        <is>
          <t>나운동</t>
        </is>
      </c>
      <c r="AG124" s="74" t="inlineStr">
        <is>
          <t>전라북도 군산시 수송로 49</t>
        </is>
      </c>
      <c r="AH124" s="74" t="n">
        <v>0</v>
      </c>
      <c r="AI124" s="74" t="n">
        <v>0</v>
      </c>
      <c r="AJ124" s="74" t="n">
        <v>0</v>
      </c>
      <c r="AK124" s="74" t="n">
        <v>200</v>
      </c>
      <c r="AL124" s="74" t="n">
        <v>0.22</v>
      </c>
    </row>
    <row r="125">
      <c r="A125" s="74" t="inlineStr">
        <is>
          <t>[나운동]</t>
        </is>
      </c>
      <c r="B125" s="74" t="n">
        <v>117430</v>
      </c>
      <c r="C125" s="74" t="n">
        <v>1</v>
      </c>
      <c r="D125" s="74" t="inlineStr">
        <is>
          <t>희산</t>
        </is>
      </c>
      <c r="E125" s="74" t="inlineStr">
        <is>
          <t>1989.03.</t>
        </is>
      </c>
      <c r="F125" s="74" t="n">
        <v>60</v>
      </c>
      <c r="G125" s="74" t="n">
        <v>30.47</v>
      </c>
      <c r="H125" s="74" t="n">
        <v>100.76</v>
      </c>
      <c r="I125" s="74" t="n">
        <v>25.43</v>
      </c>
      <c r="J125" s="74" t="n">
        <v>84.08</v>
      </c>
      <c r="K125" s="74" t="n">
        <v>40</v>
      </c>
      <c r="T125" s="74" t="n">
        <v>3</v>
      </c>
      <c r="U125" s="74" t="n">
        <v>2</v>
      </c>
      <c r="V125" s="74" t="inlineStr">
        <is>
          <t>복도식</t>
        </is>
      </c>
      <c r="W125" s="74" t="n">
        <v>100</v>
      </c>
      <c r="X125" s="74" t="n">
        <v>5</v>
      </c>
      <c r="Y125" s="74" t="n">
        <v>5</v>
      </c>
      <c r="Z125" s="74" t="inlineStr">
        <is>
          <t>https://new.land.naver.com/complexes/117430?tab=detail&amp;rf=Y</t>
        </is>
      </c>
      <c r="AA125" s="74" t="inlineStr">
        <is>
          <t>전라북도 군산시 나운동 802-5</t>
        </is>
      </c>
      <c r="AB125" s="74" t="inlineStr">
        <is>
          <t>전라북도</t>
        </is>
      </c>
      <c r="AC125" s="74" t="inlineStr">
        <is>
          <t>군산시</t>
        </is>
      </c>
      <c r="AD125" s="74" t="inlineStr">
        <is>
          <t>나운동</t>
        </is>
      </c>
      <c r="AG125" s="74" t="inlineStr">
        <is>
          <t>전라북도 군산시 상나운3길 30-3</t>
        </is>
      </c>
      <c r="AH125" s="74" t="n">
        <v>0</v>
      </c>
      <c r="AI125" s="74" t="n">
        <v>0</v>
      </c>
      <c r="AJ125" s="74" t="n">
        <v>0</v>
      </c>
      <c r="AK125" s="74" t="n">
        <v>0</v>
      </c>
      <c r="AL125" s="74" t="n">
        <v>0</v>
      </c>
    </row>
    <row r="126">
      <c r="A126" s="74" t="inlineStr">
        <is>
          <t>[나운동]</t>
        </is>
      </c>
      <c r="B126" s="74" t="n">
        <v>117430</v>
      </c>
      <c r="C126" s="74" t="n">
        <v>2</v>
      </c>
      <c r="D126" s="74" t="inlineStr">
        <is>
          <t>희산</t>
        </is>
      </c>
      <c r="E126" s="74" t="inlineStr">
        <is>
          <t>1989.03.</t>
        </is>
      </c>
      <c r="F126" s="74" t="n">
        <v>60</v>
      </c>
      <c r="G126" s="74" t="n">
        <v>38.49</v>
      </c>
      <c r="H126" s="74" t="n">
        <v>127.24</v>
      </c>
      <c r="I126" s="74" t="n">
        <v>33.24</v>
      </c>
      <c r="J126" s="74" t="n">
        <v>109.9</v>
      </c>
      <c r="K126" s="74" t="n">
        <v>20</v>
      </c>
      <c r="T126" s="74" t="n">
        <v>3</v>
      </c>
      <c r="U126" s="74" t="n">
        <v>2</v>
      </c>
      <c r="V126" s="74" t="inlineStr">
        <is>
          <t>복도식</t>
        </is>
      </c>
      <c r="W126" s="74" t="n">
        <v>127</v>
      </c>
      <c r="X126" s="74" t="n">
        <v>5</v>
      </c>
      <c r="Y126" s="74" t="n">
        <v>5</v>
      </c>
      <c r="Z126" s="74" t="inlineStr">
        <is>
          <t>https://new.land.naver.com/complexes/117430?tab=detail&amp;rf=Y</t>
        </is>
      </c>
      <c r="AA126" s="74" t="inlineStr">
        <is>
          <t>전라북도 군산시 나운동 802-5</t>
        </is>
      </c>
      <c r="AB126" s="74" t="inlineStr">
        <is>
          <t>전라북도</t>
        </is>
      </c>
      <c r="AC126" s="74" t="inlineStr">
        <is>
          <t>군산시</t>
        </is>
      </c>
      <c r="AD126" s="74" t="inlineStr">
        <is>
          <t>나운동</t>
        </is>
      </c>
      <c r="AG126" s="74" t="inlineStr">
        <is>
          <t>전라북도 군산시 상나운3길 30-3</t>
        </is>
      </c>
      <c r="AH126" s="74" t="n">
        <v>0</v>
      </c>
      <c r="AI126" s="74" t="n">
        <v>0</v>
      </c>
      <c r="AJ126" s="74" t="n">
        <v>0</v>
      </c>
      <c r="AK126" s="74" t="n">
        <v>0</v>
      </c>
      <c r="AL126" s="74" t="n">
        <v>0</v>
      </c>
    </row>
    <row r="127">
      <c r="A127" s="74" t="inlineStr">
        <is>
          <t>[나운동]</t>
        </is>
      </c>
      <c r="B127" s="74" t="n">
        <v>4994</v>
      </c>
      <c r="C127" s="74" t="n">
        <v>1</v>
      </c>
      <c r="D127" s="74" t="inlineStr">
        <is>
          <t>서호</t>
        </is>
      </c>
      <c r="E127" s="74" t="inlineStr">
        <is>
          <t>1995.06.</t>
        </is>
      </c>
      <c r="F127" s="74" t="n">
        <v>490</v>
      </c>
      <c r="G127" s="74" t="n">
        <v>25.33</v>
      </c>
      <c r="H127" s="74" t="n">
        <v>83.76000000000001</v>
      </c>
      <c r="I127" s="74" t="n">
        <v>20.52</v>
      </c>
      <c r="J127" s="74" t="n">
        <v>67.86</v>
      </c>
      <c r="K127" s="74" t="n">
        <v>262</v>
      </c>
      <c r="T127" s="74" t="n">
        <v>3</v>
      </c>
      <c r="U127" s="74" t="n">
        <v>1</v>
      </c>
      <c r="V127" s="74" t="inlineStr">
        <is>
          <t>계단식</t>
        </is>
      </c>
      <c r="W127" s="74" t="n">
        <v>83</v>
      </c>
      <c r="X127" s="74" t="n">
        <v>15</v>
      </c>
      <c r="Y127" s="74" t="n">
        <v>10</v>
      </c>
      <c r="Z127" s="74" t="inlineStr">
        <is>
          <t>https://new.land.naver.com/complexes/4994?tab=detail&amp;rf=Y</t>
        </is>
      </c>
      <c r="AA127" s="74" t="inlineStr">
        <is>
          <t>전라북도 군산시 나운동 153-12</t>
        </is>
      </c>
      <c r="AB127" s="74" t="inlineStr">
        <is>
          <t>전라북도</t>
        </is>
      </c>
      <c r="AC127" s="74" t="inlineStr">
        <is>
          <t>군산시</t>
        </is>
      </c>
      <c r="AD127" s="74" t="inlineStr">
        <is>
          <t>나운동</t>
        </is>
      </c>
      <c r="AG127" s="74" t="inlineStr">
        <is>
          <t>전라북도 군산시 의료원로 188</t>
        </is>
      </c>
      <c r="AH127" s="74" t="n">
        <v>0</v>
      </c>
      <c r="AI127" s="74" t="n">
        <v>0</v>
      </c>
      <c r="AJ127" s="74" t="n">
        <v>0</v>
      </c>
      <c r="AK127" s="74" t="n">
        <v>465</v>
      </c>
      <c r="AL127" s="74" t="n">
        <v>0.95</v>
      </c>
    </row>
    <row r="128">
      <c r="A128" s="74" t="inlineStr">
        <is>
          <t>[나운동]</t>
        </is>
      </c>
      <c r="B128" s="74" t="n">
        <v>4994</v>
      </c>
      <c r="C128" s="74" t="n">
        <v>2</v>
      </c>
      <c r="D128" s="74" t="inlineStr">
        <is>
          <t>서호</t>
        </is>
      </c>
      <c r="E128" s="74" t="inlineStr">
        <is>
          <t>1995.06.</t>
        </is>
      </c>
      <c r="F128" s="74" t="n">
        <v>490</v>
      </c>
      <c r="G128" s="74" t="n">
        <v>31.4</v>
      </c>
      <c r="H128" s="74" t="n">
        <v>103.83</v>
      </c>
      <c r="I128" s="74" t="n">
        <v>25.7</v>
      </c>
      <c r="J128" s="74" t="n">
        <v>84.98999999999999</v>
      </c>
      <c r="K128" s="74" t="n">
        <v>228</v>
      </c>
      <c r="T128" s="74" t="n">
        <v>3</v>
      </c>
      <c r="U128" s="74" t="n">
        <v>2</v>
      </c>
      <c r="V128" s="74" t="inlineStr">
        <is>
          <t>계단식</t>
        </is>
      </c>
      <c r="W128" s="74" t="n">
        <v>103</v>
      </c>
      <c r="X128" s="74" t="n">
        <v>15</v>
      </c>
      <c r="Y128" s="74" t="n">
        <v>10</v>
      </c>
      <c r="Z128" s="74" t="inlineStr">
        <is>
          <t>https://new.land.naver.com/complexes/4994?tab=detail&amp;rf=Y</t>
        </is>
      </c>
      <c r="AA128" s="74" t="inlineStr">
        <is>
          <t>전라북도 군산시 나운동 153-12</t>
        </is>
      </c>
      <c r="AB128" s="74" t="inlineStr">
        <is>
          <t>전라북도</t>
        </is>
      </c>
      <c r="AC128" s="74" t="inlineStr">
        <is>
          <t>군산시</t>
        </is>
      </c>
      <c r="AD128" s="74" t="inlineStr">
        <is>
          <t>나운동</t>
        </is>
      </c>
      <c r="AG128" s="74" t="inlineStr">
        <is>
          <t>전라북도 군산시 의료원로 188</t>
        </is>
      </c>
      <c r="AH128" s="74" t="n">
        <v>0</v>
      </c>
      <c r="AI128" s="74" t="n">
        <v>0</v>
      </c>
      <c r="AJ128" s="74" t="n">
        <v>0</v>
      </c>
      <c r="AK128" s="74" t="n">
        <v>465</v>
      </c>
      <c r="AL128" s="74" t="n">
        <v>0.95</v>
      </c>
    </row>
    <row r="129">
      <c r="A129" s="74" t="inlineStr">
        <is>
          <t>[나운동]</t>
        </is>
      </c>
      <c r="B129" s="74" t="n">
        <v>5008</v>
      </c>
      <c r="C129" s="74" t="n">
        <v>1</v>
      </c>
      <c r="D129" s="74" t="inlineStr">
        <is>
          <t>주공3단지</t>
        </is>
      </c>
      <c r="E129" s="74" t="inlineStr">
        <is>
          <t>1983.12.</t>
        </is>
      </c>
      <c r="F129" s="74" t="n">
        <v>800</v>
      </c>
      <c r="G129" s="74" t="n">
        <v>14.38</v>
      </c>
      <c r="H129" s="74" t="n">
        <v>47.57</v>
      </c>
      <c r="I129" s="74" t="n">
        <v>14.38</v>
      </c>
      <c r="J129" s="74" t="n">
        <v>47.57</v>
      </c>
      <c r="K129" s="74" t="n">
        <v>25</v>
      </c>
      <c r="T129" s="74" t="n">
        <v>1</v>
      </c>
      <c r="U129" s="74" t="n">
        <v>1</v>
      </c>
      <c r="V129" s="74" t="inlineStr">
        <is>
          <t>계단식</t>
        </is>
      </c>
      <c r="W129" s="74" t="n">
        <v>47</v>
      </c>
      <c r="X129" s="74" t="n">
        <v>5</v>
      </c>
      <c r="Y129" s="74" t="n">
        <v>5</v>
      </c>
      <c r="Z129" s="74" t="inlineStr">
        <is>
          <t>https://new.land.naver.com/complexes/5008?tab=detail&amp;rf=Y</t>
        </is>
      </c>
      <c r="AA129" s="74" t="inlineStr">
        <is>
          <t>전라북도 군산시 나운동 835</t>
        </is>
      </c>
      <c r="AB129" s="74" t="inlineStr">
        <is>
          <t>전라북도</t>
        </is>
      </c>
      <c r="AC129" s="74" t="inlineStr">
        <is>
          <t>군산시</t>
        </is>
      </c>
      <c r="AD129" s="74" t="inlineStr">
        <is>
          <t>나운동</t>
        </is>
      </c>
      <c r="AG129" s="74" t="inlineStr">
        <is>
          <t>전라북도 군산시 하나운안1길 40</t>
        </is>
      </c>
      <c r="AH129" s="74" t="n">
        <v>0</v>
      </c>
      <c r="AI129" s="74" t="n">
        <v>0</v>
      </c>
      <c r="AJ129" s="74" t="n">
        <v>0</v>
      </c>
      <c r="AK129" s="74" t="n">
        <v>0</v>
      </c>
      <c r="AL129" s="74" t="n">
        <v>0</v>
      </c>
    </row>
    <row r="130">
      <c r="A130" s="74" t="inlineStr">
        <is>
          <t>[나운동]</t>
        </is>
      </c>
      <c r="B130" s="74" t="n">
        <v>5008</v>
      </c>
      <c r="C130" s="74" t="n">
        <v>2</v>
      </c>
      <c r="D130" s="74" t="inlineStr">
        <is>
          <t>주공3단지</t>
        </is>
      </c>
      <c r="E130" s="74" t="inlineStr">
        <is>
          <t>1983.12.</t>
        </is>
      </c>
      <c r="F130" s="74" t="n">
        <v>800</v>
      </c>
      <c r="G130" s="74" t="n">
        <v>16.22</v>
      </c>
      <c r="H130" s="74" t="n">
        <v>53.63</v>
      </c>
      <c r="I130" s="74" t="n">
        <v>14.7</v>
      </c>
      <c r="J130" s="74" t="n">
        <v>48.6</v>
      </c>
      <c r="K130" s="74" t="n">
        <v>136</v>
      </c>
      <c r="T130" s="74" t="n">
        <v>2</v>
      </c>
      <c r="U130" s="74" t="n">
        <v>1</v>
      </c>
      <c r="V130" s="74" t="inlineStr">
        <is>
          <t>계단식</t>
        </is>
      </c>
      <c r="W130" s="74" t="inlineStr">
        <is>
          <t>53A</t>
        </is>
      </c>
      <c r="X130" s="74" t="n">
        <v>5</v>
      </c>
      <c r="Y130" s="74" t="n">
        <v>5</v>
      </c>
      <c r="Z130" s="74" t="inlineStr">
        <is>
          <t>https://new.land.naver.com/complexes/5008?tab=detail&amp;rf=Y</t>
        </is>
      </c>
      <c r="AA130" s="74" t="inlineStr">
        <is>
          <t>전라북도 군산시 나운동 835</t>
        </is>
      </c>
      <c r="AB130" s="74" t="inlineStr">
        <is>
          <t>전라북도</t>
        </is>
      </c>
      <c r="AC130" s="74" t="inlineStr">
        <is>
          <t>군산시</t>
        </is>
      </c>
      <c r="AD130" s="74" t="inlineStr">
        <is>
          <t>나운동</t>
        </is>
      </c>
      <c r="AG130" s="74" t="inlineStr">
        <is>
          <t>전라북도 군산시 하나운안1길 40</t>
        </is>
      </c>
      <c r="AH130" s="74" t="n">
        <v>0</v>
      </c>
      <c r="AI130" s="74" t="n">
        <v>0</v>
      </c>
      <c r="AJ130" s="74" t="n">
        <v>0</v>
      </c>
      <c r="AK130" s="74" t="n">
        <v>0</v>
      </c>
      <c r="AL130" s="74" t="n">
        <v>0</v>
      </c>
    </row>
    <row r="131">
      <c r="A131" s="74" t="inlineStr">
        <is>
          <t>[나운동]</t>
        </is>
      </c>
      <c r="B131" s="74" t="n">
        <v>5008</v>
      </c>
      <c r="C131" s="74" t="n">
        <v>3</v>
      </c>
      <c r="D131" s="74" t="inlineStr">
        <is>
          <t>주공3단지</t>
        </is>
      </c>
      <c r="E131" s="74" t="inlineStr">
        <is>
          <t>1983.12.</t>
        </is>
      </c>
      <c r="F131" s="74" t="n">
        <v>800</v>
      </c>
      <c r="G131" s="74" t="n">
        <v>16.37</v>
      </c>
      <c r="H131" s="74" t="n">
        <v>54.12</v>
      </c>
      <c r="I131" s="74" t="n">
        <v>16.37</v>
      </c>
      <c r="J131" s="74" t="n">
        <v>54.12</v>
      </c>
      <c r="K131" s="74" t="n">
        <v>115</v>
      </c>
      <c r="T131" s="74" t="n">
        <v>2</v>
      </c>
      <c r="U131" s="74" t="n">
        <v>1</v>
      </c>
      <c r="V131" s="74" t="inlineStr">
        <is>
          <t>계단식</t>
        </is>
      </c>
      <c r="W131" s="74" t="inlineStr">
        <is>
          <t>54B</t>
        </is>
      </c>
      <c r="X131" s="74" t="n">
        <v>5</v>
      </c>
      <c r="Y131" s="74" t="n">
        <v>5</v>
      </c>
      <c r="Z131" s="74" t="inlineStr">
        <is>
          <t>https://new.land.naver.com/complexes/5008?tab=detail&amp;rf=Y</t>
        </is>
      </c>
      <c r="AA131" s="74" t="inlineStr">
        <is>
          <t>전라북도 군산시 나운동 835</t>
        </is>
      </c>
      <c r="AB131" s="74" t="inlineStr">
        <is>
          <t>전라북도</t>
        </is>
      </c>
      <c r="AC131" s="74" t="inlineStr">
        <is>
          <t>군산시</t>
        </is>
      </c>
      <c r="AD131" s="74" t="inlineStr">
        <is>
          <t>나운동</t>
        </is>
      </c>
      <c r="AG131" s="74" t="inlineStr">
        <is>
          <t>전라북도 군산시 하나운안1길 40</t>
        </is>
      </c>
      <c r="AH131" s="74" t="n">
        <v>0</v>
      </c>
      <c r="AI131" s="74" t="n">
        <v>0</v>
      </c>
      <c r="AJ131" s="74" t="n">
        <v>0</v>
      </c>
      <c r="AK131" s="74" t="n">
        <v>0</v>
      </c>
      <c r="AL131" s="74" t="n">
        <v>0</v>
      </c>
    </row>
    <row r="132">
      <c r="A132" s="74" t="inlineStr">
        <is>
          <t>[나운동]</t>
        </is>
      </c>
      <c r="B132" s="74" t="n">
        <v>5008</v>
      </c>
      <c r="C132" s="74" t="n">
        <v>4</v>
      </c>
      <c r="D132" s="74" t="inlineStr">
        <is>
          <t>주공3단지</t>
        </is>
      </c>
      <c r="E132" s="74" t="inlineStr">
        <is>
          <t>1983.12.</t>
        </is>
      </c>
      <c r="F132" s="74" t="n">
        <v>800</v>
      </c>
      <c r="G132" s="74" t="n">
        <v>16.56</v>
      </c>
      <c r="H132" s="74" t="n">
        <v>54.77</v>
      </c>
      <c r="I132" s="74" t="n">
        <v>16.56</v>
      </c>
      <c r="J132" s="74" t="n">
        <v>54.77</v>
      </c>
      <c r="K132" s="74" t="n">
        <v>100</v>
      </c>
      <c r="T132" s="74" t="n">
        <v>2</v>
      </c>
      <c r="U132" s="74" t="n">
        <v>1</v>
      </c>
      <c r="V132" s="74" t="inlineStr">
        <is>
          <t>계단식</t>
        </is>
      </c>
      <c r="W132" s="74" t="n">
        <v>54</v>
      </c>
      <c r="X132" s="74" t="n">
        <v>5</v>
      </c>
      <c r="Y132" s="74" t="n">
        <v>5</v>
      </c>
      <c r="Z132" s="74" t="inlineStr">
        <is>
          <t>https://new.land.naver.com/complexes/5008?tab=detail&amp;rf=Y</t>
        </is>
      </c>
      <c r="AA132" s="74" t="inlineStr">
        <is>
          <t>전라북도 군산시 나운동 835</t>
        </is>
      </c>
      <c r="AB132" s="74" t="inlineStr">
        <is>
          <t>전라북도</t>
        </is>
      </c>
      <c r="AC132" s="74" t="inlineStr">
        <is>
          <t>군산시</t>
        </is>
      </c>
      <c r="AD132" s="74" t="inlineStr">
        <is>
          <t>나운동</t>
        </is>
      </c>
      <c r="AG132" s="74" t="inlineStr">
        <is>
          <t>전라북도 군산시 하나운안1길 40</t>
        </is>
      </c>
      <c r="AH132" s="74" t="n">
        <v>0</v>
      </c>
      <c r="AI132" s="74" t="n">
        <v>0</v>
      </c>
      <c r="AJ132" s="74" t="n">
        <v>0</v>
      </c>
      <c r="AK132" s="74" t="n">
        <v>0</v>
      </c>
      <c r="AL132" s="74" t="n">
        <v>0</v>
      </c>
    </row>
    <row r="133">
      <c r="A133" s="74" t="inlineStr">
        <is>
          <t>[나운동]</t>
        </is>
      </c>
      <c r="B133" s="74" t="n">
        <v>5008</v>
      </c>
      <c r="C133" s="74" t="n">
        <v>5</v>
      </c>
      <c r="D133" s="74" t="inlineStr">
        <is>
          <t>주공3단지</t>
        </is>
      </c>
      <c r="E133" s="74" t="inlineStr">
        <is>
          <t>1983.12.</t>
        </is>
      </c>
      <c r="F133" s="74" t="n">
        <v>800</v>
      </c>
      <c r="G133" s="74" t="n">
        <v>16.44</v>
      </c>
      <c r="H133" s="74" t="n">
        <v>54.38</v>
      </c>
      <c r="I133" s="74" t="n">
        <v>16.44</v>
      </c>
      <c r="J133" s="74" t="n">
        <v>54.38</v>
      </c>
      <c r="K133" s="74" t="n">
        <v>43</v>
      </c>
      <c r="T133" s="74" t="n">
        <v>3</v>
      </c>
      <c r="U133" s="74" t="n">
        <v>1</v>
      </c>
      <c r="V133" s="74" t="inlineStr">
        <is>
          <t>계단식</t>
        </is>
      </c>
      <c r="W133" s="74" t="inlineStr">
        <is>
          <t>54C</t>
        </is>
      </c>
      <c r="X133" s="74" t="n">
        <v>5</v>
      </c>
      <c r="Y133" s="74" t="n">
        <v>5</v>
      </c>
      <c r="Z133" s="74" t="inlineStr">
        <is>
          <t>https://new.land.naver.com/complexes/5008?tab=detail&amp;rf=Y</t>
        </is>
      </c>
      <c r="AA133" s="74" t="inlineStr">
        <is>
          <t>전라북도 군산시 나운동 835</t>
        </is>
      </c>
      <c r="AB133" s="74" t="inlineStr">
        <is>
          <t>전라북도</t>
        </is>
      </c>
      <c r="AC133" s="74" t="inlineStr">
        <is>
          <t>군산시</t>
        </is>
      </c>
      <c r="AD133" s="74" t="inlineStr">
        <is>
          <t>나운동</t>
        </is>
      </c>
      <c r="AG133" s="74" t="inlineStr">
        <is>
          <t>전라북도 군산시 하나운안1길 40</t>
        </is>
      </c>
      <c r="AH133" s="74" t="n">
        <v>0</v>
      </c>
      <c r="AI133" s="74" t="n">
        <v>0</v>
      </c>
      <c r="AJ133" s="74" t="n">
        <v>0</v>
      </c>
      <c r="AK133" s="74" t="n">
        <v>0</v>
      </c>
      <c r="AL133" s="74" t="n">
        <v>0</v>
      </c>
    </row>
    <row r="134">
      <c r="A134" s="74" t="inlineStr">
        <is>
          <t>[나운동]</t>
        </is>
      </c>
      <c r="B134" s="74" t="n">
        <v>5008</v>
      </c>
      <c r="C134" s="74" t="n">
        <v>6</v>
      </c>
      <c r="D134" s="74" t="inlineStr">
        <is>
          <t>주공3단지</t>
        </is>
      </c>
      <c r="E134" s="74" t="inlineStr">
        <is>
          <t>1983.12.</t>
        </is>
      </c>
      <c r="F134" s="74" t="n">
        <v>800</v>
      </c>
      <c r="G134" s="74" t="n">
        <v>18.62</v>
      </c>
      <c r="H134" s="74" t="n">
        <v>61.57</v>
      </c>
      <c r="I134" s="74" t="n">
        <v>16.87</v>
      </c>
      <c r="J134" s="74" t="n">
        <v>55.8</v>
      </c>
      <c r="K134" s="74" t="n">
        <v>112</v>
      </c>
      <c r="T134" s="74" t="n">
        <v>3</v>
      </c>
      <c r="U134" s="74" t="n">
        <v>1</v>
      </c>
      <c r="V134" s="74" t="inlineStr">
        <is>
          <t>계단식</t>
        </is>
      </c>
      <c r="W134" s="74" t="inlineStr">
        <is>
          <t>61A</t>
        </is>
      </c>
      <c r="X134" s="74" t="n">
        <v>5</v>
      </c>
      <c r="Y134" s="74" t="n">
        <v>5</v>
      </c>
      <c r="Z134" s="74" t="inlineStr">
        <is>
          <t>https://new.land.naver.com/complexes/5008?tab=detail&amp;rf=Y</t>
        </is>
      </c>
      <c r="AA134" s="74" t="inlineStr">
        <is>
          <t>전라북도 군산시 나운동 835</t>
        </is>
      </c>
      <c r="AB134" s="74" t="inlineStr">
        <is>
          <t>전라북도</t>
        </is>
      </c>
      <c r="AC134" s="74" t="inlineStr">
        <is>
          <t>군산시</t>
        </is>
      </c>
      <c r="AD134" s="74" t="inlineStr">
        <is>
          <t>나운동</t>
        </is>
      </c>
      <c r="AG134" s="74" t="inlineStr">
        <is>
          <t>전라북도 군산시 하나운안1길 40</t>
        </is>
      </c>
      <c r="AH134" s="74" t="n">
        <v>0</v>
      </c>
      <c r="AI134" s="74" t="n">
        <v>0</v>
      </c>
      <c r="AJ134" s="74" t="n">
        <v>0</v>
      </c>
      <c r="AK134" s="74" t="n">
        <v>0</v>
      </c>
      <c r="AL134" s="74" t="n">
        <v>0</v>
      </c>
    </row>
    <row r="135">
      <c r="A135" s="74" t="inlineStr">
        <is>
          <t>[나운동]</t>
        </is>
      </c>
      <c r="B135" s="74" t="n">
        <v>5008</v>
      </c>
      <c r="C135" s="74" t="n">
        <v>7</v>
      </c>
      <c r="D135" s="74" t="inlineStr">
        <is>
          <t>주공3단지</t>
        </is>
      </c>
      <c r="E135" s="74" t="inlineStr">
        <is>
          <t>1983.12.</t>
        </is>
      </c>
      <c r="F135" s="74" t="n">
        <v>800</v>
      </c>
      <c r="G135" s="74" t="n">
        <v>18.62</v>
      </c>
      <c r="H135" s="74" t="n">
        <v>61.57</v>
      </c>
      <c r="I135" s="74" t="n">
        <v>18.62</v>
      </c>
      <c r="J135" s="74" t="n">
        <v>61.57</v>
      </c>
      <c r="K135" s="74" t="n">
        <v>1</v>
      </c>
      <c r="T135" s="74" t="n">
        <v>3</v>
      </c>
      <c r="U135" s="74" t="n">
        <v>1</v>
      </c>
      <c r="V135" s="74" t="inlineStr">
        <is>
          <t>계단식</t>
        </is>
      </c>
      <c r="W135" s="74" t="inlineStr">
        <is>
          <t>61B</t>
        </is>
      </c>
      <c r="X135" s="74" t="n">
        <v>5</v>
      </c>
      <c r="Y135" s="74" t="n">
        <v>5</v>
      </c>
      <c r="Z135" s="74" t="inlineStr">
        <is>
          <t>https://new.land.naver.com/complexes/5008?tab=detail&amp;rf=Y</t>
        </is>
      </c>
      <c r="AA135" s="74" t="inlineStr">
        <is>
          <t>전라북도 군산시 나운동 835</t>
        </is>
      </c>
      <c r="AB135" s="74" t="inlineStr">
        <is>
          <t>전라북도</t>
        </is>
      </c>
      <c r="AC135" s="74" t="inlineStr">
        <is>
          <t>군산시</t>
        </is>
      </c>
      <c r="AD135" s="74" t="inlineStr">
        <is>
          <t>나운동</t>
        </is>
      </c>
      <c r="AG135" s="74" t="inlineStr">
        <is>
          <t>전라북도 군산시 하나운안1길 40</t>
        </is>
      </c>
      <c r="AH135" s="74" t="n">
        <v>0</v>
      </c>
      <c r="AI135" s="74" t="n">
        <v>0</v>
      </c>
      <c r="AJ135" s="74" t="n">
        <v>0</v>
      </c>
      <c r="AK135" s="74" t="n">
        <v>0</v>
      </c>
      <c r="AL135" s="74" t="n">
        <v>0</v>
      </c>
    </row>
    <row r="136">
      <c r="A136" s="74" t="inlineStr">
        <is>
          <t>[나운동]</t>
        </is>
      </c>
      <c r="B136" s="74" t="n">
        <v>5008</v>
      </c>
      <c r="C136" s="74" t="n">
        <v>8</v>
      </c>
      <c r="D136" s="74" t="inlineStr">
        <is>
          <t>주공3단지</t>
        </is>
      </c>
      <c r="E136" s="74" t="inlineStr">
        <is>
          <t>1983.12.</t>
        </is>
      </c>
      <c r="F136" s="74" t="n">
        <v>800</v>
      </c>
      <c r="G136" s="74" t="n">
        <v>18.88</v>
      </c>
      <c r="H136" s="74" t="n">
        <v>62.43</v>
      </c>
      <c r="I136" s="74" t="n">
        <v>18.88</v>
      </c>
      <c r="J136" s="74" t="n">
        <v>62.43</v>
      </c>
      <c r="K136" s="74" t="n">
        <v>28</v>
      </c>
      <c r="T136" s="74" t="n">
        <v>3</v>
      </c>
      <c r="U136" s="74" t="n">
        <v>1</v>
      </c>
      <c r="V136" s="74" t="inlineStr">
        <is>
          <t>계단식</t>
        </is>
      </c>
      <c r="W136" s="74" t="inlineStr">
        <is>
          <t>62C</t>
        </is>
      </c>
      <c r="X136" s="74" t="n">
        <v>5</v>
      </c>
      <c r="Y136" s="74" t="n">
        <v>5</v>
      </c>
      <c r="Z136" s="74" t="inlineStr">
        <is>
          <t>https://new.land.naver.com/complexes/5008?tab=detail&amp;rf=Y</t>
        </is>
      </c>
      <c r="AA136" s="74" t="inlineStr">
        <is>
          <t>전라북도 군산시 나운동 835</t>
        </is>
      </c>
      <c r="AB136" s="74" t="inlineStr">
        <is>
          <t>전라북도</t>
        </is>
      </c>
      <c r="AC136" s="74" t="inlineStr">
        <is>
          <t>군산시</t>
        </is>
      </c>
      <c r="AD136" s="74" t="inlineStr">
        <is>
          <t>나운동</t>
        </is>
      </c>
      <c r="AG136" s="74" t="inlineStr">
        <is>
          <t>전라북도 군산시 하나운안1길 40</t>
        </is>
      </c>
      <c r="AH136" s="74" t="n">
        <v>0</v>
      </c>
      <c r="AI136" s="74" t="n">
        <v>0</v>
      </c>
      <c r="AJ136" s="74" t="n">
        <v>0</v>
      </c>
      <c r="AK136" s="74" t="n">
        <v>0</v>
      </c>
      <c r="AL136" s="74" t="n">
        <v>0</v>
      </c>
    </row>
    <row r="137">
      <c r="A137" s="74" t="inlineStr">
        <is>
          <t>[나운동]</t>
        </is>
      </c>
      <c r="B137" s="74" t="n">
        <v>5008</v>
      </c>
      <c r="C137" s="74" t="n">
        <v>9</v>
      </c>
      <c r="D137" s="74" t="inlineStr">
        <is>
          <t>주공3단지</t>
        </is>
      </c>
      <c r="E137" s="74" t="inlineStr">
        <is>
          <t>1983.12.</t>
        </is>
      </c>
      <c r="F137" s="74" t="n">
        <v>800</v>
      </c>
      <c r="G137" s="74" t="n">
        <v>19.96</v>
      </c>
      <c r="H137" s="74" t="n">
        <v>65.98999999999999</v>
      </c>
      <c r="I137" s="74" t="n">
        <v>19.96</v>
      </c>
      <c r="J137" s="74" t="n">
        <v>65.98999999999999</v>
      </c>
      <c r="K137" s="74" t="n">
        <v>125</v>
      </c>
      <c r="T137" s="74" t="n">
        <v>3</v>
      </c>
      <c r="U137" s="74" t="n">
        <v>1</v>
      </c>
      <c r="V137" s="74" t="inlineStr">
        <is>
          <t>계단식</t>
        </is>
      </c>
      <c r="W137" s="74" t="inlineStr">
        <is>
          <t>65B</t>
        </is>
      </c>
      <c r="X137" s="74" t="n">
        <v>5</v>
      </c>
      <c r="Y137" s="74" t="n">
        <v>5</v>
      </c>
      <c r="Z137" s="74" t="inlineStr">
        <is>
          <t>https://new.land.naver.com/complexes/5008?tab=detail&amp;rf=Y</t>
        </is>
      </c>
      <c r="AA137" s="74" t="inlineStr">
        <is>
          <t>전라북도 군산시 나운동 835</t>
        </is>
      </c>
      <c r="AB137" s="74" t="inlineStr">
        <is>
          <t>전라북도</t>
        </is>
      </c>
      <c r="AC137" s="74" t="inlineStr">
        <is>
          <t>군산시</t>
        </is>
      </c>
      <c r="AD137" s="74" t="inlineStr">
        <is>
          <t>나운동</t>
        </is>
      </c>
      <c r="AG137" s="74" t="inlineStr">
        <is>
          <t>전라북도 군산시 하나운안1길 40</t>
        </is>
      </c>
      <c r="AH137" s="74" t="n">
        <v>0</v>
      </c>
      <c r="AI137" s="74" t="n">
        <v>0</v>
      </c>
      <c r="AJ137" s="74" t="n">
        <v>0</v>
      </c>
      <c r="AK137" s="74" t="n">
        <v>0</v>
      </c>
      <c r="AL137" s="74" t="n">
        <v>0</v>
      </c>
    </row>
    <row r="138">
      <c r="A138" s="74" t="inlineStr">
        <is>
          <t>[나운동]</t>
        </is>
      </c>
      <c r="B138" s="74" t="n">
        <v>5008</v>
      </c>
      <c r="C138" s="74" t="n">
        <v>10</v>
      </c>
      <c r="D138" s="74" t="inlineStr">
        <is>
          <t>주공3단지</t>
        </is>
      </c>
      <c r="E138" s="74" t="inlineStr">
        <is>
          <t>1983.12.</t>
        </is>
      </c>
      <c r="F138" s="74" t="n">
        <v>800</v>
      </c>
      <c r="G138" s="74" t="n">
        <v>19.72</v>
      </c>
      <c r="H138" s="74" t="n">
        <v>65.2</v>
      </c>
      <c r="I138" s="74" t="n">
        <v>19.72</v>
      </c>
      <c r="J138" s="74" t="n">
        <v>65.2</v>
      </c>
      <c r="K138" s="74" t="n">
        <v>115</v>
      </c>
      <c r="T138" s="74" t="n">
        <v>3</v>
      </c>
      <c r="U138" s="74" t="n">
        <v>1</v>
      </c>
      <c r="V138" s="74" t="inlineStr">
        <is>
          <t>계단식</t>
        </is>
      </c>
      <c r="W138" s="74" t="inlineStr">
        <is>
          <t>65A</t>
        </is>
      </c>
      <c r="X138" s="74" t="n">
        <v>5</v>
      </c>
      <c r="Y138" s="74" t="n">
        <v>5</v>
      </c>
      <c r="Z138" s="74" t="inlineStr">
        <is>
          <t>https://new.land.naver.com/complexes/5008?tab=detail&amp;rf=Y</t>
        </is>
      </c>
      <c r="AA138" s="74" t="inlineStr">
        <is>
          <t>전라북도 군산시 나운동 835</t>
        </is>
      </c>
      <c r="AB138" s="74" t="inlineStr">
        <is>
          <t>전라북도</t>
        </is>
      </c>
      <c r="AC138" s="74" t="inlineStr">
        <is>
          <t>군산시</t>
        </is>
      </c>
      <c r="AD138" s="74" t="inlineStr">
        <is>
          <t>나운동</t>
        </is>
      </c>
      <c r="AG138" s="74" t="inlineStr">
        <is>
          <t>전라북도 군산시 하나운안1길 40</t>
        </is>
      </c>
      <c r="AH138" s="74" t="n">
        <v>0</v>
      </c>
      <c r="AI138" s="74" t="n">
        <v>0</v>
      </c>
      <c r="AJ138" s="74" t="n">
        <v>0</v>
      </c>
      <c r="AK138" s="74" t="n">
        <v>0</v>
      </c>
      <c r="AL138" s="74" t="n">
        <v>0</v>
      </c>
    </row>
    <row r="139">
      <c r="A139" s="74" t="inlineStr">
        <is>
          <t>[나운동]</t>
        </is>
      </c>
      <c r="B139" s="74" t="n">
        <v>125648</v>
      </c>
      <c r="C139" s="74" t="n">
        <v>1</v>
      </c>
      <c r="D139" s="74" t="inlineStr">
        <is>
          <t>청남하이츠빌리지</t>
        </is>
      </c>
      <c r="E139" s="74" t="inlineStr">
        <is>
          <t>1994.01.</t>
        </is>
      </c>
      <c r="F139" s="74" t="n">
        <v>16</v>
      </c>
      <c r="G139" s="74" t="n">
        <v>44.75</v>
      </c>
      <c r="H139" s="74" t="n">
        <v>147.95</v>
      </c>
      <c r="I139" s="74" t="n">
        <v>40.76</v>
      </c>
      <c r="J139" s="74" t="n">
        <v>134.75</v>
      </c>
      <c r="K139" s="74" t="n">
        <v>3</v>
      </c>
      <c r="T139" s="74" t="n">
        <v>3</v>
      </c>
      <c r="U139" s="74" t="n">
        <v>2</v>
      </c>
      <c r="V139" s="74" t="inlineStr">
        <is>
          <t>계단식</t>
        </is>
      </c>
      <c r="W139" s="74" t="inlineStr">
        <is>
          <t>147A</t>
        </is>
      </c>
      <c r="X139" s="74" t="n">
        <v>4</v>
      </c>
      <c r="Y139" s="74" t="n">
        <v>3</v>
      </c>
      <c r="Z139" s="74" t="inlineStr">
        <is>
          <t>https://new.land.naver.com/complexes/125648?tab=detail&amp;rf=Y</t>
        </is>
      </c>
      <c r="AA139" s="74" t="inlineStr">
        <is>
          <t>전라북도 군산시 나운동 772-1</t>
        </is>
      </c>
      <c r="AB139" s="74" t="inlineStr">
        <is>
          <t>전라북도</t>
        </is>
      </c>
      <c r="AC139" s="74" t="inlineStr">
        <is>
          <t>군산시</t>
        </is>
      </c>
      <c r="AD139" s="74" t="inlineStr">
        <is>
          <t>나운동</t>
        </is>
      </c>
      <c r="AG139" s="74" t="inlineStr">
        <is>
          <t>전라북도 군산시 신설로 57</t>
        </is>
      </c>
      <c r="AH139" s="74" t="n">
        <v>0</v>
      </c>
      <c r="AI139" s="74" t="n">
        <v>195</v>
      </c>
      <c r="AJ139" s="74" t="n">
        <v>54</v>
      </c>
      <c r="AK139" s="74" t="n">
        <v>23</v>
      </c>
      <c r="AL139" s="74" t="n">
        <v>1.44</v>
      </c>
    </row>
    <row r="140">
      <c r="A140" s="74" t="inlineStr">
        <is>
          <t>[나운동]</t>
        </is>
      </c>
      <c r="B140" s="74" t="n">
        <v>125648</v>
      </c>
      <c r="C140" s="74" t="n">
        <v>2</v>
      </c>
      <c r="D140" s="74" t="inlineStr">
        <is>
          <t>청남하이츠빌리지</t>
        </is>
      </c>
      <c r="E140" s="74" t="inlineStr">
        <is>
          <t>1994.01.</t>
        </is>
      </c>
      <c r="F140" s="74" t="n">
        <v>16</v>
      </c>
      <c r="G140" s="74" t="n">
        <v>44.75</v>
      </c>
      <c r="H140" s="74" t="n">
        <v>147.95</v>
      </c>
      <c r="I140" s="74" t="n">
        <v>40.76</v>
      </c>
      <c r="J140" s="74" t="n">
        <v>134.75</v>
      </c>
      <c r="K140" s="74" t="n">
        <v>1</v>
      </c>
      <c r="T140" s="74" t="n">
        <v>3</v>
      </c>
      <c r="U140" s="74" t="n">
        <v>2</v>
      </c>
      <c r="V140" s="74" t="inlineStr">
        <is>
          <t>계단식</t>
        </is>
      </c>
      <c r="W140" s="74" t="inlineStr">
        <is>
          <t>147B</t>
        </is>
      </c>
      <c r="X140" s="74" t="n">
        <v>4</v>
      </c>
      <c r="Y140" s="74" t="n">
        <v>3</v>
      </c>
      <c r="Z140" s="74" t="inlineStr">
        <is>
          <t>https://new.land.naver.com/complexes/125648?tab=detail&amp;rf=Y</t>
        </is>
      </c>
      <c r="AA140" s="74" t="inlineStr">
        <is>
          <t>전라북도 군산시 나운동 772-1</t>
        </is>
      </c>
      <c r="AB140" s="74" t="inlineStr">
        <is>
          <t>전라북도</t>
        </is>
      </c>
      <c r="AC140" s="74" t="inlineStr">
        <is>
          <t>군산시</t>
        </is>
      </c>
      <c r="AD140" s="74" t="inlineStr">
        <is>
          <t>나운동</t>
        </is>
      </c>
      <c r="AG140" s="74" t="inlineStr">
        <is>
          <t>전라북도 군산시 신설로 57</t>
        </is>
      </c>
      <c r="AH140" s="74" t="n">
        <v>0</v>
      </c>
      <c r="AI140" s="74" t="n">
        <v>195</v>
      </c>
      <c r="AJ140" s="74" t="n">
        <v>54</v>
      </c>
      <c r="AK140" s="74" t="n">
        <v>23</v>
      </c>
      <c r="AL140" s="74" t="n">
        <v>1.44</v>
      </c>
    </row>
    <row r="141">
      <c r="A141" s="74" t="inlineStr">
        <is>
          <t>[나운동]</t>
        </is>
      </c>
      <c r="B141" s="74" t="n">
        <v>125648</v>
      </c>
      <c r="C141" s="74" t="n">
        <v>3</v>
      </c>
      <c r="D141" s="74" t="inlineStr">
        <is>
          <t>청남하이츠빌리지</t>
        </is>
      </c>
      <c r="E141" s="74" t="inlineStr">
        <is>
          <t>1994.01.</t>
        </is>
      </c>
      <c r="F141" s="74" t="n">
        <v>16</v>
      </c>
      <c r="G141" s="74" t="n">
        <v>44.8</v>
      </c>
      <c r="H141" s="74" t="n">
        <v>148.13</v>
      </c>
      <c r="I141" s="74" t="n">
        <v>40.81</v>
      </c>
      <c r="J141" s="74" t="n">
        <v>134.93</v>
      </c>
      <c r="K141" s="74" t="n">
        <v>4</v>
      </c>
      <c r="T141" s="74" t="n">
        <v>3</v>
      </c>
      <c r="U141" s="74" t="n">
        <v>2</v>
      </c>
      <c r="V141" s="74" t="inlineStr">
        <is>
          <t>계단식</t>
        </is>
      </c>
      <c r="W141" s="74" t="inlineStr">
        <is>
          <t>148C</t>
        </is>
      </c>
      <c r="X141" s="74" t="n">
        <v>4</v>
      </c>
      <c r="Y141" s="74" t="n">
        <v>3</v>
      </c>
      <c r="Z141" s="74" t="inlineStr">
        <is>
          <t>https://new.land.naver.com/complexes/125648?tab=detail&amp;rf=Y</t>
        </is>
      </c>
      <c r="AA141" s="74" t="inlineStr">
        <is>
          <t>전라북도 군산시 나운동 772-1</t>
        </is>
      </c>
      <c r="AB141" s="74" t="inlineStr">
        <is>
          <t>전라북도</t>
        </is>
      </c>
      <c r="AC141" s="74" t="inlineStr">
        <is>
          <t>군산시</t>
        </is>
      </c>
      <c r="AD141" s="74" t="inlineStr">
        <is>
          <t>나운동</t>
        </is>
      </c>
      <c r="AG141" s="74" t="inlineStr">
        <is>
          <t>전라북도 군산시 신설로 57</t>
        </is>
      </c>
      <c r="AH141" s="74" t="n">
        <v>0</v>
      </c>
      <c r="AI141" s="74" t="n">
        <v>195</v>
      </c>
      <c r="AJ141" s="74" t="n">
        <v>54</v>
      </c>
      <c r="AK141" s="74" t="n">
        <v>23</v>
      </c>
      <c r="AL141" s="74" t="n">
        <v>1.44</v>
      </c>
    </row>
    <row r="142">
      <c r="A142" s="74" t="inlineStr">
        <is>
          <t>[나운동]</t>
        </is>
      </c>
      <c r="B142" s="74" t="n">
        <v>125648</v>
      </c>
      <c r="C142" s="74" t="n">
        <v>4</v>
      </c>
      <c r="D142" s="74" t="inlineStr">
        <is>
          <t>청남하이츠빌리지</t>
        </is>
      </c>
      <c r="E142" s="74" t="inlineStr">
        <is>
          <t>1994.01.</t>
        </is>
      </c>
      <c r="F142" s="74" t="n">
        <v>16</v>
      </c>
      <c r="G142" s="74" t="n">
        <v>45.3</v>
      </c>
      <c r="H142" s="74" t="n">
        <v>149.78</v>
      </c>
      <c r="I142" s="74" t="n">
        <v>40.81</v>
      </c>
      <c r="J142" s="74" t="n">
        <v>134.93</v>
      </c>
      <c r="K142" s="74" t="n">
        <v>4</v>
      </c>
      <c r="T142" s="74" t="n">
        <v>3</v>
      </c>
      <c r="U142" s="74" t="n">
        <v>2</v>
      </c>
      <c r="V142" s="74" t="inlineStr">
        <is>
          <t>계단식</t>
        </is>
      </c>
      <c r="W142" s="74" t="inlineStr">
        <is>
          <t>149D</t>
        </is>
      </c>
      <c r="X142" s="74" t="n">
        <v>4</v>
      </c>
      <c r="Y142" s="74" t="n">
        <v>3</v>
      </c>
      <c r="Z142" s="74" t="inlineStr">
        <is>
          <t>https://new.land.naver.com/complexes/125648?tab=detail&amp;rf=Y</t>
        </is>
      </c>
      <c r="AA142" s="74" t="inlineStr">
        <is>
          <t>전라북도 군산시 나운동 772-1</t>
        </is>
      </c>
      <c r="AB142" s="74" t="inlineStr">
        <is>
          <t>전라북도</t>
        </is>
      </c>
      <c r="AC142" s="74" t="inlineStr">
        <is>
          <t>군산시</t>
        </is>
      </c>
      <c r="AD142" s="74" t="inlineStr">
        <is>
          <t>나운동</t>
        </is>
      </c>
      <c r="AG142" s="74" t="inlineStr">
        <is>
          <t>전라북도 군산시 신설로 57</t>
        </is>
      </c>
      <c r="AH142" s="74" t="n">
        <v>0</v>
      </c>
      <c r="AI142" s="74" t="n">
        <v>195</v>
      </c>
      <c r="AJ142" s="74" t="n">
        <v>54</v>
      </c>
      <c r="AK142" s="74" t="n">
        <v>23</v>
      </c>
      <c r="AL142" s="74" t="n">
        <v>1.44</v>
      </c>
    </row>
    <row r="143">
      <c r="A143" s="74" t="inlineStr">
        <is>
          <t>[나운동]</t>
        </is>
      </c>
      <c r="B143" s="74" t="n">
        <v>125648</v>
      </c>
      <c r="C143" s="74" t="n">
        <v>5</v>
      </c>
      <c r="D143" s="74" t="inlineStr">
        <is>
          <t>청남하이츠빌리지</t>
        </is>
      </c>
      <c r="E143" s="74" t="inlineStr">
        <is>
          <t>1994.01.</t>
        </is>
      </c>
      <c r="F143" s="74" t="n">
        <v>16</v>
      </c>
      <c r="G143" s="74" t="n">
        <v>46.04</v>
      </c>
      <c r="H143" s="74" t="n">
        <v>152.22</v>
      </c>
      <c r="I143" s="74" t="n">
        <v>41.55</v>
      </c>
      <c r="J143" s="74" t="n">
        <v>137.37</v>
      </c>
      <c r="K143" s="74" t="n">
        <v>4</v>
      </c>
      <c r="T143" s="74" t="n">
        <v>3</v>
      </c>
      <c r="U143" s="74" t="n">
        <v>2</v>
      </c>
      <c r="V143" s="74" t="inlineStr">
        <is>
          <t>계단식</t>
        </is>
      </c>
      <c r="W143" s="74" t="n">
        <v>152</v>
      </c>
      <c r="X143" s="74" t="n">
        <v>4</v>
      </c>
      <c r="Y143" s="74" t="n">
        <v>3</v>
      </c>
      <c r="Z143" s="74" t="inlineStr">
        <is>
          <t>https://new.land.naver.com/complexes/125648?tab=detail&amp;rf=Y</t>
        </is>
      </c>
      <c r="AA143" s="74" t="inlineStr">
        <is>
          <t>전라북도 군산시 나운동 772-1</t>
        </is>
      </c>
      <c r="AB143" s="74" t="inlineStr">
        <is>
          <t>전라북도</t>
        </is>
      </c>
      <c r="AC143" s="74" t="inlineStr">
        <is>
          <t>군산시</t>
        </is>
      </c>
      <c r="AD143" s="74" t="inlineStr">
        <is>
          <t>나운동</t>
        </is>
      </c>
      <c r="AG143" s="74" t="inlineStr">
        <is>
          <t>전라북도 군산시 신설로 57</t>
        </is>
      </c>
      <c r="AH143" s="74" t="n">
        <v>0</v>
      </c>
      <c r="AI143" s="74" t="n">
        <v>195</v>
      </c>
      <c r="AJ143" s="74" t="n">
        <v>54</v>
      </c>
      <c r="AK143" s="74" t="n">
        <v>23</v>
      </c>
      <c r="AL143" s="74" t="n">
        <v>1.44</v>
      </c>
    </row>
    <row r="144">
      <c r="A144" s="74" t="inlineStr">
        <is>
          <t>[나운동]</t>
        </is>
      </c>
      <c r="B144" s="74" t="n">
        <v>101461</v>
      </c>
      <c r="C144" s="74" t="n">
        <v>1</v>
      </c>
      <c r="D144" s="74" t="inlineStr">
        <is>
          <t>나운보람더하임</t>
        </is>
      </c>
      <c r="E144" s="74" t="inlineStr">
        <is>
          <t>2010.03.</t>
        </is>
      </c>
      <c r="F144" s="74" t="n">
        <v>437</v>
      </c>
      <c r="G144" s="74" t="n">
        <v>23.58</v>
      </c>
      <c r="H144" s="74" t="n">
        <v>77.97</v>
      </c>
      <c r="I144" s="74" t="n">
        <v>18.1</v>
      </c>
      <c r="J144" s="74" t="n">
        <v>59.86</v>
      </c>
      <c r="K144" s="74" t="n">
        <v>155</v>
      </c>
      <c r="T144" s="74" t="n">
        <v>3</v>
      </c>
      <c r="U144" s="74" t="n">
        <v>2</v>
      </c>
      <c r="V144" s="74" t="inlineStr">
        <is>
          <t>계단식</t>
        </is>
      </c>
      <c r="W144" s="74" t="n">
        <v>77</v>
      </c>
      <c r="X144" s="74" t="n">
        <v>15</v>
      </c>
      <c r="Y144" s="74" t="n">
        <v>10</v>
      </c>
      <c r="Z144" s="74" t="inlineStr">
        <is>
          <t>https://new.land.naver.com/complexes/101461?tab=detail&amp;rf=Y</t>
        </is>
      </c>
      <c r="AA144" s="74" t="inlineStr">
        <is>
          <t>전라북도 군산시 나운동 1556</t>
        </is>
      </c>
      <c r="AB144" s="74" t="inlineStr">
        <is>
          <t>전라북도</t>
        </is>
      </c>
      <c r="AC144" s="74" t="inlineStr">
        <is>
          <t>군산시</t>
        </is>
      </c>
      <c r="AD144" s="74" t="inlineStr">
        <is>
          <t>나운동</t>
        </is>
      </c>
      <c r="AG144" s="74" t="inlineStr">
        <is>
          <t>전라북도 군산시 하신3길 7</t>
        </is>
      </c>
      <c r="AH144" s="74" t="n">
        <v>0</v>
      </c>
      <c r="AI144" s="74" t="n">
        <v>236</v>
      </c>
      <c r="AJ144" s="74" t="n">
        <v>23</v>
      </c>
      <c r="AK144" s="74" t="n">
        <v>435</v>
      </c>
      <c r="AL144" s="74" t="n">
        <v>1</v>
      </c>
    </row>
    <row r="145">
      <c r="A145" s="74" t="inlineStr">
        <is>
          <t>[나운동]</t>
        </is>
      </c>
      <c r="B145" s="74" t="n">
        <v>101461</v>
      </c>
      <c r="C145" s="74" t="n">
        <v>2</v>
      </c>
      <c r="D145" s="74" t="inlineStr">
        <is>
          <t>나운보람더하임</t>
        </is>
      </c>
      <c r="E145" s="74" t="inlineStr">
        <is>
          <t>2010.03.</t>
        </is>
      </c>
      <c r="F145" s="74" t="n">
        <v>437</v>
      </c>
      <c r="G145" s="74" t="n">
        <v>33.46</v>
      </c>
      <c r="H145" s="74" t="n">
        <v>110.64</v>
      </c>
      <c r="I145" s="74" t="n">
        <v>25.7</v>
      </c>
      <c r="J145" s="74" t="n">
        <v>84.98999999999999</v>
      </c>
      <c r="K145" s="74" t="n">
        <v>202</v>
      </c>
      <c r="T145" s="74" t="n">
        <v>3</v>
      </c>
      <c r="U145" s="74" t="n">
        <v>2</v>
      </c>
      <c r="V145" s="74" t="inlineStr">
        <is>
          <t>계단식</t>
        </is>
      </c>
      <c r="W145" s="74" t="inlineStr">
        <is>
          <t>110A</t>
        </is>
      </c>
      <c r="X145" s="74" t="n">
        <v>15</v>
      </c>
      <c r="Y145" s="74" t="n">
        <v>10</v>
      </c>
      <c r="Z145" s="74" t="inlineStr">
        <is>
          <t>https://new.land.naver.com/complexes/101461?tab=detail&amp;rf=Y</t>
        </is>
      </c>
      <c r="AA145" s="74" t="inlineStr">
        <is>
          <t>전라북도 군산시 나운동 1556</t>
        </is>
      </c>
      <c r="AB145" s="74" t="inlineStr">
        <is>
          <t>전라북도</t>
        </is>
      </c>
      <c r="AC145" s="74" t="inlineStr">
        <is>
          <t>군산시</t>
        </is>
      </c>
      <c r="AD145" s="74" t="inlineStr">
        <is>
          <t>나운동</t>
        </is>
      </c>
      <c r="AG145" s="74" t="inlineStr">
        <is>
          <t>전라북도 군산시 하신3길 7</t>
        </is>
      </c>
      <c r="AH145" s="74" t="n">
        <v>0</v>
      </c>
      <c r="AI145" s="74" t="n">
        <v>236</v>
      </c>
      <c r="AJ145" s="74" t="n">
        <v>23</v>
      </c>
      <c r="AK145" s="74" t="n">
        <v>435</v>
      </c>
      <c r="AL145" s="74" t="n">
        <v>1</v>
      </c>
    </row>
    <row r="146">
      <c r="A146" s="74" t="inlineStr">
        <is>
          <t>[나운동]</t>
        </is>
      </c>
      <c r="B146" s="74" t="n">
        <v>101461</v>
      </c>
      <c r="C146" s="74" t="n">
        <v>3</v>
      </c>
      <c r="D146" s="74" t="inlineStr">
        <is>
          <t>나운보람더하임</t>
        </is>
      </c>
      <c r="E146" s="74" t="inlineStr">
        <is>
          <t>2010.03.</t>
        </is>
      </c>
      <c r="F146" s="74" t="n">
        <v>437</v>
      </c>
      <c r="G146" s="74" t="n">
        <v>33.47</v>
      </c>
      <c r="H146" s="74" t="n">
        <v>110.65</v>
      </c>
      <c r="I146" s="74" t="n">
        <v>25.67</v>
      </c>
      <c r="J146" s="74" t="n">
        <v>84.89</v>
      </c>
      <c r="K146" s="74" t="n">
        <v>14</v>
      </c>
      <c r="T146" s="74" t="n">
        <v>3</v>
      </c>
      <c r="U146" s="74" t="n">
        <v>2</v>
      </c>
      <c r="V146" s="74" t="inlineStr">
        <is>
          <t>계단식</t>
        </is>
      </c>
      <c r="W146" s="74" t="inlineStr">
        <is>
          <t>110B</t>
        </is>
      </c>
      <c r="X146" s="74" t="n">
        <v>15</v>
      </c>
      <c r="Y146" s="74" t="n">
        <v>10</v>
      </c>
      <c r="Z146" s="74" t="inlineStr">
        <is>
          <t>https://new.land.naver.com/complexes/101461?tab=detail&amp;rf=Y</t>
        </is>
      </c>
      <c r="AA146" s="74" t="inlineStr">
        <is>
          <t>전라북도 군산시 나운동 1556</t>
        </is>
      </c>
      <c r="AB146" s="74" t="inlineStr">
        <is>
          <t>전라북도</t>
        </is>
      </c>
      <c r="AC146" s="74" t="inlineStr">
        <is>
          <t>군산시</t>
        </is>
      </c>
      <c r="AD146" s="74" t="inlineStr">
        <is>
          <t>나운동</t>
        </is>
      </c>
      <c r="AG146" s="74" t="inlineStr">
        <is>
          <t>전라북도 군산시 하신3길 7</t>
        </is>
      </c>
      <c r="AH146" s="74" t="n">
        <v>0</v>
      </c>
      <c r="AI146" s="74" t="n">
        <v>236</v>
      </c>
      <c r="AJ146" s="74" t="n">
        <v>23</v>
      </c>
      <c r="AK146" s="74" t="n">
        <v>435</v>
      </c>
      <c r="AL146" s="74" t="n">
        <v>1</v>
      </c>
    </row>
    <row r="147">
      <c r="A147" s="74" t="inlineStr">
        <is>
          <t>[나운동]</t>
        </is>
      </c>
      <c r="B147" s="74" t="n">
        <v>101461</v>
      </c>
      <c r="C147" s="74" t="n">
        <v>4</v>
      </c>
      <c r="D147" s="74" t="inlineStr">
        <is>
          <t>나운보람더하임</t>
        </is>
      </c>
      <c r="E147" s="74" t="inlineStr">
        <is>
          <t>2010.03.</t>
        </is>
      </c>
      <c r="F147" s="74" t="n">
        <v>437</v>
      </c>
      <c r="G147" s="74" t="n">
        <v>33.42</v>
      </c>
      <c r="H147" s="74" t="n">
        <v>110.49</v>
      </c>
      <c r="I147" s="74" t="n">
        <v>25.55</v>
      </c>
      <c r="J147" s="74" t="n">
        <v>84.47</v>
      </c>
      <c r="K147" s="74" t="n">
        <v>12</v>
      </c>
      <c r="T147" s="74" t="n">
        <v>3</v>
      </c>
      <c r="U147" s="74" t="n">
        <v>2</v>
      </c>
      <c r="V147" s="74" t="inlineStr">
        <is>
          <t>계단식</t>
        </is>
      </c>
      <c r="W147" s="74" t="inlineStr">
        <is>
          <t>110C</t>
        </is>
      </c>
      <c r="X147" s="74" t="n">
        <v>15</v>
      </c>
      <c r="Y147" s="74" t="n">
        <v>10</v>
      </c>
      <c r="Z147" s="74" t="inlineStr">
        <is>
          <t>https://new.land.naver.com/complexes/101461?tab=detail&amp;rf=Y</t>
        </is>
      </c>
      <c r="AA147" s="74" t="inlineStr">
        <is>
          <t>전라북도 군산시 나운동 1556</t>
        </is>
      </c>
      <c r="AB147" s="74" t="inlineStr">
        <is>
          <t>전라북도</t>
        </is>
      </c>
      <c r="AC147" s="74" t="inlineStr">
        <is>
          <t>군산시</t>
        </is>
      </c>
      <c r="AD147" s="74" t="inlineStr">
        <is>
          <t>나운동</t>
        </is>
      </c>
      <c r="AG147" s="74" t="inlineStr">
        <is>
          <t>전라북도 군산시 하신3길 7</t>
        </is>
      </c>
      <c r="AH147" s="74" t="n">
        <v>0</v>
      </c>
      <c r="AI147" s="74" t="n">
        <v>236</v>
      </c>
      <c r="AJ147" s="74" t="n">
        <v>23</v>
      </c>
      <c r="AK147" s="74" t="n">
        <v>435</v>
      </c>
      <c r="AL147" s="74" t="n">
        <v>1</v>
      </c>
    </row>
    <row r="148">
      <c r="A148" s="74" t="inlineStr">
        <is>
          <t>[나운동]</t>
        </is>
      </c>
      <c r="B148" s="74" t="n">
        <v>101461</v>
      </c>
      <c r="C148" s="74" t="n">
        <v>5</v>
      </c>
      <c r="D148" s="74" t="inlineStr">
        <is>
          <t>나운보람더하임</t>
        </is>
      </c>
      <c r="E148" s="74" t="inlineStr">
        <is>
          <t>2010.03.</t>
        </is>
      </c>
      <c r="F148" s="74" t="n">
        <v>437</v>
      </c>
      <c r="G148" s="74" t="n">
        <v>46.18</v>
      </c>
      <c r="H148" s="74" t="n">
        <v>152.68</v>
      </c>
      <c r="I148" s="74" t="n">
        <v>35.87</v>
      </c>
      <c r="J148" s="74" t="n">
        <v>118.61</v>
      </c>
      <c r="K148" s="74" t="n">
        <v>54</v>
      </c>
      <c r="T148" s="74" t="n">
        <v>4</v>
      </c>
      <c r="U148" s="74" t="n">
        <v>2</v>
      </c>
      <c r="V148" s="74" t="inlineStr">
        <is>
          <t>계단식</t>
        </is>
      </c>
      <c r="W148" s="74" t="n">
        <v>152</v>
      </c>
      <c r="X148" s="74" t="n">
        <v>15</v>
      </c>
      <c r="Y148" s="74" t="n">
        <v>10</v>
      </c>
      <c r="Z148" s="74" t="inlineStr">
        <is>
          <t>https://new.land.naver.com/complexes/101461?tab=detail&amp;rf=Y</t>
        </is>
      </c>
      <c r="AA148" s="74" t="inlineStr">
        <is>
          <t>전라북도 군산시 나운동 1556</t>
        </is>
      </c>
      <c r="AB148" s="74" t="inlineStr">
        <is>
          <t>전라북도</t>
        </is>
      </c>
      <c r="AC148" s="74" t="inlineStr">
        <is>
          <t>군산시</t>
        </is>
      </c>
      <c r="AD148" s="74" t="inlineStr">
        <is>
          <t>나운동</t>
        </is>
      </c>
      <c r="AG148" s="74" t="inlineStr">
        <is>
          <t>전라북도 군산시 하신3길 7</t>
        </is>
      </c>
      <c r="AH148" s="74" t="n">
        <v>0</v>
      </c>
      <c r="AI148" s="74" t="n">
        <v>236</v>
      </c>
      <c r="AJ148" s="74" t="n">
        <v>23</v>
      </c>
      <c r="AK148" s="74" t="n">
        <v>435</v>
      </c>
      <c r="AL148" s="74" t="n">
        <v>1</v>
      </c>
    </row>
    <row r="149">
      <c r="A149" s="74" t="inlineStr">
        <is>
          <t>[나운동]</t>
        </is>
      </c>
      <c r="B149" s="74" t="n">
        <v>4974</v>
      </c>
      <c r="C149" s="74" t="n">
        <v>1</v>
      </c>
      <c r="D149" s="74" t="inlineStr">
        <is>
          <t>동신</t>
        </is>
      </c>
      <c r="E149" s="74" t="inlineStr">
        <is>
          <t>1997.12.</t>
        </is>
      </c>
      <c r="F149" s="74" t="n">
        <v>420</v>
      </c>
      <c r="G149" s="74" t="n">
        <v>34</v>
      </c>
      <c r="H149" s="74" t="n">
        <v>112.4</v>
      </c>
      <c r="I149" s="74" t="n">
        <v>27.92</v>
      </c>
      <c r="J149" s="74" t="n">
        <v>92.3</v>
      </c>
      <c r="K149" s="74" t="n">
        <v>270</v>
      </c>
      <c r="T149" s="74" t="n">
        <v>3</v>
      </c>
      <c r="U149" s="74" t="n">
        <v>2</v>
      </c>
      <c r="V149" s="74" t="inlineStr">
        <is>
          <t>계단식</t>
        </is>
      </c>
      <c r="W149" s="74" t="n">
        <v>112</v>
      </c>
      <c r="X149" s="74" t="n">
        <v>15</v>
      </c>
      <c r="Y149" s="74" t="n">
        <v>15</v>
      </c>
      <c r="Z149" s="74" t="inlineStr">
        <is>
          <t>https://new.land.naver.com/complexes/4974?tab=detail&amp;rf=Y</t>
        </is>
      </c>
      <c r="AA149" s="74" t="inlineStr">
        <is>
          <t>전라북도 군산시 나운동 155-10</t>
        </is>
      </c>
      <c r="AB149" s="74" t="inlineStr">
        <is>
          <t>전라북도</t>
        </is>
      </c>
      <c r="AC149" s="74" t="inlineStr">
        <is>
          <t>군산시</t>
        </is>
      </c>
      <c r="AD149" s="74" t="inlineStr">
        <is>
          <t>나운동</t>
        </is>
      </c>
      <c r="AG149" s="74" t="inlineStr">
        <is>
          <t>전라북도 군산시 백토로 216</t>
        </is>
      </c>
      <c r="AH149" s="74" t="n">
        <v>0</v>
      </c>
      <c r="AI149" s="74" t="n">
        <v>208</v>
      </c>
      <c r="AJ149" s="74" t="n">
        <v>19</v>
      </c>
      <c r="AK149" s="74" t="n">
        <v>420</v>
      </c>
      <c r="AL149" s="74" t="n">
        <v>1</v>
      </c>
    </row>
    <row r="150">
      <c r="A150" s="74" t="inlineStr">
        <is>
          <t>[나운동]</t>
        </is>
      </c>
      <c r="B150" s="74" t="n">
        <v>4974</v>
      </c>
      <c r="C150" s="74" t="n">
        <v>2</v>
      </c>
      <c r="D150" s="74" t="inlineStr">
        <is>
          <t>동신</t>
        </is>
      </c>
      <c r="E150" s="74" t="inlineStr">
        <is>
          <t>1997.12.</t>
        </is>
      </c>
      <c r="F150" s="74" t="n">
        <v>420</v>
      </c>
      <c r="G150" s="74" t="n">
        <v>41.29</v>
      </c>
      <c r="H150" s="74" t="n">
        <v>136.52</v>
      </c>
      <c r="I150" s="74" t="n">
        <v>34.66</v>
      </c>
      <c r="J150" s="74" t="n">
        <v>114.6</v>
      </c>
      <c r="K150" s="74" t="n">
        <v>150</v>
      </c>
      <c r="T150" s="74" t="n">
        <v>4</v>
      </c>
      <c r="U150" s="74" t="n">
        <v>2</v>
      </c>
      <c r="V150" s="74" t="inlineStr">
        <is>
          <t>계단식</t>
        </is>
      </c>
      <c r="W150" s="74" t="n">
        <v>136</v>
      </c>
      <c r="X150" s="74" t="n">
        <v>15</v>
      </c>
      <c r="Y150" s="74" t="n">
        <v>15</v>
      </c>
      <c r="Z150" s="74" t="inlineStr">
        <is>
          <t>https://new.land.naver.com/complexes/4974?tab=detail&amp;rf=Y</t>
        </is>
      </c>
      <c r="AA150" s="74" t="inlineStr">
        <is>
          <t>전라북도 군산시 나운동 155-10</t>
        </is>
      </c>
      <c r="AB150" s="74" t="inlineStr">
        <is>
          <t>전라북도</t>
        </is>
      </c>
      <c r="AC150" s="74" t="inlineStr">
        <is>
          <t>군산시</t>
        </is>
      </c>
      <c r="AD150" s="74" t="inlineStr">
        <is>
          <t>나운동</t>
        </is>
      </c>
      <c r="AG150" s="74" t="inlineStr">
        <is>
          <t>전라북도 군산시 백토로 216</t>
        </is>
      </c>
      <c r="AH150" s="74" t="n">
        <v>0</v>
      </c>
      <c r="AI150" s="74" t="n">
        <v>208</v>
      </c>
      <c r="AJ150" s="74" t="n">
        <v>19</v>
      </c>
      <c r="AK150" s="74" t="n">
        <v>420</v>
      </c>
      <c r="AL150" s="74" t="n">
        <v>1</v>
      </c>
    </row>
    <row r="151">
      <c r="A151" s="74" t="inlineStr">
        <is>
          <t>[나운동]</t>
        </is>
      </c>
      <c r="B151" s="74" t="n">
        <v>4973</v>
      </c>
      <c r="C151" s="74" t="n">
        <v>1</v>
      </c>
      <c r="D151" s="74" t="inlineStr">
        <is>
          <t>대우</t>
        </is>
      </c>
      <c r="E151" s="74" t="inlineStr">
        <is>
          <t>1997.02.</t>
        </is>
      </c>
      <c r="F151" s="74" t="n">
        <v>260</v>
      </c>
      <c r="G151" s="74" t="n">
        <v>31.86</v>
      </c>
      <c r="H151" s="74" t="n">
        <v>105.33</v>
      </c>
      <c r="I151" s="74" t="n">
        <v>25.7</v>
      </c>
      <c r="J151" s="74" t="n">
        <v>84.98</v>
      </c>
      <c r="K151" s="74" t="n">
        <v>230</v>
      </c>
      <c r="T151" s="74" t="n">
        <v>3</v>
      </c>
      <c r="U151" s="74" t="n">
        <v>2</v>
      </c>
      <c r="V151" s="74" t="inlineStr">
        <is>
          <t>계단식</t>
        </is>
      </c>
      <c r="W151" s="74" t="n">
        <v>105</v>
      </c>
      <c r="X151" s="74" t="n">
        <v>15</v>
      </c>
      <c r="Y151" s="74" t="n">
        <v>14</v>
      </c>
      <c r="Z151" s="74" t="inlineStr">
        <is>
          <t>https://new.land.naver.com/complexes/4973?tab=detail&amp;rf=Y</t>
        </is>
      </c>
      <c r="AA151" s="74" t="inlineStr">
        <is>
          <t>전라북도 군산시 나운동 155-5</t>
        </is>
      </c>
      <c r="AB151" s="74" t="inlineStr">
        <is>
          <t>전라북도</t>
        </is>
      </c>
      <c r="AC151" s="74" t="inlineStr">
        <is>
          <t>군산시</t>
        </is>
      </c>
      <c r="AD151" s="74" t="inlineStr">
        <is>
          <t>나운동</t>
        </is>
      </c>
      <c r="AG151" s="74" t="inlineStr">
        <is>
          <t>전라북도 군산시 의료원로 136</t>
        </is>
      </c>
      <c r="AH151" s="74" t="n">
        <v>0</v>
      </c>
      <c r="AI151" s="74" t="n">
        <v>251</v>
      </c>
      <c r="AJ151" s="74" t="n">
        <v>20</v>
      </c>
      <c r="AK151" s="74" t="n">
        <v>260</v>
      </c>
      <c r="AL151" s="74" t="n">
        <v>1</v>
      </c>
    </row>
    <row r="152">
      <c r="A152" s="74" t="inlineStr">
        <is>
          <t>[나운동]</t>
        </is>
      </c>
      <c r="B152" s="74" t="n">
        <v>4973</v>
      </c>
      <c r="C152" s="74" t="n">
        <v>2</v>
      </c>
      <c r="D152" s="74" t="inlineStr">
        <is>
          <t>대우</t>
        </is>
      </c>
      <c r="E152" s="74" t="inlineStr">
        <is>
          <t>1997.02.</t>
        </is>
      </c>
      <c r="F152" s="74" t="n">
        <v>260</v>
      </c>
      <c r="G152" s="74" t="n">
        <v>68.3</v>
      </c>
      <c r="H152" s="74" t="n">
        <v>225.81</v>
      </c>
      <c r="I152" s="74" t="n">
        <v>56.6</v>
      </c>
      <c r="J152" s="74" t="n">
        <v>187.11</v>
      </c>
      <c r="K152" s="74" t="n">
        <v>30</v>
      </c>
      <c r="T152" s="74" t="n">
        <v>5</v>
      </c>
      <c r="U152" s="74" t="n">
        <v>2</v>
      </c>
      <c r="V152" s="74" t="inlineStr">
        <is>
          <t>계단식</t>
        </is>
      </c>
      <c r="W152" s="74" t="n">
        <v>225</v>
      </c>
      <c r="X152" s="74" t="n">
        <v>15</v>
      </c>
      <c r="Y152" s="74" t="n">
        <v>14</v>
      </c>
      <c r="Z152" s="74" t="inlineStr">
        <is>
          <t>https://new.land.naver.com/complexes/4973?tab=detail&amp;rf=Y</t>
        </is>
      </c>
      <c r="AA152" s="74" t="inlineStr">
        <is>
          <t>전라북도 군산시 나운동 155-5</t>
        </is>
      </c>
      <c r="AB152" s="74" t="inlineStr">
        <is>
          <t>전라북도</t>
        </is>
      </c>
      <c r="AC152" s="74" t="inlineStr">
        <is>
          <t>군산시</t>
        </is>
      </c>
      <c r="AD152" s="74" t="inlineStr">
        <is>
          <t>나운동</t>
        </is>
      </c>
      <c r="AG152" s="74" t="inlineStr">
        <is>
          <t>전라북도 군산시 의료원로 136</t>
        </is>
      </c>
      <c r="AH152" s="74" t="n">
        <v>0</v>
      </c>
      <c r="AI152" s="74" t="n">
        <v>251</v>
      </c>
      <c r="AJ152" s="74" t="n">
        <v>20</v>
      </c>
      <c r="AK152" s="74" t="n">
        <v>260</v>
      </c>
      <c r="AL152" s="74" t="n">
        <v>1</v>
      </c>
    </row>
    <row r="153">
      <c r="A153" s="74" t="inlineStr">
        <is>
          <t>[나운동]</t>
        </is>
      </c>
      <c r="B153" s="74" t="n">
        <v>126610</v>
      </c>
      <c r="C153" s="74" t="n">
        <v>1</v>
      </c>
      <c r="D153" s="74" t="inlineStr">
        <is>
          <t>로얄맨션4차</t>
        </is>
      </c>
      <c r="E153" s="74" t="inlineStr">
        <is>
          <t>1991.12.</t>
        </is>
      </c>
      <c r="F153" s="74" t="n">
        <v>32</v>
      </c>
      <c r="G153" s="74" t="n">
        <v>22.88</v>
      </c>
      <c r="H153" s="74" t="n">
        <v>75.64</v>
      </c>
      <c r="I153" s="74" t="n">
        <v>17.53</v>
      </c>
      <c r="J153" s="74" t="n">
        <v>57.96</v>
      </c>
      <c r="K153" s="74" t="n">
        <v>32</v>
      </c>
      <c r="T153" s="74" t="n">
        <v>3</v>
      </c>
      <c r="U153" s="74" t="n">
        <v>1</v>
      </c>
      <c r="V153" s="74" t="inlineStr">
        <is>
          <t>계단식</t>
        </is>
      </c>
      <c r="W153" s="74" t="n">
        <v>75</v>
      </c>
      <c r="X153" s="74" t="n">
        <v>4</v>
      </c>
      <c r="Y153" s="74" t="n">
        <v>4</v>
      </c>
      <c r="Z153" s="74" t="inlineStr">
        <is>
          <t>https://new.land.naver.com/complexes/126610?tab=detail&amp;rf=Y</t>
        </is>
      </c>
      <c r="AA153" s="74" t="inlineStr">
        <is>
          <t>전라북도 군산시 나운동 759-8</t>
        </is>
      </c>
      <c r="AB153" s="74" t="inlineStr">
        <is>
          <t>전라북도</t>
        </is>
      </c>
      <c r="AC153" s="74" t="inlineStr">
        <is>
          <t>군산시</t>
        </is>
      </c>
      <c r="AD153" s="74" t="inlineStr">
        <is>
          <t>나운동</t>
        </is>
      </c>
      <c r="AG153" s="74" t="inlineStr">
        <is>
          <t>전라북도 군산시 상신2길 10-6</t>
        </is>
      </c>
      <c r="AH153" s="74" t="n">
        <v>0</v>
      </c>
      <c r="AI153" s="74" t="n">
        <v>0</v>
      </c>
      <c r="AJ153" s="74" t="n">
        <v>0</v>
      </c>
      <c r="AK153" s="74" t="n">
        <v>0</v>
      </c>
      <c r="AL153" s="74" t="n">
        <v>0</v>
      </c>
    </row>
    <row r="154">
      <c r="A154" s="74" t="inlineStr">
        <is>
          <t>[나운동]</t>
        </is>
      </c>
      <c r="B154" s="74" t="n">
        <v>4977</v>
      </c>
      <c r="C154" s="74" t="n">
        <v>1</v>
      </c>
      <c r="D154" s="74" t="inlineStr">
        <is>
          <t>롯데1차</t>
        </is>
      </c>
      <c r="E154" s="74" t="inlineStr">
        <is>
          <t>1991.03.</t>
        </is>
      </c>
      <c r="F154" s="74" t="n">
        <v>420</v>
      </c>
      <c r="G154" s="74" t="n">
        <v>27.79</v>
      </c>
      <c r="H154" s="74" t="n">
        <v>91.87</v>
      </c>
      <c r="I154" s="74" t="n">
        <v>22.39</v>
      </c>
      <c r="J154" s="74" t="n">
        <v>74.02</v>
      </c>
      <c r="K154" s="74" t="n">
        <v>104</v>
      </c>
      <c r="T154" s="74" t="n">
        <v>3</v>
      </c>
      <c r="U154" s="74" t="n">
        <v>1</v>
      </c>
      <c r="V154" s="74" t="inlineStr">
        <is>
          <t>계단식</t>
        </is>
      </c>
      <c r="W154" s="74" t="n">
        <v>91</v>
      </c>
      <c r="X154" s="74" t="n">
        <v>14</v>
      </c>
      <c r="Y154" s="74" t="n">
        <v>13</v>
      </c>
      <c r="Z154" s="74" t="inlineStr">
        <is>
          <t>https://new.land.naver.com/complexes/4977?tab=detail&amp;rf=Y</t>
        </is>
      </c>
      <c r="AA154" s="74" t="inlineStr">
        <is>
          <t>전라북도 군산시 나운동 345</t>
        </is>
      </c>
      <c r="AB154" s="74" t="inlineStr">
        <is>
          <t>전라북도</t>
        </is>
      </c>
      <c r="AC154" s="74" t="inlineStr">
        <is>
          <t>군산시</t>
        </is>
      </c>
      <c r="AD154" s="74" t="inlineStr">
        <is>
          <t>나운동</t>
        </is>
      </c>
      <c r="AG154" s="74" t="inlineStr">
        <is>
          <t>전라북도 군산시 하나운로 45</t>
        </is>
      </c>
      <c r="AH154" s="74" t="n">
        <v>0</v>
      </c>
      <c r="AI154" s="74" t="n">
        <v>0</v>
      </c>
      <c r="AJ154" s="74" t="n">
        <v>0</v>
      </c>
      <c r="AK154" s="74" t="n">
        <v>0</v>
      </c>
      <c r="AL154" s="74" t="n">
        <v>0</v>
      </c>
    </row>
    <row r="155">
      <c r="A155" s="74" t="inlineStr">
        <is>
          <t>[나운동]</t>
        </is>
      </c>
      <c r="B155" s="74" t="n">
        <v>4977</v>
      </c>
      <c r="C155" s="74" t="n">
        <v>2</v>
      </c>
      <c r="D155" s="74" t="inlineStr">
        <is>
          <t>롯데1차</t>
        </is>
      </c>
      <c r="E155" s="74" t="inlineStr">
        <is>
          <t>1991.03.</t>
        </is>
      </c>
      <c r="F155" s="74" t="n">
        <v>420</v>
      </c>
      <c r="G155" s="74" t="n">
        <v>32.02</v>
      </c>
      <c r="H155" s="74" t="n">
        <v>105.86</v>
      </c>
      <c r="I155" s="74" t="n">
        <v>25.66</v>
      </c>
      <c r="J155" s="74" t="n">
        <v>84.84</v>
      </c>
      <c r="K155" s="74" t="n">
        <v>182</v>
      </c>
      <c r="T155" s="74" t="n">
        <v>3</v>
      </c>
      <c r="U155" s="74" t="n">
        <v>2</v>
      </c>
      <c r="V155" s="74" t="inlineStr">
        <is>
          <t>계단식</t>
        </is>
      </c>
      <c r="W155" s="74" t="n">
        <v>105</v>
      </c>
      <c r="X155" s="74" t="n">
        <v>14</v>
      </c>
      <c r="Y155" s="74" t="n">
        <v>13</v>
      </c>
      <c r="Z155" s="74" t="inlineStr">
        <is>
          <t>https://new.land.naver.com/complexes/4977?tab=detail&amp;rf=Y</t>
        </is>
      </c>
      <c r="AA155" s="74" t="inlineStr">
        <is>
          <t>전라북도 군산시 나운동 345</t>
        </is>
      </c>
      <c r="AB155" s="74" t="inlineStr">
        <is>
          <t>전라북도</t>
        </is>
      </c>
      <c r="AC155" s="74" t="inlineStr">
        <is>
          <t>군산시</t>
        </is>
      </c>
      <c r="AD155" s="74" t="inlineStr">
        <is>
          <t>나운동</t>
        </is>
      </c>
      <c r="AG155" s="74" t="inlineStr">
        <is>
          <t>전라북도 군산시 하나운로 45</t>
        </is>
      </c>
      <c r="AH155" s="74" t="n">
        <v>0</v>
      </c>
      <c r="AI155" s="74" t="n">
        <v>0</v>
      </c>
      <c r="AJ155" s="74" t="n">
        <v>0</v>
      </c>
      <c r="AK155" s="74" t="n">
        <v>0</v>
      </c>
      <c r="AL155" s="74" t="n">
        <v>0</v>
      </c>
    </row>
    <row r="156">
      <c r="A156" s="74" t="inlineStr">
        <is>
          <t>[나운동]</t>
        </is>
      </c>
      <c r="B156" s="74" t="n">
        <v>4977</v>
      </c>
      <c r="C156" s="74" t="n">
        <v>3</v>
      </c>
      <c r="D156" s="74" t="inlineStr">
        <is>
          <t>롯데1차</t>
        </is>
      </c>
      <c r="E156" s="74" t="inlineStr">
        <is>
          <t>1991.03.</t>
        </is>
      </c>
      <c r="F156" s="74" t="n">
        <v>420</v>
      </c>
      <c r="G156" s="74" t="n">
        <v>47.01</v>
      </c>
      <c r="H156" s="74" t="n">
        <v>155.42</v>
      </c>
      <c r="I156" s="74" t="n">
        <v>39.85</v>
      </c>
      <c r="J156" s="74" t="n">
        <v>131.75</v>
      </c>
      <c r="K156" s="74" t="n">
        <v>78</v>
      </c>
      <c r="T156" s="74" t="n">
        <v>4</v>
      </c>
      <c r="U156" s="74" t="n">
        <v>2</v>
      </c>
      <c r="V156" s="74" t="inlineStr">
        <is>
          <t>계단식</t>
        </is>
      </c>
      <c r="W156" s="74" t="n">
        <v>155</v>
      </c>
      <c r="X156" s="74" t="n">
        <v>14</v>
      </c>
      <c r="Y156" s="74" t="n">
        <v>13</v>
      </c>
      <c r="Z156" s="74" t="inlineStr">
        <is>
          <t>https://new.land.naver.com/complexes/4977?tab=detail&amp;rf=Y</t>
        </is>
      </c>
      <c r="AA156" s="74" t="inlineStr">
        <is>
          <t>전라북도 군산시 나운동 345</t>
        </is>
      </c>
      <c r="AB156" s="74" t="inlineStr">
        <is>
          <t>전라북도</t>
        </is>
      </c>
      <c r="AC156" s="74" t="inlineStr">
        <is>
          <t>군산시</t>
        </is>
      </c>
      <c r="AD156" s="74" t="inlineStr">
        <is>
          <t>나운동</t>
        </is>
      </c>
      <c r="AG156" s="74" t="inlineStr">
        <is>
          <t>전라북도 군산시 하나운로 45</t>
        </is>
      </c>
      <c r="AH156" s="74" t="n">
        <v>0</v>
      </c>
      <c r="AI156" s="74" t="n">
        <v>0</v>
      </c>
      <c r="AJ156" s="74" t="n">
        <v>0</v>
      </c>
      <c r="AK156" s="74" t="n">
        <v>0</v>
      </c>
      <c r="AL156" s="74" t="n">
        <v>0</v>
      </c>
    </row>
    <row r="157">
      <c r="A157" s="74" t="inlineStr">
        <is>
          <t>[나운동]</t>
        </is>
      </c>
      <c r="B157" s="74" t="n">
        <v>4977</v>
      </c>
      <c r="C157" s="74" t="n">
        <v>4</v>
      </c>
      <c r="D157" s="74" t="inlineStr">
        <is>
          <t>롯데1차</t>
        </is>
      </c>
      <c r="E157" s="74" t="inlineStr">
        <is>
          <t>1991.03.</t>
        </is>
      </c>
      <c r="F157" s="74" t="n">
        <v>420</v>
      </c>
      <c r="G157" s="74" t="n">
        <v>58.02</v>
      </c>
      <c r="H157" s="74" t="n">
        <v>191.81</v>
      </c>
      <c r="I157" s="74" t="n">
        <v>49.28</v>
      </c>
      <c r="J157" s="74" t="n">
        <v>162.92</v>
      </c>
      <c r="K157" s="74" t="n">
        <v>56</v>
      </c>
      <c r="T157" s="74" t="n">
        <v>5</v>
      </c>
      <c r="U157" s="74" t="n">
        <v>2</v>
      </c>
      <c r="V157" s="74" t="inlineStr">
        <is>
          <t>계단식</t>
        </is>
      </c>
      <c r="W157" s="74" t="n">
        <v>191</v>
      </c>
      <c r="X157" s="74" t="n">
        <v>14</v>
      </c>
      <c r="Y157" s="74" t="n">
        <v>13</v>
      </c>
      <c r="Z157" s="74" t="inlineStr">
        <is>
          <t>https://new.land.naver.com/complexes/4977?tab=detail&amp;rf=Y</t>
        </is>
      </c>
      <c r="AA157" s="74" t="inlineStr">
        <is>
          <t>전라북도 군산시 나운동 345</t>
        </is>
      </c>
      <c r="AB157" s="74" t="inlineStr">
        <is>
          <t>전라북도</t>
        </is>
      </c>
      <c r="AC157" s="74" t="inlineStr">
        <is>
          <t>군산시</t>
        </is>
      </c>
      <c r="AD157" s="74" t="inlineStr">
        <is>
          <t>나운동</t>
        </is>
      </c>
      <c r="AG157" s="74" t="inlineStr">
        <is>
          <t>전라북도 군산시 하나운로 45</t>
        </is>
      </c>
      <c r="AH157" s="74" t="n">
        <v>0</v>
      </c>
      <c r="AI157" s="74" t="n">
        <v>0</v>
      </c>
      <c r="AJ157" s="74" t="n">
        <v>0</v>
      </c>
      <c r="AK157" s="74" t="n">
        <v>0</v>
      </c>
      <c r="AL157" s="74" t="n">
        <v>0</v>
      </c>
    </row>
    <row r="158">
      <c r="A158" s="74" t="inlineStr">
        <is>
          <t>[나운동]</t>
        </is>
      </c>
      <c r="B158" s="74" t="n">
        <v>144827</v>
      </c>
      <c r="C158" s="74" t="n">
        <v>1</v>
      </c>
      <c r="D158" s="74" t="inlineStr">
        <is>
          <t>삼성(1187-7)</t>
        </is>
      </c>
      <c r="E158" s="74" t="inlineStr">
        <is>
          <t>1988.06.</t>
        </is>
      </c>
      <c r="F158" s="74" t="n">
        <v>88</v>
      </c>
      <c r="G158" s="74" t="n">
        <v>16.74</v>
      </c>
      <c r="H158" s="74" t="n">
        <v>55.35</v>
      </c>
      <c r="I158" s="74" t="n">
        <v>15.1</v>
      </c>
      <c r="J158" s="74" t="n">
        <v>49.95</v>
      </c>
      <c r="K158" s="74" t="n">
        <v>88</v>
      </c>
      <c r="T158" s="74" t="n">
        <v>2</v>
      </c>
      <c r="U158" s="74" t="n">
        <v>1</v>
      </c>
      <c r="V158" s="74" t="inlineStr">
        <is>
          <t>계단식</t>
        </is>
      </c>
      <c r="W158" s="74" t="n">
        <v>55</v>
      </c>
      <c r="X158" s="74" t="n">
        <v>5</v>
      </c>
      <c r="Y158" s="74" t="n">
        <v>5</v>
      </c>
      <c r="Z158" s="74" t="inlineStr">
        <is>
          <t>https://new.land.naver.com/complexes/144827?tab=detail&amp;rf=Y</t>
        </is>
      </c>
      <c r="AA158" s="74" t="inlineStr">
        <is>
          <t>전라북도 군산시 나운동 1187-7</t>
        </is>
      </c>
      <c r="AB158" s="74" t="inlineStr">
        <is>
          <t>전라북도</t>
        </is>
      </c>
      <c r="AC158" s="74" t="inlineStr">
        <is>
          <t>군산시</t>
        </is>
      </c>
      <c r="AD158" s="74" t="inlineStr">
        <is>
          <t>나운동</t>
        </is>
      </c>
      <c r="AG158" s="74" t="inlineStr">
        <is>
          <t>전라북도 군산시 한밭1길 12</t>
        </is>
      </c>
      <c r="AH158" s="74" t="n">
        <v>0</v>
      </c>
      <c r="AI158" s="74" t="n">
        <v>0</v>
      </c>
      <c r="AJ158" s="74" t="n">
        <v>0</v>
      </c>
      <c r="AK158" s="74" t="n">
        <v>0</v>
      </c>
      <c r="AL158" s="74" t="n">
        <v>0</v>
      </c>
    </row>
    <row r="159">
      <c r="A159" s="74" t="inlineStr">
        <is>
          <t>[나운동]</t>
        </is>
      </c>
      <c r="B159" s="74" t="n">
        <v>13526</v>
      </c>
      <c r="C159" s="74" t="n">
        <v>1</v>
      </c>
      <c r="D159" s="74" t="inlineStr">
        <is>
          <t>아리랑</t>
        </is>
      </c>
      <c r="E159" s="74" t="inlineStr">
        <is>
          <t>1988.11.</t>
        </is>
      </c>
      <c r="F159" s="74" t="n">
        <v>165</v>
      </c>
      <c r="G159" s="74" t="n">
        <v>20.41</v>
      </c>
      <c r="H159" s="74" t="n">
        <v>67.48</v>
      </c>
      <c r="I159" s="74" t="n">
        <v>17.47</v>
      </c>
      <c r="J159" s="74" t="n">
        <v>57.78</v>
      </c>
      <c r="K159" s="74" t="n">
        <v>160</v>
      </c>
      <c r="T159" s="74" t="n">
        <v>3</v>
      </c>
      <c r="U159" s="74" t="n">
        <v>1</v>
      </c>
      <c r="V159" s="74" t="inlineStr">
        <is>
          <t>계단식</t>
        </is>
      </c>
      <c r="W159" s="74" t="n">
        <v>67</v>
      </c>
      <c r="X159" s="74" t="n">
        <v>5</v>
      </c>
      <c r="Y159" s="74" t="n">
        <v>5</v>
      </c>
      <c r="Z159" s="74" t="inlineStr">
        <is>
          <t>https://new.land.naver.com/complexes/13526?tab=detail&amp;rf=Y</t>
        </is>
      </c>
      <c r="AA159" s="74" t="inlineStr">
        <is>
          <t>전라북도 군산시 나운동 1189-1</t>
        </is>
      </c>
      <c r="AB159" s="74" t="inlineStr">
        <is>
          <t>전라북도</t>
        </is>
      </c>
      <c r="AC159" s="74" t="inlineStr">
        <is>
          <t>군산시</t>
        </is>
      </c>
      <c r="AD159" s="74" t="inlineStr">
        <is>
          <t>나운동</t>
        </is>
      </c>
      <c r="AG159" s="74" t="inlineStr">
        <is>
          <t>전라북도 군산시 한밭3길 9</t>
        </is>
      </c>
      <c r="AH159" s="74" t="n">
        <v>0</v>
      </c>
      <c r="AI159" s="74" t="n">
        <v>0</v>
      </c>
      <c r="AJ159" s="74" t="n">
        <v>0</v>
      </c>
      <c r="AK159" s="74" t="n">
        <v>0</v>
      </c>
      <c r="AL159" s="74" t="n">
        <v>0</v>
      </c>
    </row>
    <row r="160">
      <c r="A160" s="74" t="inlineStr">
        <is>
          <t>[나운동]</t>
        </is>
      </c>
      <c r="B160" s="74" t="n">
        <v>13526</v>
      </c>
      <c r="C160" s="74" t="n">
        <v>2</v>
      </c>
      <c r="D160" s="74" t="inlineStr">
        <is>
          <t>아리랑</t>
        </is>
      </c>
      <c r="E160" s="74" t="inlineStr">
        <is>
          <t>1988.11.</t>
        </is>
      </c>
      <c r="F160" s="74" t="n">
        <v>165</v>
      </c>
      <c r="G160" s="74" t="n">
        <v>24.6</v>
      </c>
      <c r="H160" s="74" t="n">
        <v>81.34999999999999</v>
      </c>
      <c r="I160" s="74" t="n">
        <v>19.62</v>
      </c>
      <c r="J160" s="74" t="n">
        <v>64.89</v>
      </c>
      <c r="K160" s="74" t="n">
        <v>5</v>
      </c>
      <c r="T160" s="74" t="n">
        <v>3</v>
      </c>
      <c r="U160" s="74" t="n">
        <v>1</v>
      </c>
      <c r="V160" s="74" t="inlineStr">
        <is>
          <t>계단식</t>
        </is>
      </c>
      <c r="W160" s="74" t="n">
        <v>81</v>
      </c>
      <c r="X160" s="74" t="n">
        <v>5</v>
      </c>
      <c r="Y160" s="74" t="n">
        <v>5</v>
      </c>
      <c r="Z160" s="74" t="inlineStr">
        <is>
          <t>https://new.land.naver.com/complexes/13526?tab=detail&amp;rf=Y</t>
        </is>
      </c>
      <c r="AA160" s="74" t="inlineStr">
        <is>
          <t>전라북도 군산시 나운동 1189-1</t>
        </is>
      </c>
      <c r="AB160" s="74" t="inlineStr">
        <is>
          <t>전라북도</t>
        </is>
      </c>
      <c r="AC160" s="74" t="inlineStr">
        <is>
          <t>군산시</t>
        </is>
      </c>
      <c r="AD160" s="74" t="inlineStr">
        <is>
          <t>나운동</t>
        </is>
      </c>
      <c r="AG160" s="74" t="inlineStr">
        <is>
          <t>전라북도 군산시 한밭3길 9</t>
        </is>
      </c>
      <c r="AH160" s="74" t="n">
        <v>0</v>
      </c>
      <c r="AI160" s="74" t="n">
        <v>0</v>
      </c>
      <c r="AJ160" s="74" t="n">
        <v>0</v>
      </c>
      <c r="AK160" s="74" t="n">
        <v>0</v>
      </c>
      <c r="AL160" s="74" t="n">
        <v>0</v>
      </c>
    </row>
    <row r="161">
      <c r="A161" s="74" t="inlineStr">
        <is>
          <t>[나운동]</t>
        </is>
      </c>
      <c r="B161" s="74" t="n">
        <v>14963</v>
      </c>
      <c r="C161" s="74" t="n">
        <v>1</v>
      </c>
      <c r="D161" s="74" t="inlineStr">
        <is>
          <t>한울</t>
        </is>
      </c>
      <c r="E161" s="74" t="inlineStr">
        <is>
          <t>1996.07.</t>
        </is>
      </c>
      <c r="F161" s="74" t="n">
        <v>840</v>
      </c>
      <c r="G161" s="74" t="n">
        <v>23.02</v>
      </c>
      <c r="H161" s="74" t="n">
        <v>76.11</v>
      </c>
      <c r="I161" s="74" t="n">
        <v>18.06</v>
      </c>
      <c r="J161" s="74" t="n">
        <v>59.73</v>
      </c>
      <c r="K161" s="74" t="n">
        <v>477</v>
      </c>
      <c r="T161" s="74" t="n">
        <v>3</v>
      </c>
      <c r="U161" s="74" t="n">
        <v>1</v>
      </c>
      <c r="V161" s="74" t="inlineStr">
        <is>
          <t>계단식</t>
        </is>
      </c>
      <c r="W161" s="74" t="inlineStr">
        <is>
          <t>76A</t>
        </is>
      </c>
      <c r="X161" s="74" t="n">
        <v>15</v>
      </c>
      <c r="Y161" s="74" t="n">
        <v>15</v>
      </c>
      <c r="Z161" s="74" t="inlineStr">
        <is>
          <t>https://new.land.naver.com/complexes/14963?tab=detail&amp;rf=Y</t>
        </is>
      </c>
      <c r="AA161" s="74" t="inlineStr">
        <is>
          <t>전라북도 군산시 나운동 155-1</t>
        </is>
      </c>
      <c r="AB161" s="74" t="inlineStr">
        <is>
          <t>전라북도</t>
        </is>
      </c>
      <c r="AC161" s="74" t="inlineStr">
        <is>
          <t>군산시</t>
        </is>
      </c>
      <c r="AD161" s="74" t="inlineStr">
        <is>
          <t>나운동</t>
        </is>
      </c>
      <c r="AG161" s="74" t="inlineStr">
        <is>
          <t>전라북도 군산시 하나운로 20</t>
        </is>
      </c>
      <c r="AH161" s="74" t="n">
        <v>3</v>
      </c>
      <c r="AI161" s="74" t="n">
        <v>0</v>
      </c>
      <c r="AJ161" s="74" t="n">
        <v>0</v>
      </c>
      <c r="AK161" s="74" t="n">
        <v>811</v>
      </c>
      <c r="AL161" s="74" t="n">
        <v>0.97</v>
      </c>
    </row>
    <row r="162">
      <c r="A162" s="74" t="inlineStr">
        <is>
          <t>[나운동]</t>
        </is>
      </c>
      <c r="B162" s="74" t="n">
        <v>14963</v>
      </c>
      <c r="C162" s="74" t="n">
        <v>2</v>
      </c>
      <c r="D162" s="74" t="inlineStr">
        <is>
          <t>한울</t>
        </is>
      </c>
      <c r="E162" s="74" t="inlineStr">
        <is>
          <t>1996.07.</t>
        </is>
      </c>
      <c r="F162" s="74" t="n">
        <v>840</v>
      </c>
      <c r="G162" s="74" t="n">
        <v>23.24</v>
      </c>
      <c r="H162" s="74" t="n">
        <v>76.84999999999999</v>
      </c>
      <c r="I162" s="74" t="n">
        <v>18.13</v>
      </c>
      <c r="J162" s="74" t="n">
        <v>59.95</v>
      </c>
      <c r="K162" s="74" t="n">
        <v>360</v>
      </c>
      <c r="T162" s="74" t="n">
        <v>3</v>
      </c>
      <c r="U162" s="74" t="n">
        <v>1</v>
      </c>
      <c r="V162" s="74" t="inlineStr">
        <is>
          <t>계단식</t>
        </is>
      </c>
      <c r="W162" s="74" t="inlineStr">
        <is>
          <t>76B</t>
        </is>
      </c>
      <c r="X162" s="74" t="n">
        <v>15</v>
      </c>
      <c r="Y162" s="74" t="n">
        <v>15</v>
      </c>
      <c r="Z162" s="74" t="inlineStr">
        <is>
          <t>https://new.land.naver.com/complexes/14963?tab=detail&amp;rf=Y</t>
        </is>
      </c>
      <c r="AA162" s="74" t="inlineStr">
        <is>
          <t>전라북도 군산시 나운동 155-1</t>
        </is>
      </c>
      <c r="AB162" s="74" t="inlineStr">
        <is>
          <t>전라북도</t>
        </is>
      </c>
      <c r="AC162" s="74" t="inlineStr">
        <is>
          <t>군산시</t>
        </is>
      </c>
      <c r="AD162" s="74" t="inlineStr">
        <is>
          <t>나운동</t>
        </is>
      </c>
      <c r="AG162" s="74" t="inlineStr">
        <is>
          <t>전라북도 군산시 하나운로 20</t>
        </is>
      </c>
      <c r="AH162" s="74" t="n">
        <v>3</v>
      </c>
      <c r="AI162" s="74" t="n">
        <v>0</v>
      </c>
      <c r="AJ162" s="74" t="n">
        <v>0</v>
      </c>
      <c r="AK162" s="74" t="n">
        <v>811</v>
      </c>
      <c r="AL162" s="74" t="n">
        <v>0.97</v>
      </c>
    </row>
    <row r="163">
      <c r="A163" s="74" t="inlineStr">
        <is>
          <t>[나운동]</t>
        </is>
      </c>
      <c r="B163" s="74" t="n">
        <v>140966</v>
      </c>
      <c r="C163" s="74" t="n">
        <v>1</v>
      </c>
      <c r="D163" s="74" t="inlineStr">
        <is>
          <t>동산은파</t>
        </is>
      </c>
      <c r="E163" s="74" t="inlineStr">
        <is>
          <t>1985.04.</t>
        </is>
      </c>
      <c r="F163" s="74" t="n">
        <v>100</v>
      </c>
      <c r="G163" s="74" t="n">
        <v>19.62</v>
      </c>
      <c r="H163" s="74" t="n">
        <v>64.89</v>
      </c>
      <c r="I163" s="74" t="n">
        <v>17.99</v>
      </c>
      <c r="J163" s="74" t="n">
        <v>59.49</v>
      </c>
      <c r="K163" s="74" t="n">
        <v>30</v>
      </c>
      <c r="T163" s="74" t="n">
        <v>3</v>
      </c>
      <c r="U163" s="74" t="n">
        <v>1</v>
      </c>
      <c r="V163" s="74" t="inlineStr">
        <is>
          <t>계단식</t>
        </is>
      </c>
      <c r="W163" s="74" t="inlineStr">
        <is>
          <t>64A</t>
        </is>
      </c>
      <c r="X163" s="74" t="n">
        <v>5</v>
      </c>
      <c r="Y163" s="74" t="n">
        <v>5</v>
      </c>
      <c r="Z163" s="74" t="inlineStr">
        <is>
          <t>https://new.land.naver.com/complexes/140966?tab=detail&amp;rf=Y</t>
        </is>
      </c>
      <c r="AA163" s="74" t="inlineStr">
        <is>
          <t>전라북도 군산시 나운동 1188-5</t>
        </is>
      </c>
      <c r="AB163" s="74" t="inlineStr">
        <is>
          <t>전라북도</t>
        </is>
      </c>
      <c r="AC163" s="74" t="inlineStr">
        <is>
          <t>군산시</t>
        </is>
      </c>
      <c r="AD163" s="74" t="inlineStr">
        <is>
          <t>나운동</t>
        </is>
      </c>
      <c r="AG163" s="74" t="inlineStr">
        <is>
          <t>전라북도 군산시 한밭1길 32</t>
        </is>
      </c>
      <c r="AH163" s="74" t="n">
        <v>0</v>
      </c>
      <c r="AI163" s="74" t="n">
        <v>121</v>
      </c>
      <c r="AJ163" s="74" t="n">
        <v>26</v>
      </c>
      <c r="AK163" s="74" t="n">
        <v>18</v>
      </c>
      <c r="AL163" s="74" t="n">
        <v>0.18</v>
      </c>
    </row>
    <row r="164">
      <c r="A164" s="74" t="inlineStr">
        <is>
          <t>[나운동]</t>
        </is>
      </c>
      <c r="B164" s="74" t="n">
        <v>140966</v>
      </c>
      <c r="C164" s="74" t="n">
        <v>2</v>
      </c>
      <c r="D164" s="74" t="inlineStr">
        <is>
          <t>동산은파</t>
        </is>
      </c>
      <c r="E164" s="74" t="inlineStr">
        <is>
          <t>1985.04.</t>
        </is>
      </c>
      <c r="F164" s="74" t="n">
        <v>100</v>
      </c>
      <c r="G164" s="74" t="n">
        <v>19.72</v>
      </c>
      <c r="H164" s="74" t="n">
        <v>65.22</v>
      </c>
      <c r="I164" s="74" t="n">
        <v>18.09</v>
      </c>
      <c r="J164" s="74" t="n">
        <v>59.82</v>
      </c>
      <c r="K164" s="74" t="n">
        <v>5</v>
      </c>
      <c r="T164" s="74" t="n">
        <v>3</v>
      </c>
      <c r="U164" s="74" t="n">
        <v>1</v>
      </c>
      <c r="V164" s="74" t="inlineStr">
        <is>
          <t>계단식</t>
        </is>
      </c>
      <c r="W164" s="74" t="inlineStr">
        <is>
          <t>65B</t>
        </is>
      </c>
      <c r="X164" s="74" t="n">
        <v>5</v>
      </c>
      <c r="Y164" s="74" t="n">
        <v>5</v>
      </c>
      <c r="Z164" s="74" t="inlineStr">
        <is>
          <t>https://new.land.naver.com/complexes/140966?tab=detail&amp;rf=Y</t>
        </is>
      </c>
      <c r="AA164" s="74" t="inlineStr">
        <is>
          <t>전라북도 군산시 나운동 1188-5</t>
        </is>
      </c>
      <c r="AB164" s="74" t="inlineStr">
        <is>
          <t>전라북도</t>
        </is>
      </c>
      <c r="AC164" s="74" t="inlineStr">
        <is>
          <t>군산시</t>
        </is>
      </c>
      <c r="AD164" s="74" t="inlineStr">
        <is>
          <t>나운동</t>
        </is>
      </c>
      <c r="AG164" s="74" t="inlineStr">
        <is>
          <t>전라북도 군산시 한밭1길 32</t>
        </is>
      </c>
      <c r="AH164" s="74" t="n">
        <v>0</v>
      </c>
      <c r="AI164" s="74" t="n">
        <v>121</v>
      </c>
      <c r="AJ164" s="74" t="n">
        <v>26</v>
      </c>
      <c r="AK164" s="74" t="n">
        <v>18</v>
      </c>
      <c r="AL164" s="74" t="n">
        <v>0.18</v>
      </c>
    </row>
    <row r="165">
      <c r="A165" s="74" t="inlineStr">
        <is>
          <t>[나운동]</t>
        </is>
      </c>
      <c r="B165" s="74" t="n">
        <v>140966</v>
      </c>
      <c r="C165" s="74" t="n">
        <v>3</v>
      </c>
      <c r="D165" s="74" t="inlineStr">
        <is>
          <t>동산은파</t>
        </is>
      </c>
      <c r="E165" s="74" t="inlineStr">
        <is>
          <t>1985.04.</t>
        </is>
      </c>
      <c r="F165" s="74" t="n">
        <v>100</v>
      </c>
      <c r="G165" s="74" t="n">
        <v>20.52</v>
      </c>
      <c r="H165" s="74" t="n">
        <v>67.86</v>
      </c>
      <c r="I165" s="74" t="n">
        <v>18.89</v>
      </c>
      <c r="J165" s="74" t="n">
        <v>62.46</v>
      </c>
      <c r="K165" s="74" t="n">
        <v>65</v>
      </c>
      <c r="T165" s="74" t="n">
        <v>3</v>
      </c>
      <c r="U165" s="74" t="n">
        <v>1</v>
      </c>
      <c r="V165" s="74" t="inlineStr">
        <is>
          <t>계단식</t>
        </is>
      </c>
      <c r="W165" s="74" t="n">
        <v>67</v>
      </c>
      <c r="X165" s="74" t="n">
        <v>5</v>
      </c>
      <c r="Y165" s="74" t="n">
        <v>5</v>
      </c>
      <c r="Z165" s="74" t="inlineStr">
        <is>
          <t>https://new.land.naver.com/complexes/140966?tab=detail&amp;rf=Y</t>
        </is>
      </c>
      <c r="AA165" s="74" t="inlineStr">
        <is>
          <t>전라북도 군산시 나운동 1188-5</t>
        </is>
      </c>
      <c r="AB165" s="74" t="inlineStr">
        <is>
          <t>전라북도</t>
        </is>
      </c>
      <c r="AC165" s="74" t="inlineStr">
        <is>
          <t>군산시</t>
        </is>
      </c>
      <c r="AD165" s="74" t="inlineStr">
        <is>
          <t>나운동</t>
        </is>
      </c>
      <c r="AG165" s="74" t="inlineStr">
        <is>
          <t>전라북도 군산시 한밭1길 32</t>
        </is>
      </c>
      <c r="AH165" s="74" t="n">
        <v>0</v>
      </c>
      <c r="AI165" s="74" t="n">
        <v>121</v>
      </c>
      <c r="AJ165" s="74" t="n">
        <v>26</v>
      </c>
      <c r="AK165" s="74" t="n">
        <v>18</v>
      </c>
      <c r="AL165" s="74" t="n">
        <v>0.18</v>
      </c>
    </row>
    <row r="166">
      <c r="A166" s="74" t="inlineStr">
        <is>
          <t>[나운동]</t>
        </is>
      </c>
      <c r="B166" s="74" t="n">
        <v>5022</v>
      </c>
      <c r="C166" s="74" t="n">
        <v>1</v>
      </c>
      <c r="D166" s="74" t="inlineStr">
        <is>
          <t>현대3차</t>
        </is>
      </c>
      <c r="E166" s="74" t="inlineStr">
        <is>
          <t>1995.06.</t>
        </is>
      </c>
      <c r="F166" s="74" t="n">
        <v>479</v>
      </c>
      <c r="G166" s="74" t="n">
        <v>21.15</v>
      </c>
      <c r="H166" s="74" t="n">
        <v>69.95</v>
      </c>
      <c r="I166" s="74" t="n">
        <v>17.06</v>
      </c>
      <c r="J166" s="74" t="n">
        <v>56.41</v>
      </c>
      <c r="K166" s="74" t="n">
        <v>20</v>
      </c>
      <c r="T166" s="74" t="n">
        <v>2</v>
      </c>
      <c r="U166" s="74" t="n">
        <v>1</v>
      </c>
      <c r="V166" s="74" t="inlineStr">
        <is>
          <t>복도식</t>
        </is>
      </c>
      <c r="W166" s="74" t="n">
        <v>69</v>
      </c>
      <c r="X166" s="74" t="n">
        <v>20</v>
      </c>
      <c r="Y166" s="74" t="n">
        <v>20</v>
      </c>
      <c r="Z166" s="74" t="inlineStr">
        <is>
          <t>https://new.land.naver.com/complexes/5022?tab=detail&amp;rf=Y</t>
        </is>
      </c>
      <c r="AA166" s="74" t="inlineStr">
        <is>
          <t>전라북도 군산시 나운동 501</t>
        </is>
      </c>
      <c r="AB166" s="74" t="inlineStr">
        <is>
          <t>전라북도</t>
        </is>
      </c>
      <c r="AC166" s="74" t="inlineStr">
        <is>
          <t>군산시</t>
        </is>
      </c>
      <c r="AD166" s="74" t="inlineStr">
        <is>
          <t>나운동</t>
        </is>
      </c>
      <c r="AG166" s="74" t="inlineStr">
        <is>
          <t>전라북도 군산시 나운안2길 8</t>
        </is>
      </c>
      <c r="AH166" s="74" t="n">
        <v>0</v>
      </c>
      <c r="AI166" s="74" t="n">
        <v>300</v>
      </c>
      <c r="AJ166" s="74" t="n">
        <v>21</v>
      </c>
      <c r="AK166" s="74" t="n">
        <v>435</v>
      </c>
      <c r="AL166" s="74" t="n">
        <v>0.91</v>
      </c>
    </row>
    <row r="167">
      <c r="A167" s="74" t="inlineStr">
        <is>
          <t>[나운동]</t>
        </is>
      </c>
      <c r="B167" s="74" t="n">
        <v>5022</v>
      </c>
      <c r="C167" s="74" t="n">
        <v>2</v>
      </c>
      <c r="D167" s="74" t="inlineStr">
        <is>
          <t>현대3차</t>
        </is>
      </c>
      <c r="E167" s="74" t="inlineStr">
        <is>
          <t>1995.06.</t>
        </is>
      </c>
      <c r="F167" s="74" t="n">
        <v>479</v>
      </c>
      <c r="G167" s="74" t="n">
        <v>22.48</v>
      </c>
      <c r="H167" s="74" t="n">
        <v>74.33</v>
      </c>
      <c r="I167" s="74" t="n">
        <v>18.13</v>
      </c>
      <c r="J167" s="74" t="n">
        <v>59.95</v>
      </c>
      <c r="K167" s="74" t="n">
        <v>180</v>
      </c>
      <c r="T167" s="74" t="n">
        <v>3</v>
      </c>
      <c r="U167" s="74" t="n">
        <v>1</v>
      </c>
      <c r="V167" s="74" t="inlineStr">
        <is>
          <t>복도식</t>
        </is>
      </c>
      <c r="W167" s="74" t="n">
        <v>74</v>
      </c>
      <c r="X167" s="74" t="n">
        <v>20</v>
      </c>
      <c r="Y167" s="74" t="n">
        <v>20</v>
      </c>
      <c r="Z167" s="74" t="inlineStr">
        <is>
          <t>https://new.land.naver.com/complexes/5022?tab=detail&amp;rf=Y</t>
        </is>
      </c>
      <c r="AA167" s="74" t="inlineStr">
        <is>
          <t>전라북도 군산시 나운동 501</t>
        </is>
      </c>
      <c r="AB167" s="74" t="inlineStr">
        <is>
          <t>전라북도</t>
        </is>
      </c>
      <c r="AC167" s="74" t="inlineStr">
        <is>
          <t>군산시</t>
        </is>
      </c>
      <c r="AD167" s="74" t="inlineStr">
        <is>
          <t>나운동</t>
        </is>
      </c>
      <c r="AG167" s="74" t="inlineStr">
        <is>
          <t>전라북도 군산시 나운안2길 8</t>
        </is>
      </c>
      <c r="AH167" s="74" t="n">
        <v>0</v>
      </c>
      <c r="AI167" s="74" t="n">
        <v>300</v>
      </c>
      <c r="AJ167" s="74" t="n">
        <v>21</v>
      </c>
      <c r="AK167" s="74" t="n">
        <v>435</v>
      </c>
      <c r="AL167" s="74" t="n">
        <v>0.91</v>
      </c>
    </row>
    <row r="168">
      <c r="A168" s="74" t="inlineStr">
        <is>
          <t>[나운동]</t>
        </is>
      </c>
      <c r="B168" s="74" t="n">
        <v>5022</v>
      </c>
      <c r="C168" s="74" t="n">
        <v>3</v>
      </c>
      <c r="D168" s="74" t="inlineStr">
        <is>
          <t>현대3차</t>
        </is>
      </c>
      <c r="E168" s="74" t="inlineStr">
        <is>
          <t>1995.06.</t>
        </is>
      </c>
      <c r="F168" s="74" t="n">
        <v>479</v>
      </c>
      <c r="G168" s="74" t="n">
        <v>31.86</v>
      </c>
      <c r="H168" s="74" t="n">
        <v>105.33</v>
      </c>
      <c r="I168" s="74" t="n">
        <v>25.7</v>
      </c>
      <c r="J168" s="74" t="n">
        <v>84.95999999999999</v>
      </c>
      <c r="K168" s="74" t="n">
        <v>199</v>
      </c>
      <c r="T168" s="74" t="n">
        <v>3</v>
      </c>
      <c r="U168" s="74" t="n">
        <v>2</v>
      </c>
      <c r="V168" s="74" t="inlineStr">
        <is>
          <t>계단식</t>
        </is>
      </c>
      <c r="W168" s="74" t="n">
        <v>105</v>
      </c>
      <c r="X168" s="74" t="n">
        <v>20</v>
      </c>
      <c r="Y168" s="74" t="n">
        <v>20</v>
      </c>
      <c r="Z168" s="74" t="inlineStr">
        <is>
          <t>https://new.land.naver.com/complexes/5022?tab=detail&amp;rf=Y</t>
        </is>
      </c>
      <c r="AA168" s="74" t="inlineStr">
        <is>
          <t>전라북도 군산시 나운동 501</t>
        </is>
      </c>
      <c r="AB168" s="74" t="inlineStr">
        <is>
          <t>전라북도</t>
        </is>
      </c>
      <c r="AC168" s="74" t="inlineStr">
        <is>
          <t>군산시</t>
        </is>
      </c>
      <c r="AD168" s="74" t="inlineStr">
        <is>
          <t>나운동</t>
        </is>
      </c>
      <c r="AG168" s="74" t="inlineStr">
        <is>
          <t>전라북도 군산시 나운안2길 8</t>
        </is>
      </c>
      <c r="AH168" s="74" t="n">
        <v>0</v>
      </c>
      <c r="AI168" s="74" t="n">
        <v>300</v>
      </c>
      <c r="AJ168" s="74" t="n">
        <v>21</v>
      </c>
      <c r="AK168" s="74" t="n">
        <v>435</v>
      </c>
      <c r="AL168" s="74" t="n">
        <v>0.91</v>
      </c>
    </row>
    <row r="169">
      <c r="A169" s="74" t="inlineStr">
        <is>
          <t>[나운동]</t>
        </is>
      </c>
      <c r="B169" s="74" t="n">
        <v>5022</v>
      </c>
      <c r="C169" s="74" t="n">
        <v>4</v>
      </c>
      <c r="D169" s="74" t="inlineStr">
        <is>
          <t>현대3차</t>
        </is>
      </c>
      <c r="E169" s="74" t="inlineStr">
        <is>
          <t>1995.06.</t>
        </is>
      </c>
      <c r="F169" s="74" t="n">
        <v>479</v>
      </c>
      <c r="G169" s="74" t="n">
        <v>50.55</v>
      </c>
      <c r="H169" s="74" t="n">
        <v>167.12</v>
      </c>
      <c r="I169" s="74" t="n">
        <v>40.77</v>
      </c>
      <c r="J169" s="74" t="n">
        <v>134.79</v>
      </c>
      <c r="K169" s="74" t="n">
        <v>80</v>
      </c>
      <c r="T169" s="74" t="n">
        <v>4</v>
      </c>
      <c r="U169" s="74" t="n">
        <v>2</v>
      </c>
      <c r="V169" s="74" t="inlineStr">
        <is>
          <t>계단식</t>
        </is>
      </c>
      <c r="W169" s="74" t="n">
        <v>167</v>
      </c>
      <c r="X169" s="74" t="n">
        <v>20</v>
      </c>
      <c r="Y169" s="74" t="n">
        <v>20</v>
      </c>
      <c r="Z169" s="74" t="inlineStr">
        <is>
          <t>https://new.land.naver.com/complexes/5022?tab=detail&amp;rf=Y</t>
        </is>
      </c>
      <c r="AA169" s="74" t="inlineStr">
        <is>
          <t>전라북도 군산시 나운동 501</t>
        </is>
      </c>
      <c r="AB169" s="74" t="inlineStr">
        <is>
          <t>전라북도</t>
        </is>
      </c>
      <c r="AC169" s="74" t="inlineStr">
        <is>
          <t>군산시</t>
        </is>
      </c>
      <c r="AD169" s="74" t="inlineStr">
        <is>
          <t>나운동</t>
        </is>
      </c>
      <c r="AG169" s="74" t="inlineStr">
        <is>
          <t>전라북도 군산시 나운안2길 8</t>
        </is>
      </c>
      <c r="AH169" s="74" t="n">
        <v>0</v>
      </c>
      <c r="AI169" s="74" t="n">
        <v>300</v>
      </c>
      <c r="AJ169" s="74" t="n">
        <v>21</v>
      </c>
      <c r="AK169" s="74" t="n">
        <v>435</v>
      </c>
      <c r="AL169" s="74" t="n">
        <v>0.91</v>
      </c>
    </row>
    <row r="170">
      <c r="A170" s="74" t="inlineStr">
        <is>
          <t>[나운동]</t>
        </is>
      </c>
      <c r="B170" s="74" t="n">
        <v>5030</v>
      </c>
      <c r="C170" s="74" t="n">
        <v>1</v>
      </c>
      <c r="D170" s="74" t="inlineStr">
        <is>
          <t>현대백조</t>
        </is>
      </c>
      <c r="E170" s="74" t="inlineStr">
        <is>
          <t>1992.11.</t>
        </is>
      </c>
      <c r="F170" s="74" t="n">
        <v>498</v>
      </c>
      <c r="G170" s="74" t="n">
        <v>25.52</v>
      </c>
      <c r="H170" s="74" t="n">
        <v>84.38</v>
      </c>
      <c r="I170" s="74" t="n">
        <v>22.14</v>
      </c>
      <c r="J170" s="74" t="n">
        <v>73.2</v>
      </c>
      <c r="K170" s="74" t="n">
        <v>84</v>
      </c>
      <c r="T170" s="74" t="n">
        <v>3</v>
      </c>
      <c r="U170" s="74" t="n">
        <v>1</v>
      </c>
      <c r="V170" s="74" t="inlineStr">
        <is>
          <t>계단식</t>
        </is>
      </c>
      <c r="W170" s="74" t="n">
        <v>84</v>
      </c>
      <c r="X170" s="74" t="n">
        <v>15</v>
      </c>
      <c r="Y170" s="74" t="n">
        <v>14</v>
      </c>
      <c r="Z170" s="74" t="inlineStr">
        <is>
          <t>https://new.land.naver.com/complexes/5030?tab=detail&amp;rf=Y</t>
        </is>
      </c>
      <c r="AA170" s="74" t="inlineStr">
        <is>
          <t>전라북도 군산시 나운동 1155-9</t>
        </is>
      </c>
      <c r="AB170" s="74" t="inlineStr">
        <is>
          <t>전라북도</t>
        </is>
      </c>
      <c r="AC170" s="74" t="inlineStr">
        <is>
          <t>군산시</t>
        </is>
      </c>
      <c r="AD170" s="74" t="inlineStr">
        <is>
          <t>나운동</t>
        </is>
      </c>
      <c r="AG170" s="74" t="inlineStr">
        <is>
          <t>전라북도 군산시 상나운1길 30</t>
        </is>
      </c>
      <c r="AH170" s="74" t="n">
        <v>0</v>
      </c>
      <c r="AI170" s="74" t="n">
        <v>0</v>
      </c>
      <c r="AJ170" s="74" t="n">
        <v>0</v>
      </c>
      <c r="AK170" s="74" t="n">
        <v>200</v>
      </c>
      <c r="AL170" s="74" t="n">
        <v>0.4</v>
      </c>
    </row>
    <row r="171">
      <c r="A171" s="74" t="inlineStr">
        <is>
          <t>[나운동]</t>
        </is>
      </c>
      <c r="B171" s="74" t="n">
        <v>5030</v>
      </c>
      <c r="C171" s="74" t="n">
        <v>2</v>
      </c>
      <c r="D171" s="74" t="inlineStr">
        <is>
          <t>현대백조</t>
        </is>
      </c>
      <c r="E171" s="74" t="inlineStr">
        <is>
          <t>1992.11.</t>
        </is>
      </c>
      <c r="F171" s="74" t="n">
        <v>498</v>
      </c>
      <c r="G171" s="74" t="n">
        <v>28.97</v>
      </c>
      <c r="H171" s="74" t="n">
        <v>95.77</v>
      </c>
      <c r="I171" s="74" t="n">
        <v>25.59</v>
      </c>
      <c r="J171" s="74" t="n">
        <v>84.59999999999999</v>
      </c>
      <c r="K171" s="74" t="n">
        <v>384</v>
      </c>
      <c r="T171" s="74" t="n">
        <v>3</v>
      </c>
      <c r="U171" s="74" t="n">
        <v>2</v>
      </c>
      <c r="V171" s="74" t="inlineStr">
        <is>
          <t>계단식</t>
        </is>
      </c>
      <c r="W171" s="74" t="inlineStr">
        <is>
          <t>95B</t>
        </is>
      </c>
      <c r="X171" s="74" t="n">
        <v>15</v>
      </c>
      <c r="Y171" s="74" t="n">
        <v>14</v>
      </c>
      <c r="Z171" s="74" t="inlineStr">
        <is>
          <t>https://new.land.naver.com/complexes/5030?tab=detail&amp;rf=Y</t>
        </is>
      </c>
      <c r="AA171" s="74" t="inlineStr">
        <is>
          <t>전라북도 군산시 나운동 1155-9</t>
        </is>
      </c>
      <c r="AB171" s="74" t="inlineStr">
        <is>
          <t>전라북도</t>
        </is>
      </c>
      <c r="AC171" s="74" t="inlineStr">
        <is>
          <t>군산시</t>
        </is>
      </c>
      <c r="AD171" s="74" t="inlineStr">
        <is>
          <t>나운동</t>
        </is>
      </c>
      <c r="AG171" s="74" t="inlineStr">
        <is>
          <t>전라북도 군산시 상나운1길 30</t>
        </is>
      </c>
      <c r="AH171" s="74" t="n">
        <v>0</v>
      </c>
      <c r="AI171" s="74" t="n">
        <v>0</v>
      </c>
      <c r="AJ171" s="74" t="n">
        <v>0</v>
      </c>
      <c r="AK171" s="74" t="n">
        <v>200</v>
      </c>
      <c r="AL171" s="74" t="n">
        <v>0.4</v>
      </c>
    </row>
    <row r="172">
      <c r="A172" s="74" t="inlineStr">
        <is>
          <t>[나운동]</t>
        </is>
      </c>
      <c r="B172" s="74" t="n">
        <v>5030</v>
      </c>
      <c r="C172" s="74" t="n">
        <v>3</v>
      </c>
      <c r="D172" s="74" t="inlineStr">
        <is>
          <t>현대백조</t>
        </is>
      </c>
      <c r="E172" s="74" t="inlineStr">
        <is>
          <t>1992.11.</t>
        </is>
      </c>
      <c r="F172" s="74" t="n">
        <v>498</v>
      </c>
      <c r="G172" s="74" t="n">
        <v>28.95</v>
      </c>
      <c r="H172" s="74" t="n">
        <v>95.70999999999999</v>
      </c>
      <c r="I172" s="74" t="n">
        <v>25.57</v>
      </c>
      <c r="J172" s="74" t="n">
        <v>84.54000000000001</v>
      </c>
      <c r="K172" s="74" t="n">
        <v>30</v>
      </c>
      <c r="T172" s="74" t="n">
        <v>3</v>
      </c>
      <c r="U172" s="74" t="n">
        <v>2</v>
      </c>
      <c r="V172" s="74" t="inlineStr">
        <is>
          <t>계단식</t>
        </is>
      </c>
      <c r="W172" s="74" t="inlineStr">
        <is>
          <t>95A</t>
        </is>
      </c>
      <c r="X172" s="74" t="n">
        <v>15</v>
      </c>
      <c r="Y172" s="74" t="n">
        <v>14</v>
      </c>
      <c r="Z172" s="74" t="inlineStr">
        <is>
          <t>https://new.land.naver.com/complexes/5030?tab=detail&amp;rf=Y</t>
        </is>
      </c>
      <c r="AA172" s="74" t="inlineStr">
        <is>
          <t>전라북도 군산시 나운동 1155-9</t>
        </is>
      </c>
      <c r="AB172" s="74" t="inlineStr">
        <is>
          <t>전라북도</t>
        </is>
      </c>
      <c r="AC172" s="74" t="inlineStr">
        <is>
          <t>군산시</t>
        </is>
      </c>
      <c r="AD172" s="74" t="inlineStr">
        <is>
          <t>나운동</t>
        </is>
      </c>
      <c r="AG172" s="74" t="inlineStr">
        <is>
          <t>전라북도 군산시 상나운1길 30</t>
        </is>
      </c>
      <c r="AH172" s="74" t="n">
        <v>0</v>
      </c>
      <c r="AI172" s="74" t="n">
        <v>0</v>
      </c>
      <c r="AJ172" s="74" t="n">
        <v>0</v>
      </c>
      <c r="AK172" s="74" t="n">
        <v>200</v>
      </c>
      <c r="AL172" s="74" t="n">
        <v>0.4</v>
      </c>
    </row>
    <row r="173">
      <c r="A173" s="74" t="inlineStr">
        <is>
          <t>[나운동]</t>
        </is>
      </c>
      <c r="B173" s="74" t="n">
        <v>4964</v>
      </c>
      <c r="C173" s="74" t="n">
        <v>1</v>
      </c>
      <c r="D173" s="74" t="inlineStr">
        <is>
          <t>동신진주</t>
        </is>
      </c>
      <c r="E173" s="74" t="inlineStr">
        <is>
          <t>1993.12.</t>
        </is>
      </c>
      <c r="F173" s="74" t="n">
        <v>246</v>
      </c>
      <c r="G173" s="74" t="n">
        <v>22.5</v>
      </c>
      <c r="H173" s="74" t="n">
        <v>74.40000000000001</v>
      </c>
      <c r="I173" s="74" t="n">
        <v>17.86</v>
      </c>
      <c r="J173" s="74" t="n">
        <v>59.06</v>
      </c>
      <c r="K173" s="74" t="n">
        <v>168</v>
      </c>
      <c r="T173" s="74" t="n">
        <v>3</v>
      </c>
      <c r="U173" s="74" t="n">
        <v>1</v>
      </c>
      <c r="V173" s="74" t="inlineStr">
        <is>
          <t>계단식</t>
        </is>
      </c>
      <c r="W173" s="74" t="n">
        <v>74</v>
      </c>
      <c r="X173" s="74" t="n">
        <v>12</v>
      </c>
      <c r="Y173" s="74" t="n">
        <v>5</v>
      </c>
      <c r="Z173" s="74" t="inlineStr">
        <is>
          <t>https://new.land.naver.com/complexes/4964?tab=detail&amp;rf=Y</t>
        </is>
      </c>
      <c r="AA173" s="74" t="inlineStr">
        <is>
          <t>전라북도 군산시 나운동 733-1</t>
        </is>
      </c>
      <c r="AB173" s="74" t="inlineStr">
        <is>
          <t>전라북도</t>
        </is>
      </c>
      <c r="AC173" s="74" t="inlineStr">
        <is>
          <t>군산시</t>
        </is>
      </c>
      <c r="AD173" s="74" t="inlineStr">
        <is>
          <t>나운동</t>
        </is>
      </c>
      <c r="AG173" s="74" t="inlineStr">
        <is>
          <t>전라북도 군산시 상신7길 15</t>
        </is>
      </c>
      <c r="AH173" s="74" t="n">
        <v>0</v>
      </c>
      <c r="AI173" s="74" t="n">
        <v>0</v>
      </c>
      <c r="AJ173" s="74" t="n">
        <v>0</v>
      </c>
      <c r="AK173" s="74" t="n">
        <v>120</v>
      </c>
      <c r="AL173" s="74" t="n">
        <v>0.49</v>
      </c>
    </row>
    <row r="174">
      <c r="A174" s="74" t="inlineStr">
        <is>
          <t>[나운동]</t>
        </is>
      </c>
      <c r="B174" s="74" t="n">
        <v>4964</v>
      </c>
      <c r="C174" s="74" t="n">
        <v>2</v>
      </c>
      <c r="D174" s="74" t="inlineStr">
        <is>
          <t>동신진주</t>
        </is>
      </c>
      <c r="E174" s="74" t="inlineStr">
        <is>
          <t>1993.12.</t>
        </is>
      </c>
      <c r="F174" s="74" t="n">
        <v>246</v>
      </c>
      <c r="G174" s="74" t="n">
        <v>24.69</v>
      </c>
      <c r="H174" s="74" t="n">
        <v>81.62</v>
      </c>
      <c r="I174" s="74" t="n">
        <v>18.02</v>
      </c>
      <c r="J174" s="74" t="n">
        <v>59.58</v>
      </c>
      <c r="K174" s="74" t="n">
        <v>20</v>
      </c>
      <c r="T174" s="74" t="n">
        <v>3</v>
      </c>
      <c r="U174" s="74" t="n">
        <v>1</v>
      </c>
      <c r="V174" s="74" t="inlineStr">
        <is>
          <t>계단식</t>
        </is>
      </c>
      <c r="W174" s="74" t="inlineStr">
        <is>
          <t>81A</t>
        </is>
      </c>
      <c r="X174" s="74" t="n">
        <v>12</v>
      </c>
      <c r="Y174" s="74" t="n">
        <v>5</v>
      </c>
      <c r="Z174" s="74" t="inlineStr">
        <is>
          <t>https://new.land.naver.com/complexes/4964?tab=detail&amp;rf=Y</t>
        </is>
      </c>
      <c r="AA174" s="74" t="inlineStr">
        <is>
          <t>전라북도 군산시 나운동 733-1</t>
        </is>
      </c>
      <c r="AB174" s="74" t="inlineStr">
        <is>
          <t>전라북도</t>
        </is>
      </c>
      <c r="AC174" s="74" t="inlineStr">
        <is>
          <t>군산시</t>
        </is>
      </c>
      <c r="AD174" s="74" t="inlineStr">
        <is>
          <t>나운동</t>
        </is>
      </c>
      <c r="AG174" s="74" t="inlineStr">
        <is>
          <t>전라북도 군산시 상신7길 15</t>
        </is>
      </c>
      <c r="AH174" s="74" t="n">
        <v>0</v>
      </c>
      <c r="AI174" s="74" t="n">
        <v>0</v>
      </c>
      <c r="AJ174" s="74" t="n">
        <v>0</v>
      </c>
      <c r="AK174" s="74" t="n">
        <v>120</v>
      </c>
      <c r="AL174" s="74" t="n">
        <v>0.49</v>
      </c>
    </row>
    <row r="175">
      <c r="A175" s="74" t="inlineStr">
        <is>
          <t>[나운동]</t>
        </is>
      </c>
      <c r="B175" s="74" t="n">
        <v>4964</v>
      </c>
      <c r="C175" s="74" t="n">
        <v>3</v>
      </c>
      <c r="D175" s="74" t="inlineStr">
        <is>
          <t>동신진주</t>
        </is>
      </c>
      <c r="E175" s="74" t="inlineStr">
        <is>
          <t>1993.12.</t>
        </is>
      </c>
      <c r="F175" s="74" t="n">
        <v>246</v>
      </c>
      <c r="G175" s="74" t="n">
        <v>24.85</v>
      </c>
      <c r="H175" s="74" t="n">
        <v>82.15000000000001</v>
      </c>
      <c r="I175" s="74" t="n">
        <v>18.13</v>
      </c>
      <c r="J175" s="74" t="n">
        <v>59.96</v>
      </c>
      <c r="K175" s="74" t="n">
        <v>10</v>
      </c>
      <c r="T175" s="74" t="n">
        <v>3</v>
      </c>
      <c r="U175" s="74" t="n">
        <v>1</v>
      </c>
      <c r="V175" s="74" t="inlineStr">
        <is>
          <t>계단식</t>
        </is>
      </c>
      <c r="W175" s="74" t="inlineStr">
        <is>
          <t>82B</t>
        </is>
      </c>
      <c r="X175" s="74" t="n">
        <v>12</v>
      </c>
      <c r="Y175" s="74" t="n">
        <v>5</v>
      </c>
      <c r="Z175" s="74" t="inlineStr">
        <is>
          <t>https://new.land.naver.com/complexes/4964?tab=detail&amp;rf=Y</t>
        </is>
      </c>
      <c r="AA175" s="74" t="inlineStr">
        <is>
          <t>전라북도 군산시 나운동 733-1</t>
        </is>
      </c>
      <c r="AB175" s="74" t="inlineStr">
        <is>
          <t>전라북도</t>
        </is>
      </c>
      <c r="AC175" s="74" t="inlineStr">
        <is>
          <t>군산시</t>
        </is>
      </c>
      <c r="AD175" s="74" t="inlineStr">
        <is>
          <t>나운동</t>
        </is>
      </c>
      <c r="AG175" s="74" t="inlineStr">
        <is>
          <t>전라북도 군산시 상신7길 15</t>
        </is>
      </c>
      <c r="AH175" s="74" t="n">
        <v>0</v>
      </c>
      <c r="AI175" s="74" t="n">
        <v>0</v>
      </c>
      <c r="AJ175" s="74" t="n">
        <v>0</v>
      </c>
      <c r="AK175" s="74" t="n">
        <v>120</v>
      </c>
      <c r="AL175" s="74" t="n">
        <v>0.49</v>
      </c>
    </row>
    <row r="176">
      <c r="A176" s="74" t="inlineStr">
        <is>
          <t>[나운동]</t>
        </is>
      </c>
      <c r="B176" s="74" t="n">
        <v>4964</v>
      </c>
      <c r="C176" s="74" t="n">
        <v>4</v>
      </c>
      <c r="D176" s="74" t="inlineStr">
        <is>
          <t>동신진주</t>
        </is>
      </c>
      <c r="E176" s="74" t="inlineStr">
        <is>
          <t>1993.12.</t>
        </is>
      </c>
      <c r="F176" s="74" t="n">
        <v>246</v>
      </c>
      <c r="G176" s="74" t="n">
        <v>31.38</v>
      </c>
      <c r="H176" s="74" t="n">
        <v>103.74</v>
      </c>
      <c r="I176" s="74" t="n">
        <v>25.61</v>
      </c>
      <c r="J176" s="74" t="n">
        <v>84.67</v>
      </c>
      <c r="K176" s="74" t="n">
        <v>48</v>
      </c>
      <c r="T176" s="74" t="n">
        <v>3</v>
      </c>
      <c r="U176" s="74" t="n">
        <v>2</v>
      </c>
      <c r="V176" s="74" t="inlineStr">
        <is>
          <t>계단식</t>
        </is>
      </c>
      <c r="W176" s="74" t="n">
        <v>103</v>
      </c>
      <c r="X176" s="74" t="n">
        <v>12</v>
      </c>
      <c r="Y176" s="74" t="n">
        <v>5</v>
      </c>
      <c r="Z176" s="74" t="inlineStr">
        <is>
          <t>https://new.land.naver.com/complexes/4964?tab=detail&amp;rf=Y</t>
        </is>
      </c>
      <c r="AA176" s="74" t="inlineStr">
        <is>
          <t>전라북도 군산시 나운동 733-1</t>
        </is>
      </c>
      <c r="AB176" s="74" t="inlineStr">
        <is>
          <t>전라북도</t>
        </is>
      </c>
      <c r="AC176" s="74" t="inlineStr">
        <is>
          <t>군산시</t>
        </is>
      </c>
      <c r="AD176" s="74" t="inlineStr">
        <is>
          <t>나운동</t>
        </is>
      </c>
      <c r="AG176" s="74" t="inlineStr">
        <is>
          <t>전라북도 군산시 상신7길 15</t>
        </is>
      </c>
      <c r="AH176" s="74" t="n">
        <v>0</v>
      </c>
      <c r="AI176" s="74" t="n">
        <v>0</v>
      </c>
      <c r="AJ176" s="74" t="n">
        <v>0</v>
      </c>
      <c r="AK176" s="74" t="n">
        <v>120</v>
      </c>
      <c r="AL176" s="74" t="n">
        <v>0.49</v>
      </c>
    </row>
    <row r="177">
      <c r="A177" s="74" t="inlineStr">
        <is>
          <t>[나운동]</t>
        </is>
      </c>
      <c r="B177" s="74" t="n">
        <v>115453</v>
      </c>
      <c r="C177" s="74" t="n">
        <v>1</v>
      </c>
      <c r="D177" s="74" t="inlineStr">
        <is>
          <t>한신맨션</t>
        </is>
      </c>
      <c r="E177" s="74" t="inlineStr">
        <is>
          <t>1987.11.</t>
        </is>
      </c>
      <c r="F177" s="74" t="n">
        <v>85</v>
      </c>
      <c r="G177" s="74" t="n">
        <v>24.8</v>
      </c>
      <c r="H177" s="74" t="n">
        <v>82</v>
      </c>
      <c r="I177" s="74" t="n">
        <v>22.88</v>
      </c>
      <c r="J177" s="74" t="n">
        <v>75.66</v>
      </c>
      <c r="K177" s="74" t="n">
        <v>40</v>
      </c>
      <c r="T177" s="74" t="n">
        <v>3</v>
      </c>
      <c r="U177" s="74" t="n">
        <v>2</v>
      </c>
      <c r="V177" s="74" t="inlineStr">
        <is>
          <t>복도식</t>
        </is>
      </c>
      <c r="W177" s="74" t="n">
        <v>82</v>
      </c>
      <c r="X177" s="74" t="n">
        <v>5</v>
      </c>
      <c r="Y177" s="74" t="n">
        <v>5</v>
      </c>
      <c r="Z177" s="74" t="inlineStr">
        <is>
          <t>https://new.land.naver.com/complexes/115453?tab=detail&amp;rf=Y</t>
        </is>
      </c>
      <c r="AA177" s="74" t="inlineStr">
        <is>
          <t>전라북도 군산시 나운동 793-1</t>
        </is>
      </c>
      <c r="AB177" s="74" t="inlineStr">
        <is>
          <t>전라북도</t>
        </is>
      </c>
      <c r="AC177" s="74" t="inlineStr">
        <is>
          <t>군산시</t>
        </is>
      </c>
      <c r="AD177" s="74" t="inlineStr">
        <is>
          <t>나운동</t>
        </is>
      </c>
      <c r="AG177" s="74" t="inlineStr">
        <is>
          <t>전라북도 군산시 상나운1길 14</t>
        </is>
      </c>
      <c r="AH177" s="74" t="n">
        <v>0</v>
      </c>
      <c r="AI177" s="74" t="n">
        <v>0</v>
      </c>
      <c r="AJ177" s="74" t="n">
        <v>0</v>
      </c>
      <c r="AK177" s="74" t="n">
        <v>0</v>
      </c>
      <c r="AL177" s="74" t="n">
        <v>0</v>
      </c>
    </row>
    <row r="178">
      <c r="A178" s="74" t="inlineStr">
        <is>
          <t>[나운동]</t>
        </is>
      </c>
      <c r="B178" s="74" t="n">
        <v>115453</v>
      </c>
      <c r="C178" s="74" t="n">
        <v>2</v>
      </c>
      <c r="D178" s="74" t="inlineStr">
        <is>
          <t>한신맨션</t>
        </is>
      </c>
      <c r="E178" s="74" t="inlineStr">
        <is>
          <t>1987.11.</t>
        </is>
      </c>
      <c r="F178" s="74" t="n">
        <v>85</v>
      </c>
      <c r="G178" s="74" t="n">
        <v>26.64</v>
      </c>
      <c r="H178" s="74" t="n">
        <v>88.09</v>
      </c>
      <c r="I178" s="74" t="n">
        <v>24.72</v>
      </c>
      <c r="J178" s="74" t="n">
        <v>81.75</v>
      </c>
      <c r="K178" s="74" t="n">
        <v>45</v>
      </c>
      <c r="T178" s="74" t="n">
        <v>3</v>
      </c>
      <c r="U178" s="74" t="n">
        <v>2</v>
      </c>
      <c r="V178" s="74" t="inlineStr">
        <is>
          <t>복도식</t>
        </is>
      </c>
      <c r="W178" s="74" t="n">
        <v>88</v>
      </c>
      <c r="X178" s="74" t="n">
        <v>5</v>
      </c>
      <c r="Y178" s="74" t="n">
        <v>5</v>
      </c>
      <c r="Z178" s="74" t="inlineStr">
        <is>
          <t>https://new.land.naver.com/complexes/115453?tab=detail&amp;rf=Y</t>
        </is>
      </c>
      <c r="AA178" s="74" t="inlineStr">
        <is>
          <t>전라북도 군산시 나운동 793-1</t>
        </is>
      </c>
      <c r="AB178" s="74" t="inlineStr">
        <is>
          <t>전라북도</t>
        </is>
      </c>
      <c r="AC178" s="74" t="inlineStr">
        <is>
          <t>군산시</t>
        </is>
      </c>
      <c r="AD178" s="74" t="inlineStr">
        <is>
          <t>나운동</t>
        </is>
      </c>
      <c r="AG178" s="74" t="inlineStr">
        <is>
          <t>전라북도 군산시 상나운1길 14</t>
        </is>
      </c>
      <c r="AH178" s="74" t="n">
        <v>0</v>
      </c>
      <c r="AI178" s="74" t="n">
        <v>0</v>
      </c>
      <c r="AJ178" s="74" t="n">
        <v>0</v>
      </c>
      <c r="AK178" s="74" t="n">
        <v>0</v>
      </c>
      <c r="AL178" s="74" t="n">
        <v>0</v>
      </c>
    </row>
    <row r="179">
      <c r="A179" s="74" t="inlineStr">
        <is>
          <t>[나운동]</t>
        </is>
      </c>
      <c r="B179" s="74" t="n">
        <v>102445</v>
      </c>
      <c r="C179" s="74" t="n">
        <v>1</v>
      </c>
      <c r="D179" s="74" t="inlineStr">
        <is>
          <t>그린골든맨션</t>
        </is>
      </c>
      <c r="E179" s="74" t="inlineStr">
        <is>
          <t>1993.06.</t>
        </is>
      </c>
      <c r="F179" s="74" t="n">
        <v>154</v>
      </c>
      <c r="G179" s="74" t="n">
        <v>25.17</v>
      </c>
      <c r="H179" s="74" t="n">
        <v>83.20999999999999</v>
      </c>
      <c r="I179" s="74" t="n">
        <v>17.96</v>
      </c>
      <c r="J179" s="74" t="n">
        <v>59.4</v>
      </c>
      <c r="K179" s="74" t="n">
        <v>149</v>
      </c>
      <c r="T179" s="74" t="n">
        <v>3</v>
      </c>
      <c r="U179" s="74" t="n">
        <v>1</v>
      </c>
      <c r="V179" s="74" t="inlineStr">
        <is>
          <t>계단식</t>
        </is>
      </c>
      <c r="W179" s="74" t="n">
        <v>83</v>
      </c>
      <c r="X179" s="74" t="n">
        <v>11</v>
      </c>
      <c r="Y179" s="74" t="n">
        <v>11</v>
      </c>
      <c r="Z179" s="74" t="inlineStr">
        <is>
          <t>https://new.land.naver.com/complexes/102445?tab=detail&amp;rf=Y</t>
        </is>
      </c>
      <c r="AA179" s="74" t="inlineStr">
        <is>
          <t>전라북도 군산시 나운동 800-2</t>
        </is>
      </c>
      <c r="AB179" s="74" t="inlineStr">
        <is>
          <t>전라북도</t>
        </is>
      </c>
      <c r="AC179" s="74" t="inlineStr">
        <is>
          <t>군산시</t>
        </is>
      </c>
      <c r="AD179" s="74" t="inlineStr">
        <is>
          <t>나운동</t>
        </is>
      </c>
      <c r="AG179" s="74" t="inlineStr">
        <is>
          <t>전라북도 군산시 상나운1길 25</t>
        </is>
      </c>
      <c r="AH179" s="74" t="n">
        <v>5</v>
      </c>
      <c r="AI179" s="74" t="n">
        <v>258</v>
      </c>
      <c r="AJ179" s="74" t="n">
        <v>23</v>
      </c>
      <c r="AK179" s="74" t="n">
        <v>71</v>
      </c>
      <c r="AL179" s="74" t="n">
        <v>0.46</v>
      </c>
    </row>
    <row r="180">
      <c r="A180" s="74" t="inlineStr">
        <is>
          <t>[나운동]</t>
        </is>
      </c>
      <c r="B180" s="74" t="n">
        <v>26916</v>
      </c>
      <c r="C180" s="74" t="n">
        <v>1</v>
      </c>
      <c r="D180" s="74" t="inlineStr">
        <is>
          <t>수송금호어울림</t>
        </is>
      </c>
      <c r="E180" s="74" t="inlineStr">
        <is>
          <t>2008.08.</t>
        </is>
      </c>
      <c r="F180" s="74" t="n">
        <v>773</v>
      </c>
      <c r="G180" s="74" t="n">
        <v>33.44</v>
      </c>
      <c r="H180" s="74" t="n">
        <v>110.55</v>
      </c>
      <c r="I180" s="74" t="n">
        <v>25.69</v>
      </c>
      <c r="J180" s="74" t="n">
        <v>84.93000000000001</v>
      </c>
      <c r="K180" s="74" t="n">
        <v>336</v>
      </c>
      <c r="T180" s="74" t="n">
        <v>3</v>
      </c>
      <c r="U180" s="74" t="n">
        <v>2</v>
      </c>
      <c r="V180" s="74" t="inlineStr">
        <is>
          <t>계단식</t>
        </is>
      </c>
      <c r="W180" s="74" t="inlineStr">
        <is>
          <t>110A</t>
        </is>
      </c>
      <c r="X180" s="74" t="n">
        <v>20</v>
      </c>
      <c r="Y180" s="74" t="n">
        <v>20</v>
      </c>
      <c r="Z180" s="74" t="inlineStr">
        <is>
          <t>https://new.land.naver.com/complexes/26916?tab=detail&amp;rf=Y</t>
        </is>
      </c>
      <c r="AA180" s="74" t="inlineStr">
        <is>
          <t>전라북도 군산시 나운동 1525</t>
        </is>
      </c>
      <c r="AB180" s="74" t="inlineStr">
        <is>
          <t>전라북도</t>
        </is>
      </c>
      <c r="AC180" s="74" t="inlineStr">
        <is>
          <t>군산시</t>
        </is>
      </c>
      <c r="AD180" s="74" t="inlineStr">
        <is>
          <t>나운동</t>
        </is>
      </c>
      <c r="AG180" s="74" t="inlineStr">
        <is>
          <t>전라북도 군산시 서수송2길 23</t>
        </is>
      </c>
      <c r="AH180" s="74" t="n">
        <v>0</v>
      </c>
      <c r="AI180" s="74" t="n">
        <v>219</v>
      </c>
      <c r="AJ180" s="74" t="n">
        <v>49</v>
      </c>
      <c r="AK180" s="74" t="n">
        <v>966</v>
      </c>
      <c r="AL180" s="74" t="n">
        <v>1.25</v>
      </c>
    </row>
    <row r="181">
      <c r="A181" s="74" t="inlineStr">
        <is>
          <t>[나운동]</t>
        </is>
      </c>
      <c r="B181" s="74" t="n">
        <v>26916</v>
      </c>
      <c r="C181" s="74" t="n">
        <v>2</v>
      </c>
      <c r="D181" s="74" t="inlineStr">
        <is>
          <t>수송금호어울림</t>
        </is>
      </c>
      <c r="E181" s="74" t="inlineStr">
        <is>
          <t>2008.08.</t>
        </is>
      </c>
      <c r="F181" s="74" t="n">
        <v>773</v>
      </c>
      <c r="G181" s="74" t="n">
        <v>33.62</v>
      </c>
      <c r="H181" s="74" t="n">
        <v>111.15</v>
      </c>
      <c r="I181" s="74" t="n">
        <v>25.69</v>
      </c>
      <c r="J181" s="74" t="n">
        <v>84.95</v>
      </c>
      <c r="K181" s="74" t="n">
        <v>324</v>
      </c>
      <c r="T181" s="74" t="n">
        <v>3</v>
      </c>
      <c r="U181" s="74" t="n">
        <v>2</v>
      </c>
      <c r="V181" s="74" t="inlineStr">
        <is>
          <t>계단식</t>
        </is>
      </c>
      <c r="W181" s="74" t="inlineStr">
        <is>
          <t>111B</t>
        </is>
      </c>
      <c r="X181" s="74" t="n">
        <v>20</v>
      </c>
      <c r="Y181" s="74" t="n">
        <v>20</v>
      </c>
      <c r="Z181" s="74" t="inlineStr">
        <is>
          <t>https://new.land.naver.com/complexes/26916?tab=detail&amp;rf=Y</t>
        </is>
      </c>
      <c r="AA181" s="74" t="inlineStr">
        <is>
          <t>전라북도 군산시 나운동 1525</t>
        </is>
      </c>
      <c r="AB181" s="74" t="inlineStr">
        <is>
          <t>전라북도</t>
        </is>
      </c>
      <c r="AC181" s="74" t="inlineStr">
        <is>
          <t>군산시</t>
        </is>
      </c>
      <c r="AD181" s="74" t="inlineStr">
        <is>
          <t>나운동</t>
        </is>
      </c>
      <c r="AG181" s="74" t="inlineStr">
        <is>
          <t>전라북도 군산시 서수송2길 23</t>
        </is>
      </c>
      <c r="AH181" s="74" t="n">
        <v>0</v>
      </c>
      <c r="AI181" s="74" t="n">
        <v>219</v>
      </c>
      <c r="AJ181" s="74" t="n">
        <v>49</v>
      </c>
      <c r="AK181" s="74" t="n">
        <v>966</v>
      </c>
      <c r="AL181" s="74" t="n">
        <v>1.25</v>
      </c>
    </row>
    <row r="182">
      <c r="A182" s="74" t="inlineStr">
        <is>
          <t>[나운동]</t>
        </is>
      </c>
      <c r="B182" s="74" t="n">
        <v>26916</v>
      </c>
      <c r="C182" s="74" t="n">
        <v>3</v>
      </c>
      <c r="D182" s="74" t="inlineStr">
        <is>
          <t>수송금호어울림</t>
        </is>
      </c>
      <c r="E182" s="74" t="inlineStr">
        <is>
          <t>2008.08.</t>
        </is>
      </c>
      <c r="F182" s="74" t="n">
        <v>773</v>
      </c>
      <c r="G182" s="74" t="n">
        <v>33.65</v>
      </c>
      <c r="H182" s="74" t="n">
        <v>111.27</v>
      </c>
      <c r="I182" s="74" t="n">
        <v>25.69</v>
      </c>
      <c r="J182" s="74" t="n">
        <v>84.95</v>
      </c>
      <c r="K182" s="74" t="n">
        <v>37</v>
      </c>
      <c r="T182" s="74" t="n">
        <v>3</v>
      </c>
      <c r="U182" s="74" t="n">
        <v>2</v>
      </c>
      <c r="V182" s="74" t="inlineStr">
        <is>
          <t>계단식</t>
        </is>
      </c>
      <c r="W182" s="74" t="inlineStr">
        <is>
          <t>111C</t>
        </is>
      </c>
      <c r="X182" s="74" t="n">
        <v>20</v>
      </c>
      <c r="Y182" s="74" t="n">
        <v>20</v>
      </c>
      <c r="Z182" s="74" t="inlineStr">
        <is>
          <t>https://new.land.naver.com/complexes/26916?tab=detail&amp;rf=Y</t>
        </is>
      </c>
      <c r="AA182" s="74" t="inlineStr">
        <is>
          <t>전라북도 군산시 나운동 1525</t>
        </is>
      </c>
      <c r="AB182" s="74" t="inlineStr">
        <is>
          <t>전라북도</t>
        </is>
      </c>
      <c r="AC182" s="74" t="inlineStr">
        <is>
          <t>군산시</t>
        </is>
      </c>
      <c r="AD182" s="74" t="inlineStr">
        <is>
          <t>나운동</t>
        </is>
      </c>
      <c r="AG182" s="74" t="inlineStr">
        <is>
          <t>전라북도 군산시 서수송2길 23</t>
        </is>
      </c>
      <c r="AH182" s="74" t="n">
        <v>0</v>
      </c>
      <c r="AI182" s="74" t="n">
        <v>219</v>
      </c>
      <c r="AJ182" s="74" t="n">
        <v>49</v>
      </c>
      <c r="AK182" s="74" t="n">
        <v>966</v>
      </c>
      <c r="AL182" s="74" t="n">
        <v>1.25</v>
      </c>
    </row>
    <row r="183">
      <c r="A183" s="74" t="inlineStr">
        <is>
          <t>[나운동]</t>
        </is>
      </c>
      <c r="B183" s="74" t="n">
        <v>26916</v>
      </c>
      <c r="C183" s="74" t="n">
        <v>4</v>
      </c>
      <c r="D183" s="74" t="inlineStr">
        <is>
          <t>수송금호어울림</t>
        </is>
      </c>
      <c r="E183" s="74" t="inlineStr">
        <is>
          <t>2008.08.</t>
        </is>
      </c>
      <c r="F183" s="74" t="n">
        <v>773</v>
      </c>
      <c r="G183" s="74" t="n">
        <v>33.99</v>
      </c>
      <c r="H183" s="74" t="n">
        <v>112.39</v>
      </c>
      <c r="I183" s="74" t="n">
        <v>25.69</v>
      </c>
      <c r="J183" s="74" t="n">
        <v>84.95</v>
      </c>
      <c r="K183" s="74" t="n">
        <v>76</v>
      </c>
      <c r="T183" s="74" t="n">
        <v>3</v>
      </c>
      <c r="U183" s="74" t="n">
        <v>2</v>
      </c>
      <c r="V183" s="74" t="inlineStr">
        <is>
          <t>계단식</t>
        </is>
      </c>
      <c r="W183" s="74" t="inlineStr">
        <is>
          <t>112D</t>
        </is>
      </c>
      <c r="X183" s="74" t="n">
        <v>20</v>
      </c>
      <c r="Y183" s="74" t="n">
        <v>20</v>
      </c>
      <c r="Z183" s="74" t="inlineStr">
        <is>
          <t>https://new.land.naver.com/complexes/26916?tab=detail&amp;rf=Y</t>
        </is>
      </c>
      <c r="AA183" s="74" t="inlineStr">
        <is>
          <t>전라북도 군산시 나운동 1525</t>
        </is>
      </c>
      <c r="AB183" s="74" t="inlineStr">
        <is>
          <t>전라북도</t>
        </is>
      </c>
      <c r="AC183" s="74" t="inlineStr">
        <is>
          <t>군산시</t>
        </is>
      </c>
      <c r="AD183" s="74" t="inlineStr">
        <is>
          <t>나운동</t>
        </is>
      </c>
      <c r="AG183" s="74" t="inlineStr">
        <is>
          <t>전라북도 군산시 서수송2길 23</t>
        </is>
      </c>
      <c r="AH183" s="74" t="n">
        <v>0</v>
      </c>
      <c r="AI183" s="74" t="n">
        <v>219</v>
      </c>
      <c r="AJ183" s="74" t="n">
        <v>49</v>
      </c>
      <c r="AK183" s="74" t="n">
        <v>966</v>
      </c>
      <c r="AL183" s="74" t="n">
        <v>1.25</v>
      </c>
    </row>
    <row r="184">
      <c r="A184" s="74" t="inlineStr">
        <is>
          <t>[나운동]</t>
        </is>
      </c>
      <c r="B184" s="74" t="n">
        <v>131885</v>
      </c>
      <c r="C184" s="74" t="n">
        <v>1</v>
      </c>
      <c r="D184" s="74" t="inlineStr">
        <is>
          <t>성보</t>
        </is>
      </c>
      <c r="E184" s="74" t="inlineStr">
        <is>
          <t>2016.12.</t>
        </is>
      </c>
      <c r="F184" s="74" t="n">
        <v>80</v>
      </c>
      <c r="G184" s="74" t="n">
        <v>26.26</v>
      </c>
      <c r="H184" s="74" t="n">
        <v>86.81</v>
      </c>
      <c r="I184" s="74" t="n">
        <v>18.01</v>
      </c>
      <c r="J184" s="74" t="n">
        <v>59.54</v>
      </c>
      <c r="K184" s="74" t="n">
        <v>52</v>
      </c>
      <c r="T184" s="74" t="n">
        <v>3</v>
      </c>
      <c r="U184" s="74" t="n">
        <v>2</v>
      </c>
      <c r="V184" s="74" t="inlineStr">
        <is>
          <t>계단식</t>
        </is>
      </c>
      <c r="W184" s="74" t="inlineStr">
        <is>
          <t>86A</t>
        </is>
      </c>
      <c r="X184" s="74" t="n">
        <v>9</v>
      </c>
      <c r="Y184" s="74" t="n">
        <v>9</v>
      </c>
      <c r="Z184" s="74" t="inlineStr">
        <is>
          <t>https://new.land.naver.com/complexes/131885?tab=detail&amp;rf=Y</t>
        </is>
      </c>
      <c r="AA184" s="74" t="inlineStr">
        <is>
          <t>전라북도 군산시 나운동 798-8</t>
        </is>
      </c>
      <c r="AB184" s="74" t="inlineStr">
        <is>
          <t>전라북도</t>
        </is>
      </c>
      <c r="AC184" s="74" t="inlineStr">
        <is>
          <t>군산시</t>
        </is>
      </c>
      <c r="AD184" s="74" t="inlineStr">
        <is>
          <t>나운동</t>
        </is>
      </c>
      <c r="AG184" s="74" t="inlineStr">
        <is>
          <t>전라북도 군산시 상나운안길 7</t>
        </is>
      </c>
      <c r="AH184" s="74" t="n">
        <v>0</v>
      </c>
      <c r="AI184" s="74" t="n">
        <v>295</v>
      </c>
      <c r="AJ184" s="74" t="n">
        <v>52</v>
      </c>
      <c r="AK184" s="74" t="n">
        <v>61</v>
      </c>
      <c r="AL184" s="74" t="n">
        <v>0.76</v>
      </c>
    </row>
    <row r="185">
      <c r="A185" s="74" t="inlineStr">
        <is>
          <t>[나운동]</t>
        </is>
      </c>
      <c r="B185" s="74" t="n">
        <v>131885</v>
      </c>
      <c r="C185" s="74" t="n">
        <v>2</v>
      </c>
      <c r="D185" s="74" t="inlineStr">
        <is>
          <t>성보</t>
        </is>
      </c>
      <c r="E185" s="74" t="inlineStr">
        <is>
          <t>2016.12.</t>
        </is>
      </c>
      <c r="F185" s="74" t="n">
        <v>80</v>
      </c>
      <c r="G185" s="74" t="n">
        <v>26.4</v>
      </c>
      <c r="H185" s="74" t="n">
        <v>87.3</v>
      </c>
      <c r="I185" s="74" t="n">
        <v>18.11</v>
      </c>
      <c r="J185" s="74" t="n">
        <v>59.88</v>
      </c>
      <c r="K185" s="74" t="n">
        <v>26</v>
      </c>
      <c r="T185" s="74" t="n">
        <v>3</v>
      </c>
      <c r="U185" s="74" t="n">
        <v>2</v>
      </c>
      <c r="V185" s="74" t="inlineStr">
        <is>
          <t>계단식</t>
        </is>
      </c>
      <c r="W185" s="74" t="inlineStr">
        <is>
          <t>87B</t>
        </is>
      </c>
      <c r="X185" s="74" t="n">
        <v>9</v>
      </c>
      <c r="Y185" s="74" t="n">
        <v>9</v>
      </c>
      <c r="Z185" s="74" t="inlineStr">
        <is>
          <t>https://new.land.naver.com/complexes/131885?tab=detail&amp;rf=Y</t>
        </is>
      </c>
      <c r="AA185" s="74" t="inlineStr">
        <is>
          <t>전라북도 군산시 나운동 798-8</t>
        </is>
      </c>
      <c r="AB185" s="74" t="inlineStr">
        <is>
          <t>전라북도</t>
        </is>
      </c>
      <c r="AC185" s="74" t="inlineStr">
        <is>
          <t>군산시</t>
        </is>
      </c>
      <c r="AD185" s="74" t="inlineStr">
        <is>
          <t>나운동</t>
        </is>
      </c>
      <c r="AG185" s="74" t="inlineStr">
        <is>
          <t>전라북도 군산시 상나운안길 7</t>
        </is>
      </c>
      <c r="AH185" s="74" t="n">
        <v>0</v>
      </c>
      <c r="AI185" s="74" t="n">
        <v>295</v>
      </c>
      <c r="AJ185" s="74" t="n">
        <v>52</v>
      </c>
      <c r="AK185" s="74" t="n">
        <v>61</v>
      </c>
      <c r="AL185" s="74" t="n">
        <v>0.76</v>
      </c>
    </row>
    <row r="186">
      <c r="A186" s="74" t="inlineStr">
        <is>
          <t>[나운동]</t>
        </is>
      </c>
      <c r="B186" s="74" t="n">
        <v>131885</v>
      </c>
      <c r="C186" s="74" t="n">
        <v>3</v>
      </c>
      <c r="D186" s="74" t="inlineStr">
        <is>
          <t>성보</t>
        </is>
      </c>
      <c r="E186" s="74" t="inlineStr">
        <is>
          <t>2016.12.</t>
        </is>
      </c>
      <c r="F186" s="74" t="n">
        <v>80</v>
      </c>
      <c r="G186" s="74" t="n">
        <v>37.39</v>
      </c>
      <c r="H186" s="74" t="n">
        <v>123.62</v>
      </c>
      <c r="I186" s="74" t="n">
        <v>25.64</v>
      </c>
      <c r="J186" s="74" t="n">
        <v>84.79000000000001</v>
      </c>
      <c r="K186" s="74" t="n">
        <v>2</v>
      </c>
      <c r="T186" s="74" t="n">
        <v>3</v>
      </c>
      <c r="U186" s="74" t="n">
        <v>2</v>
      </c>
      <c r="V186" s="74" t="inlineStr">
        <is>
          <t>계단식</t>
        </is>
      </c>
      <c r="W186" s="74" t="n">
        <v>123</v>
      </c>
      <c r="X186" s="74" t="n">
        <v>9</v>
      </c>
      <c r="Y186" s="74" t="n">
        <v>9</v>
      </c>
      <c r="Z186" s="74" t="inlineStr">
        <is>
          <t>https://new.land.naver.com/complexes/131885?tab=detail&amp;rf=Y</t>
        </is>
      </c>
      <c r="AA186" s="74" t="inlineStr">
        <is>
          <t>전라북도 군산시 나운동 798-8</t>
        </is>
      </c>
      <c r="AB186" s="74" t="inlineStr">
        <is>
          <t>전라북도</t>
        </is>
      </c>
      <c r="AC186" s="74" t="inlineStr">
        <is>
          <t>군산시</t>
        </is>
      </c>
      <c r="AD186" s="74" t="inlineStr">
        <is>
          <t>나운동</t>
        </is>
      </c>
      <c r="AG186" s="74" t="inlineStr">
        <is>
          <t>전라북도 군산시 상나운안길 7</t>
        </is>
      </c>
      <c r="AH186" s="74" t="n">
        <v>0</v>
      </c>
      <c r="AI186" s="74" t="n">
        <v>295</v>
      </c>
      <c r="AJ186" s="74" t="n">
        <v>52</v>
      </c>
      <c r="AK186" s="74" t="n">
        <v>61</v>
      </c>
      <c r="AL186" s="74" t="n">
        <v>0.76</v>
      </c>
    </row>
    <row r="187">
      <c r="A187" s="74" t="inlineStr">
        <is>
          <t>[나운동]</t>
        </is>
      </c>
      <c r="B187" s="74" t="n">
        <v>4998</v>
      </c>
      <c r="C187" s="74" t="n">
        <v>1</v>
      </c>
      <c r="D187" s="74" t="inlineStr">
        <is>
          <t>영창</t>
        </is>
      </c>
      <c r="E187" s="74" t="inlineStr">
        <is>
          <t>1995.06.</t>
        </is>
      </c>
      <c r="F187" s="74" t="n">
        <v>765</v>
      </c>
      <c r="G187" s="74" t="n">
        <v>17.1</v>
      </c>
      <c r="H187" s="74" t="n">
        <v>56.54</v>
      </c>
      <c r="I187" s="74" t="n">
        <v>11.89</v>
      </c>
      <c r="J187" s="74" t="n">
        <v>39.33</v>
      </c>
      <c r="K187" s="74" t="n">
        <v>60</v>
      </c>
      <c r="T187" s="74" t="n">
        <v>2</v>
      </c>
      <c r="U187" s="74" t="n">
        <v>1</v>
      </c>
      <c r="V187" s="74" t="inlineStr">
        <is>
          <t>복도식</t>
        </is>
      </c>
      <c r="W187" s="74" t="n">
        <v>56</v>
      </c>
      <c r="X187" s="74" t="n">
        <v>15</v>
      </c>
      <c r="Y187" s="74" t="n">
        <v>15</v>
      </c>
      <c r="Z187" s="74" t="inlineStr">
        <is>
          <t>https://new.land.naver.com/complexes/4998?tab=detail&amp;rf=Y</t>
        </is>
      </c>
      <c r="AA187" s="74" t="inlineStr">
        <is>
          <t>전라북도 군산시 나운동 156-6</t>
        </is>
      </c>
      <c r="AB187" s="74" t="inlineStr">
        <is>
          <t>전라북도</t>
        </is>
      </c>
      <c r="AC187" s="74" t="inlineStr">
        <is>
          <t>군산시</t>
        </is>
      </c>
      <c r="AD187" s="74" t="inlineStr">
        <is>
          <t>나운동</t>
        </is>
      </c>
      <c r="AG187" s="74" t="inlineStr">
        <is>
          <t>전라북도 군산시 의료원로 137</t>
        </is>
      </c>
      <c r="AH187" s="74" t="n">
        <v>0</v>
      </c>
      <c r="AI187" s="74" t="n">
        <v>0</v>
      </c>
      <c r="AJ187" s="74" t="n">
        <v>0</v>
      </c>
      <c r="AK187" s="74" t="n">
        <v>0</v>
      </c>
      <c r="AL187" s="74" t="n">
        <v>0</v>
      </c>
    </row>
    <row r="188">
      <c r="A188" s="74" t="inlineStr">
        <is>
          <t>[나운동]</t>
        </is>
      </c>
      <c r="B188" s="74" t="n">
        <v>4998</v>
      </c>
      <c r="C188" s="74" t="n">
        <v>2</v>
      </c>
      <c r="D188" s="74" t="inlineStr">
        <is>
          <t>영창</t>
        </is>
      </c>
      <c r="E188" s="74" t="inlineStr">
        <is>
          <t>1995.06.</t>
        </is>
      </c>
      <c r="F188" s="74" t="n">
        <v>765</v>
      </c>
      <c r="G188" s="74" t="n">
        <v>21.63</v>
      </c>
      <c r="H188" s="74" t="n">
        <v>71.51000000000001</v>
      </c>
      <c r="I188" s="74" t="n">
        <v>15.05</v>
      </c>
      <c r="J188" s="74" t="n">
        <v>49.77</v>
      </c>
      <c r="K188" s="74" t="n">
        <v>120</v>
      </c>
      <c r="T188" s="74" t="n">
        <v>2</v>
      </c>
      <c r="U188" s="74" t="n">
        <v>1</v>
      </c>
      <c r="V188" s="74" t="inlineStr">
        <is>
          <t>복도식</t>
        </is>
      </c>
      <c r="W188" s="74" t="n">
        <v>71</v>
      </c>
      <c r="X188" s="74" t="n">
        <v>15</v>
      </c>
      <c r="Y188" s="74" t="n">
        <v>15</v>
      </c>
      <c r="Z188" s="74" t="inlineStr">
        <is>
          <t>https://new.land.naver.com/complexes/4998?tab=detail&amp;rf=Y</t>
        </is>
      </c>
      <c r="AA188" s="74" t="inlineStr">
        <is>
          <t>전라북도 군산시 나운동 156-6</t>
        </is>
      </c>
      <c r="AB188" s="74" t="inlineStr">
        <is>
          <t>전라북도</t>
        </is>
      </c>
      <c r="AC188" s="74" t="inlineStr">
        <is>
          <t>군산시</t>
        </is>
      </c>
      <c r="AD188" s="74" t="inlineStr">
        <is>
          <t>나운동</t>
        </is>
      </c>
      <c r="AG188" s="74" t="inlineStr">
        <is>
          <t>전라북도 군산시 의료원로 137</t>
        </is>
      </c>
      <c r="AH188" s="74" t="n">
        <v>0</v>
      </c>
      <c r="AI188" s="74" t="n">
        <v>0</v>
      </c>
      <c r="AJ188" s="74" t="n">
        <v>0</v>
      </c>
      <c r="AK188" s="74" t="n">
        <v>0</v>
      </c>
      <c r="AL188" s="74" t="n">
        <v>0</v>
      </c>
    </row>
    <row r="189">
      <c r="A189" s="74" t="inlineStr">
        <is>
          <t>[나운동]</t>
        </is>
      </c>
      <c r="B189" s="74" t="n">
        <v>4998</v>
      </c>
      <c r="C189" s="74" t="n">
        <v>3</v>
      </c>
      <c r="D189" s="74" t="inlineStr">
        <is>
          <t>영창</t>
        </is>
      </c>
      <c r="E189" s="74" t="inlineStr">
        <is>
          <t>1995.06.</t>
        </is>
      </c>
      <c r="F189" s="74" t="n">
        <v>765</v>
      </c>
      <c r="G189" s="74" t="n">
        <v>22.59</v>
      </c>
      <c r="H189" s="74" t="n">
        <v>74.70999999999999</v>
      </c>
      <c r="I189" s="74" t="n">
        <v>18.13</v>
      </c>
      <c r="J189" s="74" t="n">
        <v>59.94</v>
      </c>
      <c r="K189" s="74" t="n">
        <v>300</v>
      </c>
      <c r="T189" s="74" t="n">
        <v>3</v>
      </c>
      <c r="U189" s="74" t="n">
        <v>1</v>
      </c>
      <c r="V189" s="74" t="inlineStr">
        <is>
          <t>계단식</t>
        </is>
      </c>
      <c r="W189" s="74" t="n">
        <v>74</v>
      </c>
      <c r="X189" s="74" t="n">
        <v>15</v>
      </c>
      <c r="Y189" s="74" t="n">
        <v>15</v>
      </c>
      <c r="Z189" s="74" t="inlineStr">
        <is>
          <t>https://new.land.naver.com/complexes/4998?tab=detail&amp;rf=Y</t>
        </is>
      </c>
      <c r="AA189" s="74" t="inlineStr">
        <is>
          <t>전라북도 군산시 나운동 156-6</t>
        </is>
      </c>
      <c r="AB189" s="74" t="inlineStr">
        <is>
          <t>전라북도</t>
        </is>
      </c>
      <c r="AC189" s="74" t="inlineStr">
        <is>
          <t>군산시</t>
        </is>
      </c>
      <c r="AD189" s="74" t="inlineStr">
        <is>
          <t>나운동</t>
        </is>
      </c>
      <c r="AG189" s="74" t="inlineStr">
        <is>
          <t>전라북도 군산시 의료원로 137</t>
        </is>
      </c>
      <c r="AH189" s="74" t="n">
        <v>0</v>
      </c>
      <c r="AI189" s="74" t="n">
        <v>0</v>
      </c>
      <c r="AJ189" s="74" t="n">
        <v>0</v>
      </c>
      <c r="AK189" s="74" t="n">
        <v>0</v>
      </c>
      <c r="AL189" s="74" t="n">
        <v>0</v>
      </c>
    </row>
    <row r="190">
      <c r="A190" s="74" t="inlineStr">
        <is>
          <t>[나운동]</t>
        </is>
      </c>
      <c r="B190" s="74" t="n">
        <v>4998</v>
      </c>
      <c r="C190" s="74" t="n">
        <v>4</v>
      </c>
      <c r="D190" s="74" t="inlineStr">
        <is>
          <t>영창</t>
        </is>
      </c>
      <c r="E190" s="74" t="inlineStr">
        <is>
          <t>1995.06.</t>
        </is>
      </c>
      <c r="F190" s="74" t="n">
        <v>765</v>
      </c>
      <c r="G190" s="74" t="n">
        <v>24.85</v>
      </c>
      <c r="H190" s="74" t="n">
        <v>82.16</v>
      </c>
      <c r="I190" s="74" t="n">
        <v>18.09</v>
      </c>
      <c r="J190" s="74" t="n">
        <v>59.82</v>
      </c>
      <c r="K190" s="74" t="n">
        <v>285</v>
      </c>
      <c r="T190" s="74" t="n">
        <v>3</v>
      </c>
      <c r="U190" s="74" t="n">
        <v>1</v>
      </c>
      <c r="V190" s="74" t="inlineStr">
        <is>
          <t>복도식</t>
        </is>
      </c>
      <c r="W190" s="74" t="n">
        <v>82</v>
      </c>
      <c r="X190" s="74" t="n">
        <v>15</v>
      </c>
      <c r="Y190" s="74" t="n">
        <v>15</v>
      </c>
      <c r="Z190" s="74" t="inlineStr">
        <is>
          <t>https://new.land.naver.com/complexes/4998?tab=detail&amp;rf=Y</t>
        </is>
      </c>
      <c r="AA190" s="74" t="inlineStr">
        <is>
          <t>전라북도 군산시 나운동 156-6</t>
        </is>
      </c>
      <c r="AB190" s="74" t="inlineStr">
        <is>
          <t>전라북도</t>
        </is>
      </c>
      <c r="AC190" s="74" t="inlineStr">
        <is>
          <t>군산시</t>
        </is>
      </c>
      <c r="AD190" s="74" t="inlineStr">
        <is>
          <t>나운동</t>
        </is>
      </c>
      <c r="AG190" s="74" t="inlineStr">
        <is>
          <t>전라북도 군산시 의료원로 137</t>
        </is>
      </c>
      <c r="AH190" s="74" t="n">
        <v>0</v>
      </c>
      <c r="AI190" s="74" t="n">
        <v>0</v>
      </c>
      <c r="AJ190" s="74" t="n">
        <v>0</v>
      </c>
      <c r="AK190" s="74" t="n">
        <v>0</v>
      </c>
      <c r="AL190" s="74" t="n">
        <v>0</v>
      </c>
    </row>
    <row r="191">
      <c r="A191" s="74" t="inlineStr">
        <is>
          <t>[나운동]</t>
        </is>
      </c>
      <c r="B191" s="74" t="n">
        <v>27019</v>
      </c>
      <c r="C191" s="74" t="n">
        <v>1</v>
      </c>
      <c r="D191" s="74" t="inlineStr">
        <is>
          <t>비사벌</t>
        </is>
      </c>
      <c r="E191" s="74" t="inlineStr">
        <is>
          <t>1997.02.</t>
        </is>
      </c>
      <c r="F191" s="74" t="n">
        <v>268</v>
      </c>
      <c r="G191" s="74" t="n">
        <v>23.64</v>
      </c>
      <c r="H191" s="74" t="n">
        <v>78.16</v>
      </c>
      <c r="I191" s="74" t="n">
        <v>18.12</v>
      </c>
      <c r="J191" s="74" t="n">
        <v>59.91</v>
      </c>
      <c r="K191" s="74" t="n">
        <v>268</v>
      </c>
      <c r="T191" s="74" t="n">
        <v>2</v>
      </c>
      <c r="U191" s="74" t="n">
        <v>1</v>
      </c>
      <c r="V191" s="74" t="inlineStr">
        <is>
          <t>계단식</t>
        </is>
      </c>
      <c r="W191" s="74" t="n">
        <v>78</v>
      </c>
      <c r="X191" s="74" t="n">
        <v>15</v>
      </c>
      <c r="Y191" s="74" t="n">
        <v>15</v>
      </c>
      <c r="Z191" s="74" t="inlineStr">
        <is>
          <t>https://new.land.naver.com/complexes/27019?tab=detail&amp;rf=Y</t>
        </is>
      </c>
      <c r="AA191" s="74" t="inlineStr">
        <is>
          <t>전라북도 군산시 나운동 153-11</t>
        </is>
      </c>
      <c r="AB191" s="74" t="inlineStr">
        <is>
          <t>전라북도</t>
        </is>
      </c>
      <c r="AC191" s="74" t="inlineStr">
        <is>
          <t>군산시</t>
        </is>
      </c>
      <c r="AD191" s="74" t="inlineStr">
        <is>
          <t>나운동</t>
        </is>
      </c>
      <c r="AG191" s="74" t="inlineStr">
        <is>
          <t>전라북도 군산시 하나운로 7</t>
        </is>
      </c>
      <c r="AH191" s="74" t="n">
        <v>0</v>
      </c>
      <c r="AI191" s="74" t="n">
        <v>0</v>
      </c>
      <c r="AJ191" s="74" t="n">
        <v>0</v>
      </c>
      <c r="AK191" s="74" t="n">
        <v>276</v>
      </c>
      <c r="AL191" s="74" t="n">
        <v>1.03</v>
      </c>
    </row>
    <row r="192">
      <c r="A192" s="74" t="inlineStr">
        <is>
          <t>[나운동]</t>
        </is>
      </c>
      <c r="B192" s="74" t="n">
        <v>5004</v>
      </c>
      <c r="C192" s="74" t="n">
        <v>1</v>
      </c>
      <c r="D192" s="74" t="inlineStr">
        <is>
          <t>나운유원</t>
        </is>
      </c>
      <c r="E192" s="74" t="inlineStr">
        <is>
          <t>1990.11.</t>
        </is>
      </c>
      <c r="F192" s="74" t="n">
        <v>458</v>
      </c>
      <c r="G192" s="74" t="n">
        <v>24.58</v>
      </c>
      <c r="H192" s="74" t="n">
        <v>81.28</v>
      </c>
      <c r="I192" s="74" t="n">
        <v>19.69</v>
      </c>
      <c r="J192" s="74" t="n">
        <v>65.09999999999999</v>
      </c>
      <c r="K192" s="74" t="n">
        <v>144</v>
      </c>
      <c r="T192" s="74" t="n">
        <v>3</v>
      </c>
      <c r="U192" s="74" t="n">
        <v>1</v>
      </c>
      <c r="V192" s="74" t="inlineStr">
        <is>
          <t>계단식</t>
        </is>
      </c>
      <c r="W192" s="74" t="n">
        <v>81</v>
      </c>
      <c r="X192" s="74" t="n">
        <v>15</v>
      </c>
      <c r="Y192" s="74" t="n">
        <v>8</v>
      </c>
      <c r="Z192" s="74" t="inlineStr">
        <is>
          <t>https://new.land.naver.com/complexes/5004?tab=detail&amp;rf=Y</t>
        </is>
      </c>
      <c r="AA192" s="74" t="inlineStr">
        <is>
          <t>전라북도 군산시 나운동 866-1</t>
        </is>
      </c>
      <c r="AB192" s="74" t="inlineStr">
        <is>
          <t>전라북도</t>
        </is>
      </c>
      <c r="AC192" s="74" t="inlineStr">
        <is>
          <t>군산시</t>
        </is>
      </c>
      <c r="AD192" s="74" t="inlineStr">
        <is>
          <t>나운동</t>
        </is>
      </c>
      <c r="AG192" s="74" t="inlineStr">
        <is>
          <t>전라북도 군산시 부곡1길 39</t>
        </is>
      </c>
      <c r="AH192" s="74" t="n">
        <v>0</v>
      </c>
      <c r="AI192" s="74" t="n">
        <v>0</v>
      </c>
      <c r="AJ192" s="74" t="n">
        <v>0</v>
      </c>
      <c r="AK192" s="74" t="n">
        <v>229</v>
      </c>
      <c r="AL192" s="74" t="n">
        <v>0.5</v>
      </c>
    </row>
    <row r="193">
      <c r="A193" s="74" t="inlineStr">
        <is>
          <t>[나운동]</t>
        </is>
      </c>
      <c r="B193" s="74" t="n">
        <v>5004</v>
      </c>
      <c r="C193" s="74" t="n">
        <v>2</v>
      </c>
      <c r="D193" s="74" t="inlineStr">
        <is>
          <t>나운유원</t>
        </is>
      </c>
      <c r="E193" s="74" t="inlineStr">
        <is>
          <t>1990.11.</t>
        </is>
      </c>
      <c r="F193" s="74" t="n">
        <v>458</v>
      </c>
      <c r="G193" s="74" t="n">
        <v>29.27</v>
      </c>
      <c r="H193" s="74" t="n">
        <v>96.79000000000001</v>
      </c>
      <c r="I193" s="74" t="n">
        <v>23.62</v>
      </c>
      <c r="J193" s="74" t="n">
        <v>78.09</v>
      </c>
      <c r="K193" s="74" t="n">
        <v>69</v>
      </c>
      <c r="T193" s="74" t="n">
        <v>3</v>
      </c>
      <c r="U193" s="74" t="n">
        <v>1</v>
      </c>
      <c r="V193" s="74" t="inlineStr">
        <is>
          <t>계단식</t>
        </is>
      </c>
      <c r="W193" s="74" t="n">
        <v>96</v>
      </c>
      <c r="X193" s="74" t="n">
        <v>15</v>
      </c>
      <c r="Y193" s="74" t="n">
        <v>8</v>
      </c>
      <c r="Z193" s="74" t="inlineStr">
        <is>
          <t>https://new.land.naver.com/complexes/5004?tab=detail&amp;rf=Y</t>
        </is>
      </c>
      <c r="AA193" s="74" t="inlineStr">
        <is>
          <t>전라북도 군산시 나운동 866-1</t>
        </is>
      </c>
      <c r="AB193" s="74" t="inlineStr">
        <is>
          <t>전라북도</t>
        </is>
      </c>
      <c r="AC193" s="74" t="inlineStr">
        <is>
          <t>군산시</t>
        </is>
      </c>
      <c r="AD193" s="74" t="inlineStr">
        <is>
          <t>나운동</t>
        </is>
      </c>
      <c r="AG193" s="74" t="inlineStr">
        <is>
          <t>전라북도 군산시 부곡1길 39</t>
        </is>
      </c>
      <c r="AH193" s="74" t="n">
        <v>0</v>
      </c>
      <c r="AI193" s="74" t="n">
        <v>0</v>
      </c>
      <c r="AJ193" s="74" t="n">
        <v>0</v>
      </c>
      <c r="AK193" s="74" t="n">
        <v>229</v>
      </c>
      <c r="AL193" s="74" t="n">
        <v>0.5</v>
      </c>
    </row>
    <row r="194">
      <c r="A194" s="74" t="inlineStr">
        <is>
          <t>[나운동]</t>
        </is>
      </c>
      <c r="B194" s="74" t="n">
        <v>5004</v>
      </c>
      <c r="C194" s="74" t="n">
        <v>3</v>
      </c>
      <c r="D194" s="74" t="inlineStr">
        <is>
          <t>나운유원</t>
        </is>
      </c>
      <c r="E194" s="74" t="inlineStr">
        <is>
          <t>1990.11.</t>
        </is>
      </c>
      <c r="F194" s="74" t="n">
        <v>458</v>
      </c>
      <c r="G194" s="74" t="n">
        <v>31.48</v>
      </c>
      <c r="H194" s="74" t="n">
        <v>104.07</v>
      </c>
      <c r="I194" s="74" t="n">
        <v>25.7</v>
      </c>
      <c r="J194" s="74" t="n">
        <v>84.95999999999999</v>
      </c>
      <c r="K194" s="74" t="n">
        <v>245</v>
      </c>
      <c r="T194" s="74" t="n">
        <v>3</v>
      </c>
      <c r="U194" s="74" t="n">
        <v>2</v>
      </c>
      <c r="V194" s="74" t="inlineStr">
        <is>
          <t>계단식</t>
        </is>
      </c>
      <c r="W194" s="74" t="n">
        <v>104</v>
      </c>
      <c r="X194" s="74" t="n">
        <v>15</v>
      </c>
      <c r="Y194" s="74" t="n">
        <v>8</v>
      </c>
      <c r="Z194" s="74" t="inlineStr">
        <is>
          <t>https://new.land.naver.com/complexes/5004?tab=detail&amp;rf=Y</t>
        </is>
      </c>
      <c r="AA194" s="74" t="inlineStr">
        <is>
          <t>전라북도 군산시 나운동 866-1</t>
        </is>
      </c>
      <c r="AB194" s="74" t="inlineStr">
        <is>
          <t>전라북도</t>
        </is>
      </c>
      <c r="AC194" s="74" t="inlineStr">
        <is>
          <t>군산시</t>
        </is>
      </c>
      <c r="AD194" s="74" t="inlineStr">
        <is>
          <t>나운동</t>
        </is>
      </c>
      <c r="AG194" s="74" t="inlineStr">
        <is>
          <t>전라북도 군산시 부곡1길 39</t>
        </is>
      </c>
      <c r="AH194" s="74" t="n">
        <v>0</v>
      </c>
      <c r="AI194" s="74" t="n">
        <v>0</v>
      </c>
      <c r="AJ194" s="74" t="n">
        <v>0</v>
      </c>
      <c r="AK194" s="74" t="n">
        <v>229</v>
      </c>
      <c r="AL194" s="74" t="n">
        <v>0.5</v>
      </c>
    </row>
    <row r="195">
      <c r="A195" s="74" t="inlineStr">
        <is>
          <t>[나운동]</t>
        </is>
      </c>
      <c r="B195" s="74" t="n">
        <v>5012</v>
      </c>
      <c r="C195" s="74" t="n">
        <v>1</v>
      </c>
      <c r="D195" s="74" t="inlineStr">
        <is>
          <t>주공5단지</t>
        </is>
      </c>
      <c r="E195" s="74" t="inlineStr">
        <is>
          <t>1995.07.</t>
        </is>
      </c>
      <c r="F195" s="74" t="n">
        <v>1541</v>
      </c>
      <c r="G195" s="74" t="n">
        <v>16.58</v>
      </c>
      <c r="H195" s="74" t="n">
        <v>54.81</v>
      </c>
      <c r="I195" s="74" t="n">
        <v>11.39</v>
      </c>
      <c r="J195" s="74" t="n">
        <v>37.67</v>
      </c>
      <c r="K195" s="74" t="n">
        <v>149</v>
      </c>
      <c r="T195" s="74" t="n">
        <v>2</v>
      </c>
      <c r="U195" s="74" t="n">
        <v>1</v>
      </c>
      <c r="V195" s="74" t="inlineStr">
        <is>
          <t>복도식</t>
        </is>
      </c>
      <c r="W195" s="74" t="n">
        <v>54</v>
      </c>
      <c r="X195" s="74" t="n">
        <v>15</v>
      </c>
      <c r="Y195" s="74" t="n">
        <v>15</v>
      </c>
      <c r="Z195" s="74" t="inlineStr">
        <is>
          <t>https://new.land.naver.com/complexes/5012?tab=detail&amp;rf=Y</t>
        </is>
      </c>
      <c r="AA195" s="74" t="inlineStr">
        <is>
          <t>전라북도 군산시 나운동 45-7</t>
        </is>
      </c>
      <c r="AB195" s="74" t="inlineStr">
        <is>
          <t>전라북도</t>
        </is>
      </c>
      <c r="AC195" s="74" t="inlineStr">
        <is>
          <t>군산시</t>
        </is>
      </c>
      <c r="AD195" s="74" t="inlineStr">
        <is>
          <t>나운동</t>
        </is>
      </c>
      <c r="AG195" s="74" t="inlineStr">
        <is>
          <t>전라북도 군산시 백토로 117</t>
        </is>
      </c>
      <c r="AH195" s="74" t="n">
        <v>0</v>
      </c>
      <c r="AI195" s="74" t="n">
        <v>0</v>
      </c>
      <c r="AJ195" s="74" t="n">
        <v>0</v>
      </c>
      <c r="AK195" s="74" t="n">
        <v>0</v>
      </c>
      <c r="AL195" s="74" t="n">
        <v>0</v>
      </c>
    </row>
    <row r="196">
      <c r="A196" s="74" t="inlineStr">
        <is>
          <t>[나운동]</t>
        </is>
      </c>
      <c r="B196" s="74" t="n">
        <v>5012</v>
      </c>
      <c r="C196" s="74" t="n">
        <v>2</v>
      </c>
      <c r="D196" s="74" t="inlineStr">
        <is>
          <t>주공5단지</t>
        </is>
      </c>
      <c r="E196" s="74" t="inlineStr">
        <is>
          <t>1995.07.</t>
        </is>
      </c>
      <c r="F196" s="74" t="n">
        <v>1541</v>
      </c>
      <c r="G196" s="74" t="n">
        <v>21.11</v>
      </c>
      <c r="H196" s="74" t="n">
        <v>69.8</v>
      </c>
      <c r="I196" s="74" t="n">
        <v>15.03</v>
      </c>
      <c r="J196" s="74" t="n">
        <v>49.69</v>
      </c>
      <c r="K196" s="74" t="n">
        <v>149</v>
      </c>
      <c r="T196" s="74" t="n">
        <v>2</v>
      </c>
      <c r="U196" s="74" t="n">
        <v>1</v>
      </c>
      <c r="V196" s="74" t="inlineStr">
        <is>
          <t>복도식</t>
        </is>
      </c>
      <c r="W196" s="74" t="n">
        <v>69</v>
      </c>
      <c r="X196" s="74" t="n">
        <v>15</v>
      </c>
      <c r="Y196" s="74" t="n">
        <v>15</v>
      </c>
      <c r="Z196" s="74" t="inlineStr">
        <is>
          <t>https://new.land.naver.com/complexes/5012?tab=detail&amp;rf=Y</t>
        </is>
      </c>
      <c r="AA196" s="74" t="inlineStr">
        <is>
          <t>전라북도 군산시 나운동 45-7</t>
        </is>
      </c>
      <c r="AB196" s="74" t="inlineStr">
        <is>
          <t>전라북도</t>
        </is>
      </c>
      <c r="AC196" s="74" t="inlineStr">
        <is>
          <t>군산시</t>
        </is>
      </c>
      <c r="AD196" s="74" t="inlineStr">
        <is>
          <t>나운동</t>
        </is>
      </c>
      <c r="AG196" s="74" t="inlineStr">
        <is>
          <t>전라북도 군산시 백토로 117</t>
        </is>
      </c>
      <c r="AH196" s="74" t="n">
        <v>0</v>
      </c>
      <c r="AI196" s="74" t="n">
        <v>0</v>
      </c>
      <c r="AJ196" s="74" t="n">
        <v>0</v>
      </c>
      <c r="AK196" s="74" t="n">
        <v>0</v>
      </c>
      <c r="AL196" s="74" t="n">
        <v>0</v>
      </c>
    </row>
    <row r="197">
      <c r="A197" s="74" t="inlineStr">
        <is>
          <t>[나운동]</t>
        </is>
      </c>
      <c r="B197" s="74" t="n">
        <v>5012</v>
      </c>
      <c r="C197" s="74" t="n">
        <v>3</v>
      </c>
      <c r="D197" s="74" t="inlineStr">
        <is>
          <t>주공5단지</t>
        </is>
      </c>
      <c r="E197" s="74" t="inlineStr">
        <is>
          <t>1995.07.</t>
        </is>
      </c>
      <c r="F197" s="74" t="n">
        <v>1541</v>
      </c>
      <c r="G197" s="74" t="n">
        <v>23.95</v>
      </c>
      <c r="H197" s="74" t="n">
        <v>79.19</v>
      </c>
      <c r="I197" s="74" t="n">
        <v>17.58</v>
      </c>
      <c r="J197" s="74" t="n">
        <v>58.14</v>
      </c>
      <c r="K197" s="74" t="n">
        <v>1243</v>
      </c>
      <c r="T197" s="74" t="n">
        <v>3</v>
      </c>
      <c r="U197" s="74" t="n">
        <v>1</v>
      </c>
      <c r="V197" s="74" t="inlineStr">
        <is>
          <t>복도식</t>
        </is>
      </c>
      <c r="W197" s="74" t="n">
        <v>79</v>
      </c>
      <c r="X197" s="74" t="n">
        <v>15</v>
      </c>
      <c r="Y197" s="74" t="n">
        <v>15</v>
      </c>
      <c r="Z197" s="74" t="inlineStr">
        <is>
          <t>https://new.land.naver.com/complexes/5012?tab=detail&amp;rf=Y</t>
        </is>
      </c>
      <c r="AA197" s="74" t="inlineStr">
        <is>
          <t>전라북도 군산시 나운동 45-7</t>
        </is>
      </c>
      <c r="AB197" s="74" t="inlineStr">
        <is>
          <t>전라북도</t>
        </is>
      </c>
      <c r="AC197" s="74" t="inlineStr">
        <is>
          <t>군산시</t>
        </is>
      </c>
      <c r="AD197" s="74" t="inlineStr">
        <is>
          <t>나운동</t>
        </is>
      </c>
      <c r="AG197" s="74" t="inlineStr">
        <is>
          <t>전라북도 군산시 백토로 117</t>
        </is>
      </c>
      <c r="AH197" s="74" t="n">
        <v>0</v>
      </c>
      <c r="AI197" s="74" t="n">
        <v>0</v>
      </c>
      <c r="AJ197" s="74" t="n">
        <v>0</v>
      </c>
      <c r="AK197" s="74" t="n">
        <v>0</v>
      </c>
      <c r="AL197" s="74" t="n">
        <v>0</v>
      </c>
    </row>
    <row r="198">
      <c r="A198" s="74" t="inlineStr">
        <is>
          <t>[나운동]</t>
        </is>
      </c>
      <c r="B198" s="74" t="n">
        <v>139866</v>
      </c>
      <c r="C198" s="74" t="n">
        <v>1</v>
      </c>
      <c r="D198" s="74" t="inlineStr">
        <is>
          <t>금호</t>
        </is>
      </c>
      <c r="E198" s="74" t="inlineStr">
        <is>
          <t>1987.06.</t>
        </is>
      </c>
      <c r="F198" s="74" t="n">
        <v>100</v>
      </c>
      <c r="G198" s="74" t="n">
        <v>19.41</v>
      </c>
      <c r="H198" s="74" t="n">
        <v>64.17</v>
      </c>
      <c r="I198" s="74" t="n">
        <v>17.66</v>
      </c>
      <c r="J198" s="74" t="n">
        <v>58.41</v>
      </c>
      <c r="K198" s="74" t="n">
        <v>50</v>
      </c>
      <c r="T198" s="74" t="n">
        <v>3</v>
      </c>
      <c r="U198" s="74" t="n">
        <v>1</v>
      </c>
      <c r="V198" s="74" t="inlineStr">
        <is>
          <t>계단식</t>
        </is>
      </c>
      <c r="W198" s="74" t="inlineStr">
        <is>
          <t>64A</t>
        </is>
      </c>
      <c r="X198" s="74" t="n">
        <v>5</v>
      </c>
      <c r="Y198" s="74" t="n">
        <v>5</v>
      </c>
      <c r="Z198" s="74" t="inlineStr">
        <is>
          <t>https://new.land.naver.com/complexes/139866?tab=detail&amp;rf=Y</t>
        </is>
      </c>
      <c r="AA198" s="74" t="inlineStr">
        <is>
          <t>전라북도 군산시 나운동 787-4</t>
        </is>
      </c>
      <c r="AB198" s="74" t="inlineStr">
        <is>
          <t>전라북도</t>
        </is>
      </c>
      <c r="AC198" s="74" t="inlineStr">
        <is>
          <t>군산시</t>
        </is>
      </c>
      <c r="AD198" s="74" t="inlineStr">
        <is>
          <t>나운동</t>
        </is>
      </c>
      <c r="AG198" s="74" t="inlineStr">
        <is>
          <t>전라북도 군산시 신설3길 14</t>
        </is>
      </c>
      <c r="AH198" s="74" t="n">
        <v>0</v>
      </c>
      <c r="AI198" s="74" t="n">
        <v>0</v>
      </c>
      <c r="AJ198" s="74" t="n">
        <v>0</v>
      </c>
      <c r="AK198" s="74" t="n">
        <v>0</v>
      </c>
      <c r="AL198" s="74" t="n">
        <v>0</v>
      </c>
    </row>
    <row r="199">
      <c r="A199" s="74" t="inlineStr">
        <is>
          <t>[나운동]</t>
        </is>
      </c>
      <c r="B199" s="74" t="n">
        <v>139866</v>
      </c>
      <c r="C199" s="74" t="n">
        <v>2</v>
      </c>
      <c r="D199" s="74" t="inlineStr">
        <is>
          <t>금호</t>
        </is>
      </c>
      <c r="E199" s="74" t="inlineStr">
        <is>
          <t>1987.06.</t>
        </is>
      </c>
      <c r="F199" s="74" t="n">
        <v>100</v>
      </c>
      <c r="G199" s="74" t="n">
        <v>19.57</v>
      </c>
      <c r="H199" s="74" t="n">
        <v>64.70999999999999</v>
      </c>
      <c r="I199" s="74" t="n">
        <v>17.83</v>
      </c>
      <c r="J199" s="74" t="n">
        <v>58.95</v>
      </c>
      <c r="K199" s="74" t="n">
        <v>50</v>
      </c>
      <c r="T199" s="74" t="n">
        <v>2</v>
      </c>
      <c r="U199" s="74" t="n">
        <v>1</v>
      </c>
      <c r="V199" s="74" t="inlineStr">
        <is>
          <t>계단식</t>
        </is>
      </c>
      <c r="W199" s="74" t="inlineStr">
        <is>
          <t>64B</t>
        </is>
      </c>
      <c r="X199" s="74" t="n">
        <v>5</v>
      </c>
      <c r="Y199" s="74" t="n">
        <v>5</v>
      </c>
      <c r="Z199" s="74" t="inlineStr">
        <is>
          <t>https://new.land.naver.com/complexes/139866?tab=detail&amp;rf=Y</t>
        </is>
      </c>
      <c r="AA199" s="74" t="inlineStr">
        <is>
          <t>전라북도 군산시 나운동 787-4</t>
        </is>
      </c>
      <c r="AB199" s="74" t="inlineStr">
        <is>
          <t>전라북도</t>
        </is>
      </c>
      <c r="AC199" s="74" t="inlineStr">
        <is>
          <t>군산시</t>
        </is>
      </c>
      <c r="AD199" s="74" t="inlineStr">
        <is>
          <t>나운동</t>
        </is>
      </c>
      <c r="AG199" s="74" t="inlineStr">
        <is>
          <t>전라북도 군산시 신설3길 14</t>
        </is>
      </c>
      <c r="AH199" s="74" t="n">
        <v>0</v>
      </c>
      <c r="AI199" s="74" t="n">
        <v>0</v>
      </c>
      <c r="AJ199" s="74" t="n">
        <v>0</v>
      </c>
      <c r="AK199" s="74" t="n">
        <v>0</v>
      </c>
      <c r="AL199" s="74" t="n">
        <v>0</v>
      </c>
    </row>
    <row r="200">
      <c r="A200" s="74" t="inlineStr">
        <is>
          <t>[나운동]</t>
        </is>
      </c>
      <c r="B200" s="74" t="n">
        <v>136405</v>
      </c>
      <c r="C200" s="74" t="n">
        <v>1</v>
      </c>
      <c r="D200" s="74" t="inlineStr">
        <is>
          <t>로얄맨션7차</t>
        </is>
      </c>
      <c r="E200" s="74" t="inlineStr">
        <is>
          <t>1992.12.</t>
        </is>
      </c>
      <c r="F200" s="74" t="n">
        <v>18</v>
      </c>
      <c r="G200" s="74" t="n">
        <v>30.04</v>
      </c>
      <c r="H200" s="74" t="n">
        <v>99.31</v>
      </c>
      <c r="I200" s="74" t="n">
        <v>24.81</v>
      </c>
      <c r="J200" s="74" t="n">
        <v>82.02</v>
      </c>
      <c r="K200" s="74" t="n">
        <v>4</v>
      </c>
      <c r="T200" s="74" t="n">
        <v>3</v>
      </c>
      <c r="U200" s="74" t="n">
        <v>2</v>
      </c>
      <c r="V200" s="74" t="inlineStr">
        <is>
          <t>계단식</t>
        </is>
      </c>
      <c r="W200" s="74" t="inlineStr">
        <is>
          <t>99A</t>
        </is>
      </c>
      <c r="X200" s="74" t="n">
        <v>5</v>
      </c>
      <c r="Y200" s="74" t="n">
        <v>5</v>
      </c>
      <c r="Z200" s="74" t="inlineStr">
        <is>
          <t>https://new.land.naver.com/complexes/136405?tab=detail&amp;rf=Y</t>
        </is>
      </c>
      <c r="AA200" s="74" t="inlineStr">
        <is>
          <t>전라북도 군산시 나운동 774-6</t>
        </is>
      </c>
      <c r="AB200" s="74" t="inlineStr">
        <is>
          <t>전라북도</t>
        </is>
      </c>
      <c r="AC200" s="74" t="inlineStr">
        <is>
          <t>군산시</t>
        </is>
      </c>
      <c r="AD200" s="74" t="inlineStr">
        <is>
          <t>나운동</t>
        </is>
      </c>
      <c r="AG200" s="74" t="inlineStr">
        <is>
          <t>전라북도 군산시 신설1길 41</t>
        </is>
      </c>
      <c r="AH200" s="74" t="n">
        <v>0</v>
      </c>
      <c r="AI200" s="74" t="n">
        <v>230</v>
      </c>
      <c r="AJ200" s="74" t="n">
        <v>47</v>
      </c>
      <c r="AK200" s="74" t="n">
        <v>0</v>
      </c>
      <c r="AL200" s="74" t="n">
        <v>0</v>
      </c>
    </row>
    <row r="201">
      <c r="A201" s="74" t="inlineStr">
        <is>
          <t>[나운동]</t>
        </is>
      </c>
      <c r="B201" s="74" t="n">
        <v>136405</v>
      </c>
      <c r="C201" s="74" t="n">
        <v>2</v>
      </c>
      <c r="D201" s="74" t="inlineStr">
        <is>
          <t>로얄맨션7차</t>
        </is>
      </c>
      <c r="E201" s="74" t="inlineStr">
        <is>
          <t>1992.12.</t>
        </is>
      </c>
      <c r="F201" s="74" t="n">
        <v>18</v>
      </c>
      <c r="G201" s="74" t="n">
        <v>30.05</v>
      </c>
      <c r="H201" s="74" t="n">
        <v>99.36</v>
      </c>
      <c r="I201" s="74" t="n">
        <v>24.82</v>
      </c>
      <c r="J201" s="74" t="n">
        <v>82.06999999999999</v>
      </c>
      <c r="K201" s="74" t="n">
        <v>4</v>
      </c>
      <c r="T201" s="74" t="n">
        <v>3</v>
      </c>
      <c r="U201" s="74" t="n">
        <v>2</v>
      </c>
      <c r="V201" s="74" t="inlineStr">
        <is>
          <t>계단식</t>
        </is>
      </c>
      <c r="W201" s="74" t="inlineStr">
        <is>
          <t>99C</t>
        </is>
      </c>
      <c r="X201" s="74" t="n">
        <v>5</v>
      </c>
      <c r="Y201" s="74" t="n">
        <v>5</v>
      </c>
      <c r="Z201" s="74" t="inlineStr">
        <is>
          <t>https://new.land.naver.com/complexes/136405?tab=detail&amp;rf=Y</t>
        </is>
      </c>
      <c r="AA201" s="74" t="inlineStr">
        <is>
          <t>전라북도 군산시 나운동 774-6</t>
        </is>
      </c>
      <c r="AB201" s="74" t="inlineStr">
        <is>
          <t>전라북도</t>
        </is>
      </c>
      <c r="AC201" s="74" t="inlineStr">
        <is>
          <t>군산시</t>
        </is>
      </c>
      <c r="AD201" s="74" t="inlineStr">
        <is>
          <t>나운동</t>
        </is>
      </c>
      <c r="AG201" s="74" t="inlineStr">
        <is>
          <t>전라북도 군산시 신설1길 41</t>
        </is>
      </c>
      <c r="AH201" s="74" t="n">
        <v>0</v>
      </c>
      <c r="AI201" s="74" t="n">
        <v>230</v>
      </c>
      <c r="AJ201" s="74" t="n">
        <v>47</v>
      </c>
      <c r="AK201" s="74" t="n">
        <v>0</v>
      </c>
      <c r="AL201" s="74" t="n">
        <v>0</v>
      </c>
    </row>
    <row r="202">
      <c r="A202" s="74" t="inlineStr">
        <is>
          <t>[나운동]</t>
        </is>
      </c>
      <c r="B202" s="74" t="n">
        <v>136405</v>
      </c>
      <c r="C202" s="74" t="n">
        <v>3</v>
      </c>
      <c r="D202" s="74" t="inlineStr">
        <is>
          <t>로얄맨션7차</t>
        </is>
      </c>
      <c r="E202" s="74" t="inlineStr">
        <is>
          <t>1992.12.</t>
        </is>
      </c>
      <c r="F202" s="74" t="n">
        <v>18</v>
      </c>
      <c r="G202" s="74" t="n">
        <v>30.05</v>
      </c>
      <c r="H202" s="74" t="n">
        <v>99.36</v>
      </c>
      <c r="I202" s="74" t="n">
        <v>24.81</v>
      </c>
      <c r="J202" s="74" t="n">
        <v>82.02</v>
      </c>
      <c r="K202" s="74" t="n">
        <v>1</v>
      </c>
      <c r="T202" s="74" t="n">
        <v>3</v>
      </c>
      <c r="U202" s="74" t="n">
        <v>2</v>
      </c>
      <c r="V202" s="74" t="inlineStr">
        <is>
          <t>계단식</t>
        </is>
      </c>
      <c r="W202" s="74" t="inlineStr">
        <is>
          <t>99B</t>
        </is>
      </c>
      <c r="X202" s="74" t="n">
        <v>5</v>
      </c>
      <c r="Y202" s="74" t="n">
        <v>5</v>
      </c>
      <c r="Z202" s="74" t="inlineStr">
        <is>
          <t>https://new.land.naver.com/complexes/136405?tab=detail&amp;rf=Y</t>
        </is>
      </c>
      <c r="AA202" s="74" t="inlineStr">
        <is>
          <t>전라북도 군산시 나운동 774-6</t>
        </is>
      </c>
      <c r="AB202" s="74" t="inlineStr">
        <is>
          <t>전라북도</t>
        </is>
      </c>
      <c r="AC202" s="74" t="inlineStr">
        <is>
          <t>군산시</t>
        </is>
      </c>
      <c r="AD202" s="74" t="inlineStr">
        <is>
          <t>나운동</t>
        </is>
      </c>
      <c r="AG202" s="74" t="inlineStr">
        <is>
          <t>전라북도 군산시 신설1길 41</t>
        </is>
      </c>
      <c r="AH202" s="74" t="n">
        <v>0</v>
      </c>
      <c r="AI202" s="74" t="n">
        <v>230</v>
      </c>
      <c r="AJ202" s="74" t="n">
        <v>47</v>
      </c>
      <c r="AK202" s="74" t="n">
        <v>0</v>
      </c>
      <c r="AL202" s="74" t="n">
        <v>0</v>
      </c>
    </row>
    <row r="203">
      <c r="A203" s="74" t="inlineStr">
        <is>
          <t>[나운동]</t>
        </is>
      </c>
      <c r="B203" s="74" t="n">
        <v>136405</v>
      </c>
      <c r="C203" s="74" t="n">
        <v>4</v>
      </c>
      <c r="D203" s="74" t="inlineStr">
        <is>
          <t>로얄맨션7차</t>
        </is>
      </c>
      <c r="E203" s="74" t="inlineStr">
        <is>
          <t>1992.12.</t>
        </is>
      </c>
      <c r="F203" s="74" t="n">
        <v>18</v>
      </c>
      <c r="G203" s="74" t="n">
        <v>30.51</v>
      </c>
      <c r="H203" s="74" t="n">
        <v>100.89</v>
      </c>
      <c r="I203" s="74" t="n">
        <v>25.24</v>
      </c>
      <c r="J203" s="74" t="n">
        <v>83.45</v>
      </c>
      <c r="K203" s="74" t="n">
        <v>4</v>
      </c>
      <c r="T203" s="74" t="n">
        <v>3</v>
      </c>
      <c r="U203" s="74" t="n">
        <v>2</v>
      </c>
      <c r="V203" s="74" t="inlineStr">
        <is>
          <t>계단식</t>
        </is>
      </c>
      <c r="W203" s="74" t="inlineStr">
        <is>
          <t>100B</t>
        </is>
      </c>
      <c r="X203" s="74" t="n">
        <v>5</v>
      </c>
      <c r="Y203" s="74" t="n">
        <v>5</v>
      </c>
      <c r="Z203" s="74" t="inlineStr">
        <is>
          <t>https://new.land.naver.com/complexes/136405?tab=detail&amp;rf=Y</t>
        </is>
      </c>
      <c r="AA203" s="74" t="inlineStr">
        <is>
          <t>전라북도 군산시 나운동 774-6</t>
        </is>
      </c>
      <c r="AB203" s="74" t="inlineStr">
        <is>
          <t>전라북도</t>
        </is>
      </c>
      <c r="AC203" s="74" t="inlineStr">
        <is>
          <t>군산시</t>
        </is>
      </c>
      <c r="AD203" s="74" t="inlineStr">
        <is>
          <t>나운동</t>
        </is>
      </c>
      <c r="AG203" s="74" t="inlineStr">
        <is>
          <t>전라북도 군산시 신설1길 41</t>
        </is>
      </c>
      <c r="AH203" s="74" t="n">
        <v>0</v>
      </c>
      <c r="AI203" s="74" t="n">
        <v>230</v>
      </c>
      <c r="AJ203" s="74" t="n">
        <v>47</v>
      </c>
      <c r="AK203" s="74" t="n">
        <v>0</v>
      </c>
      <c r="AL203" s="74" t="n">
        <v>0</v>
      </c>
    </row>
    <row r="204">
      <c r="A204" s="74" t="inlineStr">
        <is>
          <t>[나운동]</t>
        </is>
      </c>
      <c r="B204" s="74" t="n">
        <v>136405</v>
      </c>
      <c r="C204" s="74" t="n">
        <v>5</v>
      </c>
      <c r="D204" s="74" t="inlineStr">
        <is>
          <t>로얄맨션7차</t>
        </is>
      </c>
      <c r="E204" s="74" t="inlineStr">
        <is>
          <t>1992.12.</t>
        </is>
      </c>
      <c r="F204" s="74" t="n">
        <v>18</v>
      </c>
      <c r="G204" s="74" t="n">
        <v>30.64</v>
      </c>
      <c r="H204" s="74" t="n">
        <v>101.29</v>
      </c>
      <c r="I204" s="74" t="n">
        <v>25.34</v>
      </c>
      <c r="J204" s="74" t="n">
        <v>83.79000000000001</v>
      </c>
      <c r="K204" s="74" t="n">
        <v>4</v>
      </c>
      <c r="T204" s="74" t="n">
        <v>3</v>
      </c>
      <c r="U204" s="74" t="n">
        <v>2</v>
      </c>
      <c r="V204" s="74" t="inlineStr">
        <is>
          <t>계단식</t>
        </is>
      </c>
      <c r="W204" s="74" t="inlineStr">
        <is>
          <t>101A</t>
        </is>
      </c>
      <c r="X204" s="74" t="n">
        <v>5</v>
      </c>
      <c r="Y204" s="74" t="n">
        <v>5</v>
      </c>
      <c r="Z204" s="74" t="inlineStr">
        <is>
          <t>https://new.land.naver.com/complexes/136405?tab=detail&amp;rf=Y</t>
        </is>
      </c>
      <c r="AA204" s="74" t="inlineStr">
        <is>
          <t>전라북도 군산시 나운동 774-6</t>
        </is>
      </c>
      <c r="AB204" s="74" t="inlineStr">
        <is>
          <t>전라북도</t>
        </is>
      </c>
      <c r="AC204" s="74" t="inlineStr">
        <is>
          <t>군산시</t>
        </is>
      </c>
      <c r="AD204" s="74" t="inlineStr">
        <is>
          <t>나운동</t>
        </is>
      </c>
      <c r="AG204" s="74" t="inlineStr">
        <is>
          <t>전라북도 군산시 신설1길 41</t>
        </is>
      </c>
      <c r="AH204" s="74" t="n">
        <v>0</v>
      </c>
      <c r="AI204" s="74" t="n">
        <v>230</v>
      </c>
      <c r="AJ204" s="74" t="n">
        <v>47</v>
      </c>
      <c r="AK204" s="74" t="n">
        <v>0</v>
      </c>
      <c r="AL204" s="74" t="n">
        <v>0</v>
      </c>
    </row>
    <row r="205">
      <c r="A205" s="74" t="inlineStr">
        <is>
          <t>[나운동]</t>
        </is>
      </c>
      <c r="B205" s="74" t="n">
        <v>136405</v>
      </c>
      <c r="C205" s="74" t="n">
        <v>6</v>
      </c>
      <c r="D205" s="74" t="inlineStr">
        <is>
          <t>로얄맨션7차</t>
        </is>
      </c>
      <c r="E205" s="74" t="inlineStr">
        <is>
          <t>1992.12.</t>
        </is>
      </c>
      <c r="F205" s="74" t="n">
        <v>18</v>
      </c>
      <c r="G205" s="74" t="n">
        <v>30.65</v>
      </c>
      <c r="H205" s="74" t="n">
        <v>101.34</v>
      </c>
      <c r="I205" s="74" t="n">
        <v>25.34</v>
      </c>
      <c r="J205" s="74" t="n">
        <v>83.79000000000001</v>
      </c>
      <c r="K205" s="74" t="n">
        <v>1</v>
      </c>
      <c r="T205" s="74" t="n">
        <v>3</v>
      </c>
      <c r="U205" s="74" t="n">
        <v>2</v>
      </c>
      <c r="V205" s="74" t="inlineStr">
        <is>
          <t>계단식</t>
        </is>
      </c>
      <c r="W205" s="74" t="inlineStr">
        <is>
          <t>101C</t>
        </is>
      </c>
      <c r="X205" s="74" t="n">
        <v>5</v>
      </c>
      <c r="Y205" s="74" t="n">
        <v>5</v>
      </c>
      <c r="Z205" s="74" t="inlineStr">
        <is>
          <t>https://new.land.naver.com/complexes/136405?tab=detail&amp;rf=Y</t>
        </is>
      </c>
      <c r="AA205" s="74" t="inlineStr">
        <is>
          <t>전라북도 군산시 나운동 774-6</t>
        </is>
      </c>
      <c r="AB205" s="74" t="inlineStr">
        <is>
          <t>전라북도</t>
        </is>
      </c>
      <c r="AC205" s="74" t="inlineStr">
        <is>
          <t>군산시</t>
        </is>
      </c>
      <c r="AD205" s="74" t="inlineStr">
        <is>
          <t>나운동</t>
        </is>
      </c>
      <c r="AG205" s="74" t="inlineStr">
        <is>
          <t>전라북도 군산시 신설1길 41</t>
        </is>
      </c>
      <c r="AH205" s="74" t="n">
        <v>0</v>
      </c>
      <c r="AI205" s="74" t="n">
        <v>230</v>
      </c>
      <c r="AJ205" s="74" t="n">
        <v>47</v>
      </c>
      <c r="AK205" s="74" t="n">
        <v>0</v>
      </c>
      <c r="AL205" s="74" t="n">
        <v>0</v>
      </c>
    </row>
    <row r="206">
      <c r="A206" s="74" t="inlineStr">
        <is>
          <t>[나운동]</t>
        </is>
      </c>
      <c r="B206" s="74" t="n">
        <v>133504</v>
      </c>
      <c r="C206" s="74" t="n">
        <v>1</v>
      </c>
      <c r="D206" s="74" t="inlineStr">
        <is>
          <t>명성(778-9)</t>
        </is>
      </c>
      <c r="E206" s="74" t="inlineStr">
        <is>
          <t>1989.01.</t>
        </is>
      </c>
      <c r="F206" s="74" t="n">
        <v>35</v>
      </c>
      <c r="G206" s="74" t="n">
        <v>32.4</v>
      </c>
      <c r="H206" s="74" t="n">
        <v>107.12</v>
      </c>
      <c r="I206" s="74" t="n">
        <v>27.99</v>
      </c>
      <c r="J206" s="74" t="n">
        <v>92.53</v>
      </c>
      <c r="K206" s="74" t="n">
        <v>30</v>
      </c>
      <c r="T206" s="74" t="n">
        <v>3</v>
      </c>
      <c r="U206" s="74" t="n">
        <v>2</v>
      </c>
      <c r="V206" s="74" t="inlineStr">
        <is>
          <t>계단식</t>
        </is>
      </c>
      <c r="W206" s="74" t="n">
        <v>107</v>
      </c>
      <c r="X206" s="74" t="n">
        <v>5</v>
      </c>
      <c r="Y206" s="74" t="n">
        <v>5</v>
      </c>
      <c r="Z206" s="74" t="inlineStr">
        <is>
          <t>https://new.land.naver.com/complexes/133504?tab=detail&amp;rf=Y</t>
        </is>
      </c>
      <c r="AA206" s="74" t="inlineStr">
        <is>
          <t>전라북도 군산시 나운동 778-9</t>
        </is>
      </c>
      <c r="AB206" s="74" t="inlineStr">
        <is>
          <t>전라북도</t>
        </is>
      </c>
      <c r="AC206" s="74" t="inlineStr">
        <is>
          <t>군산시</t>
        </is>
      </c>
      <c r="AD206" s="74" t="inlineStr">
        <is>
          <t>나운동</t>
        </is>
      </c>
      <c r="AG206" s="74" t="inlineStr">
        <is>
          <t>전라북도 군산시 상신안길 16</t>
        </is>
      </c>
      <c r="AH206" s="74" t="n">
        <v>0</v>
      </c>
      <c r="AI206" s="74" t="n">
        <v>164</v>
      </c>
      <c r="AJ206" s="74" t="n">
        <v>32</v>
      </c>
      <c r="AK206" s="74" t="n">
        <v>0</v>
      </c>
      <c r="AL206" s="74" t="n">
        <v>0</v>
      </c>
    </row>
    <row r="207">
      <c r="A207" s="74" t="inlineStr">
        <is>
          <t>[나운동]</t>
        </is>
      </c>
      <c r="B207" s="74" t="n">
        <v>133504</v>
      </c>
      <c r="C207" s="74" t="n">
        <v>2</v>
      </c>
      <c r="D207" s="74" t="inlineStr">
        <is>
          <t>명성(778-9)</t>
        </is>
      </c>
      <c r="E207" s="74" t="inlineStr">
        <is>
          <t>1989.01.</t>
        </is>
      </c>
      <c r="F207" s="74" t="n">
        <v>35</v>
      </c>
      <c r="G207" s="74" t="n">
        <v>35.96</v>
      </c>
      <c r="H207" s="74" t="n">
        <v>118.88</v>
      </c>
      <c r="I207" s="74" t="n">
        <v>29.91</v>
      </c>
      <c r="J207" s="74" t="n">
        <v>98.89</v>
      </c>
      <c r="K207" s="74" t="n">
        <v>5</v>
      </c>
      <c r="T207" s="74" t="n">
        <v>3</v>
      </c>
      <c r="U207" s="74" t="n">
        <v>2</v>
      </c>
      <c r="V207" s="74" t="inlineStr">
        <is>
          <t>계단식</t>
        </is>
      </c>
      <c r="W207" s="74" t="n">
        <v>118</v>
      </c>
      <c r="X207" s="74" t="n">
        <v>5</v>
      </c>
      <c r="Y207" s="74" t="n">
        <v>5</v>
      </c>
      <c r="Z207" s="74" t="inlineStr">
        <is>
          <t>https://new.land.naver.com/complexes/133504?tab=detail&amp;rf=Y</t>
        </is>
      </c>
      <c r="AA207" s="74" t="inlineStr">
        <is>
          <t>전라북도 군산시 나운동 778-9</t>
        </is>
      </c>
      <c r="AB207" s="74" t="inlineStr">
        <is>
          <t>전라북도</t>
        </is>
      </c>
      <c r="AC207" s="74" t="inlineStr">
        <is>
          <t>군산시</t>
        </is>
      </c>
      <c r="AD207" s="74" t="inlineStr">
        <is>
          <t>나운동</t>
        </is>
      </c>
      <c r="AG207" s="74" t="inlineStr">
        <is>
          <t>전라북도 군산시 상신안길 16</t>
        </is>
      </c>
      <c r="AH207" s="74" t="n">
        <v>0</v>
      </c>
      <c r="AI207" s="74" t="n">
        <v>164</v>
      </c>
      <c r="AJ207" s="74" t="n">
        <v>32</v>
      </c>
      <c r="AK207" s="74" t="n">
        <v>0</v>
      </c>
      <c r="AL207" s="74" t="n">
        <v>0</v>
      </c>
    </row>
    <row r="208">
      <c r="A208" s="74" t="inlineStr">
        <is>
          <t>[나운동]</t>
        </is>
      </c>
      <c r="B208" s="74" t="n">
        <v>125674</v>
      </c>
      <c r="C208" s="74" t="n">
        <v>1</v>
      </c>
      <c r="D208" s="74" t="inlineStr">
        <is>
          <t>한신</t>
        </is>
      </c>
      <c r="E208" s="74" t="inlineStr">
        <is>
          <t>1986.04.</t>
        </is>
      </c>
      <c r="F208" s="74" t="n">
        <v>78</v>
      </c>
      <c r="G208" s="74" t="n">
        <v>18.24</v>
      </c>
      <c r="H208" s="74" t="n">
        <v>60.3</v>
      </c>
      <c r="I208" s="74" t="n">
        <v>16.52</v>
      </c>
      <c r="J208" s="74" t="n">
        <v>54.63</v>
      </c>
      <c r="K208" s="74" t="n">
        <v>1</v>
      </c>
      <c r="T208" s="74" t="n">
        <v>3</v>
      </c>
      <c r="U208" s="74" t="n">
        <v>1</v>
      </c>
      <c r="V208" s="74" t="inlineStr">
        <is>
          <t>계단식</t>
        </is>
      </c>
      <c r="W208" s="74" t="n">
        <v>60</v>
      </c>
      <c r="X208" s="74" t="n">
        <v>3</v>
      </c>
      <c r="Y208" s="74" t="n">
        <v>3</v>
      </c>
      <c r="Z208" s="74" t="inlineStr">
        <is>
          <t>https://new.land.naver.com/complexes/125674?tab=detail&amp;rf=Y</t>
        </is>
      </c>
      <c r="AA208" s="74" t="inlineStr">
        <is>
          <t>전라북도 군산시 나운동 799-1</t>
        </is>
      </c>
      <c r="AB208" s="74" t="inlineStr">
        <is>
          <t>전라북도</t>
        </is>
      </c>
      <c r="AC208" s="74" t="inlineStr">
        <is>
          <t>군산시</t>
        </is>
      </c>
      <c r="AD208" s="74" t="inlineStr">
        <is>
          <t>나운동</t>
        </is>
      </c>
      <c r="AG208" s="74" t="inlineStr">
        <is>
          <t>전라북도 군산시 상나운로 19</t>
        </is>
      </c>
      <c r="AH208" s="74" t="n">
        <v>0</v>
      </c>
      <c r="AI208" s="74" t="n">
        <v>0</v>
      </c>
      <c r="AJ208" s="74" t="n">
        <v>0</v>
      </c>
      <c r="AK208" s="74" t="n">
        <v>0</v>
      </c>
      <c r="AL208" s="74" t="n">
        <v>0</v>
      </c>
    </row>
    <row r="209">
      <c r="A209" s="74" t="inlineStr">
        <is>
          <t>[나운동]</t>
        </is>
      </c>
      <c r="B209" s="74" t="n">
        <v>125674</v>
      </c>
      <c r="C209" s="74" t="n">
        <v>2</v>
      </c>
      <c r="D209" s="74" t="inlineStr">
        <is>
          <t>한신</t>
        </is>
      </c>
      <c r="E209" s="74" t="inlineStr">
        <is>
          <t>1986.04.</t>
        </is>
      </c>
      <c r="F209" s="74" t="n">
        <v>78</v>
      </c>
      <c r="G209" s="74" t="n">
        <v>21.61</v>
      </c>
      <c r="H209" s="74" t="n">
        <v>71.45999999999999</v>
      </c>
      <c r="I209" s="74" t="n">
        <v>19.9</v>
      </c>
      <c r="J209" s="74" t="n">
        <v>65.79000000000001</v>
      </c>
      <c r="K209" s="74" t="n">
        <v>35</v>
      </c>
      <c r="T209" s="74" t="n">
        <v>3</v>
      </c>
      <c r="U209" s="74" t="n">
        <v>1</v>
      </c>
      <c r="V209" s="74" t="inlineStr">
        <is>
          <t>계단식</t>
        </is>
      </c>
      <c r="W209" s="74" t="n">
        <v>71</v>
      </c>
      <c r="X209" s="74" t="n">
        <v>3</v>
      </c>
      <c r="Y209" s="74" t="n">
        <v>3</v>
      </c>
      <c r="Z209" s="74" t="inlineStr">
        <is>
          <t>https://new.land.naver.com/complexes/125674?tab=detail&amp;rf=Y</t>
        </is>
      </c>
      <c r="AA209" s="74" t="inlineStr">
        <is>
          <t>전라북도 군산시 나운동 799-1</t>
        </is>
      </c>
      <c r="AB209" s="74" t="inlineStr">
        <is>
          <t>전라북도</t>
        </is>
      </c>
      <c r="AC209" s="74" t="inlineStr">
        <is>
          <t>군산시</t>
        </is>
      </c>
      <c r="AD209" s="74" t="inlineStr">
        <is>
          <t>나운동</t>
        </is>
      </c>
      <c r="AG209" s="74" t="inlineStr">
        <is>
          <t>전라북도 군산시 상나운로 19</t>
        </is>
      </c>
      <c r="AH209" s="74" t="n">
        <v>0</v>
      </c>
      <c r="AI209" s="74" t="n">
        <v>0</v>
      </c>
      <c r="AJ209" s="74" t="n">
        <v>0</v>
      </c>
      <c r="AK209" s="74" t="n">
        <v>0</v>
      </c>
      <c r="AL209" s="74" t="n">
        <v>0</v>
      </c>
    </row>
    <row r="210">
      <c r="A210" s="74" t="inlineStr">
        <is>
          <t>[나운동]</t>
        </is>
      </c>
      <c r="B210" s="74" t="n">
        <v>125674</v>
      </c>
      <c r="C210" s="74" t="n">
        <v>3</v>
      </c>
      <c r="D210" s="74" t="inlineStr">
        <is>
          <t>한신</t>
        </is>
      </c>
      <c r="E210" s="74" t="inlineStr">
        <is>
          <t>1986.04.</t>
        </is>
      </c>
      <c r="F210" s="74" t="n">
        <v>78</v>
      </c>
      <c r="G210" s="74" t="n">
        <v>25.07</v>
      </c>
      <c r="H210" s="74" t="n">
        <v>82.89</v>
      </c>
      <c r="I210" s="74" t="n">
        <v>23.35</v>
      </c>
      <c r="J210" s="74" t="n">
        <v>77.22</v>
      </c>
      <c r="K210" s="74" t="n">
        <v>18</v>
      </c>
      <c r="T210" s="74" t="n">
        <v>3</v>
      </c>
      <c r="U210" s="74" t="n">
        <v>1</v>
      </c>
      <c r="V210" s="74" t="inlineStr">
        <is>
          <t>계단식</t>
        </is>
      </c>
      <c r="W210" s="74" t="n">
        <v>82</v>
      </c>
      <c r="X210" s="74" t="n">
        <v>3</v>
      </c>
      <c r="Y210" s="74" t="n">
        <v>3</v>
      </c>
      <c r="Z210" s="74" t="inlineStr">
        <is>
          <t>https://new.land.naver.com/complexes/125674?tab=detail&amp;rf=Y</t>
        </is>
      </c>
      <c r="AA210" s="74" t="inlineStr">
        <is>
          <t>전라북도 군산시 나운동 799-1</t>
        </is>
      </c>
      <c r="AB210" s="74" t="inlineStr">
        <is>
          <t>전라북도</t>
        </is>
      </c>
      <c r="AC210" s="74" t="inlineStr">
        <is>
          <t>군산시</t>
        </is>
      </c>
      <c r="AD210" s="74" t="inlineStr">
        <is>
          <t>나운동</t>
        </is>
      </c>
      <c r="AG210" s="74" t="inlineStr">
        <is>
          <t>전라북도 군산시 상나운로 19</t>
        </is>
      </c>
      <c r="AH210" s="74" t="n">
        <v>0</v>
      </c>
      <c r="AI210" s="74" t="n">
        <v>0</v>
      </c>
      <c r="AJ210" s="74" t="n">
        <v>0</v>
      </c>
      <c r="AK210" s="74" t="n">
        <v>0</v>
      </c>
      <c r="AL210" s="74" t="n">
        <v>0</v>
      </c>
    </row>
    <row r="211">
      <c r="A211" s="74" t="inlineStr">
        <is>
          <t>[나운동]</t>
        </is>
      </c>
      <c r="B211" s="74" t="n">
        <v>125674</v>
      </c>
      <c r="C211" s="74" t="n">
        <v>4</v>
      </c>
      <c r="D211" s="74" t="inlineStr">
        <is>
          <t>한신</t>
        </is>
      </c>
      <c r="E211" s="74" t="inlineStr">
        <is>
          <t>1986.04.</t>
        </is>
      </c>
      <c r="F211" s="74" t="n">
        <v>78</v>
      </c>
      <c r="G211" s="74" t="n">
        <v>33.16</v>
      </c>
      <c r="H211" s="74" t="n">
        <v>109.65</v>
      </c>
      <c r="I211" s="74" t="n">
        <v>33.16</v>
      </c>
      <c r="J211" s="74" t="n">
        <v>109.65</v>
      </c>
      <c r="K211" s="74" t="n">
        <v>12</v>
      </c>
      <c r="T211" s="74" t="n">
        <v>3</v>
      </c>
      <c r="U211" s="74" t="n">
        <v>2</v>
      </c>
      <c r="V211" s="74" t="inlineStr">
        <is>
          <t>계단식</t>
        </is>
      </c>
      <c r="W211" s="74" t="n">
        <v>109</v>
      </c>
      <c r="X211" s="74" t="n">
        <v>3</v>
      </c>
      <c r="Y211" s="74" t="n">
        <v>3</v>
      </c>
      <c r="Z211" s="74" t="inlineStr">
        <is>
          <t>https://new.land.naver.com/complexes/125674?tab=detail&amp;rf=Y</t>
        </is>
      </c>
      <c r="AA211" s="74" t="inlineStr">
        <is>
          <t>전라북도 군산시 나운동 799-1</t>
        </is>
      </c>
      <c r="AB211" s="74" t="inlineStr">
        <is>
          <t>전라북도</t>
        </is>
      </c>
      <c r="AC211" s="74" t="inlineStr">
        <is>
          <t>군산시</t>
        </is>
      </c>
      <c r="AD211" s="74" t="inlineStr">
        <is>
          <t>나운동</t>
        </is>
      </c>
      <c r="AG211" s="74" t="inlineStr">
        <is>
          <t>전라북도 군산시 상나운로 19</t>
        </is>
      </c>
      <c r="AH211" s="74" t="n">
        <v>0</v>
      </c>
      <c r="AI211" s="74" t="n">
        <v>0</v>
      </c>
      <c r="AJ211" s="74" t="n">
        <v>0</v>
      </c>
      <c r="AK211" s="74" t="n">
        <v>0</v>
      </c>
      <c r="AL211" s="74" t="n">
        <v>0</v>
      </c>
    </row>
    <row r="212">
      <c r="A212" s="74" t="inlineStr">
        <is>
          <t>[나운동]</t>
        </is>
      </c>
      <c r="B212" s="74" t="n">
        <v>125674</v>
      </c>
      <c r="C212" s="74" t="n">
        <v>5</v>
      </c>
      <c r="D212" s="74" t="inlineStr">
        <is>
          <t>한신</t>
        </is>
      </c>
      <c r="E212" s="74" t="inlineStr">
        <is>
          <t>1986.04.</t>
        </is>
      </c>
      <c r="F212" s="74" t="n">
        <v>78</v>
      </c>
      <c r="G212" s="74" t="n">
        <v>37.79</v>
      </c>
      <c r="H212" s="74" t="n">
        <v>124.95</v>
      </c>
      <c r="I212" s="74" t="n">
        <v>37.79</v>
      </c>
      <c r="J212" s="74" t="n">
        <v>124.95</v>
      </c>
      <c r="K212" s="74" t="n">
        <v>12</v>
      </c>
      <c r="T212" s="74" t="n">
        <v>3</v>
      </c>
      <c r="U212" s="74" t="n">
        <v>2</v>
      </c>
      <c r="V212" s="74" t="inlineStr">
        <is>
          <t>계단식</t>
        </is>
      </c>
      <c r="W212" s="74" t="n">
        <v>124</v>
      </c>
      <c r="X212" s="74" t="n">
        <v>3</v>
      </c>
      <c r="Y212" s="74" t="n">
        <v>3</v>
      </c>
      <c r="Z212" s="74" t="inlineStr">
        <is>
          <t>https://new.land.naver.com/complexes/125674?tab=detail&amp;rf=Y</t>
        </is>
      </c>
      <c r="AA212" s="74" t="inlineStr">
        <is>
          <t>전라북도 군산시 나운동 799-1</t>
        </is>
      </c>
      <c r="AB212" s="74" t="inlineStr">
        <is>
          <t>전라북도</t>
        </is>
      </c>
      <c r="AC212" s="74" t="inlineStr">
        <is>
          <t>군산시</t>
        </is>
      </c>
      <c r="AD212" s="74" t="inlineStr">
        <is>
          <t>나운동</t>
        </is>
      </c>
      <c r="AG212" s="74" t="inlineStr">
        <is>
          <t>전라북도 군산시 상나운로 19</t>
        </is>
      </c>
      <c r="AH212" s="74" t="n">
        <v>0</v>
      </c>
      <c r="AI212" s="74" t="n">
        <v>0</v>
      </c>
      <c r="AJ212" s="74" t="n">
        <v>0</v>
      </c>
      <c r="AK212" s="74" t="n">
        <v>0</v>
      </c>
      <c r="AL212" s="74" t="n">
        <v>0</v>
      </c>
    </row>
    <row r="213">
      <c r="A213" s="74" t="inlineStr">
        <is>
          <t>[나운동]</t>
        </is>
      </c>
      <c r="B213" s="74" t="n">
        <v>136392</v>
      </c>
      <c r="C213" s="74" t="n">
        <v>1</v>
      </c>
      <c r="D213" s="74" t="inlineStr">
        <is>
          <t>춘광아티움(도시형)</t>
        </is>
      </c>
      <c r="E213" s="74" t="inlineStr">
        <is>
          <t>2013.06.</t>
        </is>
      </c>
      <c r="F213" s="74" t="n">
        <v>24</v>
      </c>
      <c r="G213" s="74" t="n">
        <v>11.39</v>
      </c>
      <c r="H213" s="74" t="n">
        <v>37.67</v>
      </c>
      <c r="I213" s="74" t="n">
        <v>9.609999999999999</v>
      </c>
      <c r="J213" s="74" t="n">
        <v>31.78</v>
      </c>
      <c r="K213" s="74" t="n">
        <v>4</v>
      </c>
      <c r="T213" s="74" t="n">
        <v>1</v>
      </c>
      <c r="U213" s="74" t="n">
        <v>1</v>
      </c>
      <c r="V213" s="74" t="inlineStr">
        <is>
          <t>계단식</t>
        </is>
      </c>
      <c r="W213" s="74" t="n">
        <v>37</v>
      </c>
      <c r="X213" s="74" t="n">
        <v>5</v>
      </c>
      <c r="Y213" s="74" t="n">
        <v>5</v>
      </c>
      <c r="Z213" s="74" t="inlineStr">
        <is>
          <t>https://new.land.naver.com/complexes/136392?tab=detail&amp;rf=Y</t>
        </is>
      </c>
      <c r="AA213" s="74" t="inlineStr">
        <is>
          <t>전라북도 군산시 나운동 132-7</t>
        </is>
      </c>
      <c r="AB213" s="74" t="inlineStr">
        <is>
          <t>전라북도</t>
        </is>
      </c>
      <c r="AC213" s="74" t="inlineStr">
        <is>
          <t>군산시</t>
        </is>
      </c>
      <c r="AD213" s="74" t="inlineStr">
        <is>
          <t>나운동</t>
        </is>
      </c>
      <c r="AG213" s="74" t="inlineStr">
        <is>
          <t>전라북도 군산시 나운안1길 32-23</t>
        </is>
      </c>
      <c r="AH213" s="74" t="n">
        <v>0</v>
      </c>
      <c r="AI213" s="74" t="n">
        <v>186</v>
      </c>
      <c r="AJ213" s="74" t="n">
        <v>50</v>
      </c>
      <c r="AK213" s="74" t="n">
        <v>19</v>
      </c>
      <c r="AL213" s="74" t="n">
        <v>0.79</v>
      </c>
    </row>
    <row r="214">
      <c r="A214" s="74" t="inlineStr">
        <is>
          <t>[나운동]</t>
        </is>
      </c>
      <c r="B214" s="74" t="n">
        <v>136392</v>
      </c>
      <c r="C214" s="74" t="n">
        <v>2</v>
      </c>
      <c r="D214" s="74" t="inlineStr">
        <is>
          <t>춘광아티움(도시형)</t>
        </is>
      </c>
      <c r="E214" s="74" t="inlineStr">
        <is>
          <t>2013.06.</t>
        </is>
      </c>
      <c r="F214" s="74" t="n">
        <v>24</v>
      </c>
      <c r="G214" s="74" t="n">
        <v>17.68</v>
      </c>
      <c r="H214" s="74" t="n">
        <v>58.47</v>
      </c>
      <c r="I214" s="74" t="n">
        <v>14.92</v>
      </c>
      <c r="J214" s="74" t="n">
        <v>49.33</v>
      </c>
      <c r="K214" s="74" t="n">
        <v>20</v>
      </c>
      <c r="T214" s="74" t="n">
        <v>1</v>
      </c>
      <c r="U214" s="74" t="n">
        <v>1</v>
      </c>
      <c r="V214" s="74" t="inlineStr">
        <is>
          <t>계단식</t>
        </is>
      </c>
      <c r="W214" s="74" t="n">
        <v>58</v>
      </c>
      <c r="X214" s="74" t="n">
        <v>5</v>
      </c>
      <c r="Y214" s="74" t="n">
        <v>5</v>
      </c>
      <c r="Z214" s="74" t="inlineStr">
        <is>
          <t>https://new.land.naver.com/complexes/136392?tab=detail&amp;rf=Y</t>
        </is>
      </c>
      <c r="AA214" s="74" t="inlineStr">
        <is>
          <t>전라북도 군산시 나운동 132-7</t>
        </is>
      </c>
      <c r="AB214" s="74" t="inlineStr">
        <is>
          <t>전라북도</t>
        </is>
      </c>
      <c r="AC214" s="74" t="inlineStr">
        <is>
          <t>군산시</t>
        </is>
      </c>
      <c r="AD214" s="74" t="inlineStr">
        <is>
          <t>나운동</t>
        </is>
      </c>
      <c r="AG214" s="74" t="inlineStr">
        <is>
          <t>전라북도 군산시 나운안1길 32-23</t>
        </is>
      </c>
      <c r="AH214" s="74" t="n">
        <v>0</v>
      </c>
      <c r="AI214" s="74" t="n">
        <v>186</v>
      </c>
      <c r="AJ214" s="74" t="n">
        <v>50</v>
      </c>
      <c r="AK214" s="74" t="n">
        <v>19</v>
      </c>
      <c r="AL214" s="74" t="n">
        <v>0.79</v>
      </c>
    </row>
    <row r="215">
      <c r="A215" s="74" t="inlineStr">
        <is>
          <t>[나운동]</t>
        </is>
      </c>
      <c r="B215" s="74" t="n">
        <v>14966</v>
      </c>
      <c r="C215" s="74" t="n">
        <v>1</v>
      </c>
      <c r="D215" s="74" t="inlineStr">
        <is>
          <t>현대4차</t>
        </is>
      </c>
      <c r="E215" s="74" t="inlineStr">
        <is>
          <t>1998.09.</t>
        </is>
      </c>
      <c r="F215" s="74" t="n">
        <v>636</v>
      </c>
      <c r="G215" s="74" t="n">
        <v>22.61</v>
      </c>
      <c r="H215" s="74" t="n">
        <v>74.77</v>
      </c>
      <c r="I215" s="74" t="n">
        <v>18.14</v>
      </c>
      <c r="J215" s="74" t="n">
        <v>59.99</v>
      </c>
      <c r="K215" s="74" t="n">
        <v>64</v>
      </c>
      <c r="T215" s="74" t="n">
        <v>3</v>
      </c>
      <c r="U215" s="74" t="n">
        <v>1</v>
      </c>
      <c r="V215" s="74" t="inlineStr">
        <is>
          <t>계단식</t>
        </is>
      </c>
      <c r="W215" s="74" t="n">
        <v>74</v>
      </c>
      <c r="X215" s="74" t="n">
        <v>20</v>
      </c>
      <c r="Y215" s="74" t="n">
        <v>12</v>
      </c>
      <c r="Z215" s="74" t="inlineStr">
        <is>
          <t>https://new.land.naver.com/complexes/14966?tab=detail&amp;rf=Y</t>
        </is>
      </c>
      <c r="AA215" s="74" t="inlineStr">
        <is>
          <t>전라북도 군산시 나운동 109-6</t>
        </is>
      </c>
      <c r="AB215" s="74" t="inlineStr">
        <is>
          <t>전라북도</t>
        </is>
      </c>
      <c r="AC215" s="74" t="inlineStr">
        <is>
          <t>군산시</t>
        </is>
      </c>
      <c r="AD215" s="74" t="inlineStr">
        <is>
          <t>나운동</t>
        </is>
      </c>
      <c r="AG215" s="74" t="inlineStr">
        <is>
          <t>전라북도 군산시 나운안1길 24</t>
        </is>
      </c>
      <c r="AH215" s="74" t="n">
        <v>0</v>
      </c>
      <c r="AI215" s="74" t="n">
        <v>217</v>
      </c>
      <c r="AJ215" s="74" t="n">
        <v>17</v>
      </c>
      <c r="AK215" s="74" t="n">
        <v>617</v>
      </c>
      <c r="AL215" s="74" t="n">
        <v>0.97</v>
      </c>
    </row>
    <row r="216">
      <c r="A216" s="74" t="inlineStr">
        <is>
          <t>[나운동]</t>
        </is>
      </c>
      <c r="B216" s="74" t="n">
        <v>14966</v>
      </c>
      <c r="C216" s="74" t="n">
        <v>2</v>
      </c>
      <c r="D216" s="74" t="inlineStr">
        <is>
          <t>현대4차</t>
        </is>
      </c>
      <c r="E216" s="74" t="inlineStr">
        <is>
          <t>1998.09.</t>
        </is>
      </c>
      <c r="F216" s="74" t="n">
        <v>636</v>
      </c>
      <c r="G216" s="74" t="n">
        <v>28.34</v>
      </c>
      <c r="H216" s="74" t="n">
        <v>93.70999999999999</v>
      </c>
      <c r="I216" s="74" t="n">
        <v>22.74</v>
      </c>
      <c r="J216" s="74" t="n">
        <v>75.18000000000001</v>
      </c>
      <c r="K216" s="74" t="n">
        <v>68</v>
      </c>
      <c r="T216" s="74" t="n">
        <v>3</v>
      </c>
      <c r="U216" s="74" t="n">
        <v>1</v>
      </c>
      <c r="V216" s="74" t="inlineStr">
        <is>
          <t>계단식</t>
        </is>
      </c>
      <c r="W216" s="74" t="n">
        <v>93</v>
      </c>
      <c r="X216" s="74" t="n">
        <v>20</v>
      </c>
      <c r="Y216" s="74" t="n">
        <v>12</v>
      </c>
      <c r="Z216" s="74" t="inlineStr">
        <is>
          <t>https://new.land.naver.com/complexes/14966?tab=detail&amp;rf=Y</t>
        </is>
      </c>
      <c r="AA216" s="74" t="inlineStr">
        <is>
          <t>전라북도 군산시 나운동 109-6</t>
        </is>
      </c>
      <c r="AB216" s="74" t="inlineStr">
        <is>
          <t>전라북도</t>
        </is>
      </c>
      <c r="AC216" s="74" t="inlineStr">
        <is>
          <t>군산시</t>
        </is>
      </c>
      <c r="AD216" s="74" t="inlineStr">
        <is>
          <t>나운동</t>
        </is>
      </c>
      <c r="AG216" s="74" t="inlineStr">
        <is>
          <t>전라북도 군산시 나운안1길 24</t>
        </is>
      </c>
      <c r="AH216" s="74" t="n">
        <v>0</v>
      </c>
      <c r="AI216" s="74" t="n">
        <v>217</v>
      </c>
      <c r="AJ216" s="74" t="n">
        <v>17</v>
      </c>
      <c r="AK216" s="74" t="n">
        <v>617</v>
      </c>
      <c r="AL216" s="74" t="n">
        <v>0.97</v>
      </c>
    </row>
    <row r="217">
      <c r="A217" s="74" t="inlineStr">
        <is>
          <t>[나운동]</t>
        </is>
      </c>
      <c r="B217" s="74" t="n">
        <v>14966</v>
      </c>
      <c r="C217" s="74" t="n">
        <v>3</v>
      </c>
      <c r="D217" s="74" t="inlineStr">
        <is>
          <t>현대4차</t>
        </is>
      </c>
      <c r="E217" s="74" t="inlineStr">
        <is>
          <t>1998.09.</t>
        </is>
      </c>
      <c r="F217" s="74" t="n">
        <v>636</v>
      </c>
      <c r="G217" s="74" t="n">
        <v>32.03</v>
      </c>
      <c r="H217" s="74" t="n">
        <v>105.9</v>
      </c>
      <c r="I217" s="74" t="n">
        <v>25.7</v>
      </c>
      <c r="J217" s="74" t="n">
        <v>84.95999999999999</v>
      </c>
      <c r="K217" s="74" t="n">
        <v>386</v>
      </c>
      <c r="T217" s="74" t="n">
        <v>3</v>
      </c>
      <c r="U217" s="74" t="n">
        <v>2</v>
      </c>
      <c r="V217" s="74" t="inlineStr">
        <is>
          <t>계단식</t>
        </is>
      </c>
      <c r="W217" s="74" t="n">
        <v>105</v>
      </c>
      <c r="X217" s="74" t="n">
        <v>20</v>
      </c>
      <c r="Y217" s="74" t="n">
        <v>12</v>
      </c>
      <c r="Z217" s="74" t="inlineStr">
        <is>
          <t>https://new.land.naver.com/complexes/14966?tab=detail&amp;rf=Y</t>
        </is>
      </c>
      <c r="AA217" s="74" t="inlineStr">
        <is>
          <t>전라북도 군산시 나운동 109-6</t>
        </is>
      </c>
      <c r="AB217" s="74" t="inlineStr">
        <is>
          <t>전라북도</t>
        </is>
      </c>
      <c r="AC217" s="74" t="inlineStr">
        <is>
          <t>군산시</t>
        </is>
      </c>
      <c r="AD217" s="74" t="inlineStr">
        <is>
          <t>나운동</t>
        </is>
      </c>
      <c r="AG217" s="74" t="inlineStr">
        <is>
          <t>전라북도 군산시 나운안1길 24</t>
        </is>
      </c>
      <c r="AH217" s="74" t="n">
        <v>0</v>
      </c>
      <c r="AI217" s="74" t="n">
        <v>217</v>
      </c>
      <c r="AJ217" s="74" t="n">
        <v>17</v>
      </c>
      <c r="AK217" s="74" t="n">
        <v>617</v>
      </c>
      <c r="AL217" s="74" t="n">
        <v>0.97</v>
      </c>
    </row>
    <row r="218">
      <c r="A218" s="74" t="inlineStr">
        <is>
          <t>[나운동]</t>
        </is>
      </c>
      <c r="B218" s="74" t="n">
        <v>14966</v>
      </c>
      <c r="C218" s="74" t="n">
        <v>4</v>
      </c>
      <c r="D218" s="74" t="inlineStr">
        <is>
          <t>현대4차</t>
        </is>
      </c>
      <c r="E218" s="74" t="inlineStr">
        <is>
          <t>1998.09.</t>
        </is>
      </c>
      <c r="F218" s="74" t="n">
        <v>636</v>
      </c>
      <c r="G218" s="74" t="n">
        <v>37.67</v>
      </c>
      <c r="H218" s="74" t="n">
        <v>124.56</v>
      </c>
      <c r="I218" s="74" t="n">
        <v>30.22</v>
      </c>
      <c r="J218" s="74" t="n">
        <v>99.93000000000001</v>
      </c>
      <c r="K218" s="74" t="n">
        <v>78</v>
      </c>
      <c r="T218" s="74" t="n">
        <v>3</v>
      </c>
      <c r="U218" s="74" t="n">
        <v>2</v>
      </c>
      <c r="V218" s="74" t="inlineStr">
        <is>
          <t>계단식</t>
        </is>
      </c>
      <c r="W218" s="74" t="n">
        <v>124</v>
      </c>
      <c r="X218" s="74" t="n">
        <v>20</v>
      </c>
      <c r="Y218" s="74" t="n">
        <v>12</v>
      </c>
      <c r="Z218" s="74" t="inlineStr">
        <is>
          <t>https://new.land.naver.com/complexes/14966?tab=detail&amp;rf=Y</t>
        </is>
      </c>
      <c r="AA218" s="74" t="inlineStr">
        <is>
          <t>전라북도 군산시 나운동 109-6</t>
        </is>
      </c>
      <c r="AB218" s="74" t="inlineStr">
        <is>
          <t>전라북도</t>
        </is>
      </c>
      <c r="AC218" s="74" t="inlineStr">
        <is>
          <t>군산시</t>
        </is>
      </c>
      <c r="AD218" s="74" t="inlineStr">
        <is>
          <t>나운동</t>
        </is>
      </c>
      <c r="AG218" s="74" t="inlineStr">
        <is>
          <t>전라북도 군산시 나운안1길 24</t>
        </is>
      </c>
      <c r="AH218" s="74" t="n">
        <v>0</v>
      </c>
      <c r="AI218" s="74" t="n">
        <v>217</v>
      </c>
      <c r="AJ218" s="74" t="n">
        <v>17</v>
      </c>
      <c r="AK218" s="74" t="n">
        <v>617</v>
      </c>
      <c r="AL218" s="74" t="n">
        <v>0.97</v>
      </c>
    </row>
    <row r="219">
      <c r="A219" s="74" t="inlineStr">
        <is>
          <t>[나운동]</t>
        </is>
      </c>
      <c r="B219" s="74" t="n">
        <v>14966</v>
      </c>
      <c r="C219" s="74" t="n">
        <v>5</v>
      </c>
      <c r="D219" s="74" t="inlineStr">
        <is>
          <t>현대4차</t>
        </is>
      </c>
      <c r="E219" s="74" t="inlineStr">
        <is>
          <t>1998.09.</t>
        </is>
      </c>
      <c r="F219" s="74" t="n">
        <v>636</v>
      </c>
      <c r="G219" s="74" t="n">
        <v>44.57</v>
      </c>
      <c r="H219" s="74" t="n">
        <v>147.34</v>
      </c>
      <c r="I219" s="74" t="n">
        <v>35.75</v>
      </c>
      <c r="J219" s="74" t="n">
        <v>118.21</v>
      </c>
      <c r="K219" s="74" t="n">
        <v>40</v>
      </c>
      <c r="T219" s="74" t="n">
        <v>4</v>
      </c>
      <c r="U219" s="74" t="n">
        <v>2</v>
      </c>
      <c r="V219" s="74" t="inlineStr">
        <is>
          <t>계단식</t>
        </is>
      </c>
      <c r="W219" s="74" t="n">
        <v>147</v>
      </c>
      <c r="X219" s="74" t="n">
        <v>20</v>
      </c>
      <c r="Y219" s="74" t="n">
        <v>12</v>
      </c>
      <c r="Z219" s="74" t="inlineStr">
        <is>
          <t>https://new.land.naver.com/complexes/14966?tab=detail&amp;rf=Y</t>
        </is>
      </c>
      <c r="AA219" s="74" t="inlineStr">
        <is>
          <t>전라북도 군산시 나운동 109-6</t>
        </is>
      </c>
      <c r="AB219" s="74" t="inlineStr">
        <is>
          <t>전라북도</t>
        </is>
      </c>
      <c r="AC219" s="74" t="inlineStr">
        <is>
          <t>군산시</t>
        </is>
      </c>
      <c r="AD219" s="74" t="inlineStr">
        <is>
          <t>나운동</t>
        </is>
      </c>
      <c r="AG219" s="74" t="inlineStr">
        <is>
          <t>전라북도 군산시 나운안1길 24</t>
        </is>
      </c>
      <c r="AH219" s="74" t="n">
        <v>0</v>
      </c>
      <c r="AI219" s="74" t="n">
        <v>217</v>
      </c>
      <c r="AJ219" s="74" t="n">
        <v>17</v>
      </c>
      <c r="AK219" s="74" t="n">
        <v>617</v>
      </c>
      <c r="AL219" s="74" t="n">
        <v>0.97</v>
      </c>
    </row>
    <row r="220">
      <c r="A220" s="74" t="inlineStr">
        <is>
          <t>[나운동]</t>
        </is>
      </c>
      <c r="B220" s="74" t="n">
        <v>4990</v>
      </c>
      <c r="C220" s="74" t="n">
        <v>1</v>
      </c>
      <c r="D220" s="74" t="inlineStr">
        <is>
          <t>삼성(401)</t>
        </is>
      </c>
      <c r="E220" s="74" t="inlineStr">
        <is>
          <t>1998.05.</t>
        </is>
      </c>
      <c r="F220" s="74" t="n">
        <v>670</v>
      </c>
      <c r="G220" s="74" t="n">
        <v>28.87</v>
      </c>
      <c r="H220" s="74" t="n">
        <v>95.45999999999999</v>
      </c>
      <c r="I220" s="74" t="n">
        <v>22.36</v>
      </c>
      <c r="J220" s="74" t="n">
        <v>73.92</v>
      </c>
      <c r="K220" s="74" t="n">
        <v>128</v>
      </c>
      <c r="T220" s="74" t="n">
        <v>3</v>
      </c>
      <c r="U220" s="74" t="n">
        <v>1</v>
      </c>
      <c r="V220" s="74" t="inlineStr">
        <is>
          <t>계단식</t>
        </is>
      </c>
      <c r="W220" s="74" t="n">
        <v>95</v>
      </c>
      <c r="X220" s="74" t="n">
        <v>20</v>
      </c>
      <c r="Y220" s="74" t="n">
        <v>16</v>
      </c>
      <c r="Z220" s="74" t="inlineStr">
        <is>
          <t>https://new.land.naver.com/complexes/4990?tab=detail&amp;rf=Y</t>
        </is>
      </c>
      <c r="AA220" s="74" t="inlineStr">
        <is>
          <t>전라북도 군산시 나운동 401</t>
        </is>
      </c>
      <c r="AB220" s="74" t="inlineStr">
        <is>
          <t>전라북도</t>
        </is>
      </c>
      <c r="AC220" s="74" t="inlineStr">
        <is>
          <t>군산시</t>
        </is>
      </c>
      <c r="AD220" s="74" t="inlineStr">
        <is>
          <t>나운동</t>
        </is>
      </c>
      <c r="AG220" s="74" t="inlineStr">
        <is>
          <t>전라북도 군산시 나운3길 9</t>
        </is>
      </c>
      <c r="AH220" s="74" t="n">
        <v>0</v>
      </c>
      <c r="AI220" s="74" t="n">
        <v>234</v>
      </c>
      <c r="AJ220" s="74" t="n">
        <v>19</v>
      </c>
      <c r="AK220" s="74" t="n">
        <v>746</v>
      </c>
      <c r="AL220" s="74" t="n">
        <v>1.11</v>
      </c>
    </row>
    <row r="221">
      <c r="A221" s="74" t="inlineStr">
        <is>
          <t>[나운동]</t>
        </is>
      </c>
      <c r="B221" s="74" t="n">
        <v>4990</v>
      </c>
      <c r="C221" s="74" t="n">
        <v>2</v>
      </c>
      <c r="D221" s="74" t="inlineStr">
        <is>
          <t>삼성(401)</t>
        </is>
      </c>
      <c r="E221" s="74" t="inlineStr">
        <is>
          <t>1998.05.</t>
        </is>
      </c>
      <c r="F221" s="74" t="n">
        <v>670</v>
      </c>
      <c r="G221" s="74" t="n">
        <v>32.47</v>
      </c>
      <c r="H221" s="74" t="n">
        <v>107.36</v>
      </c>
      <c r="I221" s="74" t="n">
        <v>25.7</v>
      </c>
      <c r="J221" s="74" t="n">
        <v>84.98999999999999</v>
      </c>
      <c r="K221" s="74" t="n">
        <v>422</v>
      </c>
      <c r="T221" s="74" t="n">
        <v>3</v>
      </c>
      <c r="U221" s="74" t="n">
        <v>2</v>
      </c>
      <c r="V221" s="74" t="inlineStr">
        <is>
          <t>계단식</t>
        </is>
      </c>
      <c r="W221" s="74" t="n">
        <v>107</v>
      </c>
      <c r="X221" s="74" t="n">
        <v>20</v>
      </c>
      <c r="Y221" s="74" t="n">
        <v>16</v>
      </c>
      <c r="Z221" s="74" t="inlineStr">
        <is>
          <t>https://new.land.naver.com/complexes/4990?tab=detail&amp;rf=Y</t>
        </is>
      </c>
      <c r="AA221" s="74" t="inlineStr">
        <is>
          <t>전라북도 군산시 나운동 401</t>
        </is>
      </c>
      <c r="AB221" s="74" t="inlineStr">
        <is>
          <t>전라북도</t>
        </is>
      </c>
      <c r="AC221" s="74" t="inlineStr">
        <is>
          <t>군산시</t>
        </is>
      </c>
      <c r="AD221" s="74" t="inlineStr">
        <is>
          <t>나운동</t>
        </is>
      </c>
      <c r="AG221" s="74" t="inlineStr">
        <is>
          <t>전라북도 군산시 나운3길 9</t>
        </is>
      </c>
      <c r="AH221" s="74" t="n">
        <v>0</v>
      </c>
      <c r="AI221" s="74" t="n">
        <v>234</v>
      </c>
      <c r="AJ221" s="74" t="n">
        <v>19</v>
      </c>
      <c r="AK221" s="74" t="n">
        <v>746</v>
      </c>
      <c r="AL221" s="74" t="n">
        <v>1.11</v>
      </c>
    </row>
    <row r="222">
      <c r="A222" s="74" t="inlineStr">
        <is>
          <t>[나운동]</t>
        </is>
      </c>
      <c r="B222" s="74" t="n">
        <v>4990</v>
      </c>
      <c r="C222" s="74" t="n">
        <v>3</v>
      </c>
      <c r="D222" s="74" t="inlineStr">
        <is>
          <t>삼성(401)</t>
        </is>
      </c>
      <c r="E222" s="74" t="inlineStr">
        <is>
          <t>1998.05.</t>
        </is>
      </c>
      <c r="F222" s="74" t="n">
        <v>670</v>
      </c>
      <c r="G222" s="74" t="n">
        <v>42.24</v>
      </c>
      <c r="H222" s="74" t="n">
        <v>139.65</v>
      </c>
      <c r="I222" s="74" t="n">
        <v>34.78</v>
      </c>
      <c r="J222" s="74" t="n">
        <v>114.99</v>
      </c>
      <c r="K222" s="74" t="n">
        <v>40</v>
      </c>
      <c r="T222" s="74" t="n">
        <v>4</v>
      </c>
      <c r="U222" s="74" t="n">
        <v>2</v>
      </c>
      <c r="V222" s="74" t="inlineStr">
        <is>
          <t>계단식</t>
        </is>
      </c>
      <c r="W222" s="74" t="n">
        <v>139</v>
      </c>
      <c r="X222" s="74" t="n">
        <v>20</v>
      </c>
      <c r="Y222" s="74" t="n">
        <v>16</v>
      </c>
      <c r="Z222" s="74" t="inlineStr">
        <is>
          <t>https://new.land.naver.com/complexes/4990?tab=detail&amp;rf=Y</t>
        </is>
      </c>
      <c r="AA222" s="74" t="inlineStr">
        <is>
          <t>전라북도 군산시 나운동 401</t>
        </is>
      </c>
      <c r="AB222" s="74" t="inlineStr">
        <is>
          <t>전라북도</t>
        </is>
      </c>
      <c r="AC222" s="74" t="inlineStr">
        <is>
          <t>군산시</t>
        </is>
      </c>
      <c r="AD222" s="74" t="inlineStr">
        <is>
          <t>나운동</t>
        </is>
      </c>
      <c r="AG222" s="74" t="inlineStr">
        <is>
          <t>전라북도 군산시 나운3길 9</t>
        </is>
      </c>
      <c r="AH222" s="74" t="n">
        <v>0</v>
      </c>
      <c r="AI222" s="74" t="n">
        <v>234</v>
      </c>
      <c r="AJ222" s="74" t="n">
        <v>19</v>
      </c>
      <c r="AK222" s="74" t="n">
        <v>746</v>
      </c>
      <c r="AL222" s="74" t="n">
        <v>1.11</v>
      </c>
    </row>
    <row r="223">
      <c r="A223" s="74" t="inlineStr">
        <is>
          <t>[나운동]</t>
        </is>
      </c>
      <c r="B223" s="74" t="n">
        <v>4990</v>
      </c>
      <c r="C223" s="74" t="n">
        <v>4</v>
      </c>
      <c r="D223" s="74" t="inlineStr">
        <is>
          <t>삼성(401)</t>
        </is>
      </c>
      <c r="E223" s="74" t="inlineStr">
        <is>
          <t>1998.05.</t>
        </is>
      </c>
      <c r="F223" s="74" t="n">
        <v>670</v>
      </c>
      <c r="G223" s="74" t="n">
        <v>48.75</v>
      </c>
      <c r="H223" s="74" t="n">
        <v>161.19</v>
      </c>
      <c r="I223" s="74" t="n">
        <v>40.82</v>
      </c>
      <c r="J223" s="74" t="n">
        <v>134.97</v>
      </c>
      <c r="K223" s="74" t="n">
        <v>80</v>
      </c>
      <c r="T223" s="74" t="n">
        <v>4</v>
      </c>
      <c r="U223" s="74" t="n">
        <v>2</v>
      </c>
      <c r="V223" s="74" t="inlineStr">
        <is>
          <t>계단식</t>
        </is>
      </c>
      <c r="W223" s="74" t="n">
        <v>161</v>
      </c>
      <c r="X223" s="74" t="n">
        <v>20</v>
      </c>
      <c r="Y223" s="74" t="n">
        <v>16</v>
      </c>
      <c r="Z223" s="74" t="inlineStr">
        <is>
          <t>https://new.land.naver.com/complexes/4990?tab=detail&amp;rf=Y</t>
        </is>
      </c>
      <c r="AA223" s="74" t="inlineStr">
        <is>
          <t>전라북도 군산시 나운동 401</t>
        </is>
      </c>
      <c r="AB223" s="74" t="inlineStr">
        <is>
          <t>전라북도</t>
        </is>
      </c>
      <c r="AC223" s="74" t="inlineStr">
        <is>
          <t>군산시</t>
        </is>
      </c>
      <c r="AD223" s="74" t="inlineStr">
        <is>
          <t>나운동</t>
        </is>
      </c>
      <c r="AG223" s="74" t="inlineStr">
        <is>
          <t>전라북도 군산시 나운3길 9</t>
        </is>
      </c>
      <c r="AH223" s="74" t="n">
        <v>0</v>
      </c>
      <c r="AI223" s="74" t="n">
        <v>234</v>
      </c>
      <c r="AJ223" s="74" t="n">
        <v>19</v>
      </c>
      <c r="AK223" s="74" t="n">
        <v>746</v>
      </c>
      <c r="AL223" s="74" t="n">
        <v>1.11</v>
      </c>
    </row>
    <row r="224">
      <c r="A224" s="74" t="inlineStr">
        <is>
          <t>[나운동]</t>
        </is>
      </c>
      <c r="B224" s="74" t="n">
        <v>4965</v>
      </c>
      <c r="C224" s="74" t="n">
        <v>1</v>
      </c>
      <c r="D224" s="74" t="inlineStr">
        <is>
          <t>동신진주3차</t>
        </is>
      </c>
      <c r="E224" s="74" t="inlineStr">
        <is>
          <t>1995.04.</t>
        </is>
      </c>
      <c r="F224" s="74" t="n">
        <v>114</v>
      </c>
      <c r="G224" s="74" t="n">
        <v>22.5</v>
      </c>
      <c r="H224" s="74" t="n">
        <v>74.39</v>
      </c>
      <c r="I224" s="74" t="n">
        <v>18.1</v>
      </c>
      <c r="J224" s="74" t="n">
        <v>59.84</v>
      </c>
      <c r="K224" s="74" t="n">
        <v>114</v>
      </c>
      <c r="T224" s="74" t="n">
        <v>2</v>
      </c>
      <c r="U224" s="74" t="n">
        <v>1</v>
      </c>
      <c r="V224" s="74" t="inlineStr">
        <is>
          <t>계단식</t>
        </is>
      </c>
      <c r="W224" s="74" t="n">
        <v>74</v>
      </c>
      <c r="X224" s="74" t="n">
        <v>15</v>
      </c>
      <c r="Y224" s="74" t="n">
        <v>12</v>
      </c>
      <c r="Z224" s="74" t="inlineStr">
        <is>
          <t>https://new.land.naver.com/complexes/4965?tab=detail&amp;rf=Y</t>
        </is>
      </c>
      <c r="AA224" s="74" t="inlineStr">
        <is>
          <t>전라북도 군산시 나운동 737-1</t>
        </is>
      </c>
      <c r="AB224" s="74" t="inlineStr">
        <is>
          <t>전라북도</t>
        </is>
      </c>
      <c r="AC224" s="74" t="inlineStr">
        <is>
          <t>군산시</t>
        </is>
      </c>
      <c r="AD224" s="74" t="inlineStr">
        <is>
          <t>나운동</t>
        </is>
      </c>
      <c r="AG224" s="74" t="inlineStr">
        <is>
          <t>전라북도 군산시 상신6길 2</t>
        </is>
      </c>
      <c r="AH224" s="74" t="n">
        <v>0</v>
      </c>
      <c r="AI224" s="74" t="n">
        <v>242</v>
      </c>
      <c r="AJ224" s="74" t="n">
        <v>22</v>
      </c>
      <c r="AK224" s="74" t="n">
        <v>104</v>
      </c>
      <c r="AL224" s="74" t="n">
        <v>0.91</v>
      </c>
    </row>
    <row r="225">
      <c r="A225" s="74" t="inlineStr">
        <is>
          <t>[나운동]</t>
        </is>
      </c>
      <c r="B225" s="74" t="n">
        <v>4984</v>
      </c>
      <c r="C225" s="74" t="n">
        <v>1</v>
      </c>
      <c r="D225" s="74" t="inlineStr">
        <is>
          <t>롯데3차</t>
        </is>
      </c>
      <c r="E225" s="74" t="inlineStr">
        <is>
          <t>1994.06.</t>
        </is>
      </c>
      <c r="F225" s="74" t="n">
        <v>572</v>
      </c>
      <c r="G225" s="74" t="n">
        <v>27.39</v>
      </c>
      <c r="H225" s="74" t="n">
        <v>90.55</v>
      </c>
      <c r="I225" s="74" t="n">
        <v>22.39</v>
      </c>
      <c r="J225" s="74" t="n">
        <v>74.02</v>
      </c>
      <c r="K225" s="74" t="n">
        <v>234</v>
      </c>
      <c r="T225" s="74" t="n">
        <v>3</v>
      </c>
      <c r="U225" s="74" t="n">
        <v>1</v>
      </c>
      <c r="V225" s="74" t="inlineStr">
        <is>
          <t>계단식</t>
        </is>
      </c>
      <c r="W225" s="74" t="n">
        <v>90</v>
      </c>
      <c r="X225" s="74" t="n">
        <v>13</v>
      </c>
      <c r="Y225" s="74" t="n">
        <v>13</v>
      </c>
      <c r="Z225" s="74" t="inlineStr">
        <is>
          <t>https://new.land.naver.com/complexes/4984?tab=detail&amp;rf=Y</t>
        </is>
      </c>
      <c r="AA225" s="74" t="inlineStr">
        <is>
          <t>전라북도 군산시 나운동 100-11</t>
        </is>
      </c>
      <c r="AB225" s="74" t="inlineStr">
        <is>
          <t>전라북도</t>
        </is>
      </c>
      <c r="AC225" s="74" t="inlineStr">
        <is>
          <t>군산시</t>
        </is>
      </c>
      <c r="AD225" s="74" t="inlineStr">
        <is>
          <t>나운동</t>
        </is>
      </c>
      <c r="AG225" s="74" t="inlineStr">
        <is>
          <t>전라북도 군산시 하나운로 48</t>
        </is>
      </c>
      <c r="AH225" s="74" t="n">
        <v>0</v>
      </c>
      <c r="AI225" s="74" t="n">
        <v>200</v>
      </c>
      <c r="AJ225" s="74" t="n">
        <v>17</v>
      </c>
      <c r="AK225" s="74" t="n">
        <v>312</v>
      </c>
      <c r="AL225" s="74" t="n">
        <v>0.55</v>
      </c>
    </row>
    <row r="226">
      <c r="A226" s="74" t="inlineStr">
        <is>
          <t>[나운동]</t>
        </is>
      </c>
      <c r="B226" s="74" t="n">
        <v>4984</v>
      </c>
      <c r="C226" s="74" t="n">
        <v>2</v>
      </c>
      <c r="D226" s="74" t="inlineStr">
        <is>
          <t>롯데3차</t>
        </is>
      </c>
      <c r="E226" s="74" t="inlineStr">
        <is>
          <t>1994.06.</t>
        </is>
      </c>
      <c r="F226" s="74" t="n">
        <v>572</v>
      </c>
      <c r="G226" s="74" t="n">
        <v>31.59</v>
      </c>
      <c r="H226" s="74" t="n">
        <v>104.46</v>
      </c>
      <c r="I226" s="74" t="n">
        <v>25.66</v>
      </c>
      <c r="J226" s="74" t="n">
        <v>84.84</v>
      </c>
      <c r="K226" s="74" t="n">
        <v>286</v>
      </c>
      <c r="T226" s="74" t="n">
        <v>3</v>
      </c>
      <c r="U226" s="74" t="n">
        <v>2</v>
      </c>
      <c r="V226" s="74" t="inlineStr">
        <is>
          <t>계단식</t>
        </is>
      </c>
      <c r="W226" s="74" t="n">
        <v>104</v>
      </c>
      <c r="X226" s="74" t="n">
        <v>13</v>
      </c>
      <c r="Y226" s="74" t="n">
        <v>13</v>
      </c>
      <c r="Z226" s="74" t="inlineStr">
        <is>
          <t>https://new.land.naver.com/complexes/4984?tab=detail&amp;rf=Y</t>
        </is>
      </c>
      <c r="AA226" s="74" t="inlineStr">
        <is>
          <t>전라북도 군산시 나운동 100-11</t>
        </is>
      </c>
      <c r="AB226" s="74" t="inlineStr">
        <is>
          <t>전라북도</t>
        </is>
      </c>
      <c r="AC226" s="74" t="inlineStr">
        <is>
          <t>군산시</t>
        </is>
      </c>
      <c r="AD226" s="74" t="inlineStr">
        <is>
          <t>나운동</t>
        </is>
      </c>
      <c r="AG226" s="74" t="inlineStr">
        <is>
          <t>전라북도 군산시 하나운로 48</t>
        </is>
      </c>
      <c r="AH226" s="74" t="n">
        <v>0</v>
      </c>
      <c r="AI226" s="74" t="n">
        <v>200</v>
      </c>
      <c r="AJ226" s="74" t="n">
        <v>17</v>
      </c>
      <c r="AK226" s="74" t="n">
        <v>312</v>
      </c>
      <c r="AL226" s="74" t="n">
        <v>0.55</v>
      </c>
    </row>
    <row r="227">
      <c r="A227" s="74" t="inlineStr">
        <is>
          <t>[나운동]</t>
        </is>
      </c>
      <c r="B227" s="74" t="n">
        <v>4984</v>
      </c>
      <c r="C227" s="74" t="n">
        <v>3</v>
      </c>
      <c r="D227" s="74" t="inlineStr">
        <is>
          <t>롯데3차</t>
        </is>
      </c>
      <c r="E227" s="74" t="inlineStr">
        <is>
          <t>1994.06.</t>
        </is>
      </c>
      <c r="F227" s="74" t="n">
        <v>572</v>
      </c>
      <c r="G227" s="74" t="n">
        <v>46.4</v>
      </c>
      <c r="H227" s="74" t="n">
        <v>153.42</v>
      </c>
      <c r="I227" s="74" t="n">
        <v>39.85</v>
      </c>
      <c r="J227" s="74" t="n">
        <v>131.75</v>
      </c>
      <c r="K227" s="74" t="n">
        <v>52</v>
      </c>
      <c r="T227" s="74" t="n">
        <v>4</v>
      </c>
      <c r="U227" s="74" t="n">
        <v>2</v>
      </c>
      <c r="V227" s="74" t="inlineStr">
        <is>
          <t>계단식</t>
        </is>
      </c>
      <c r="W227" s="74" t="n">
        <v>153</v>
      </c>
      <c r="X227" s="74" t="n">
        <v>13</v>
      </c>
      <c r="Y227" s="74" t="n">
        <v>13</v>
      </c>
      <c r="Z227" s="74" t="inlineStr">
        <is>
          <t>https://new.land.naver.com/complexes/4984?tab=detail&amp;rf=Y</t>
        </is>
      </c>
      <c r="AA227" s="74" t="inlineStr">
        <is>
          <t>전라북도 군산시 나운동 100-11</t>
        </is>
      </c>
      <c r="AB227" s="74" t="inlineStr">
        <is>
          <t>전라북도</t>
        </is>
      </c>
      <c r="AC227" s="74" t="inlineStr">
        <is>
          <t>군산시</t>
        </is>
      </c>
      <c r="AD227" s="74" t="inlineStr">
        <is>
          <t>나운동</t>
        </is>
      </c>
      <c r="AG227" s="74" t="inlineStr">
        <is>
          <t>전라북도 군산시 하나운로 48</t>
        </is>
      </c>
      <c r="AH227" s="74" t="n">
        <v>0</v>
      </c>
      <c r="AI227" s="74" t="n">
        <v>200</v>
      </c>
      <c r="AJ227" s="74" t="n">
        <v>17</v>
      </c>
      <c r="AK227" s="74" t="n">
        <v>312</v>
      </c>
      <c r="AL227" s="74" t="n">
        <v>0.55</v>
      </c>
    </row>
    <row r="228">
      <c r="A228" s="74" t="inlineStr">
        <is>
          <t>[나운동]</t>
        </is>
      </c>
      <c r="B228" s="74" t="n">
        <v>139522</v>
      </c>
      <c r="C228" s="74" t="n">
        <v>1</v>
      </c>
      <c r="D228" s="74" t="inlineStr">
        <is>
          <t>에코하우스(도시형)</t>
        </is>
      </c>
      <c r="E228" s="74" t="inlineStr">
        <is>
          <t>2013.05.</t>
        </is>
      </c>
      <c r="F228" s="74" t="n">
        <v>16</v>
      </c>
      <c r="G228" s="74" t="n">
        <v>22.5</v>
      </c>
      <c r="H228" s="74" t="n">
        <v>74.40000000000001</v>
      </c>
      <c r="I228" s="74" t="n">
        <v>17.92</v>
      </c>
      <c r="J228" s="74" t="n">
        <v>59.25</v>
      </c>
      <c r="K228" s="74" t="n">
        <v>4</v>
      </c>
      <c r="T228" s="74" t="n">
        <v>3</v>
      </c>
      <c r="U228" s="74" t="n">
        <v>1</v>
      </c>
      <c r="V228" s="74" t="inlineStr">
        <is>
          <t>계단식</t>
        </is>
      </c>
      <c r="W228" s="74" t="inlineStr">
        <is>
          <t>74A</t>
        </is>
      </c>
      <c r="X228" s="74" t="n">
        <v>5</v>
      </c>
      <c r="Y228" s="74" t="n">
        <v>5</v>
      </c>
      <c r="Z228" s="74" t="inlineStr">
        <is>
          <t>https://new.land.naver.com/complexes/139522?tab=detail&amp;rf=Y</t>
        </is>
      </c>
      <c r="AA228" s="74" t="inlineStr">
        <is>
          <t>전라북도 군산시 나운동 741-1</t>
        </is>
      </c>
      <c r="AB228" s="74" t="inlineStr">
        <is>
          <t>전라북도</t>
        </is>
      </c>
      <c r="AC228" s="74" t="inlineStr">
        <is>
          <t>군산시</t>
        </is>
      </c>
      <c r="AD228" s="74" t="inlineStr">
        <is>
          <t>나운동</t>
        </is>
      </c>
      <c r="AG228" s="74" t="inlineStr">
        <is>
          <t>전라북도 군산시 나운우회로 13</t>
        </is>
      </c>
      <c r="AH228" s="74" t="n">
        <v>0</v>
      </c>
      <c r="AI228" s="74" t="n">
        <v>158</v>
      </c>
      <c r="AJ228" s="74" t="n">
        <v>50</v>
      </c>
      <c r="AK228" s="74" t="n">
        <v>13</v>
      </c>
      <c r="AL228" s="74" t="n">
        <v>0.8100000000000001</v>
      </c>
    </row>
    <row r="229">
      <c r="A229" s="74" t="inlineStr">
        <is>
          <t>[나운동]</t>
        </is>
      </c>
      <c r="B229" s="74" t="n">
        <v>139522</v>
      </c>
      <c r="C229" s="74" t="n">
        <v>2</v>
      </c>
      <c r="D229" s="74" t="inlineStr">
        <is>
          <t>에코하우스(도시형)</t>
        </is>
      </c>
      <c r="E229" s="74" t="inlineStr">
        <is>
          <t>2013.05.</t>
        </is>
      </c>
      <c r="F229" s="74" t="n">
        <v>16</v>
      </c>
      <c r="G229" s="74" t="n">
        <v>22.59</v>
      </c>
      <c r="H229" s="74" t="n">
        <v>74.7</v>
      </c>
      <c r="I229" s="74" t="n">
        <v>17.99</v>
      </c>
      <c r="J229" s="74" t="n">
        <v>59.49</v>
      </c>
      <c r="K229" s="74" t="n">
        <v>4</v>
      </c>
      <c r="T229" s="74" t="n">
        <v>3</v>
      </c>
      <c r="U229" s="74" t="n">
        <v>1</v>
      </c>
      <c r="V229" s="74" t="inlineStr">
        <is>
          <t>계단식</t>
        </is>
      </c>
      <c r="W229" s="74" t="inlineStr">
        <is>
          <t>74B</t>
        </is>
      </c>
      <c r="X229" s="74" t="n">
        <v>5</v>
      </c>
      <c r="Y229" s="74" t="n">
        <v>5</v>
      </c>
      <c r="Z229" s="74" t="inlineStr">
        <is>
          <t>https://new.land.naver.com/complexes/139522?tab=detail&amp;rf=Y</t>
        </is>
      </c>
      <c r="AA229" s="74" t="inlineStr">
        <is>
          <t>전라북도 군산시 나운동 741-1</t>
        </is>
      </c>
      <c r="AB229" s="74" t="inlineStr">
        <is>
          <t>전라북도</t>
        </is>
      </c>
      <c r="AC229" s="74" t="inlineStr">
        <is>
          <t>군산시</t>
        </is>
      </c>
      <c r="AD229" s="74" t="inlineStr">
        <is>
          <t>나운동</t>
        </is>
      </c>
      <c r="AG229" s="74" t="inlineStr">
        <is>
          <t>전라북도 군산시 나운우회로 13</t>
        </is>
      </c>
      <c r="AH229" s="74" t="n">
        <v>0</v>
      </c>
      <c r="AI229" s="74" t="n">
        <v>158</v>
      </c>
      <c r="AJ229" s="74" t="n">
        <v>50</v>
      </c>
      <c r="AK229" s="74" t="n">
        <v>13</v>
      </c>
      <c r="AL229" s="74" t="n">
        <v>0.8100000000000001</v>
      </c>
    </row>
    <row r="230">
      <c r="A230" s="74" t="inlineStr">
        <is>
          <t>[나운동]</t>
        </is>
      </c>
      <c r="B230" s="74" t="n">
        <v>139522</v>
      </c>
      <c r="C230" s="74" t="n">
        <v>3</v>
      </c>
      <c r="D230" s="74" t="inlineStr">
        <is>
          <t>에코하우스(도시형)</t>
        </is>
      </c>
      <c r="E230" s="74" t="inlineStr">
        <is>
          <t>2013.05.</t>
        </is>
      </c>
      <c r="F230" s="74" t="n">
        <v>16</v>
      </c>
      <c r="G230" s="74" t="n">
        <v>22.72</v>
      </c>
      <c r="H230" s="74" t="n">
        <v>75.11</v>
      </c>
      <c r="I230" s="74" t="n">
        <v>18.09</v>
      </c>
      <c r="J230" s="74" t="n">
        <v>59.81</v>
      </c>
      <c r="K230" s="74" t="n">
        <v>4</v>
      </c>
      <c r="T230" s="74" t="n">
        <v>3</v>
      </c>
      <c r="U230" s="74" t="n">
        <v>1</v>
      </c>
      <c r="V230" s="74" t="inlineStr">
        <is>
          <t>계단식</t>
        </is>
      </c>
      <c r="W230" s="74" t="inlineStr">
        <is>
          <t>75C</t>
        </is>
      </c>
      <c r="X230" s="74" t="n">
        <v>5</v>
      </c>
      <c r="Y230" s="74" t="n">
        <v>5</v>
      </c>
      <c r="Z230" s="74" t="inlineStr">
        <is>
          <t>https://new.land.naver.com/complexes/139522?tab=detail&amp;rf=Y</t>
        </is>
      </c>
      <c r="AA230" s="74" t="inlineStr">
        <is>
          <t>전라북도 군산시 나운동 741-1</t>
        </is>
      </c>
      <c r="AB230" s="74" t="inlineStr">
        <is>
          <t>전라북도</t>
        </is>
      </c>
      <c r="AC230" s="74" t="inlineStr">
        <is>
          <t>군산시</t>
        </is>
      </c>
      <c r="AD230" s="74" t="inlineStr">
        <is>
          <t>나운동</t>
        </is>
      </c>
      <c r="AG230" s="74" t="inlineStr">
        <is>
          <t>전라북도 군산시 나운우회로 13</t>
        </is>
      </c>
      <c r="AH230" s="74" t="n">
        <v>0</v>
      </c>
      <c r="AI230" s="74" t="n">
        <v>158</v>
      </c>
      <c r="AJ230" s="74" t="n">
        <v>50</v>
      </c>
      <c r="AK230" s="74" t="n">
        <v>13</v>
      </c>
      <c r="AL230" s="74" t="n">
        <v>0.8100000000000001</v>
      </c>
    </row>
    <row r="231">
      <c r="A231" s="74" t="inlineStr">
        <is>
          <t>[나운동]</t>
        </is>
      </c>
      <c r="B231" s="74" t="n">
        <v>139522</v>
      </c>
      <c r="C231" s="74" t="n">
        <v>4</v>
      </c>
      <c r="D231" s="74" t="inlineStr">
        <is>
          <t>에코하우스(도시형)</t>
        </is>
      </c>
      <c r="E231" s="74" t="inlineStr">
        <is>
          <t>2013.05.</t>
        </is>
      </c>
      <c r="F231" s="74" t="n">
        <v>16</v>
      </c>
      <c r="G231" s="74" t="n">
        <v>22.76</v>
      </c>
      <c r="H231" s="74" t="n">
        <v>75.26000000000001</v>
      </c>
      <c r="I231" s="74" t="n">
        <v>18.12</v>
      </c>
      <c r="J231" s="74" t="n">
        <v>59.93</v>
      </c>
      <c r="K231" s="74" t="n">
        <v>4</v>
      </c>
      <c r="T231" s="74" t="n">
        <v>3</v>
      </c>
      <c r="U231" s="74" t="n">
        <v>1</v>
      </c>
      <c r="V231" s="74" t="inlineStr">
        <is>
          <t>계단식</t>
        </is>
      </c>
      <c r="W231" s="74" t="inlineStr">
        <is>
          <t>75D</t>
        </is>
      </c>
      <c r="X231" s="74" t="n">
        <v>5</v>
      </c>
      <c r="Y231" s="74" t="n">
        <v>5</v>
      </c>
      <c r="Z231" s="74" t="inlineStr">
        <is>
          <t>https://new.land.naver.com/complexes/139522?tab=detail&amp;rf=Y</t>
        </is>
      </c>
      <c r="AA231" s="74" t="inlineStr">
        <is>
          <t>전라북도 군산시 나운동 741-1</t>
        </is>
      </c>
      <c r="AB231" s="74" t="inlineStr">
        <is>
          <t>전라북도</t>
        </is>
      </c>
      <c r="AC231" s="74" t="inlineStr">
        <is>
          <t>군산시</t>
        </is>
      </c>
      <c r="AD231" s="74" t="inlineStr">
        <is>
          <t>나운동</t>
        </is>
      </c>
      <c r="AG231" s="74" t="inlineStr">
        <is>
          <t>전라북도 군산시 나운우회로 13</t>
        </is>
      </c>
      <c r="AH231" s="74" t="n">
        <v>0</v>
      </c>
      <c r="AI231" s="74" t="n">
        <v>158</v>
      </c>
      <c r="AJ231" s="74" t="n">
        <v>50</v>
      </c>
      <c r="AK231" s="74" t="n">
        <v>13</v>
      </c>
      <c r="AL231" s="74" t="n">
        <v>0.8100000000000001</v>
      </c>
    </row>
    <row r="232">
      <c r="A232" s="74" t="inlineStr">
        <is>
          <t>[나운동]</t>
        </is>
      </c>
      <c r="B232" s="74" t="n">
        <v>142718</v>
      </c>
      <c r="C232" s="74" t="n">
        <v>1</v>
      </c>
      <c r="D232" s="74" t="inlineStr">
        <is>
          <t>대우하늘채2차</t>
        </is>
      </c>
      <c r="E232" s="74" t="inlineStr">
        <is>
          <t>2013.07.</t>
        </is>
      </c>
      <c r="F232" s="74" t="n">
        <v>12</v>
      </c>
      <c r="G232" s="74" t="n">
        <v>16.11</v>
      </c>
      <c r="H232" s="74" t="n">
        <v>53.27</v>
      </c>
      <c r="I232" s="74" t="n">
        <v>13.68</v>
      </c>
      <c r="J232" s="74" t="n">
        <v>45.23</v>
      </c>
      <c r="K232" s="74" t="n">
        <v>4</v>
      </c>
      <c r="T232" s="74" t="n">
        <v>2</v>
      </c>
      <c r="U232" s="74" t="n">
        <v>1</v>
      </c>
      <c r="V232" s="74" t="inlineStr">
        <is>
          <t>계단식</t>
        </is>
      </c>
      <c r="W232" s="74" t="n">
        <v>53</v>
      </c>
      <c r="X232" s="74" t="n">
        <v>8</v>
      </c>
      <c r="Y232" s="74" t="n">
        <v>8</v>
      </c>
      <c r="Z232" s="74" t="inlineStr">
        <is>
          <t>https://new.land.naver.com/complexes/142718?tab=detail&amp;rf=Y</t>
        </is>
      </c>
      <c r="AA232" s="74" t="inlineStr">
        <is>
          <t>전라북도 군산시 나운동 754-8</t>
        </is>
      </c>
      <c r="AB232" s="74" t="inlineStr">
        <is>
          <t>전라북도</t>
        </is>
      </c>
      <c r="AC232" s="74" t="inlineStr">
        <is>
          <t>군산시</t>
        </is>
      </c>
      <c r="AD232" s="74" t="inlineStr">
        <is>
          <t>나운동</t>
        </is>
      </c>
      <c r="AG232" s="74" t="inlineStr">
        <is>
          <t>전라북도 군산시 나운우회로 75</t>
        </is>
      </c>
      <c r="AH232" s="74" t="n">
        <v>0</v>
      </c>
      <c r="AI232" s="74" t="n">
        <v>249</v>
      </c>
      <c r="AJ232" s="74" t="n">
        <v>54</v>
      </c>
      <c r="AK232" s="74" t="n">
        <v>9</v>
      </c>
      <c r="AL232" s="74" t="n">
        <v>0.75</v>
      </c>
    </row>
    <row r="233">
      <c r="A233" s="74" t="inlineStr">
        <is>
          <t>[나운동]</t>
        </is>
      </c>
      <c r="B233" s="74" t="n">
        <v>142718</v>
      </c>
      <c r="C233" s="74" t="n">
        <v>2</v>
      </c>
      <c r="D233" s="74" t="inlineStr">
        <is>
          <t>대우하늘채2차</t>
        </is>
      </c>
      <c r="E233" s="74" t="inlineStr">
        <is>
          <t>2013.07.</t>
        </is>
      </c>
      <c r="F233" s="74" t="n">
        <v>12</v>
      </c>
      <c r="G233" s="74" t="n">
        <v>16.58</v>
      </c>
      <c r="H233" s="74" t="n">
        <v>54.83</v>
      </c>
      <c r="I233" s="74" t="n">
        <v>14.08</v>
      </c>
      <c r="J233" s="74" t="n">
        <v>46.55</v>
      </c>
      <c r="K233" s="74" t="n">
        <v>4</v>
      </c>
      <c r="T233" s="74" t="n">
        <v>2</v>
      </c>
      <c r="U233" s="74" t="n">
        <v>1</v>
      </c>
      <c r="V233" s="74" t="inlineStr">
        <is>
          <t>계단식</t>
        </is>
      </c>
      <c r="W233" s="74" t="inlineStr">
        <is>
          <t>54A</t>
        </is>
      </c>
      <c r="X233" s="74" t="n">
        <v>8</v>
      </c>
      <c r="Y233" s="74" t="n">
        <v>8</v>
      </c>
      <c r="Z233" s="74" t="inlineStr">
        <is>
          <t>https://new.land.naver.com/complexes/142718?tab=detail&amp;rf=Y</t>
        </is>
      </c>
      <c r="AA233" s="74" t="inlineStr">
        <is>
          <t>전라북도 군산시 나운동 754-8</t>
        </is>
      </c>
      <c r="AB233" s="74" t="inlineStr">
        <is>
          <t>전라북도</t>
        </is>
      </c>
      <c r="AC233" s="74" t="inlineStr">
        <is>
          <t>군산시</t>
        </is>
      </c>
      <c r="AD233" s="74" t="inlineStr">
        <is>
          <t>나운동</t>
        </is>
      </c>
      <c r="AG233" s="74" t="inlineStr">
        <is>
          <t>전라북도 군산시 나운우회로 75</t>
        </is>
      </c>
      <c r="AH233" s="74" t="n">
        <v>0</v>
      </c>
      <c r="AI233" s="74" t="n">
        <v>249</v>
      </c>
      <c r="AJ233" s="74" t="n">
        <v>54</v>
      </c>
      <c r="AK233" s="74" t="n">
        <v>9</v>
      </c>
      <c r="AL233" s="74" t="n">
        <v>0.75</v>
      </c>
    </row>
    <row r="234">
      <c r="A234" s="74" t="inlineStr">
        <is>
          <t>[나운동]</t>
        </is>
      </c>
      <c r="B234" s="74" t="n">
        <v>142718</v>
      </c>
      <c r="C234" s="74" t="n">
        <v>3</v>
      </c>
      <c r="D234" s="74" t="inlineStr">
        <is>
          <t>대우하늘채2차</t>
        </is>
      </c>
      <c r="E234" s="74" t="inlineStr">
        <is>
          <t>2013.07.</t>
        </is>
      </c>
      <c r="F234" s="74" t="n">
        <v>12</v>
      </c>
      <c r="G234" s="74" t="n">
        <v>17.16</v>
      </c>
      <c r="H234" s="74" t="n">
        <v>56.76</v>
      </c>
      <c r="I234" s="74" t="n">
        <v>14.57</v>
      </c>
      <c r="J234" s="74" t="n">
        <v>48.19</v>
      </c>
      <c r="K234" s="74" t="n">
        <v>4</v>
      </c>
      <c r="T234" s="74" t="n">
        <v>2</v>
      </c>
      <c r="U234" s="74" t="n">
        <v>1</v>
      </c>
      <c r="V234" s="74" t="inlineStr">
        <is>
          <t>계단식</t>
        </is>
      </c>
      <c r="W234" s="74" t="inlineStr">
        <is>
          <t>56B</t>
        </is>
      </c>
      <c r="X234" s="74" t="n">
        <v>8</v>
      </c>
      <c r="Y234" s="74" t="n">
        <v>8</v>
      </c>
      <c r="Z234" s="74" t="inlineStr">
        <is>
          <t>https://new.land.naver.com/complexes/142718?tab=detail&amp;rf=Y</t>
        </is>
      </c>
      <c r="AA234" s="74" t="inlineStr">
        <is>
          <t>전라북도 군산시 나운동 754-8</t>
        </is>
      </c>
      <c r="AB234" s="74" t="inlineStr">
        <is>
          <t>전라북도</t>
        </is>
      </c>
      <c r="AC234" s="74" t="inlineStr">
        <is>
          <t>군산시</t>
        </is>
      </c>
      <c r="AD234" s="74" t="inlineStr">
        <is>
          <t>나운동</t>
        </is>
      </c>
      <c r="AG234" s="74" t="inlineStr">
        <is>
          <t>전라북도 군산시 나운우회로 75</t>
        </is>
      </c>
      <c r="AH234" s="74" t="n">
        <v>0</v>
      </c>
      <c r="AI234" s="74" t="n">
        <v>249</v>
      </c>
      <c r="AJ234" s="74" t="n">
        <v>54</v>
      </c>
      <c r="AK234" s="74" t="n">
        <v>9</v>
      </c>
      <c r="AL234" s="74" t="n">
        <v>0.75</v>
      </c>
    </row>
    <row r="235">
      <c r="A235" s="74" t="inlineStr">
        <is>
          <t>[나운동]</t>
        </is>
      </c>
      <c r="B235" s="74" t="n">
        <v>14967</v>
      </c>
      <c r="C235" s="74" t="n">
        <v>1</v>
      </c>
      <c r="D235" s="74" t="inlineStr">
        <is>
          <t>우진</t>
        </is>
      </c>
      <c r="E235" s="74" t="inlineStr">
        <is>
          <t>1979.01.</t>
        </is>
      </c>
      <c r="F235" s="74" t="n">
        <v>390</v>
      </c>
      <c r="G235" s="74" t="n">
        <v>18.29</v>
      </c>
      <c r="H235" s="74" t="n">
        <v>60.49</v>
      </c>
      <c r="I235" s="74" t="n">
        <v>16.78</v>
      </c>
      <c r="J235" s="74" t="n">
        <v>55.48</v>
      </c>
      <c r="K235" s="74" t="n">
        <v>100</v>
      </c>
      <c r="T235" s="74" t="n">
        <v>3</v>
      </c>
      <c r="U235" s="74" t="n">
        <v>1</v>
      </c>
      <c r="V235" s="74" t="inlineStr">
        <is>
          <t>계단식</t>
        </is>
      </c>
      <c r="W235" s="74" t="n">
        <v>60</v>
      </c>
      <c r="X235" s="74" t="n">
        <v>5</v>
      </c>
      <c r="Y235" s="74" t="n">
        <v>5</v>
      </c>
      <c r="Z235" s="74" t="inlineStr">
        <is>
          <t>https://new.land.naver.com/complexes/14967?tab=detail&amp;rf=Y</t>
        </is>
      </c>
      <c r="AA235" s="74" t="inlineStr">
        <is>
          <t>전라북도 군산시 나운동 555-1</t>
        </is>
      </c>
      <c r="AB235" s="74" t="inlineStr">
        <is>
          <t>전라북도</t>
        </is>
      </c>
      <c r="AC235" s="74" t="inlineStr">
        <is>
          <t>군산시</t>
        </is>
      </c>
      <c r="AD235" s="74" t="inlineStr">
        <is>
          <t>나운동</t>
        </is>
      </c>
      <c r="AG235" s="74" t="inlineStr">
        <is>
          <t>전라북도 군산시 하신재길 23</t>
        </is>
      </c>
      <c r="AH235" s="74" t="n">
        <v>0</v>
      </c>
      <c r="AI235" s="74" t="n">
        <v>0</v>
      </c>
      <c r="AJ235" s="74" t="n">
        <v>0</v>
      </c>
      <c r="AK235" s="74" t="n">
        <v>0</v>
      </c>
      <c r="AL235" s="74" t="n">
        <v>0</v>
      </c>
    </row>
    <row r="236">
      <c r="A236" s="74" t="inlineStr">
        <is>
          <t>[나운동]</t>
        </is>
      </c>
      <c r="B236" s="74" t="n">
        <v>14967</v>
      </c>
      <c r="C236" s="74" t="n">
        <v>2</v>
      </c>
      <c r="D236" s="74" t="inlineStr">
        <is>
          <t>우진</t>
        </is>
      </c>
      <c r="E236" s="74" t="inlineStr">
        <is>
          <t>1979.01.</t>
        </is>
      </c>
      <c r="F236" s="74" t="n">
        <v>390</v>
      </c>
      <c r="G236" s="74" t="n">
        <v>18.5</v>
      </c>
      <c r="H236" s="74" t="n">
        <v>61.18</v>
      </c>
      <c r="I236" s="74" t="n">
        <v>16.74</v>
      </c>
      <c r="J236" s="74" t="n">
        <v>55.36</v>
      </c>
      <c r="K236" s="74" t="n">
        <v>170</v>
      </c>
      <c r="T236" s="74" t="n">
        <v>2</v>
      </c>
      <c r="U236" s="74" t="n">
        <v>1</v>
      </c>
      <c r="V236" s="74" t="inlineStr">
        <is>
          <t>복도식</t>
        </is>
      </c>
      <c r="W236" s="74" t="n">
        <v>61</v>
      </c>
      <c r="X236" s="74" t="n">
        <v>5</v>
      </c>
      <c r="Y236" s="74" t="n">
        <v>5</v>
      </c>
      <c r="Z236" s="74" t="inlineStr">
        <is>
          <t>https://new.land.naver.com/complexes/14967?tab=detail&amp;rf=Y</t>
        </is>
      </c>
      <c r="AA236" s="74" t="inlineStr">
        <is>
          <t>전라북도 군산시 나운동 555-1</t>
        </is>
      </c>
      <c r="AB236" s="74" t="inlineStr">
        <is>
          <t>전라북도</t>
        </is>
      </c>
      <c r="AC236" s="74" t="inlineStr">
        <is>
          <t>군산시</t>
        </is>
      </c>
      <c r="AD236" s="74" t="inlineStr">
        <is>
          <t>나운동</t>
        </is>
      </c>
      <c r="AG236" s="74" t="inlineStr">
        <is>
          <t>전라북도 군산시 하신재길 23</t>
        </is>
      </c>
      <c r="AH236" s="74" t="n">
        <v>0</v>
      </c>
      <c r="AI236" s="74" t="n">
        <v>0</v>
      </c>
      <c r="AJ236" s="74" t="n">
        <v>0</v>
      </c>
      <c r="AK236" s="74" t="n">
        <v>0</v>
      </c>
      <c r="AL236" s="74" t="n">
        <v>0</v>
      </c>
    </row>
    <row r="237">
      <c r="A237" s="74" t="inlineStr">
        <is>
          <t>[나운동]</t>
        </is>
      </c>
      <c r="B237" s="74" t="n">
        <v>14967</v>
      </c>
      <c r="C237" s="74" t="n">
        <v>3</v>
      </c>
      <c r="D237" s="74" t="inlineStr">
        <is>
          <t>우진</t>
        </is>
      </c>
      <c r="E237" s="74" t="inlineStr">
        <is>
          <t>1979.01.</t>
        </is>
      </c>
      <c r="F237" s="74" t="n">
        <v>390</v>
      </c>
      <c r="G237" s="74" t="n">
        <v>21.99</v>
      </c>
      <c r="H237" s="74" t="n">
        <v>72.7</v>
      </c>
      <c r="I237" s="74" t="n">
        <v>19.89</v>
      </c>
      <c r="J237" s="74" t="n">
        <v>65.78</v>
      </c>
      <c r="K237" s="74" t="n">
        <v>120</v>
      </c>
      <c r="T237" s="74" t="n">
        <v>3</v>
      </c>
      <c r="U237" s="74" t="n">
        <v>1</v>
      </c>
      <c r="V237" s="74" t="inlineStr">
        <is>
          <t>계단식</t>
        </is>
      </c>
      <c r="W237" s="74" t="n">
        <v>72</v>
      </c>
      <c r="X237" s="74" t="n">
        <v>5</v>
      </c>
      <c r="Y237" s="74" t="n">
        <v>5</v>
      </c>
      <c r="Z237" s="74" t="inlineStr">
        <is>
          <t>https://new.land.naver.com/complexes/14967?tab=detail&amp;rf=Y</t>
        </is>
      </c>
      <c r="AA237" s="74" t="inlineStr">
        <is>
          <t>전라북도 군산시 나운동 555-1</t>
        </is>
      </c>
      <c r="AB237" s="74" t="inlineStr">
        <is>
          <t>전라북도</t>
        </is>
      </c>
      <c r="AC237" s="74" t="inlineStr">
        <is>
          <t>군산시</t>
        </is>
      </c>
      <c r="AD237" s="74" t="inlineStr">
        <is>
          <t>나운동</t>
        </is>
      </c>
      <c r="AG237" s="74" t="inlineStr">
        <is>
          <t>전라북도 군산시 하신재길 23</t>
        </is>
      </c>
      <c r="AH237" s="74" t="n">
        <v>0</v>
      </c>
      <c r="AI237" s="74" t="n">
        <v>0</v>
      </c>
      <c r="AJ237" s="74" t="n">
        <v>0</v>
      </c>
      <c r="AK237" s="74" t="n">
        <v>0</v>
      </c>
      <c r="AL237" s="74" t="n">
        <v>0</v>
      </c>
    </row>
    <row r="238">
      <c r="A238" s="74" t="inlineStr">
        <is>
          <t>[나운동]</t>
        </is>
      </c>
      <c r="B238" s="74" t="n">
        <v>130728</v>
      </c>
      <c r="C238" s="74" t="n">
        <v>1</v>
      </c>
      <c r="D238" s="74" t="inlineStr">
        <is>
          <t>군산월드</t>
        </is>
      </c>
      <c r="E238" s="74" t="inlineStr">
        <is>
          <t>1995.09.</t>
        </is>
      </c>
      <c r="F238" s="74" t="n">
        <v>36</v>
      </c>
      <c r="G238" s="74" t="n">
        <v>24.73</v>
      </c>
      <c r="H238" s="74" t="n">
        <v>81.77</v>
      </c>
      <c r="I238" s="74" t="n">
        <v>18.87</v>
      </c>
      <c r="J238" s="74" t="n">
        <v>62.4</v>
      </c>
      <c r="K238" s="74" t="n">
        <v>2</v>
      </c>
      <c r="T238" s="74" t="n">
        <v>3</v>
      </c>
      <c r="U238" s="74" t="n">
        <v>2</v>
      </c>
      <c r="V238" s="74" t="inlineStr">
        <is>
          <t>계단식</t>
        </is>
      </c>
      <c r="W238" s="74" t="n">
        <v>81</v>
      </c>
      <c r="X238" s="74" t="n">
        <v>13</v>
      </c>
      <c r="Y238" s="74" t="n">
        <v>13</v>
      </c>
      <c r="Z238" s="74" t="inlineStr">
        <is>
          <t>https://new.land.naver.com/complexes/130728?tab=detail&amp;rf=Y</t>
        </is>
      </c>
      <c r="AA238" s="74" t="inlineStr">
        <is>
          <t>전라북도 군산시 나운동 854-1</t>
        </is>
      </c>
      <c r="AB238" s="74" t="inlineStr">
        <is>
          <t>전라북도</t>
        </is>
      </c>
      <c r="AC238" s="74" t="inlineStr">
        <is>
          <t>군산시</t>
        </is>
      </c>
      <c r="AD238" s="74" t="inlineStr">
        <is>
          <t>나운동</t>
        </is>
      </c>
      <c r="AG238" s="74" t="inlineStr">
        <is>
          <t>전라북도 군산시 부곡1길 69</t>
        </is>
      </c>
      <c r="AH238" s="74" t="n">
        <v>0</v>
      </c>
      <c r="AI238" s="74" t="n">
        <v>397</v>
      </c>
      <c r="AJ238" s="74" t="n">
        <v>46</v>
      </c>
      <c r="AK238" s="74" t="n">
        <v>17</v>
      </c>
      <c r="AL238" s="74" t="n">
        <v>0.47</v>
      </c>
    </row>
    <row r="239">
      <c r="A239" s="74" t="inlineStr">
        <is>
          <t>[나운동]</t>
        </is>
      </c>
      <c r="B239" s="74" t="n">
        <v>130728</v>
      </c>
      <c r="C239" s="74" t="n">
        <v>2</v>
      </c>
      <c r="D239" s="74" t="inlineStr">
        <is>
          <t>군산월드</t>
        </is>
      </c>
      <c r="E239" s="74" t="inlineStr">
        <is>
          <t>1995.09.</t>
        </is>
      </c>
      <c r="F239" s="74" t="n">
        <v>36</v>
      </c>
      <c r="G239" s="74" t="n">
        <v>29.96</v>
      </c>
      <c r="H239" s="74" t="n">
        <v>99.06</v>
      </c>
      <c r="I239" s="74" t="n">
        <v>22.86</v>
      </c>
      <c r="J239" s="74" t="n">
        <v>75.59999999999999</v>
      </c>
      <c r="K239" s="74" t="n">
        <v>2</v>
      </c>
      <c r="T239" s="74" t="n">
        <v>3</v>
      </c>
      <c r="U239" s="74" t="n">
        <v>2</v>
      </c>
      <c r="V239" s="74" t="inlineStr">
        <is>
          <t>계단식</t>
        </is>
      </c>
      <c r="W239" s="74" t="n">
        <v>99</v>
      </c>
      <c r="X239" s="74" t="n">
        <v>13</v>
      </c>
      <c r="Y239" s="74" t="n">
        <v>13</v>
      </c>
      <c r="Z239" s="74" t="inlineStr">
        <is>
          <t>https://new.land.naver.com/complexes/130728?tab=detail&amp;rf=Y</t>
        </is>
      </c>
      <c r="AA239" s="74" t="inlineStr">
        <is>
          <t>전라북도 군산시 나운동 854-1</t>
        </is>
      </c>
      <c r="AB239" s="74" t="inlineStr">
        <is>
          <t>전라북도</t>
        </is>
      </c>
      <c r="AC239" s="74" t="inlineStr">
        <is>
          <t>군산시</t>
        </is>
      </c>
      <c r="AD239" s="74" t="inlineStr">
        <is>
          <t>나운동</t>
        </is>
      </c>
      <c r="AG239" s="74" t="inlineStr">
        <is>
          <t>전라북도 군산시 부곡1길 69</t>
        </is>
      </c>
      <c r="AH239" s="74" t="n">
        <v>0</v>
      </c>
      <c r="AI239" s="74" t="n">
        <v>397</v>
      </c>
      <c r="AJ239" s="74" t="n">
        <v>46</v>
      </c>
      <c r="AK239" s="74" t="n">
        <v>17</v>
      </c>
      <c r="AL239" s="74" t="n">
        <v>0.47</v>
      </c>
    </row>
    <row r="240">
      <c r="A240" s="74" t="inlineStr">
        <is>
          <t>[나운동]</t>
        </is>
      </c>
      <c r="B240" s="74" t="n">
        <v>130728</v>
      </c>
      <c r="C240" s="74" t="n">
        <v>3</v>
      </c>
      <c r="D240" s="74" t="inlineStr">
        <is>
          <t>군산월드</t>
        </is>
      </c>
      <c r="E240" s="74" t="inlineStr">
        <is>
          <t>1995.09.</t>
        </is>
      </c>
      <c r="F240" s="74" t="n">
        <v>36</v>
      </c>
      <c r="G240" s="74" t="n">
        <v>33.6</v>
      </c>
      <c r="H240" s="74" t="n">
        <v>111.09</v>
      </c>
      <c r="I240" s="74" t="n">
        <v>25.64</v>
      </c>
      <c r="J240" s="74" t="n">
        <v>84.78</v>
      </c>
      <c r="K240" s="74" t="n">
        <v>26</v>
      </c>
      <c r="T240" s="74" t="n">
        <v>3</v>
      </c>
      <c r="U240" s="74" t="n">
        <v>2</v>
      </c>
      <c r="V240" s="74" t="inlineStr">
        <is>
          <t>계단식</t>
        </is>
      </c>
      <c r="W240" s="74" t="n">
        <v>111</v>
      </c>
      <c r="X240" s="74" t="n">
        <v>13</v>
      </c>
      <c r="Y240" s="74" t="n">
        <v>13</v>
      </c>
      <c r="Z240" s="74" t="inlineStr">
        <is>
          <t>https://new.land.naver.com/complexes/130728?tab=detail&amp;rf=Y</t>
        </is>
      </c>
      <c r="AA240" s="74" t="inlineStr">
        <is>
          <t>전라북도 군산시 나운동 854-1</t>
        </is>
      </c>
      <c r="AB240" s="74" t="inlineStr">
        <is>
          <t>전라북도</t>
        </is>
      </c>
      <c r="AC240" s="74" t="inlineStr">
        <is>
          <t>군산시</t>
        </is>
      </c>
      <c r="AD240" s="74" t="inlineStr">
        <is>
          <t>나운동</t>
        </is>
      </c>
      <c r="AG240" s="74" t="inlineStr">
        <is>
          <t>전라북도 군산시 부곡1길 69</t>
        </is>
      </c>
      <c r="AH240" s="74" t="n">
        <v>0</v>
      </c>
      <c r="AI240" s="74" t="n">
        <v>397</v>
      </c>
      <c r="AJ240" s="74" t="n">
        <v>46</v>
      </c>
      <c r="AK240" s="74" t="n">
        <v>17</v>
      </c>
      <c r="AL240" s="74" t="n">
        <v>0.47</v>
      </c>
    </row>
    <row r="241">
      <c r="A241" s="74" t="inlineStr">
        <is>
          <t>[나운동]</t>
        </is>
      </c>
      <c r="B241" s="74" t="n">
        <v>130728</v>
      </c>
      <c r="C241" s="74" t="n">
        <v>4</v>
      </c>
      <c r="D241" s="74" t="inlineStr">
        <is>
          <t>군산월드</t>
        </is>
      </c>
      <c r="E241" s="74" t="inlineStr">
        <is>
          <t>1995.09.</t>
        </is>
      </c>
      <c r="F241" s="74" t="n">
        <v>36</v>
      </c>
      <c r="G241" s="74" t="n">
        <v>56.74</v>
      </c>
      <c r="H241" s="74" t="n">
        <v>187.58</v>
      </c>
      <c r="I241" s="74" t="n">
        <v>43.29</v>
      </c>
      <c r="J241" s="74" t="n">
        <v>143.13</v>
      </c>
      <c r="K241" s="74" t="n">
        <v>6</v>
      </c>
      <c r="T241" s="74" t="n">
        <v>3</v>
      </c>
      <c r="U241" s="74" t="n">
        <v>2</v>
      </c>
      <c r="V241" s="74" t="inlineStr">
        <is>
          <t>계단식</t>
        </is>
      </c>
      <c r="W241" s="74" t="n">
        <v>187</v>
      </c>
      <c r="X241" s="74" t="n">
        <v>13</v>
      </c>
      <c r="Y241" s="74" t="n">
        <v>13</v>
      </c>
      <c r="Z241" s="74" t="inlineStr">
        <is>
          <t>https://new.land.naver.com/complexes/130728?tab=detail&amp;rf=Y</t>
        </is>
      </c>
      <c r="AA241" s="74" t="inlineStr">
        <is>
          <t>전라북도 군산시 나운동 854-1</t>
        </is>
      </c>
      <c r="AB241" s="74" t="inlineStr">
        <is>
          <t>전라북도</t>
        </is>
      </c>
      <c r="AC241" s="74" t="inlineStr">
        <is>
          <t>군산시</t>
        </is>
      </c>
      <c r="AD241" s="74" t="inlineStr">
        <is>
          <t>나운동</t>
        </is>
      </c>
      <c r="AG241" s="74" t="inlineStr">
        <is>
          <t>전라북도 군산시 부곡1길 69</t>
        </is>
      </c>
      <c r="AH241" s="74" t="n">
        <v>0</v>
      </c>
      <c r="AI241" s="74" t="n">
        <v>397</v>
      </c>
      <c r="AJ241" s="74" t="n">
        <v>46</v>
      </c>
      <c r="AK241" s="74" t="n">
        <v>17</v>
      </c>
      <c r="AL241" s="74" t="n">
        <v>0.47</v>
      </c>
    </row>
    <row r="242">
      <c r="A242" s="74" t="inlineStr">
        <is>
          <t>[나운동]</t>
        </is>
      </c>
      <c r="B242" s="74" t="n">
        <v>5016</v>
      </c>
      <c r="C242" s="74" t="n">
        <v>1</v>
      </c>
      <c r="D242" s="74" t="inlineStr">
        <is>
          <t>현대2차</t>
        </is>
      </c>
      <c r="E242" s="74" t="inlineStr">
        <is>
          <t>1987.09.</t>
        </is>
      </c>
      <c r="F242" s="74" t="n">
        <v>100</v>
      </c>
      <c r="G242" s="74" t="n">
        <v>21.1</v>
      </c>
      <c r="H242" s="74" t="n">
        <v>69.77</v>
      </c>
      <c r="I242" s="74" t="n">
        <v>17.58</v>
      </c>
      <c r="J242" s="74" t="n">
        <v>58.14</v>
      </c>
      <c r="K242" s="74" t="n">
        <v>50</v>
      </c>
      <c r="T242" s="74" t="n">
        <v>3</v>
      </c>
      <c r="U242" s="74" t="n">
        <v>1</v>
      </c>
      <c r="V242" s="74" t="inlineStr">
        <is>
          <t>계단식</t>
        </is>
      </c>
      <c r="W242" s="74" t="inlineStr">
        <is>
          <t>69A</t>
        </is>
      </c>
      <c r="X242" s="74" t="n">
        <v>5</v>
      </c>
      <c r="Y242" s="74" t="n">
        <v>5</v>
      </c>
      <c r="Z242" s="74" t="inlineStr">
        <is>
          <t>https://new.land.naver.com/complexes/5016?tab=detail&amp;rf=Y</t>
        </is>
      </c>
      <c r="AA242" s="74" t="inlineStr">
        <is>
          <t>전라북도 군산시 나운동 792-1</t>
        </is>
      </c>
      <c r="AB242" s="74" t="inlineStr">
        <is>
          <t>전라북도</t>
        </is>
      </c>
      <c r="AC242" s="74" t="inlineStr">
        <is>
          <t>군산시</t>
        </is>
      </c>
      <c r="AD242" s="74" t="inlineStr">
        <is>
          <t>나운동</t>
        </is>
      </c>
      <c r="AG242" s="74" t="inlineStr">
        <is>
          <t>전라북도 군산시 신설4길 14</t>
        </is>
      </c>
      <c r="AH242" s="74" t="n">
        <v>0</v>
      </c>
      <c r="AI242" s="74" t="n">
        <v>78</v>
      </c>
      <c r="AJ242" s="74" t="n">
        <v>15</v>
      </c>
      <c r="AK242" s="74" t="n">
        <v>0</v>
      </c>
      <c r="AL242" s="74" t="n">
        <v>0</v>
      </c>
    </row>
    <row r="243">
      <c r="A243" s="74" t="inlineStr">
        <is>
          <t>[나운동]</t>
        </is>
      </c>
      <c r="B243" s="74" t="n">
        <v>5016</v>
      </c>
      <c r="C243" s="74" t="n">
        <v>2</v>
      </c>
      <c r="D243" s="74" t="inlineStr">
        <is>
          <t>현대2차</t>
        </is>
      </c>
      <c r="E243" s="74" t="inlineStr">
        <is>
          <t>1987.09.</t>
        </is>
      </c>
      <c r="F243" s="74" t="n">
        <v>100</v>
      </c>
      <c r="G243" s="74" t="n">
        <v>21.47</v>
      </c>
      <c r="H243" s="74" t="n">
        <v>71</v>
      </c>
      <c r="I243" s="74" t="n">
        <v>18.06</v>
      </c>
      <c r="J243" s="74" t="n">
        <v>59.72</v>
      </c>
      <c r="K243" s="74" t="n">
        <v>50</v>
      </c>
      <c r="T243" s="74" t="n">
        <v>3</v>
      </c>
      <c r="U243" s="74" t="n">
        <v>1</v>
      </c>
      <c r="V243" s="74" t="inlineStr">
        <is>
          <t>계단식</t>
        </is>
      </c>
      <c r="W243" s="74" t="inlineStr">
        <is>
          <t>71B</t>
        </is>
      </c>
      <c r="X243" s="74" t="n">
        <v>5</v>
      </c>
      <c r="Y243" s="74" t="n">
        <v>5</v>
      </c>
      <c r="Z243" s="74" t="inlineStr">
        <is>
          <t>https://new.land.naver.com/complexes/5016?tab=detail&amp;rf=Y</t>
        </is>
      </c>
      <c r="AA243" s="74" t="inlineStr">
        <is>
          <t>전라북도 군산시 나운동 792-1</t>
        </is>
      </c>
      <c r="AB243" s="74" t="inlineStr">
        <is>
          <t>전라북도</t>
        </is>
      </c>
      <c r="AC243" s="74" t="inlineStr">
        <is>
          <t>군산시</t>
        </is>
      </c>
      <c r="AD243" s="74" t="inlineStr">
        <is>
          <t>나운동</t>
        </is>
      </c>
      <c r="AG243" s="74" t="inlineStr">
        <is>
          <t>전라북도 군산시 신설4길 14</t>
        </is>
      </c>
      <c r="AH243" s="74" t="n">
        <v>0</v>
      </c>
      <c r="AI243" s="74" t="n">
        <v>78</v>
      </c>
      <c r="AJ243" s="74" t="n">
        <v>15</v>
      </c>
      <c r="AK243" s="74" t="n">
        <v>0</v>
      </c>
      <c r="AL243" s="74" t="n">
        <v>0</v>
      </c>
    </row>
    <row r="244">
      <c r="A244" s="74" t="inlineStr">
        <is>
          <t>[나운동]</t>
        </is>
      </c>
      <c r="B244" s="74" t="n">
        <v>24067</v>
      </c>
      <c r="C244" s="74" t="n">
        <v>1</v>
      </c>
      <c r="D244" s="74" t="inlineStr">
        <is>
          <t>명성(785-4)</t>
        </is>
      </c>
      <c r="E244" s="74" t="inlineStr">
        <is>
          <t>1989.09.</t>
        </is>
      </c>
      <c r="F244" s="74" t="n">
        <v>65</v>
      </c>
      <c r="G244" s="74" t="n">
        <v>23.18</v>
      </c>
      <c r="H244" s="74" t="n">
        <v>76.66</v>
      </c>
      <c r="I244" s="74" t="n">
        <v>19.81</v>
      </c>
      <c r="J244" s="74" t="n">
        <v>65.48999999999999</v>
      </c>
      <c r="K244" s="74" t="n">
        <v>25</v>
      </c>
      <c r="T244" s="74" t="n">
        <v>2</v>
      </c>
      <c r="U244" s="74" t="n">
        <v>1</v>
      </c>
      <c r="V244" s="74" t="inlineStr">
        <is>
          <t>계단식</t>
        </is>
      </c>
      <c r="W244" s="74" t="n">
        <v>76</v>
      </c>
      <c r="X244" s="74" t="n">
        <v>5</v>
      </c>
      <c r="Y244" s="74" t="n">
        <v>5</v>
      </c>
      <c r="Z244" s="74" t="inlineStr">
        <is>
          <t>https://new.land.naver.com/complexes/24067?tab=detail&amp;rf=Y</t>
        </is>
      </c>
      <c r="AA244" s="74" t="inlineStr">
        <is>
          <t>전라북도 군산시 나운동 785-4</t>
        </is>
      </c>
      <c r="AB244" s="74" t="inlineStr">
        <is>
          <t>전라북도</t>
        </is>
      </c>
      <c r="AC244" s="74" t="inlineStr">
        <is>
          <t>군산시</t>
        </is>
      </c>
      <c r="AD244" s="74" t="inlineStr">
        <is>
          <t>나운동</t>
        </is>
      </c>
      <c r="AG244" s="74" t="inlineStr">
        <is>
          <t>전라북도 군산시 신설2길 30</t>
        </is>
      </c>
      <c r="AH244" s="74" t="n">
        <v>0</v>
      </c>
      <c r="AI244" s="74" t="n">
        <v>0</v>
      </c>
      <c r="AJ244" s="74" t="n">
        <v>0</v>
      </c>
      <c r="AK244" s="74" t="n">
        <v>0</v>
      </c>
      <c r="AL244" s="74" t="n">
        <v>0</v>
      </c>
    </row>
    <row r="245">
      <c r="A245" s="74" t="inlineStr">
        <is>
          <t>[나운동]</t>
        </is>
      </c>
      <c r="B245" s="74" t="n">
        <v>24067</v>
      </c>
      <c r="C245" s="74" t="n">
        <v>2</v>
      </c>
      <c r="D245" s="74" t="inlineStr">
        <is>
          <t>명성(785-4)</t>
        </is>
      </c>
      <c r="E245" s="74" t="inlineStr">
        <is>
          <t>1989.09.</t>
        </is>
      </c>
      <c r="F245" s="74" t="n">
        <v>65</v>
      </c>
      <c r="G245" s="74" t="n">
        <v>26.44</v>
      </c>
      <c r="H245" s="74" t="n">
        <v>87.42</v>
      </c>
      <c r="I245" s="74" t="n">
        <v>23.06</v>
      </c>
      <c r="J245" s="74" t="n">
        <v>76.25</v>
      </c>
      <c r="K245" s="74" t="n">
        <v>15</v>
      </c>
      <c r="T245" s="74" t="n">
        <v>3</v>
      </c>
      <c r="U245" s="74" t="n">
        <v>1</v>
      </c>
      <c r="V245" s="74" t="inlineStr">
        <is>
          <t>계단식</t>
        </is>
      </c>
      <c r="W245" s="74" t="n">
        <v>87</v>
      </c>
      <c r="X245" s="74" t="n">
        <v>5</v>
      </c>
      <c r="Y245" s="74" t="n">
        <v>5</v>
      </c>
      <c r="Z245" s="74" t="inlineStr">
        <is>
          <t>https://new.land.naver.com/complexes/24067?tab=detail&amp;rf=Y</t>
        </is>
      </c>
      <c r="AA245" s="74" t="inlineStr">
        <is>
          <t>전라북도 군산시 나운동 785-4</t>
        </is>
      </c>
      <c r="AB245" s="74" t="inlineStr">
        <is>
          <t>전라북도</t>
        </is>
      </c>
      <c r="AC245" s="74" t="inlineStr">
        <is>
          <t>군산시</t>
        </is>
      </c>
      <c r="AD245" s="74" t="inlineStr">
        <is>
          <t>나운동</t>
        </is>
      </c>
      <c r="AG245" s="74" t="inlineStr">
        <is>
          <t>전라북도 군산시 신설2길 30</t>
        </is>
      </c>
      <c r="AH245" s="74" t="n">
        <v>0</v>
      </c>
      <c r="AI245" s="74" t="n">
        <v>0</v>
      </c>
      <c r="AJ245" s="74" t="n">
        <v>0</v>
      </c>
      <c r="AK245" s="74" t="n">
        <v>0</v>
      </c>
      <c r="AL245" s="74" t="n">
        <v>0</v>
      </c>
    </row>
    <row r="246">
      <c r="A246" s="74" t="inlineStr">
        <is>
          <t>[나운동]</t>
        </is>
      </c>
      <c r="B246" s="74" t="n">
        <v>24067</v>
      </c>
      <c r="C246" s="74" t="n">
        <v>3</v>
      </c>
      <c r="D246" s="74" t="inlineStr">
        <is>
          <t>명성(785-4)</t>
        </is>
      </c>
      <c r="E246" s="74" t="inlineStr">
        <is>
          <t>1989.09.</t>
        </is>
      </c>
      <c r="F246" s="74" t="n">
        <v>65</v>
      </c>
      <c r="G246" s="74" t="n">
        <v>27.04</v>
      </c>
      <c r="H246" s="74" t="n">
        <v>89.42</v>
      </c>
      <c r="I246" s="74" t="n">
        <v>23.55</v>
      </c>
      <c r="J246" s="74" t="n">
        <v>77.86</v>
      </c>
      <c r="K246" s="74" t="n">
        <v>25</v>
      </c>
      <c r="T246" s="74" t="n">
        <v>3</v>
      </c>
      <c r="U246" s="74" t="n">
        <v>1</v>
      </c>
      <c r="V246" s="74" t="inlineStr">
        <is>
          <t>계단식</t>
        </is>
      </c>
      <c r="W246" s="74" t="n">
        <v>89</v>
      </c>
      <c r="X246" s="74" t="n">
        <v>5</v>
      </c>
      <c r="Y246" s="74" t="n">
        <v>5</v>
      </c>
      <c r="Z246" s="74" t="inlineStr">
        <is>
          <t>https://new.land.naver.com/complexes/24067?tab=detail&amp;rf=Y</t>
        </is>
      </c>
      <c r="AA246" s="74" t="inlineStr">
        <is>
          <t>전라북도 군산시 나운동 785-4</t>
        </is>
      </c>
      <c r="AB246" s="74" t="inlineStr">
        <is>
          <t>전라북도</t>
        </is>
      </c>
      <c r="AC246" s="74" t="inlineStr">
        <is>
          <t>군산시</t>
        </is>
      </c>
      <c r="AD246" s="74" t="inlineStr">
        <is>
          <t>나운동</t>
        </is>
      </c>
      <c r="AG246" s="74" t="inlineStr">
        <is>
          <t>전라북도 군산시 신설2길 30</t>
        </is>
      </c>
      <c r="AH246" s="74" t="n">
        <v>0</v>
      </c>
      <c r="AI246" s="74" t="n">
        <v>0</v>
      </c>
      <c r="AJ246" s="74" t="n">
        <v>0</v>
      </c>
      <c r="AK246" s="74" t="n">
        <v>0</v>
      </c>
      <c r="AL246" s="74" t="n">
        <v>0</v>
      </c>
    </row>
    <row r="247">
      <c r="A247" s="74" t="inlineStr">
        <is>
          <t>[대명동]</t>
        </is>
      </c>
      <c r="B247" s="74" t="n">
        <v>115362</v>
      </c>
      <c r="C247" s="74" t="n">
        <v>1</v>
      </c>
      <c r="D247" s="74" t="inlineStr">
        <is>
          <t>현대메트로타워2차</t>
        </is>
      </c>
      <c r="E247" s="74" t="inlineStr">
        <is>
          <t>2016.04.</t>
        </is>
      </c>
      <c r="F247" s="74" t="n">
        <v>942</v>
      </c>
      <c r="G247" s="74" t="n">
        <v>34.89</v>
      </c>
      <c r="H247" s="74" t="n">
        <v>115.34</v>
      </c>
      <c r="I247" s="74" t="n">
        <v>25.69</v>
      </c>
      <c r="J247" s="74" t="n">
        <v>84.93000000000001</v>
      </c>
      <c r="K247" s="74" t="n">
        <v>318</v>
      </c>
      <c r="T247" s="74" t="n">
        <v>3</v>
      </c>
      <c r="U247" s="74" t="n">
        <v>2</v>
      </c>
      <c r="V247" s="74" t="inlineStr">
        <is>
          <t>계단식</t>
        </is>
      </c>
      <c r="W247" s="74" t="inlineStr">
        <is>
          <t>115C</t>
        </is>
      </c>
      <c r="X247" s="74" t="n">
        <v>40</v>
      </c>
      <c r="Y247" s="74" t="n">
        <v>30</v>
      </c>
      <c r="Z247" s="74" t="inlineStr">
        <is>
          <t>https://new.land.naver.com/complexes/115362?tab=detail&amp;rf=Y</t>
        </is>
      </c>
      <c r="AA247" s="74" t="inlineStr">
        <is>
          <t>전라북도 군산시 대명동 403</t>
        </is>
      </c>
      <c r="AB247" s="74" t="inlineStr">
        <is>
          <t>전라북도</t>
        </is>
      </c>
      <c r="AC247" s="74" t="inlineStr">
        <is>
          <t>군산시</t>
        </is>
      </c>
      <c r="AD247" s="74" t="inlineStr">
        <is>
          <t>대명동</t>
        </is>
      </c>
      <c r="AG247" s="74" t="inlineStr">
        <is>
          <t>전라북도 군산시 구암3.1로 30</t>
        </is>
      </c>
      <c r="AH247" s="74" t="n">
        <v>0</v>
      </c>
      <c r="AI247" s="74" t="n">
        <v>422</v>
      </c>
      <c r="AJ247" s="74" t="n">
        <v>71</v>
      </c>
      <c r="AK247" s="74" t="n">
        <v>1206</v>
      </c>
      <c r="AL247" s="74" t="n">
        <v>1.28</v>
      </c>
    </row>
    <row r="248">
      <c r="A248" s="74" t="inlineStr">
        <is>
          <t>[대명동]</t>
        </is>
      </c>
      <c r="B248" s="74" t="n">
        <v>115362</v>
      </c>
      <c r="C248" s="74" t="n">
        <v>2</v>
      </c>
      <c r="D248" s="74" t="inlineStr">
        <is>
          <t>현대메트로타워2차</t>
        </is>
      </c>
      <c r="E248" s="74" t="inlineStr">
        <is>
          <t>2016.04.</t>
        </is>
      </c>
      <c r="F248" s="74" t="n">
        <v>942</v>
      </c>
      <c r="G248" s="74" t="n">
        <v>34.94</v>
      </c>
      <c r="H248" s="74" t="n">
        <v>115.52</v>
      </c>
      <c r="I248" s="74" t="n">
        <v>25.7</v>
      </c>
      <c r="J248" s="74" t="n">
        <v>84.95999999999999</v>
      </c>
      <c r="K248" s="74" t="n">
        <v>316</v>
      </c>
      <c r="T248" s="74" t="n">
        <v>3</v>
      </c>
      <c r="U248" s="74" t="n">
        <v>2</v>
      </c>
      <c r="V248" s="74" t="inlineStr">
        <is>
          <t>계단식</t>
        </is>
      </c>
      <c r="W248" s="74" t="inlineStr">
        <is>
          <t>115B</t>
        </is>
      </c>
      <c r="X248" s="74" t="n">
        <v>40</v>
      </c>
      <c r="Y248" s="74" t="n">
        <v>30</v>
      </c>
      <c r="Z248" s="74" t="inlineStr">
        <is>
          <t>https://new.land.naver.com/complexes/115362?tab=detail&amp;rf=Y</t>
        </is>
      </c>
      <c r="AA248" s="74" t="inlineStr">
        <is>
          <t>전라북도 군산시 대명동 403</t>
        </is>
      </c>
      <c r="AB248" s="74" t="inlineStr">
        <is>
          <t>전라북도</t>
        </is>
      </c>
      <c r="AC248" s="74" t="inlineStr">
        <is>
          <t>군산시</t>
        </is>
      </c>
      <c r="AD248" s="74" t="inlineStr">
        <is>
          <t>대명동</t>
        </is>
      </c>
      <c r="AG248" s="74" t="inlineStr">
        <is>
          <t>전라북도 군산시 구암3.1로 30</t>
        </is>
      </c>
      <c r="AH248" s="74" t="n">
        <v>0</v>
      </c>
      <c r="AI248" s="74" t="n">
        <v>422</v>
      </c>
      <c r="AJ248" s="74" t="n">
        <v>71</v>
      </c>
      <c r="AK248" s="74" t="n">
        <v>1206</v>
      </c>
      <c r="AL248" s="74" t="n">
        <v>1.28</v>
      </c>
    </row>
    <row r="249">
      <c r="A249" s="74" t="inlineStr">
        <is>
          <t>[대명동]</t>
        </is>
      </c>
      <c r="B249" s="74" t="n">
        <v>115362</v>
      </c>
      <c r="C249" s="74" t="n">
        <v>3</v>
      </c>
      <c r="D249" s="74" t="inlineStr">
        <is>
          <t>현대메트로타워2차</t>
        </is>
      </c>
      <c r="E249" s="74" t="inlineStr">
        <is>
          <t>2016.04.</t>
        </is>
      </c>
      <c r="F249" s="74" t="n">
        <v>942</v>
      </c>
      <c r="G249" s="74" t="n">
        <v>34.87</v>
      </c>
      <c r="H249" s="74" t="n">
        <v>115.3</v>
      </c>
      <c r="I249" s="74" t="n">
        <v>25.7</v>
      </c>
      <c r="J249" s="74" t="n">
        <v>84.98</v>
      </c>
      <c r="K249" s="74" t="n">
        <v>308</v>
      </c>
      <c r="T249" s="74" t="n">
        <v>3</v>
      </c>
      <c r="U249" s="74" t="n">
        <v>2</v>
      </c>
      <c r="V249" s="74" t="inlineStr">
        <is>
          <t>계단식</t>
        </is>
      </c>
      <c r="W249" s="74" t="inlineStr">
        <is>
          <t>115A</t>
        </is>
      </c>
      <c r="X249" s="74" t="n">
        <v>40</v>
      </c>
      <c r="Y249" s="74" t="n">
        <v>30</v>
      </c>
      <c r="Z249" s="74" t="inlineStr">
        <is>
          <t>https://new.land.naver.com/complexes/115362?tab=detail&amp;rf=Y</t>
        </is>
      </c>
      <c r="AA249" s="74" t="inlineStr">
        <is>
          <t>전라북도 군산시 대명동 403</t>
        </is>
      </c>
      <c r="AB249" s="74" t="inlineStr">
        <is>
          <t>전라북도</t>
        </is>
      </c>
      <c r="AC249" s="74" t="inlineStr">
        <is>
          <t>군산시</t>
        </is>
      </c>
      <c r="AD249" s="74" t="inlineStr">
        <is>
          <t>대명동</t>
        </is>
      </c>
      <c r="AG249" s="74" t="inlineStr">
        <is>
          <t>전라북도 군산시 구암3.1로 30</t>
        </is>
      </c>
      <c r="AH249" s="74" t="n">
        <v>0</v>
      </c>
      <c r="AI249" s="74" t="n">
        <v>422</v>
      </c>
      <c r="AJ249" s="74" t="n">
        <v>71</v>
      </c>
      <c r="AK249" s="74" t="n">
        <v>1206</v>
      </c>
      <c r="AL249" s="74" t="n">
        <v>1.28</v>
      </c>
    </row>
    <row r="250">
      <c r="A250" s="74" t="inlineStr">
        <is>
          <t>[대명동]</t>
        </is>
      </c>
      <c r="B250" s="74" t="n">
        <v>103553</v>
      </c>
      <c r="C250" s="74" t="n">
        <v>1</v>
      </c>
      <c r="D250" s="74" t="inlineStr">
        <is>
          <t>현대메트로타워</t>
        </is>
      </c>
      <c r="E250" s="74" t="inlineStr">
        <is>
          <t>2011.10.</t>
        </is>
      </c>
      <c r="F250" s="74" t="n">
        <v>614</v>
      </c>
      <c r="G250" s="74" t="n">
        <v>32.89</v>
      </c>
      <c r="H250" s="74" t="n">
        <v>108.74</v>
      </c>
      <c r="I250" s="74" t="n">
        <v>23.06</v>
      </c>
      <c r="J250" s="74" t="n">
        <v>76.26000000000001</v>
      </c>
      <c r="K250" s="74" t="n">
        <v>248</v>
      </c>
      <c r="T250" s="74" t="n">
        <v>3</v>
      </c>
      <c r="U250" s="74" t="n">
        <v>2</v>
      </c>
      <c r="V250" s="74" t="inlineStr">
        <is>
          <t>계단식</t>
        </is>
      </c>
      <c r="W250" s="74" t="n">
        <v>108</v>
      </c>
      <c r="X250" s="74" t="n">
        <v>33</v>
      </c>
      <c r="Y250" s="74" t="n">
        <v>31</v>
      </c>
      <c r="Z250" s="74" t="inlineStr">
        <is>
          <t>https://new.land.naver.com/complexes/103553?tab=detail&amp;rf=Y</t>
        </is>
      </c>
      <c r="AA250" s="74" t="inlineStr">
        <is>
          <t>전라북도 군산시 대명동 385-60</t>
        </is>
      </c>
      <c r="AB250" s="74" t="inlineStr">
        <is>
          <t>전라북도</t>
        </is>
      </c>
      <c r="AC250" s="74" t="inlineStr">
        <is>
          <t>군산시</t>
        </is>
      </c>
      <c r="AD250" s="74" t="inlineStr">
        <is>
          <t>대명동</t>
        </is>
      </c>
      <c r="AG250" s="74" t="inlineStr">
        <is>
          <t>전라북도 군산시 대명길 3</t>
        </is>
      </c>
      <c r="AH250" s="74" t="n">
        <v>0</v>
      </c>
      <c r="AI250" s="74" t="n">
        <v>419</v>
      </c>
      <c r="AJ250" s="74" t="n">
        <v>70</v>
      </c>
      <c r="AK250" s="74" t="n">
        <v>770</v>
      </c>
      <c r="AL250" s="74" t="n">
        <v>1.25</v>
      </c>
    </row>
    <row r="251">
      <c r="A251" s="74" t="inlineStr">
        <is>
          <t>[대명동]</t>
        </is>
      </c>
      <c r="B251" s="74" t="n">
        <v>103553</v>
      </c>
      <c r="C251" s="74" t="n">
        <v>2</v>
      </c>
      <c r="D251" s="74" t="inlineStr">
        <is>
          <t>현대메트로타워</t>
        </is>
      </c>
      <c r="E251" s="74" t="inlineStr">
        <is>
          <t>2011.10.</t>
        </is>
      </c>
      <c r="F251" s="74" t="n">
        <v>614</v>
      </c>
      <c r="G251" s="74" t="n">
        <v>36.44</v>
      </c>
      <c r="H251" s="74" t="n">
        <v>120.47</v>
      </c>
      <c r="I251" s="74" t="n">
        <v>25.69</v>
      </c>
      <c r="J251" s="74" t="n">
        <v>84.93000000000001</v>
      </c>
      <c r="K251" s="74" t="n">
        <v>244</v>
      </c>
      <c r="T251" s="74" t="n">
        <v>3</v>
      </c>
      <c r="U251" s="74" t="n">
        <v>2</v>
      </c>
      <c r="V251" s="74" t="inlineStr">
        <is>
          <t>계단식</t>
        </is>
      </c>
      <c r="W251" s="74" t="n">
        <v>120</v>
      </c>
      <c r="X251" s="74" t="n">
        <v>33</v>
      </c>
      <c r="Y251" s="74" t="n">
        <v>31</v>
      </c>
      <c r="Z251" s="74" t="inlineStr">
        <is>
          <t>https://new.land.naver.com/complexes/103553?tab=detail&amp;rf=Y</t>
        </is>
      </c>
      <c r="AA251" s="74" t="inlineStr">
        <is>
          <t>전라북도 군산시 대명동 385-60</t>
        </is>
      </c>
      <c r="AB251" s="74" t="inlineStr">
        <is>
          <t>전라북도</t>
        </is>
      </c>
      <c r="AC251" s="74" t="inlineStr">
        <is>
          <t>군산시</t>
        </is>
      </c>
      <c r="AD251" s="74" t="inlineStr">
        <is>
          <t>대명동</t>
        </is>
      </c>
      <c r="AG251" s="74" t="inlineStr">
        <is>
          <t>전라북도 군산시 대명길 3</t>
        </is>
      </c>
      <c r="AH251" s="74" t="n">
        <v>0</v>
      </c>
      <c r="AI251" s="74" t="n">
        <v>419</v>
      </c>
      <c r="AJ251" s="74" t="n">
        <v>70</v>
      </c>
      <c r="AK251" s="74" t="n">
        <v>770</v>
      </c>
      <c r="AL251" s="74" t="n">
        <v>1.25</v>
      </c>
    </row>
    <row r="252">
      <c r="A252" s="74" t="inlineStr">
        <is>
          <t>[대명동]</t>
        </is>
      </c>
      <c r="B252" s="74" t="n">
        <v>103553</v>
      </c>
      <c r="C252" s="74" t="n">
        <v>3</v>
      </c>
      <c r="D252" s="74" t="inlineStr">
        <is>
          <t>현대메트로타워</t>
        </is>
      </c>
      <c r="E252" s="74" t="inlineStr">
        <is>
          <t>2011.10.</t>
        </is>
      </c>
      <c r="F252" s="74" t="n">
        <v>614</v>
      </c>
      <c r="G252" s="74" t="n">
        <v>36.51</v>
      </c>
      <c r="H252" s="74" t="n">
        <v>120.7</v>
      </c>
      <c r="I252" s="74" t="n">
        <v>25.69</v>
      </c>
      <c r="J252" s="74" t="n">
        <v>84.93000000000001</v>
      </c>
      <c r="K252" s="74" t="n">
        <v>122</v>
      </c>
      <c r="T252" s="74" t="n">
        <v>3</v>
      </c>
      <c r="U252" s="74" t="n">
        <v>2</v>
      </c>
      <c r="V252" s="74" t="inlineStr">
        <is>
          <t>계단식</t>
        </is>
      </c>
      <c r="W252" s="74" t="n">
        <v>120</v>
      </c>
      <c r="X252" s="74" t="n">
        <v>33</v>
      </c>
      <c r="Y252" s="74" t="n">
        <v>31</v>
      </c>
      <c r="Z252" s="74" t="inlineStr">
        <is>
          <t>https://new.land.naver.com/complexes/103553?tab=detail&amp;rf=Y</t>
        </is>
      </c>
      <c r="AA252" s="74" t="inlineStr">
        <is>
          <t>전라북도 군산시 대명동 385-60</t>
        </is>
      </c>
      <c r="AB252" s="74" t="inlineStr">
        <is>
          <t>전라북도</t>
        </is>
      </c>
      <c r="AC252" s="74" t="inlineStr">
        <is>
          <t>군산시</t>
        </is>
      </c>
      <c r="AD252" s="74" t="inlineStr">
        <is>
          <t>대명동</t>
        </is>
      </c>
      <c r="AG252" s="74" t="inlineStr">
        <is>
          <t>전라북도 군산시 대명길 3</t>
        </is>
      </c>
      <c r="AH252" s="74" t="n">
        <v>0</v>
      </c>
      <c r="AI252" s="74" t="n">
        <v>419</v>
      </c>
      <c r="AJ252" s="74" t="n">
        <v>70</v>
      </c>
      <c r="AK252" s="74" t="n">
        <v>770</v>
      </c>
      <c r="AL252" s="74" t="n">
        <v>1.25</v>
      </c>
    </row>
    <row r="253">
      <c r="A253" s="74" t="inlineStr">
        <is>
          <t>[대명동]</t>
        </is>
      </c>
      <c r="B253" s="74" t="n">
        <v>119697</v>
      </c>
      <c r="C253" s="74" t="n">
        <v>1</v>
      </c>
      <c r="D253" s="74" t="inlineStr">
        <is>
          <t>아이플러스시티(도시형)</t>
        </is>
      </c>
      <c r="E253" s="74" t="inlineStr">
        <is>
          <t>2012.09.</t>
        </is>
      </c>
      <c r="F253" s="74" t="n">
        <v>101</v>
      </c>
      <c r="G253" s="74" t="n">
        <v>9.92</v>
      </c>
      <c r="H253" s="74" t="n">
        <v>32.82</v>
      </c>
      <c r="I253" s="74" t="n">
        <v>8.07</v>
      </c>
      <c r="J253" s="74" t="n">
        <v>26.68</v>
      </c>
      <c r="K253" s="74" t="n">
        <v>1</v>
      </c>
      <c r="T253" s="74" t="n">
        <v>1</v>
      </c>
      <c r="U253" s="74" t="n">
        <v>1</v>
      </c>
      <c r="V253" s="74" t="inlineStr">
        <is>
          <t>계단식</t>
        </is>
      </c>
      <c r="W253" s="74" t="n">
        <v>32</v>
      </c>
      <c r="X253" s="74" t="n">
        <v>10</v>
      </c>
      <c r="Y253" s="74" t="n">
        <v>7</v>
      </c>
      <c r="Z253" s="74" t="inlineStr">
        <is>
          <t>https://new.land.naver.com/complexes/119697?tab=detail&amp;rf=Y</t>
        </is>
      </c>
      <c r="AA253" s="74" t="inlineStr">
        <is>
          <t>전라북도 군산시 대명동 384-87</t>
        </is>
      </c>
      <c r="AB253" s="74" t="inlineStr">
        <is>
          <t>전라북도</t>
        </is>
      </c>
      <c r="AC253" s="74" t="inlineStr">
        <is>
          <t>군산시</t>
        </is>
      </c>
      <c r="AD253" s="74" t="inlineStr">
        <is>
          <t>대명동</t>
        </is>
      </c>
      <c r="AG253" s="74" t="inlineStr">
        <is>
          <t>전라북도 군산시 동팔마길 32</t>
        </is>
      </c>
      <c r="AH253" s="74" t="n">
        <v>0</v>
      </c>
      <c r="AI253" s="74" t="n">
        <v>0</v>
      </c>
      <c r="AJ253" s="74" t="n">
        <v>0</v>
      </c>
      <c r="AK253" s="74" t="n">
        <v>52</v>
      </c>
      <c r="AL253" s="74" t="n">
        <v>0.51</v>
      </c>
    </row>
    <row r="254">
      <c r="A254" s="74" t="inlineStr">
        <is>
          <t>[대명동]</t>
        </is>
      </c>
      <c r="B254" s="74" t="n">
        <v>119697</v>
      </c>
      <c r="C254" s="74" t="n">
        <v>2</v>
      </c>
      <c r="D254" s="74" t="inlineStr">
        <is>
          <t>아이플러스시티(도시형)</t>
        </is>
      </c>
      <c r="E254" s="74" t="inlineStr">
        <is>
          <t>2012.09.</t>
        </is>
      </c>
      <c r="F254" s="74" t="n">
        <v>101</v>
      </c>
      <c r="G254" s="74" t="n">
        <v>18.32</v>
      </c>
      <c r="H254" s="74" t="n">
        <v>60.58</v>
      </c>
      <c r="I254" s="74" t="n">
        <v>14.89</v>
      </c>
      <c r="J254" s="74" t="n">
        <v>49.24</v>
      </c>
      <c r="K254" s="74" t="n">
        <v>1</v>
      </c>
      <c r="T254" s="74" t="n">
        <v>1</v>
      </c>
      <c r="U254" s="74" t="n">
        <v>1</v>
      </c>
      <c r="V254" s="74" t="inlineStr">
        <is>
          <t>계단식</t>
        </is>
      </c>
      <c r="W254" s="74" t="n">
        <v>60</v>
      </c>
      <c r="X254" s="74" t="n">
        <v>10</v>
      </c>
      <c r="Y254" s="74" t="n">
        <v>7</v>
      </c>
      <c r="Z254" s="74" t="inlineStr">
        <is>
          <t>https://new.land.naver.com/complexes/119697?tab=detail&amp;rf=Y</t>
        </is>
      </c>
      <c r="AA254" s="74" t="inlineStr">
        <is>
          <t>전라북도 군산시 대명동 384-87</t>
        </is>
      </c>
      <c r="AB254" s="74" t="inlineStr">
        <is>
          <t>전라북도</t>
        </is>
      </c>
      <c r="AC254" s="74" t="inlineStr">
        <is>
          <t>군산시</t>
        </is>
      </c>
      <c r="AD254" s="74" t="inlineStr">
        <is>
          <t>대명동</t>
        </is>
      </c>
      <c r="AG254" s="74" t="inlineStr">
        <is>
          <t>전라북도 군산시 동팔마길 32</t>
        </is>
      </c>
      <c r="AH254" s="74" t="n">
        <v>0</v>
      </c>
      <c r="AI254" s="74" t="n">
        <v>0</v>
      </c>
      <c r="AJ254" s="74" t="n">
        <v>0</v>
      </c>
      <c r="AK254" s="74" t="n">
        <v>52</v>
      </c>
      <c r="AL254" s="74" t="n">
        <v>0.51</v>
      </c>
    </row>
    <row r="255">
      <c r="A255" s="74" t="inlineStr">
        <is>
          <t>[대명동]</t>
        </is>
      </c>
      <c r="B255" s="74" t="n">
        <v>119697</v>
      </c>
      <c r="C255" s="74" t="n">
        <v>3</v>
      </c>
      <c r="D255" s="74" t="inlineStr">
        <is>
          <t>아이플러스시티(도시형)</t>
        </is>
      </c>
      <c r="E255" s="74" t="inlineStr">
        <is>
          <t>2012.09.</t>
        </is>
      </c>
      <c r="F255" s="74" t="n">
        <v>101</v>
      </c>
      <c r="G255" s="74" t="n">
        <v>18.74</v>
      </c>
      <c r="H255" s="74" t="n">
        <v>61.97</v>
      </c>
      <c r="I255" s="74" t="n">
        <v>15.06</v>
      </c>
      <c r="J255" s="74" t="n">
        <v>49.8</v>
      </c>
      <c r="K255" s="74" t="n">
        <v>9</v>
      </c>
      <c r="T255" s="74" t="n">
        <v>1</v>
      </c>
      <c r="U255" s="74" t="n">
        <v>1</v>
      </c>
      <c r="V255" s="74" t="inlineStr">
        <is>
          <t>계단식</t>
        </is>
      </c>
      <c r="W255" s="74" t="inlineStr">
        <is>
          <t>61C</t>
        </is>
      </c>
      <c r="X255" s="74" t="n">
        <v>10</v>
      </c>
      <c r="Y255" s="74" t="n">
        <v>7</v>
      </c>
      <c r="Z255" s="74" t="inlineStr">
        <is>
          <t>https://new.land.naver.com/complexes/119697?tab=detail&amp;rf=Y</t>
        </is>
      </c>
      <c r="AA255" s="74" t="inlineStr">
        <is>
          <t>전라북도 군산시 대명동 384-87</t>
        </is>
      </c>
      <c r="AB255" s="74" t="inlineStr">
        <is>
          <t>전라북도</t>
        </is>
      </c>
      <c r="AC255" s="74" t="inlineStr">
        <is>
          <t>군산시</t>
        </is>
      </c>
      <c r="AD255" s="74" t="inlineStr">
        <is>
          <t>대명동</t>
        </is>
      </c>
      <c r="AG255" s="74" t="inlineStr">
        <is>
          <t>전라북도 군산시 동팔마길 32</t>
        </is>
      </c>
      <c r="AH255" s="74" t="n">
        <v>0</v>
      </c>
      <c r="AI255" s="74" t="n">
        <v>0</v>
      </c>
      <c r="AJ255" s="74" t="n">
        <v>0</v>
      </c>
      <c r="AK255" s="74" t="n">
        <v>52</v>
      </c>
      <c r="AL255" s="74" t="n">
        <v>0.51</v>
      </c>
    </row>
    <row r="256">
      <c r="A256" s="74" t="inlineStr">
        <is>
          <t>[대명동]</t>
        </is>
      </c>
      <c r="B256" s="74" t="n">
        <v>119697</v>
      </c>
      <c r="C256" s="74" t="n">
        <v>4</v>
      </c>
      <c r="D256" s="74" t="inlineStr">
        <is>
          <t>아이플러스시티(도시형)</t>
        </is>
      </c>
      <c r="E256" s="74" t="inlineStr">
        <is>
          <t>2012.09.</t>
        </is>
      </c>
      <c r="F256" s="74" t="n">
        <v>101</v>
      </c>
      <c r="G256" s="74" t="n">
        <v>18.57</v>
      </c>
      <c r="H256" s="74" t="n">
        <v>61.39</v>
      </c>
      <c r="I256" s="74" t="n">
        <v>15.09</v>
      </c>
      <c r="J256" s="74" t="n">
        <v>49.9</v>
      </c>
      <c r="K256" s="74" t="n">
        <v>7</v>
      </c>
      <c r="T256" s="74" t="n">
        <v>3</v>
      </c>
      <c r="U256" s="74" t="n">
        <v>1</v>
      </c>
      <c r="V256" s="74" t="inlineStr">
        <is>
          <t>계단식</t>
        </is>
      </c>
      <c r="W256" s="74" t="inlineStr">
        <is>
          <t>61I</t>
        </is>
      </c>
      <c r="X256" s="74" t="n">
        <v>10</v>
      </c>
      <c r="Y256" s="74" t="n">
        <v>7</v>
      </c>
      <c r="Z256" s="74" t="inlineStr">
        <is>
          <t>https://new.land.naver.com/complexes/119697?tab=detail&amp;rf=Y</t>
        </is>
      </c>
      <c r="AA256" s="74" t="inlineStr">
        <is>
          <t>전라북도 군산시 대명동 384-87</t>
        </is>
      </c>
      <c r="AB256" s="74" t="inlineStr">
        <is>
          <t>전라북도</t>
        </is>
      </c>
      <c r="AC256" s="74" t="inlineStr">
        <is>
          <t>군산시</t>
        </is>
      </c>
      <c r="AD256" s="74" t="inlineStr">
        <is>
          <t>대명동</t>
        </is>
      </c>
      <c r="AG256" s="74" t="inlineStr">
        <is>
          <t>전라북도 군산시 동팔마길 32</t>
        </is>
      </c>
      <c r="AH256" s="74" t="n">
        <v>0</v>
      </c>
      <c r="AI256" s="74" t="n">
        <v>0</v>
      </c>
      <c r="AJ256" s="74" t="n">
        <v>0</v>
      </c>
      <c r="AK256" s="74" t="n">
        <v>52</v>
      </c>
      <c r="AL256" s="74" t="n">
        <v>0.51</v>
      </c>
    </row>
    <row r="257">
      <c r="A257" s="74" t="inlineStr">
        <is>
          <t>[대명동]</t>
        </is>
      </c>
      <c r="B257" s="74" t="n">
        <v>119697</v>
      </c>
      <c r="C257" s="74" t="n">
        <v>5</v>
      </c>
      <c r="D257" s="74" t="inlineStr">
        <is>
          <t>아이플러스시티(도시형)</t>
        </is>
      </c>
      <c r="E257" s="74" t="inlineStr">
        <is>
          <t>2012.09.</t>
        </is>
      </c>
      <c r="F257" s="74" t="n">
        <v>101</v>
      </c>
      <c r="G257" s="74" t="n">
        <v>18.55</v>
      </c>
      <c r="H257" s="74" t="n">
        <v>61.33</v>
      </c>
      <c r="I257" s="74" t="n">
        <v>15.07</v>
      </c>
      <c r="J257" s="74" t="n">
        <v>49.85</v>
      </c>
      <c r="K257" s="74" t="n">
        <v>6</v>
      </c>
      <c r="T257" s="74" t="n">
        <v>3</v>
      </c>
      <c r="U257" s="74" t="n">
        <v>1</v>
      </c>
      <c r="V257" s="74" t="inlineStr">
        <is>
          <t>계단식</t>
        </is>
      </c>
      <c r="W257" s="74" t="inlineStr">
        <is>
          <t>61E</t>
        </is>
      </c>
      <c r="X257" s="74" t="n">
        <v>10</v>
      </c>
      <c r="Y257" s="74" t="n">
        <v>7</v>
      </c>
      <c r="Z257" s="74" t="inlineStr">
        <is>
          <t>https://new.land.naver.com/complexes/119697?tab=detail&amp;rf=Y</t>
        </is>
      </c>
      <c r="AA257" s="74" t="inlineStr">
        <is>
          <t>전라북도 군산시 대명동 384-87</t>
        </is>
      </c>
      <c r="AB257" s="74" t="inlineStr">
        <is>
          <t>전라북도</t>
        </is>
      </c>
      <c r="AC257" s="74" t="inlineStr">
        <is>
          <t>군산시</t>
        </is>
      </c>
      <c r="AD257" s="74" t="inlineStr">
        <is>
          <t>대명동</t>
        </is>
      </c>
      <c r="AG257" s="74" t="inlineStr">
        <is>
          <t>전라북도 군산시 동팔마길 32</t>
        </is>
      </c>
      <c r="AH257" s="74" t="n">
        <v>0</v>
      </c>
      <c r="AI257" s="74" t="n">
        <v>0</v>
      </c>
      <c r="AJ257" s="74" t="n">
        <v>0</v>
      </c>
      <c r="AK257" s="74" t="n">
        <v>52</v>
      </c>
      <c r="AL257" s="74" t="n">
        <v>0.51</v>
      </c>
    </row>
    <row r="258">
      <c r="A258" s="74" t="inlineStr">
        <is>
          <t>[대명동]</t>
        </is>
      </c>
      <c r="B258" s="74" t="n">
        <v>119697</v>
      </c>
      <c r="C258" s="74" t="n">
        <v>6</v>
      </c>
      <c r="D258" s="74" t="inlineStr">
        <is>
          <t>아이플러스시티(도시형)</t>
        </is>
      </c>
      <c r="E258" s="74" t="inlineStr">
        <is>
          <t>2012.09.</t>
        </is>
      </c>
      <c r="F258" s="74" t="n">
        <v>101</v>
      </c>
      <c r="G258" s="74" t="n">
        <v>18.59</v>
      </c>
      <c r="H258" s="74" t="n">
        <v>61.48</v>
      </c>
      <c r="I258" s="74" t="n">
        <v>15.11</v>
      </c>
      <c r="J258" s="74" t="n">
        <v>49.97</v>
      </c>
      <c r="K258" s="74" t="n">
        <v>6</v>
      </c>
      <c r="T258" s="74" t="n">
        <v>3</v>
      </c>
      <c r="U258" s="74" t="n">
        <v>1</v>
      </c>
      <c r="V258" s="74" t="inlineStr">
        <is>
          <t>계단식</t>
        </is>
      </c>
      <c r="W258" s="74" t="inlineStr">
        <is>
          <t>61M</t>
        </is>
      </c>
      <c r="X258" s="74" t="n">
        <v>10</v>
      </c>
      <c r="Y258" s="74" t="n">
        <v>7</v>
      </c>
      <c r="Z258" s="74" t="inlineStr">
        <is>
          <t>https://new.land.naver.com/complexes/119697?tab=detail&amp;rf=Y</t>
        </is>
      </c>
      <c r="AA258" s="74" t="inlineStr">
        <is>
          <t>전라북도 군산시 대명동 384-87</t>
        </is>
      </c>
      <c r="AB258" s="74" t="inlineStr">
        <is>
          <t>전라북도</t>
        </is>
      </c>
      <c r="AC258" s="74" t="inlineStr">
        <is>
          <t>군산시</t>
        </is>
      </c>
      <c r="AD258" s="74" t="inlineStr">
        <is>
          <t>대명동</t>
        </is>
      </c>
      <c r="AG258" s="74" t="inlineStr">
        <is>
          <t>전라북도 군산시 동팔마길 32</t>
        </is>
      </c>
      <c r="AH258" s="74" t="n">
        <v>0</v>
      </c>
      <c r="AI258" s="74" t="n">
        <v>0</v>
      </c>
      <c r="AJ258" s="74" t="n">
        <v>0</v>
      </c>
      <c r="AK258" s="74" t="n">
        <v>52</v>
      </c>
      <c r="AL258" s="74" t="n">
        <v>0.51</v>
      </c>
    </row>
    <row r="259">
      <c r="A259" s="74" t="inlineStr">
        <is>
          <t>[대명동]</t>
        </is>
      </c>
      <c r="B259" s="74" t="n">
        <v>119697</v>
      </c>
      <c r="C259" s="74" t="n">
        <v>7</v>
      </c>
      <c r="D259" s="74" t="inlineStr">
        <is>
          <t>아이플러스시티(도시형)</t>
        </is>
      </c>
      <c r="E259" s="74" t="inlineStr">
        <is>
          <t>2012.09.</t>
        </is>
      </c>
      <c r="F259" s="74" t="n">
        <v>101</v>
      </c>
      <c r="G259" s="74" t="n">
        <v>18.57</v>
      </c>
      <c r="H259" s="74" t="n">
        <v>61.42</v>
      </c>
      <c r="I259" s="74" t="n">
        <v>15.1</v>
      </c>
      <c r="J259" s="74" t="n">
        <v>49.92</v>
      </c>
      <c r="K259" s="74" t="n">
        <v>2</v>
      </c>
      <c r="T259" s="74" t="n">
        <v>3</v>
      </c>
      <c r="U259" s="74" t="n">
        <v>1</v>
      </c>
      <c r="V259" s="74" t="inlineStr">
        <is>
          <t>계단식</t>
        </is>
      </c>
      <c r="W259" s="74" t="inlineStr">
        <is>
          <t>61J</t>
        </is>
      </c>
      <c r="X259" s="74" t="n">
        <v>10</v>
      </c>
      <c r="Y259" s="74" t="n">
        <v>7</v>
      </c>
      <c r="Z259" s="74" t="inlineStr">
        <is>
          <t>https://new.land.naver.com/complexes/119697?tab=detail&amp;rf=Y</t>
        </is>
      </c>
      <c r="AA259" s="74" t="inlineStr">
        <is>
          <t>전라북도 군산시 대명동 384-87</t>
        </is>
      </c>
      <c r="AB259" s="74" t="inlineStr">
        <is>
          <t>전라북도</t>
        </is>
      </c>
      <c r="AC259" s="74" t="inlineStr">
        <is>
          <t>군산시</t>
        </is>
      </c>
      <c r="AD259" s="74" t="inlineStr">
        <is>
          <t>대명동</t>
        </is>
      </c>
      <c r="AG259" s="74" t="inlineStr">
        <is>
          <t>전라북도 군산시 동팔마길 32</t>
        </is>
      </c>
      <c r="AH259" s="74" t="n">
        <v>0</v>
      </c>
      <c r="AI259" s="74" t="n">
        <v>0</v>
      </c>
      <c r="AJ259" s="74" t="n">
        <v>0</v>
      </c>
      <c r="AK259" s="74" t="n">
        <v>52</v>
      </c>
      <c r="AL259" s="74" t="n">
        <v>0.51</v>
      </c>
    </row>
    <row r="260">
      <c r="A260" s="74" t="inlineStr">
        <is>
          <t>[대명동]</t>
        </is>
      </c>
      <c r="B260" s="74" t="n">
        <v>119697</v>
      </c>
      <c r="C260" s="74" t="n">
        <v>8</v>
      </c>
      <c r="D260" s="74" t="inlineStr">
        <is>
          <t>아이플러스시티(도시형)</t>
        </is>
      </c>
      <c r="E260" s="74" t="inlineStr">
        <is>
          <t>2012.09.</t>
        </is>
      </c>
      <c r="F260" s="74" t="n">
        <v>101</v>
      </c>
      <c r="G260" s="74" t="n">
        <v>18.58</v>
      </c>
      <c r="H260" s="74" t="n">
        <v>61.43</v>
      </c>
      <c r="I260" s="74" t="n">
        <v>15.1</v>
      </c>
      <c r="J260" s="74" t="n">
        <v>49.93</v>
      </c>
      <c r="K260" s="74" t="n">
        <v>1</v>
      </c>
      <c r="T260" s="74" t="n">
        <v>3</v>
      </c>
      <c r="U260" s="74" t="n">
        <v>1</v>
      </c>
      <c r="V260" s="74" t="inlineStr">
        <is>
          <t>계단식</t>
        </is>
      </c>
      <c r="W260" s="74" t="inlineStr">
        <is>
          <t>61K</t>
        </is>
      </c>
      <c r="X260" s="74" t="n">
        <v>10</v>
      </c>
      <c r="Y260" s="74" t="n">
        <v>7</v>
      </c>
      <c r="Z260" s="74" t="inlineStr">
        <is>
          <t>https://new.land.naver.com/complexes/119697?tab=detail&amp;rf=Y</t>
        </is>
      </c>
      <c r="AA260" s="74" t="inlineStr">
        <is>
          <t>전라북도 군산시 대명동 384-87</t>
        </is>
      </c>
      <c r="AB260" s="74" t="inlineStr">
        <is>
          <t>전라북도</t>
        </is>
      </c>
      <c r="AC260" s="74" t="inlineStr">
        <is>
          <t>군산시</t>
        </is>
      </c>
      <c r="AD260" s="74" t="inlineStr">
        <is>
          <t>대명동</t>
        </is>
      </c>
      <c r="AG260" s="74" t="inlineStr">
        <is>
          <t>전라북도 군산시 동팔마길 32</t>
        </is>
      </c>
      <c r="AH260" s="74" t="n">
        <v>0</v>
      </c>
      <c r="AI260" s="74" t="n">
        <v>0</v>
      </c>
      <c r="AJ260" s="74" t="n">
        <v>0</v>
      </c>
      <c r="AK260" s="74" t="n">
        <v>52</v>
      </c>
      <c r="AL260" s="74" t="n">
        <v>0.51</v>
      </c>
    </row>
    <row r="261">
      <c r="A261" s="74" t="inlineStr">
        <is>
          <t>[대명동]</t>
        </is>
      </c>
      <c r="B261" s="74" t="n">
        <v>119697</v>
      </c>
      <c r="C261" s="74" t="n">
        <v>9</v>
      </c>
      <c r="D261" s="74" t="inlineStr">
        <is>
          <t>아이플러스시티(도시형)</t>
        </is>
      </c>
      <c r="E261" s="74" t="inlineStr">
        <is>
          <t>2012.09.</t>
        </is>
      </c>
      <c r="F261" s="74" t="n">
        <v>101</v>
      </c>
      <c r="G261" s="74" t="n">
        <v>18.77</v>
      </c>
      <c r="H261" s="74" t="n">
        <v>62.08</v>
      </c>
      <c r="I261" s="74" t="n">
        <v>15.08</v>
      </c>
      <c r="J261" s="74" t="n">
        <v>49.88</v>
      </c>
      <c r="K261" s="74" t="n">
        <v>9</v>
      </c>
      <c r="T261" s="74" t="n">
        <v>3</v>
      </c>
      <c r="U261" s="74" t="n">
        <v>1</v>
      </c>
      <c r="V261" s="74" t="inlineStr">
        <is>
          <t>계단식</t>
        </is>
      </c>
      <c r="W261" s="74" t="inlineStr">
        <is>
          <t>62H</t>
        </is>
      </c>
      <c r="X261" s="74" t="n">
        <v>10</v>
      </c>
      <c r="Y261" s="74" t="n">
        <v>7</v>
      </c>
      <c r="Z261" s="74" t="inlineStr">
        <is>
          <t>https://new.land.naver.com/complexes/119697?tab=detail&amp;rf=Y</t>
        </is>
      </c>
      <c r="AA261" s="74" t="inlineStr">
        <is>
          <t>전라북도 군산시 대명동 384-87</t>
        </is>
      </c>
      <c r="AB261" s="74" t="inlineStr">
        <is>
          <t>전라북도</t>
        </is>
      </c>
      <c r="AC261" s="74" t="inlineStr">
        <is>
          <t>군산시</t>
        </is>
      </c>
      <c r="AD261" s="74" t="inlineStr">
        <is>
          <t>대명동</t>
        </is>
      </c>
      <c r="AG261" s="74" t="inlineStr">
        <is>
          <t>전라북도 군산시 동팔마길 32</t>
        </is>
      </c>
      <c r="AH261" s="74" t="n">
        <v>0</v>
      </c>
      <c r="AI261" s="74" t="n">
        <v>0</v>
      </c>
      <c r="AJ261" s="74" t="n">
        <v>0</v>
      </c>
      <c r="AK261" s="74" t="n">
        <v>52</v>
      </c>
      <c r="AL261" s="74" t="n">
        <v>0.51</v>
      </c>
    </row>
    <row r="262">
      <c r="A262" s="74" t="inlineStr">
        <is>
          <t>[대명동]</t>
        </is>
      </c>
      <c r="B262" s="74" t="n">
        <v>119697</v>
      </c>
      <c r="C262" s="74" t="n">
        <v>10</v>
      </c>
      <c r="D262" s="74" t="inlineStr">
        <is>
          <t>아이플러스시티(도시형)</t>
        </is>
      </c>
      <c r="E262" s="74" t="inlineStr">
        <is>
          <t>2012.09.</t>
        </is>
      </c>
      <c r="F262" s="74" t="n">
        <v>101</v>
      </c>
      <c r="G262" s="74" t="n">
        <v>18.8</v>
      </c>
      <c r="H262" s="74" t="n">
        <v>62.16</v>
      </c>
      <c r="I262" s="74" t="n">
        <v>15.1</v>
      </c>
      <c r="J262" s="74" t="n">
        <v>49.95</v>
      </c>
      <c r="K262" s="74" t="n">
        <v>8</v>
      </c>
      <c r="T262" s="74" t="n">
        <v>3</v>
      </c>
      <c r="U262" s="74" t="n">
        <v>1</v>
      </c>
      <c r="V262" s="74" t="inlineStr">
        <is>
          <t>계단식</t>
        </is>
      </c>
      <c r="W262" s="74" t="inlineStr">
        <is>
          <t>62L</t>
        </is>
      </c>
      <c r="X262" s="74" t="n">
        <v>10</v>
      </c>
      <c r="Y262" s="74" t="n">
        <v>7</v>
      </c>
      <c r="Z262" s="74" t="inlineStr">
        <is>
          <t>https://new.land.naver.com/complexes/119697?tab=detail&amp;rf=Y</t>
        </is>
      </c>
      <c r="AA262" s="74" t="inlineStr">
        <is>
          <t>전라북도 군산시 대명동 384-87</t>
        </is>
      </c>
      <c r="AB262" s="74" t="inlineStr">
        <is>
          <t>전라북도</t>
        </is>
      </c>
      <c r="AC262" s="74" t="inlineStr">
        <is>
          <t>군산시</t>
        </is>
      </c>
      <c r="AD262" s="74" t="inlineStr">
        <is>
          <t>대명동</t>
        </is>
      </c>
      <c r="AG262" s="74" t="inlineStr">
        <is>
          <t>전라북도 군산시 동팔마길 32</t>
        </is>
      </c>
      <c r="AH262" s="74" t="n">
        <v>0</v>
      </c>
      <c r="AI262" s="74" t="n">
        <v>0</v>
      </c>
      <c r="AJ262" s="74" t="n">
        <v>0</v>
      </c>
      <c r="AK262" s="74" t="n">
        <v>52</v>
      </c>
      <c r="AL262" s="74" t="n">
        <v>0.51</v>
      </c>
    </row>
    <row r="263">
      <c r="A263" s="74" t="inlineStr">
        <is>
          <t>[대명동]</t>
        </is>
      </c>
      <c r="B263" s="74" t="n">
        <v>119697</v>
      </c>
      <c r="C263" s="74" t="n">
        <v>11</v>
      </c>
      <c r="D263" s="74" t="inlineStr">
        <is>
          <t>아이플러스시티(도시형)</t>
        </is>
      </c>
      <c r="E263" s="74" t="inlineStr">
        <is>
          <t>2012.09.</t>
        </is>
      </c>
      <c r="F263" s="74" t="n">
        <v>101</v>
      </c>
      <c r="G263" s="74" t="n">
        <v>18.98</v>
      </c>
      <c r="H263" s="74" t="n">
        <v>62.75</v>
      </c>
      <c r="I263" s="74" t="n">
        <v>14.06</v>
      </c>
      <c r="J263" s="74" t="n">
        <v>46.5</v>
      </c>
      <c r="K263" s="74" t="n">
        <v>1</v>
      </c>
      <c r="T263" s="74" t="n">
        <v>3</v>
      </c>
      <c r="U263" s="74" t="n">
        <v>1</v>
      </c>
      <c r="V263" s="74" t="inlineStr">
        <is>
          <t>계단식</t>
        </is>
      </c>
      <c r="W263" s="74" t="inlineStr">
        <is>
          <t>62D</t>
        </is>
      </c>
      <c r="X263" s="74" t="n">
        <v>10</v>
      </c>
      <c r="Y263" s="74" t="n">
        <v>7</v>
      </c>
      <c r="Z263" s="74" t="inlineStr">
        <is>
          <t>https://new.land.naver.com/complexes/119697?tab=detail&amp;rf=Y</t>
        </is>
      </c>
      <c r="AA263" s="74" t="inlineStr">
        <is>
          <t>전라북도 군산시 대명동 384-87</t>
        </is>
      </c>
      <c r="AB263" s="74" t="inlineStr">
        <is>
          <t>전라북도</t>
        </is>
      </c>
      <c r="AC263" s="74" t="inlineStr">
        <is>
          <t>군산시</t>
        </is>
      </c>
      <c r="AD263" s="74" t="inlineStr">
        <is>
          <t>대명동</t>
        </is>
      </c>
      <c r="AG263" s="74" t="inlineStr">
        <is>
          <t>전라북도 군산시 동팔마길 32</t>
        </is>
      </c>
      <c r="AH263" s="74" t="n">
        <v>0</v>
      </c>
      <c r="AI263" s="74" t="n">
        <v>0</v>
      </c>
      <c r="AJ263" s="74" t="n">
        <v>0</v>
      </c>
      <c r="AK263" s="74" t="n">
        <v>52</v>
      </c>
      <c r="AL263" s="74" t="n">
        <v>0.51</v>
      </c>
    </row>
    <row r="264">
      <c r="A264" s="74" t="inlineStr">
        <is>
          <t>[대명동]</t>
        </is>
      </c>
      <c r="B264" s="74" t="n">
        <v>119697</v>
      </c>
      <c r="C264" s="74" t="n">
        <v>12</v>
      </c>
      <c r="D264" s="74" t="inlineStr">
        <is>
          <t>아이플러스시티(도시형)</t>
        </is>
      </c>
      <c r="E264" s="74" t="inlineStr">
        <is>
          <t>2012.09.</t>
        </is>
      </c>
      <c r="F264" s="74" t="n">
        <v>101</v>
      </c>
      <c r="G264" s="74" t="n">
        <v>19.25</v>
      </c>
      <c r="H264" s="74" t="n">
        <v>63.64</v>
      </c>
      <c r="I264" s="74" t="n">
        <v>15.04</v>
      </c>
      <c r="J264" s="74" t="n">
        <v>49.74</v>
      </c>
      <c r="K264" s="74" t="n">
        <v>9</v>
      </c>
      <c r="T264" s="74" t="n">
        <v>1</v>
      </c>
      <c r="U264" s="74" t="n">
        <v>1</v>
      </c>
      <c r="V264" s="74" t="inlineStr">
        <is>
          <t>계단식</t>
        </is>
      </c>
      <c r="W264" s="74" t="inlineStr">
        <is>
          <t>63B</t>
        </is>
      </c>
      <c r="X264" s="74" t="n">
        <v>10</v>
      </c>
      <c r="Y264" s="74" t="n">
        <v>7</v>
      </c>
      <c r="Z264" s="74" t="inlineStr">
        <is>
          <t>https://new.land.naver.com/complexes/119697?tab=detail&amp;rf=Y</t>
        </is>
      </c>
      <c r="AA264" s="74" t="inlineStr">
        <is>
          <t>전라북도 군산시 대명동 384-87</t>
        </is>
      </c>
      <c r="AB264" s="74" t="inlineStr">
        <is>
          <t>전라북도</t>
        </is>
      </c>
      <c r="AC264" s="74" t="inlineStr">
        <is>
          <t>군산시</t>
        </is>
      </c>
      <c r="AD264" s="74" t="inlineStr">
        <is>
          <t>대명동</t>
        </is>
      </c>
      <c r="AG264" s="74" t="inlineStr">
        <is>
          <t>전라북도 군산시 동팔마길 32</t>
        </is>
      </c>
      <c r="AH264" s="74" t="n">
        <v>0</v>
      </c>
      <c r="AI264" s="74" t="n">
        <v>0</v>
      </c>
      <c r="AJ264" s="74" t="n">
        <v>0</v>
      </c>
      <c r="AK264" s="74" t="n">
        <v>52</v>
      </c>
      <c r="AL264" s="74" t="n">
        <v>0.51</v>
      </c>
    </row>
    <row r="265">
      <c r="A265" s="74" t="inlineStr">
        <is>
          <t>[대명동]</t>
        </is>
      </c>
      <c r="B265" s="74" t="n">
        <v>119697</v>
      </c>
      <c r="C265" s="74" t="n">
        <v>13</v>
      </c>
      <c r="D265" s="74" t="inlineStr">
        <is>
          <t>아이플러스시티(도시형)</t>
        </is>
      </c>
      <c r="E265" s="74" t="inlineStr">
        <is>
          <t>2012.09.</t>
        </is>
      </c>
      <c r="F265" s="74" t="n">
        <v>101</v>
      </c>
      <c r="G265" s="74" t="n">
        <v>19.29</v>
      </c>
      <c r="H265" s="74" t="n">
        <v>63.78</v>
      </c>
      <c r="I265" s="74" t="n">
        <v>15.07</v>
      </c>
      <c r="J265" s="74" t="n">
        <v>49.85</v>
      </c>
      <c r="K265" s="74" t="n">
        <v>9</v>
      </c>
      <c r="T265" s="74" t="n">
        <v>3</v>
      </c>
      <c r="U265" s="74" t="n">
        <v>1</v>
      </c>
      <c r="V265" s="74" t="inlineStr">
        <is>
          <t>계단식</t>
        </is>
      </c>
      <c r="W265" s="74" t="inlineStr">
        <is>
          <t>63F</t>
        </is>
      </c>
      <c r="X265" s="74" t="n">
        <v>10</v>
      </c>
      <c r="Y265" s="74" t="n">
        <v>7</v>
      </c>
      <c r="Z265" s="74" t="inlineStr">
        <is>
          <t>https://new.land.naver.com/complexes/119697?tab=detail&amp;rf=Y</t>
        </is>
      </c>
      <c r="AA265" s="74" t="inlineStr">
        <is>
          <t>전라북도 군산시 대명동 384-87</t>
        </is>
      </c>
      <c r="AB265" s="74" t="inlineStr">
        <is>
          <t>전라북도</t>
        </is>
      </c>
      <c r="AC265" s="74" t="inlineStr">
        <is>
          <t>군산시</t>
        </is>
      </c>
      <c r="AD265" s="74" t="inlineStr">
        <is>
          <t>대명동</t>
        </is>
      </c>
      <c r="AG265" s="74" t="inlineStr">
        <is>
          <t>전라북도 군산시 동팔마길 32</t>
        </is>
      </c>
      <c r="AH265" s="74" t="n">
        <v>0</v>
      </c>
      <c r="AI265" s="74" t="n">
        <v>0</v>
      </c>
      <c r="AJ265" s="74" t="n">
        <v>0</v>
      </c>
      <c r="AK265" s="74" t="n">
        <v>52</v>
      </c>
      <c r="AL265" s="74" t="n">
        <v>0.51</v>
      </c>
    </row>
    <row r="266">
      <c r="A266" s="74" t="inlineStr">
        <is>
          <t>[대명동]</t>
        </is>
      </c>
      <c r="B266" s="74" t="n">
        <v>119697</v>
      </c>
      <c r="C266" s="74" t="n">
        <v>14</v>
      </c>
      <c r="D266" s="74" t="inlineStr">
        <is>
          <t>아이플러스시티(도시형)</t>
        </is>
      </c>
      <c r="E266" s="74" t="inlineStr">
        <is>
          <t>2012.09.</t>
        </is>
      </c>
      <c r="F266" s="74" t="n">
        <v>101</v>
      </c>
      <c r="G266" s="74" t="n">
        <v>19.3</v>
      </c>
      <c r="H266" s="74" t="n">
        <v>63.82</v>
      </c>
      <c r="I266" s="74" t="n">
        <v>15.08</v>
      </c>
      <c r="J266" s="74" t="n">
        <v>49.88</v>
      </c>
      <c r="K266" s="74" t="n">
        <v>9</v>
      </c>
      <c r="T266" s="74" t="n">
        <v>3</v>
      </c>
      <c r="U266" s="74" t="n">
        <v>1</v>
      </c>
      <c r="V266" s="74" t="inlineStr">
        <is>
          <t>계단식</t>
        </is>
      </c>
      <c r="W266" s="74" t="inlineStr">
        <is>
          <t>63G</t>
        </is>
      </c>
      <c r="X266" s="74" t="n">
        <v>10</v>
      </c>
      <c r="Y266" s="74" t="n">
        <v>7</v>
      </c>
      <c r="Z266" s="74" t="inlineStr">
        <is>
          <t>https://new.land.naver.com/complexes/119697?tab=detail&amp;rf=Y</t>
        </is>
      </c>
      <c r="AA266" s="74" t="inlineStr">
        <is>
          <t>전라북도 군산시 대명동 384-87</t>
        </is>
      </c>
      <c r="AB266" s="74" t="inlineStr">
        <is>
          <t>전라북도</t>
        </is>
      </c>
      <c r="AC266" s="74" t="inlineStr">
        <is>
          <t>군산시</t>
        </is>
      </c>
      <c r="AD266" s="74" t="inlineStr">
        <is>
          <t>대명동</t>
        </is>
      </c>
      <c r="AG266" s="74" t="inlineStr">
        <is>
          <t>전라북도 군산시 동팔마길 32</t>
        </is>
      </c>
      <c r="AH266" s="74" t="n">
        <v>0</v>
      </c>
      <c r="AI266" s="74" t="n">
        <v>0</v>
      </c>
      <c r="AJ266" s="74" t="n">
        <v>0</v>
      </c>
      <c r="AK266" s="74" t="n">
        <v>52</v>
      </c>
      <c r="AL266" s="74" t="n">
        <v>0.51</v>
      </c>
    </row>
    <row r="267">
      <c r="A267" s="74" t="inlineStr">
        <is>
          <t>[대명동]</t>
        </is>
      </c>
      <c r="B267" s="74" t="n">
        <v>119697</v>
      </c>
      <c r="C267" s="74" t="n">
        <v>15</v>
      </c>
      <c r="D267" s="74" t="inlineStr">
        <is>
          <t>아이플러스시티(도시형)</t>
        </is>
      </c>
      <c r="E267" s="74" t="inlineStr">
        <is>
          <t>2012.09.</t>
        </is>
      </c>
      <c r="F267" s="74" t="n">
        <v>101</v>
      </c>
      <c r="G267" s="74" t="n">
        <v>19.06</v>
      </c>
      <c r="H267" s="74" t="n">
        <v>63.03</v>
      </c>
      <c r="I267" s="74" t="n">
        <v>14.13</v>
      </c>
      <c r="J267" s="74" t="n">
        <v>46.72</v>
      </c>
      <c r="K267" s="74" t="n">
        <v>1</v>
      </c>
      <c r="T267" s="74" t="n">
        <v>1</v>
      </c>
      <c r="U267" s="74" t="n">
        <v>1</v>
      </c>
      <c r="V267" s="74" t="inlineStr">
        <is>
          <t>계단식</t>
        </is>
      </c>
      <c r="W267" s="74" t="inlineStr">
        <is>
          <t>63A</t>
        </is>
      </c>
      <c r="X267" s="74" t="n">
        <v>10</v>
      </c>
      <c r="Y267" s="74" t="n">
        <v>7</v>
      </c>
      <c r="Z267" s="74" t="inlineStr">
        <is>
          <t>https://new.land.naver.com/complexes/119697?tab=detail&amp;rf=Y</t>
        </is>
      </c>
      <c r="AA267" s="74" t="inlineStr">
        <is>
          <t>전라북도 군산시 대명동 384-87</t>
        </is>
      </c>
      <c r="AB267" s="74" t="inlineStr">
        <is>
          <t>전라북도</t>
        </is>
      </c>
      <c r="AC267" s="74" t="inlineStr">
        <is>
          <t>군산시</t>
        </is>
      </c>
      <c r="AD267" s="74" t="inlineStr">
        <is>
          <t>대명동</t>
        </is>
      </c>
      <c r="AG267" s="74" t="inlineStr">
        <is>
          <t>전라북도 군산시 동팔마길 32</t>
        </is>
      </c>
      <c r="AH267" s="74" t="n">
        <v>0</v>
      </c>
      <c r="AI267" s="74" t="n">
        <v>0</v>
      </c>
      <c r="AJ267" s="74" t="n">
        <v>0</v>
      </c>
      <c r="AK267" s="74" t="n">
        <v>52</v>
      </c>
      <c r="AL267" s="74" t="n">
        <v>0.51</v>
      </c>
    </row>
    <row r="268">
      <c r="A268" s="74" t="inlineStr">
        <is>
          <t>[대명동]</t>
        </is>
      </c>
      <c r="B268" s="74" t="n">
        <v>119697</v>
      </c>
      <c r="C268" s="74" t="n">
        <v>16</v>
      </c>
      <c r="D268" s="74" t="inlineStr">
        <is>
          <t>아이플러스시티(도시형)</t>
        </is>
      </c>
      <c r="E268" s="74" t="inlineStr">
        <is>
          <t>2012.09.</t>
        </is>
      </c>
      <c r="F268" s="74" t="n">
        <v>101</v>
      </c>
      <c r="G268" s="74" t="n">
        <v>19.65</v>
      </c>
      <c r="H268" s="74" t="n">
        <v>64.98</v>
      </c>
      <c r="I268" s="74" t="n">
        <v>14.56</v>
      </c>
      <c r="J268" s="74" t="n">
        <v>48.16</v>
      </c>
      <c r="K268" s="74" t="n">
        <v>1</v>
      </c>
      <c r="T268" s="74" t="n">
        <v>1</v>
      </c>
      <c r="U268" s="74" t="n">
        <v>1</v>
      </c>
      <c r="V268" s="74" t="inlineStr">
        <is>
          <t>계단식</t>
        </is>
      </c>
      <c r="W268" s="74" t="inlineStr">
        <is>
          <t>64A</t>
        </is>
      </c>
      <c r="X268" s="74" t="n">
        <v>10</v>
      </c>
      <c r="Y268" s="74" t="n">
        <v>7</v>
      </c>
      <c r="Z268" s="74" t="inlineStr">
        <is>
          <t>https://new.land.naver.com/complexes/119697?tab=detail&amp;rf=Y</t>
        </is>
      </c>
      <c r="AA268" s="74" t="inlineStr">
        <is>
          <t>전라북도 군산시 대명동 384-87</t>
        </is>
      </c>
      <c r="AB268" s="74" t="inlineStr">
        <is>
          <t>전라북도</t>
        </is>
      </c>
      <c r="AC268" s="74" t="inlineStr">
        <is>
          <t>군산시</t>
        </is>
      </c>
      <c r="AD268" s="74" t="inlineStr">
        <is>
          <t>대명동</t>
        </is>
      </c>
      <c r="AG268" s="74" t="inlineStr">
        <is>
          <t>전라북도 군산시 동팔마길 32</t>
        </is>
      </c>
      <c r="AH268" s="74" t="n">
        <v>0</v>
      </c>
      <c r="AI268" s="74" t="n">
        <v>0</v>
      </c>
      <c r="AJ268" s="74" t="n">
        <v>0</v>
      </c>
      <c r="AK268" s="74" t="n">
        <v>52</v>
      </c>
      <c r="AL268" s="74" t="n">
        <v>0.51</v>
      </c>
    </row>
    <row r="269">
      <c r="A269" s="74" t="inlineStr">
        <is>
          <t>[대명동]</t>
        </is>
      </c>
      <c r="B269" s="74" t="n">
        <v>119697</v>
      </c>
      <c r="C269" s="74" t="n">
        <v>17</v>
      </c>
      <c r="D269" s="74" t="inlineStr">
        <is>
          <t>아이플러스시티(도시형)</t>
        </is>
      </c>
      <c r="E269" s="74" t="inlineStr">
        <is>
          <t>2012.09.</t>
        </is>
      </c>
      <c r="F269" s="74" t="n">
        <v>101</v>
      </c>
      <c r="G269" s="74" t="n">
        <v>20.34</v>
      </c>
      <c r="H269" s="74" t="n">
        <v>67.23999999999999</v>
      </c>
      <c r="I269" s="74" t="n">
        <v>15.07</v>
      </c>
      <c r="J269" s="74" t="n">
        <v>49.84</v>
      </c>
      <c r="K269" s="74" t="n">
        <v>9</v>
      </c>
      <c r="T269" s="74" t="n">
        <v>1</v>
      </c>
      <c r="U269" s="74" t="n">
        <v>1</v>
      </c>
      <c r="V269" s="74" t="inlineStr">
        <is>
          <t>계단식</t>
        </is>
      </c>
      <c r="W269" s="74" t="inlineStr">
        <is>
          <t>67B</t>
        </is>
      </c>
      <c r="X269" s="74" t="n">
        <v>10</v>
      </c>
      <c r="Y269" s="74" t="n">
        <v>7</v>
      </c>
      <c r="Z269" s="74" t="inlineStr">
        <is>
          <t>https://new.land.naver.com/complexes/119697?tab=detail&amp;rf=Y</t>
        </is>
      </c>
      <c r="AA269" s="74" t="inlineStr">
        <is>
          <t>전라북도 군산시 대명동 384-87</t>
        </is>
      </c>
      <c r="AB269" s="74" t="inlineStr">
        <is>
          <t>전라북도</t>
        </is>
      </c>
      <c r="AC269" s="74" t="inlineStr">
        <is>
          <t>군산시</t>
        </is>
      </c>
      <c r="AD269" s="74" t="inlineStr">
        <is>
          <t>대명동</t>
        </is>
      </c>
      <c r="AG269" s="74" t="inlineStr">
        <is>
          <t>전라북도 군산시 동팔마길 32</t>
        </is>
      </c>
      <c r="AH269" s="74" t="n">
        <v>0</v>
      </c>
      <c r="AI269" s="74" t="n">
        <v>0</v>
      </c>
      <c r="AJ269" s="74" t="n">
        <v>0</v>
      </c>
      <c r="AK269" s="74" t="n">
        <v>52</v>
      </c>
      <c r="AL269" s="74" t="n">
        <v>0.51</v>
      </c>
    </row>
    <row r="270">
      <c r="A270" s="74" t="inlineStr">
        <is>
          <t>[대명동]</t>
        </is>
      </c>
      <c r="B270" s="74" t="n">
        <v>119697</v>
      </c>
      <c r="C270" s="74" t="n">
        <v>18</v>
      </c>
      <c r="D270" s="74" t="inlineStr">
        <is>
          <t>아이플러스시티(도시형)</t>
        </is>
      </c>
      <c r="E270" s="74" t="inlineStr">
        <is>
          <t>2012.09.</t>
        </is>
      </c>
      <c r="F270" s="74" t="n">
        <v>101</v>
      </c>
      <c r="G270" s="74" t="n">
        <v>20.31</v>
      </c>
      <c r="H270" s="74" t="n">
        <v>67.15000000000001</v>
      </c>
      <c r="I270" s="74" t="n">
        <v>15.05</v>
      </c>
      <c r="J270" s="74" t="n">
        <v>49.77</v>
      </c>
      <c r="K270" s="74" t="n">
        <v>6</v>
      </c>
      <c r="T270" s="74" t="n">
        <v>3</v>
      </c>
      <c r="U270" s="74" t="n">
        <v>1</v>
      </c>
      <c r="V270" s="74" t="inlineStr">
        <is>
          <t>계단식</t>
        </is>
      </c>
      <c r="W270" s="74" t="inlineStr">
        <is>
          <t>67C</t>
        </is>
      </c>
      <c r="X270" s="74" t="n">
        <v>10</v>
      </c>
      <c r="Y270" s="74" t="n">
        <v>7</v>
      </c>
      <c r="Z270" s="74" t="inlineStr">
        <is>
          <t>https://new.land.naver.com/complexes/119697?tab=detail&amp;rf=Y</t>
        </is>
      </c>
      <c r="AA270" s="74" t="inlineStr">
        <is>
          <t>전라북도 군산시 대명동 384-87</t>
        </is>
      </c>
      <c r="AB270" s="74" t="inlineStr">
        <is>
          <t>전라북도</t>
        </is>
      </c>
      <c r="AC270" s="74" t="inlineStr">
        <is>
          <t>군산시</t>
        </is>
      </c>
      <c r="AD270" s="74" t="inlineStr">
        <is>
          <t>대명동</t>
        </is>
      </c>
      <c r="AG270" s="74" t="inlineStr">
        <is>
          <t>전라북도 군산시 동팔마길 32</t>
        </is>
      </c>
      <c r="AH270" s="74" t="n">
        <v>0</v>
      </c>
      <c r="AI270" s="74" t="n">
        <v>0</v>
      </c>
      <c r="AJ270" s="74" t="n">
        <v>0</v>
      </c>
      <c r="AK270" s="74" t="n">
        <v>52</v>
      </c>
      <c r="AL270" s="74" t="n">
        <v>0.51</v>
      </c>
    </row>
    <row r="271">
      <c r="A271" s="74" t="inlineStr">
        <is>
          <t>[대명동]</t>
        </is>
      </c>
      <c r="B271" s="74" t="n">
        <v>119697</v>
      </c>
      <c r="C271" s="74" t="n">
        <v>19</v>
      </c>
      <c r="D271" s="74" t="inlineStr">
        <is>
          <t>아이플러스시티(도시형)</t>
        </is>
      </c>
      <c r="E271" s="74" t="inlineStr">
        <is>
          <t>2012.09.</t>
        </is>
      </c>
      <c r="F271" s="74" t="n">
        <v>101</v>
      </c>
      <c r="G271" s="74" t="n">
        <v>20.35</v>
      </c>
      <c r="H271" s="74" t="n">
        <v>67.28</v>
      </c>
      <c r="I271" s="74" t="n">
        <v>15.08</v>
      </c>
      <c r="J271" s="74" t="n">
        <v>49.87</v>
      </c>
      <c r="K271" s="74" t="n">
        <v>6</v>
      </c>
      <c r="T271" s="74" t="n">
        <v>3</v>
      </c>
      <c r="U271" s="74" t="n">
        <v>1</v>
      </c>
      <c r="V271" s="74" t="inlineStr">
        <is>
          <t>계단식</t>
        </is>
      </c>
      <c r="W271" s="74" t="inlineStr">
        <is>
          <t>67D</t>
        </is>
      </c>
      <c r="X271" s="74" t="n">
        <v>10</v>
      </c>
      <c r="Y271" s="74" t="n">
        <v>7</v>
      </c>
      <c r="Z271" s="74" t="inlineStr">
        <is>
          <t>https://new.land.naver.com/complexes/119697?tab=detail&amp;rf=Y</t>
        </is>
      </c>
      <c r="AA271" s="74" t="inlineStr">
        <is>
          <t>전라북도 군산시 대명동 384-87</t>
        </is>
      </c>
      <c r="AB271" s="74" t="inlineStr">
        <is>
          <t>전라북도</t>
        </is>
      </c>
      <c r="AC271" s="74" t="inlineStr">
        <is>
          <t>군산시</t>
        </is>
      </c>
      <c r="AD271" s="74" t="inlineStr">
        <is>
          <t>대명동</t>
        </is>
      </c>
      <c r="AG271" s="74" t="inlineStr">
        <is>
          <t>전라북도 군산시 동팔마길 32</t>
        </is>
      </c>
      <c r="AH271" s="74" t="n">
        <v>0</v>
      </c>
      <c r="AI271" s="74" t="n">
        <v>0</v>
      </c>
      <c r="AJ271" s="74" t="n">
        <v>0</v>
      </c>
      <c r="AK271" s="74" t="n">
        <v>52</v>
      </c>
      <c r="AL271" s="74" t="n">
        <v>0.51</v>
      </c>
    </row>
    <row r="272">
      <c r="A272" s="74" t="inlineStr">
        <is>
          <t>[대야면]</t>
        </is>
      </c>
      <c r="B272" s="74" t="n">
        <v>128332</v>
      </c>
      <c r="C272" s="74" t="n">
        <v>1</v>
      </c>
      <c r="D272" s="74" t="inlineStr">
        <is>
          <t>한신타운</t>
        </is>
      </c>
      <c r="E272" s="74" t="inlineStr">
        <is>
          <t>1992.12.</t>
        </is>
      </c>
      <c r="F272" s="74" t="n">
        <v>126</v>
      </c>
      <c r="G272" s="74" t="n">
        <v>20.91</v>
      </c>
      <c r="H272" s="74" t="n">
        <v>69.15000000000001</v>
      </c>
      <c r="I272" s="74" t="n">
        <v>17.9</v>
      </c>
      <c r="J272" s="74" t="n">
        <v>59.19</v>
      </c>
      <c r="K272" s="74" t="n">
        <v>36</v>
      </c>
      <c r="T272" s="74" t="n">
        <v>3</v>
      </c>
      <c r="U272" s="74" t="n">
        <v>1</v>
      </c>
      <c r="V272" s="74" t="inlineStr">
        <is>
          <t>계단식</t>
        </is>
      </c>
      <c r="W272" s="74" t="n">
        <v>69</v>
      </c>
      <c r="X272" s="74" t="n">
        <v>15</v>
      </c>
      <c r="Y272" s="74" t="n">
        <v>10</v>
      </c>
      <c r="Z272" s="74" t="inlineStr">
        <is>
          <t>https://new.land.naver.com/complexes/128332?tab=detail&amp;rf=Y</t>
        </is>
      </c>
      <c r="AA272" s="74" t="inlineStr">
        <is>
          <t>전라북도 군산시 대야면 지경리 699-147</t>
        </is>
      </c>
      <c r="AB272" s="74" t="inlineStr">
        <is>
          <t>전라북도</t>
        </is>
      </c>
      <c r="AC272" s="74" t="inlineStr">
        <is>
          <t>군산시</t>
        </is>
      </c>
      <c r="AD272" s="74" t="inlineStr">
        <is>
          <t>대야면</t>
        </is>
      </c>
      <c r="AG272" s="74" t="inlineStr">
        <is>
          <t>전라북도 군산시 대야관통로 26</t>
        </is>
      </c>
      <c r="AH272" s="74" t="n">
        <v>0</v>
      </c>
      <c r="AI272" s="74" t="n">
        <v>26</v>
      </c>
      <c r="AJ272" s="74" t="n">
        <v>23</v>
      </c>
      <c r="AK272" s="74" t="n">
        <v>64</v>
      </c>
      <c r="AL272" s="74" t="n">
        <v>0.51</v>
      </c>
    </row>
    <row r="273">
      <c r="A273" s="74" t="inlineStr">
        <is>
          <t>[대야면]</t>
        </is>
      </c>
      <c r="B273" s="74" t="n">
        <v>128332</v>
      </c>
      <c r="C273" s="74" t="n">
        <v>2</v>
      </c>
      <c r="D273" s="74" t="inlineStr">
        <is>
          <t>한신타운</t>
        </is>
      </c>
      <c r="E273" s="74" t="inlineStr">
        <is>
          <t>1992.12.</t>
        </is>
      </c>
      <c r="F273" s="74" t="n">
        <v>126</v>
      </c>
      <c r="G273" s="74" t="n">
        <v>21.56</v>
      </c>
      <c r="H273" s="74" t="n">
        <v>71.3</v>
      </c>
      <c r="I273" s="74" t="n">
        <v>18.06</v>
      </c>
      <c r="J273" s="74" t="n">
        <v>59.73</v>
      </c>
      <c r="K273" s="74" t="n">
        <v>15</v>
      </c>
      <c r="T273" s="74" t="n">
        <v>3</v>
      </c>
      <c r="U273" s="74" t="n">
        <v>1</v>
      </c>
      <c r="V273" s="74" t="inlineStr">
        <is>
          <t>계단식</t>
        </is>
      </c>
      <c r="W273" s="74" t="n">
        <v>71</v>
      </c>
      <c r="X273" s="74" t="n">
        <v>15</v>
      </c>
      <c r="Y273" s="74" t="n">
        <v>10</v>
      </c>
      <c r="Z273" s="74" t="inlineStr">
        <is>
          <t>https://new.land.naver.com/complexes/128332?tab=detail&amp;rf=Y</t>
        </is>
      </c>
      <c r="AA273" s="74" t="inlineStr">
        <is>
          <t>전라북도 군산시 대야면 지경리 699-147</t>
        </is>
      </c>
      <c r="AB273" s="74" t="inlineStr">
        <is>
          <t>전라북도</t>
        </is>
      </c>
      <c r="AC273" s="74" t="inlineStr">
        <is>
          <t>군산시</t>
        </is>
      </c>
      <c r="AD273" s="74" t="inlineStr">
        <is>
          <t>대야면</t>
        </is>
      </c>
      <c r="AG273" s="74" t="inlineStr">
        <is>
          <t>전라북도 군산시 대야관통로 26</t>
        </is>
      </c>
      <c r="AH273" s="74" t="n">
        <v>0</v>
      </c>
      <c r="AI273" s="74" t="n">
        <v>26</v>
      </c>
      <c r="AJ273" s="74" t="n">
        <v>23</v>
      </c>
      <c r="AK273" s="74" t="n">
        <v>64</v>
      </c>
      <c r="AL273" s="74" t="n">
        <v>0.51</v>
      </c>
    </row>
    <row r="274">
      <c r="A274" s="74" t="inlineStr">
        <is>
          <t>[대야면]</t>
        </is>
      </c>
      <c r="B274" s="74" t="n">
        <v>128332</v>
      </c>
      <c r="C274" s="74" t="n">
        <v>3</v>
      </c>
      <c r="D274" s="74" t="inlineStr">
        <is>
          <t>한신타운</t>
        </is>
      </c>
      <c r="E274" s="74" t="inlineStr">
        <is>
          <t>1992.12.</t>
        </is>
      </c>
      <c r="F274" s="74" t="n">
        <v>126</v>
      </c>
      <c r="G274" s="74" t="n">
        <v>29.19</v>
      </c>
      <c r="H274" s="74" t="n">
        <v>96.5</v>
      </c>
      <c r="I274" s="74" t="n">
        <v>25.69</v>
      </c>
      <c r="J274" s="74" t="n">
        <v>84.93000000000001</v>
      </c>
      <c r="K274" s="74" t="n">
        <v>75</v>
      </c>
      <c r="T274" s="74" t="n">
        <v>3</v>
      </c>
      <c r="U274" s="74" t="n">
        <v>2</v>
      </c>
      <c r="V274" s="74" t="inlineStr">
        <is>
          <t>계단식</t>
        </is>
      </c>
      <c r="W274" s="74" t="n">
        <v>96</v>
      </c>
      <c r="X274" s="74" t="n">
        <v>15</v>
      </c>
      <c r="Y274" s="74" t="n">
        <v>10</v>
      </c>
      <c r="Z274" s="74" t="inlineStr">
        <is>
          <t>https://new.land.naver.com/complexes/128332?tab=detail&amp;rf=Y</t>
        </is>
      </c>
      <c r="AA274" s="74" t="inlineStr">
        <is>
          <t>전라북도 군산시 대야면 지경리 699-147</t>
        </is>
      </c>
      <c r="AB274" s="74" t="inlineStr">
        <is>
          <t>전라북도</t>
        </is>
      </c>
      <c r="AC274" s="74" t="inlineStr">
        <is>
          <t>군산시</t>
        </is>
      </c>
      <c r="AD274" s="74" t="inlineStr">
        <is>
          <t>대야면</t>
        </is>
      </c>
      <c r="AG274" s="74" t="inlineStr">
        <is>
          <t>전라북도 군산시 대야관통로 26</t>
        </is>
      </c>
      <c r="AH274" s="74" t="n">
        <v>0</v>
      </c>
      <c r="AI274" s="74" t="n">
        <v>26</v>
      </c>
      <c r="AJ274" s="74" t="n">
        <v>23</v>
      </c>
      <c r="AK274" s="74" t="n">
        <v>64</v>
      </c>
      <c r="AL274" s="74" t="n">
        <v>0.51</v>
      </c>
    </row>
    <row r="275">
      <c r="A275" s="74" t="inlineStr">
        <is>
          <t>[대야면]</t>
        </is>
      </c>
      <c r="B275" s="74" t="n">
        <v>116583</v>
      </c>
      <c r="C275" s="74" t="n">
        <v>1</v>
      </c>
      <c r="D275" s="74" t="inlineStr">
        <is>
          <t>대야보라무지개</t>
        </is>
      </c>
      <c r="E275" s="74" t="inlineStr">
        <is>
          <t>2001.09.</t>
        </is>
      </c>
      <c r="F275" s="74" t="n">
        <v>105</v>
      </c>
      <c r="G275" s="74" t="n">
        <v>22.71</v>
      </c>
      <c r="H275" s="74" t="n">
        <v>75.08</v>
      </c>
      <c r="I275" s="74" t="n">
        <v>17.61</v>
      </c>
      <c r="J275" s="74" t="n">
        <v>58.24</v>
      </c>
      <c r="K275" s="74" t="n">
        <v>90</v>
      </c>
      <c r="T275" s="74" t="n">
        <v>3</v>
      </c>
      <c r="U275" s="74" t="n">
        <v>1</v>
      </c>
      <c r="V275" s="74" t="inlineStr">
        <is>
          <t>계단식</t>
        </is>
      </c>
      <c r="W275" s="74" t="n">
        <v>75</v>
      </c>
      <c r="X275" s="74" t="n">
        <v>15</v>
      </c>
      <c r="Y275" s="74" t="n">
        <v>15</v>
      </c>
      <c r="Z275" s="74" t="inlineStr">
        <is>
          <t>https://new.land.naver.com/complexes/116583?tab=detail&amp;rf=Y</t>
        </is>
      </c>
      <c r="AA275" s="74" t="inlineStr">
        <is>
          <t>전라북도 군산시 대야면 산월리 536-2</t>
        </is>
      </c>
      <c r="AB275" s="74" t="inlineStr">
        <is>
          <t>전라북도</t>
        </is>
      </c>
      <c r="AC275" s="74" t="inlineStr">
        <is>
          <t>군산시</t>
        </is>
      </c>
      <c r="AD275" s="74" t="inlineStr">
        <is>
          <t>대야면</t>
        </is>
      </c>
      <c r="AG275" s="74" t="inlineStr">
        <is>
          <t>전라북도 군산시 수림로 7-10</t>
        </is>
      </c>
      <c r="AH275" s="74" t="n">
        <v>0</v>
      </c>
      <c r="AI275" s="74" t="n">
        <v>249</v>
      </c>
      <c r="AJ275" s="74" t="n">
        <v>20</v>
      </c>
      <c r="AK275" s="74" t="n">
        <v>79</v>
      </c>
      <c r="AL275" s="74" t="n">
        <v>0.75</v>
      </c>
    </row>
    <row r="276">
      <c r="A276" s="74" t="inlineStr">
        <is>
          <t>[대야면]</t>
        </is>
      </c>
      <c r="B276" s="74" t="n">
        <v>116583</v>
      </c>
      <c r="C276" s="74" t="n">
        <v>2</v>
      </c>
      <c r="D276" s="74" t="inlineStr">
        <is>
          <t>대야보라무지개</t>
        </is>
      </c>
      <c r="E276" s="74" t="inlineStr">
        <is>
          <t>2001.09.</t>
        </is>
      </c>
      <c r="F276" s="74" t="n">
        <v>105</v>
      </c>
      <c r="G276" s="74" t="n">
        <v>31.66</v>
      </c>
      <c r="H276" s="74" t="n">
        <v>104.68</v>
      </c>
      <c r="I276" s="74" t="n">
        <v>22.76</v>
      </c>
      <c r="J276" s="74" t="n">
        <v>75.26000000000001</v>
      </c>
      <c r="K276" s="74" t="n">
        <v>15</v>
      </c>
      <c r="T276" s="74" t="n">
        <v>3</v>
      </c>
      <c r="U276" s="74" t="n">
        <v>2</v>
      </c>
      <c r="V276" s="74" t="inlineStr">
        <is>
          <t>계단식</t>
        </is>
      </c>
      <c r="W276" s="74" t="n">
        <v>104</v>
      </c>
      <c r="X276" s="74" t="n">
        <v>15</v>
      </c>
      <c r="Y276" s="74" t="n">
        <v>15</v>
      </c>
      <c r="Z276" s="74" t="inlineStr">
        <is>
          <t>https://new.land.naver.com/complexes/116583?tab=detail&amp;rf=Y</t>
        </is>
      </c>
      <c r="AA276" s="74" t="inlineStr">
        <is>
          <t>전라북도 군산시 대야면 산월리 536-2</t>
        </is>
      </c>
      <c r="AB276" s="74" t="inlineStr">
        <is>
          <t>전라북도</t>
        </is>
      </c>
      <c r="AC276" s="74" t="inlineStr">
        <is>
          <t>군산시</t>
        </is>
      </c>
      <c r="AD276" s="74" t="inlineStr">
        <is>
          <t>대야면</t>
        </is>
      </c>
      <c r="AG276" s="74" t="inlineStr">
        <is>
          <t>전라북도 군산시 수림로 7-10</t>
        </is>
      </c>
      <c r="AH276" s="74" t="n">
        <v>0</v>
      </c>
      <c r="AI276" s="74" t="n">
        <v>249</v>
      </c>
      <c r="AJ276" s="74" t="n">
        <v>20</v>
      </c>
      <c r="AK276" s="74" t="n">
        <v>79</v>
      </c>
      <c r="AL276" s="74" t="n">
        <v>0.75</v>
      </c>
    </row>
    <row r="277">
      <c r="A277" s="74" t="inlineStr">
        <is>
          <t>[동흥남동]</t>
        </is>
      </c>
      <c r="B277" s="74" t="n">
        <v>105137</v>
      </c>
      <c r="C277" s="74" t="n">
        <v>1</v>
      </c>
      <c r="D277" s="74" t="inlineStr">
        <is>
          <t>군산동흥남주공</t>
        </is>
      </c>
      <c r="E277" s="74" t="inlineStr">
        <is>
          <t>2006.02.</t>
        </is>
      </c>
      <c r="F277" s="74" t="n">
        <v>318</v>
      </c>
      <c r="G277" s="74" t="n">
        <v>28.71</v>
      </c>
      <c r="H277" s="74" t="n">
        <v>94.91</v>
      </c>
      <c r="I277" s="74" t="n">
        <v>22.78</v>
      </c>
      <c r="J277" s="74" t="n">
        <v>75.31999999999999</v>
      </c>
      <c r="K277" s="74" t="n">
        <v>90</v>
      </c>
      <c r="T277" s="74" t="n">
        <v>3</v>
      </c>
      <c r="U277" s="74" t="n">
        <v>2</v>
      </c>
      <c r="V277" s="74" t="inlineStr">
        <is>
          <t>계단식</t>
        </is>
      </c>
      <c r="W277" s="74" t="n">
        <v>94</v>
      </c>
      <c r="X277" s="74" t="n">
        <v>15</v>
      </c>
      <c r="Y277" s="74" t="n">
        <v>13</v>
      </c>
      <c r="Z277" s="74" t="inlineStr">
        <is>
          <t>https://new.land.naver.com/complexes/105137?tab=detail&amp;rf=Y</t>
        </is>
      </c>
      <c r="AA277" s="74" t="inlineStr">
        <is>
          <t>전라북도 군산시 동흥남동 100</t>
        </is>
      </c>
      <c r="AB277" s="74" t="inlineStr">
        <is>
          <t>전라북도</t>
        </is>
      </c>
      <c r="AC277" s="74" t="inlineStr">
        <is>
          <t>군산시</t>
        </is>
      </c>
      <c r="AD277" s="74" t="inlineStr">
        <is>
          <t>동흥남동</t>
        </is>
      </c>
      <c r="AG277" s="74" t="inlineStr">
        <is>
          <t>전라북도 군산시 동흥남길 9</t>
        </is>
      </c>
      <c r="AH277" s="74" t="n">
        <v>0</v>
      </c>
      <c r="AI277" s="74" t="n">
        <v>141</v>
      </c>
      <c r="AJ277" s="74" t="n">
        <v>13</v>
      </c>
      <c r="AK277" s="74" t="n">
        <v>323</v>
      </c>
      <c r="AL277" s="74" t="n">
        <v>1.02</v>
      </c>
    </row>
    <row r="278">
      <c r="A278" s="74" t="inlineStr">
        <is>
          <t>[동흥남동]</t>
        </is>
      </c>
      <c r="B278" s="74" t="n">
        <v>105137</v>
      </c>
      <c r="C278" s="74" t="n">
        <v>2</v>
      </c>
      <c r="D278" s="74" t="inlineStr">
        <is>
          <t>군산동흥남주공</t>
        </is>
      </c>
      <c r="E278" s="74" t="inlineStr">
        <is>
          <t>2006.02.</t>
        </is>
      </c>
      <c r="F278" s="74" t="n">
        <v>318</v>
      </c>
      <c r="G278" s="74" t="n">
        <v>32.35</v>
      </c>
      <c r="H278" s="74" t="n">
        <v>106.95</v>
      </c>
      <c r="I278" s="74" t="n">
        <v>25.67</v>
      </c>
      <c r="J278" s="74" t="n">
        <v>84.86</v>
      </c>
      <c r="K278" s="74" t="n">
        <v>99</v>
      </c>
      <c r="T278" s="74" t="n">
        <v>3</v>
      </c>
      <c r="U278" s="74" t="n">
        <v>2</v>
      </c>
      <c r="V278" s="74" t="inlineStr">
        <is>
          <t>계단식</t>
        </is>
      </c>
      <c r="W278" s="74" t="inlineStr">
        <is>
          <t>106A</t>
        </is>
      </c>
      <c r="X278" s="74" t="n">
        <v>15</v>
      </c>
      <c r="Y278" s="74" t="n">
        <v>13</v>
      </c>
      <c r="Z278" s="74" t="inlineStr">
        <is>
          <t>https://new.land.naver.com/complexes/105137?tab=detail&amp;rf=Y</t>
        </is>
      </c>
      <c r="AA278" s="74" t="inlineStr">
        <is>
          <t>전라북도 군산시 동흥남동 100</t>
        </is>
      </c>
      <c r="AB278" s="74" t="inlineStr">
        <is>
          <t>전라북도</t>
        </is>
      </c>
      <c r="AC278" s="74" t="inlineStr">
        <is>
          <t>군산시</t>
        </is>
      </c>
      <c r="AD278" s="74" t="inlineStr">
        <is>
          <t>동흥남동</t>
        </is>
      </c>
      <c r="AG278" s="74" t="inlineStr">
        <is>
          <t>전라북도 군산시 동흥남길 9</t>
        </is>
      </c>
      <c r="AH278" s="74" t="n">
        <v>0</v>
      </c>
      <c r="AI278" s="74" t="n">
        <v>141</v>
      </c>
      <c r="AJ278" s="74" t="n">
        <v>13</v>
      </c>
      <c r="AK278" s="74" t="n">
        <v>323</v>
      </c>
      <c r="AL278" s="74" t="n">
        <v>1.02</v>
      </c>
    </row>
    <row r="279">
      <c r="A279" s="74" t="inlineStr">
        <is>
          <t>[동흥남동]</t>
        </is>
      </c>
      <c r="B279" s="74" t="n">
        <v>105137</v>
      </c>
      <c r="C279" s="74" t="n">
        <v>3</v>
      </c>
      <c r="D279" s="74" t="inlineStr">
        <is>
          <t>군산동흥남주공</t>
        </is>
      </c>
      <c r="E279" s="74" t="inlineStr">
        <is>
          <t>2006.02.</t>
        </is>
      </c>
      <c r="F279" s="74" t="n">
        <v>318</v>
      </c>
      <c r="G279" s="74" t="n">
        <v>32.38</v>
      </c>
      <c r="H279" s="74" t="n">
        <v>107.07</v>
      </c>
      <c r="I279" s="74" t="n">
        <v>25.7</v>
      </c>
      <c r="J279" s="74" t="n">
        <v>84.97</v>
      </c>
      <c r="K279" s="74" t="n">
        <v>129</v>
      </c>
      <c r="T279" s="74" t="n">
        <v>3</v>
      </c>
      <c r="U279" s="74" t="n">
        <v>2</v>
      </c>
      <c r="V279" s="74" t="inlineStr">
        <is>
          <t>계단식</t>
        </is>
      </c>
      <c r="W279" s="74" t="inlineStr">
        <is>
          <t>107B</t>
        </is>
      </c>
      <c r="X279" s="74" t="n">
        <v>15</v>
      </c>
      <c r="Y279" s="74" t="n">
        <v>13</v>
      </c>
      <c r="Z279" s="74" t="inlineStr">
        <is>
          <t>https://new.land.naver.com/complexes/105137?tab=detail&amp;rf=Y</t>
        </is>
      </c>
      <c r="AA279" s="74" t="inlineStr">
        <is>
          <t>전라북도 군산시 동흥남동 100</t>
        </is>
      </c>
      <c r="AB279" s="74" t="inlineStr">
        <is>
          <t>전라북도</t>
        </is>
      </c>
      <c r="AC279" s="74" t="inlineStr">
        <is>
          <t>군산시</t>
        </is>
      </c>
      <c r="AD279" s="74" t="inlineStr">
        <is>
          <t>동흥남동</t>
        </is>
      </c>
      <c r="AG279" s="74" t="inlineStr">
        <is>
          <t>전라북도 군산시 동흥남길 9</t>
        </is>
      </c>
      <c r="AH279" s="74" t="n">
        <v>0</v>
      </c>
      <c r="AI279" s="74" t="n">
        <v>141</v>
      </c>
      <c r="AJ279" s="74" t="n">
        <v>13</v>
      </c>
      <c r="AK279" s="74" t="n">
        <v>323</v>
      </c>
      <c r="AL279" s="74" t="n">
        <v>1.02</v>
      </c>
    </row>
    <row r="280">
      <c r="A280" s="74" t="inlineStr">
        <is>
          <t>[동흥남동]</t>
        </is>
      </c>
      <c r="B280" s="74" t="n">
        <v>125193</v>
      </c>
      <c r="C280" s="74" t="n">
        <v>1</v>
      </c>
      <c r="D280" s="74" t="inlineStr">
        <is>
          <t>동영</t>
        </is>
      </c>
      <c r="E280" s="74" t="inlineStr">
        <is>
          <t>1989.06.</t>
        </is>
      </c>
      <c r="F280" s="74" t="n">
        <v>30</v>
      </c>
      <c r="G280" s="74" t="n">
        <v>24.55</v>
      </c>
      <c r="H280" s="74" t="n">
        <v>81.16</v>
      </c>
      <c r="I280" s="74" t="n">
        <v>20.7</v>
      </c>
      <c r="J280" s="74" t="n">
        <v>68.45999999999999</v>
      </c>
      <c r="K280" s="74" t="n">
        <v>5</v>
      </c>
      <c r="T280" s="74" t="n">
        <v>3</v>
      </c>
      <c r="U280" s="74" t="n">
        <v>2</v>
      </c>
      <c r="V280" s="74" t="inlineStr">
        <is>
          <t>계단식</t>
        </is>
      </c>
      <c r="W280" s="74" t="n">
        <v>81</v>
      </c>
      <c r="X280" s="74" t="n">
        <v>5</v>
      </c>
      <c r="Y280" s="74" t="n">
        <v>5</v>
      </c>
      <c r="Z280" s="74" t="inlineStr">
        <is>
          <t>https://new.land.naver.com/complexes/125193?tab=detail&amp;rf=Y</t>
        </is>
      </c>
      <c r="AA280" s="74" t="inlineStr">
        <is>
          <t>전라북도 군산시 동흥남동 95-36</t>
        </is>
      </c>
      <c r="AB280" s="74" t="inlineStr">
        <is>
          <t>전라북도</t>
        </is>
      </c>
      <c r="AC280" s="74" t="inlineStr">
        <is>
          <t>군산시</t>
        </is>
      </c>
      <c r="AD280" s="74" t="inlineStr">
        <is>
          <t>동흥남동</t>
        </is>
      </c>
      <c r="AG280" s="74" t="inlineStr">
        <is>
          <t>전라북도 군산시 흥남2길 49-2</t>
        </is>
      </c>
      <c r="AH280" s="74" t="n">
        <v>0</v>
      </c>
      <c r="AI280" s="74" t="n">
        <v>0</v>
      </c>
      <c r="AJ280" s="74" t="n">
        <v>0</v>
      </c>
      <c r="AK280" s="74" t="n">
        <v>0</v>
      </c>
      <c r="AL280" s="74" t="n">
        <v>0</v>
      </c>
    </row>
    <row r="281">
      <c r="A281" s="74" t="inlineStr">
        <is>
          <t>[동흥남동]</t>
        </is>
      </c>
      <c r="B281" s="74" t="n">
        <v>125193</v>
      </c>
      <c r="C281" s="74" t="n">
        <v>2</v>
      </c>
      <c r="D281" s="74" t="inlineStr">
        <is>
          <t>동영</t>
        </is>
      </c>
      <c r="E281" s="74" t="inlineStr">
        <is>
          <t>1989.06.</t>
        </is>
      </c>
      <c r="F281" s="74" t="n">
        <v>30</v>
      </c>
      <c r="G281" s="74" t="n">
        <v>28.79</v>
      </c>
      <c r="H281" s="74" t="n">
        <v>95.2</v>
      </c>
      <c r="I281" s="74" t="n">
        <v>24.82</v>
      </c>
      <c r="J281" s="74" t="n">
        <v>82.05</v>
      </c>
      <c r="K281" s="74" t="n">
        <v>10</v>
      </c>
      <c r="T281" s="74" t="n">
        <v>3</v>
      </c>
      <c r="U281" s="74" t="n">
        <v>2</v>
      </c>
      <c r="V281" s="74" t="inlineStr">
        <is>
          <t>계단식</t>
        </is>
      </c>
      <c r="W281" s="74" t="inlineStr">
        <is>
          <t>95A</t>
        </is>
      </c>
      <c r="X281" s="74" t="n">
        <v>5</v>
      </c>
      <c r="Y281" s="74" t="n">
        <v>5</v>
      </c>
      <c r="Z281" s="74" t="inlineStr">
        <is>
          <t>https://new.land.naver.com/complexes/125193?tab=detail&amp;rf=Y</t>
        </is>
      </c>
      <c r="AA281" s="74" t="inlineStr">
        <is>
          <t>전라북도 군산시 동흥남동 95-36</t>
        </is>
      </c>
      <c r="AB281" s="74" t="inlineStr">
        <is>
          <t>전라북도</t>
        </is>
      </c>
      <c r="AC281" s="74" t="inlineStr">
        <is>
          <t>군산시</t>
        </is>
      </c>
      <c r="AD281" s="74" t="inlineStr">
        <is>
          <t>동흥남동</t>
        </is>
      </c>
      <c r="AG281" s="74" t="inlineStr">
        <is>
          <t>전라북도 군산시 흥남2길 49-2</t>
        </is>
      </c>
      <c r="AH281" s="74" t="n">
        <v>0</v>
      </c>
      <c r="AI281" s="74" t="n">
        <v>0</v>
      </c>
      <c r="AJ281" s="74" t="n">
        <v>0</v>
      </c>
      <c r="AK281" s="74" t="n">
        <v>0</v>
      </c>
      <c r="AL281" s="74" t="n">
        <v>0</v>
      </c>
    </row>
    <row r="282">
      <c r="A282" s="74" t="inlineStr">
        <is>
          <t>[동흥남동]</t>
        </is>
      </c>
      <c r="B282" s="74" t="n">
        <v>125193</v>
      </c>
      <c r="C282" s="74" t="n">
        <v>3</v>
      </c>
      <c r="D282" s="74" t="inlineStr">
        <is>
          <t>동영</t>
        </is>
      </c>
      <c r="E282" s="74" t="inlineStr">
        <is>
          <t>1989.06.</t>
        </is>
      </c>
      <c r="F282" s="74" t="n">
        <v>30</v>
      </c>
      <c r="G282" s="74" t="n">
        <v>28.93</v>
      </c>
      <c r="H282" s="74" t="n">
        <v>95.64</v>
      </c>
      <c r="I282" s="74" t="n">
        <v>24.95</v>
      </c>
      <c r="J282" s="74" t="n">
        <v>82.48999999999999</v>
      </c>
      <c r="K282" s="74" t="n">
        <v>10</v>
      </c>
      <c r="T282" s="74" t="n">
        <v>3</v>
      </c>
      <c r="U282" s="74" t="n">
        <v>2</v>
      </c>
      <c r="V282" s="74" t="inlineStr">
        <is>
          <t>계단식</t>
        </is>
      </c>
      <c r="W282" s="74" t="inlineStr">
        <is>
          <t>95B</t>
        </is>
      </c>
      <c r="X282" s="74" t="n">
        <v>5</v>
      </c>
      <c r="Y282" s="74" t="n">
        <v>5</v>
      </c>
      <c r="Z282" s="74" t="inlineStr">
        <is>
          <t>https://new.land.naver.com/complexes/125193?tab=detail&amp;rf=Y</t>
        </is>
      </c>
      <c r="AA282" s="74" t="inlineStr">
        <is>
          <t>전라북도 군산시 동흥남동 95-36</t>
        </is>
      </c>
      <c r="AB282" s="74" t="inlineStr">
        <is>
          <t>전라북도</t>
        </is>
      </c>
      <c r="AC282" s="74" t="inlineStr">
        <is>
          <t>군산시</t>
        </is>
      </c>
      <c r="AD282" s="74" t="inlineStr">
        <is>
          <t>동흥남동</t>
        </is>
      </c>
      <c r="AG282" s="74" t="inlineStr">
        <is>
          <t>전라북도 군산시 흥남2길 49-2</t>
        </is>
      </c>
      <c r="AH282" s="74" t="n">
        <v>0</v>
      </c>
      <c r="AI282" s="74" t="n">
        <v>0</v>
      </c>
      <c r="AJ282" s="74" t="n">
        <v>0</v>
      </c>
      <c r="AK282" s="74" t="n">
        <v>0</v>
      </c>
      <c r="AL282" s="74" t="n">
        <v>0</v>
      </c>
    </row>
    <row r="283">
      <c r="A283" s="74" t="inlineStr">
        <is>
          <t>[동흥남동]</t>
        </is>
      </c>
      <c r="B283" s="74" t="n">
        <v>125193</v>
      </c>
      <c r="C283" s="74" t="n">
        <v>4</v>
      </c>
      <c r="D283" s="74" t="inlineStr">
        <is>
          <t>동영</t>
        </is>
      </c>
      <c r="E283" s="74" t="inlineStr">
        <is>
          <t>1989.06.</t>
        </is>
      </c>
      <c r="F283" s="74" t="n">
        <v>30</v>
      </c>
      <c r="G283" s="74" t="n">
        <v>29.12</v>
      </c>
      <c r="H283" s="74" t="n">
        <v>96.28</v>
      </c>
      <c r="I283" s="74" t="n">
        <v>25.28</v>
      </c>
      <c r="J283" s="74" t="n">
        <v>83.58</v>
      </c>
      <c r="K283" s="74" t="n">
        <v>5</v>
      </c>
      <c r="T283" s="74" t="n">
        <v>3</v>
      </c>
      <c r="U283" s="74" t="n">
        <v>2</v>
      </c>
      <c r="V283" s="74" t="inlineStr">
        <is>
          <t>계단식</t>
        </is>
      </c>
      <c r="W283" s="74" t="inlineStr">
        <is>
          <t>96C</t>
        </is>
      </c>
      <c r="X283" s="74" t="n">
        <v>5</v>
      </c>
      <c r="Y283" s="74" t="n">
        <v>5</v>
      </c>
      <c r="Z283" s="74" t="inlineStr">
        <is>
          <t>https://new.land.naver.com/complexes/125193?tab=detail&amp;rf=Y</t>
        </is>
      </c>
      <c r="AA283" s="74" t="inlineStr">
        <is>
          <t>전라북도 군산시 동흥남동 95-36</t>
        </is>
      </c>
      <c r="AB283" s="74" t="inlineStr">
        <is>
          <t>전라북도</t>
        </is>
      </c>
      <c r="AC283" s="74" t="inlineStr">
        <is>
          <t>군산시</t>
        </is>
      </c>
      <c r="AD283" s="74" t="inlineStr">
        <is>
          <t>동흥남동</t>
        </is>
      </c>
      <c r="AG283" s="74" t="inlineStr">
        <is>
          <t>전라북도 군산시 흥남2길 49-2</t>
        </is>
      </c>
      <c r="AH283" s="74" t="n">
        <v>0</v>
      </c>
      <c r="AI283" s="74" t="n">
        <v>0</v>
      </c>
      <c r="AJ283" s="74" t="n">
        <v>0</v>
      </c>
      <c r="AK283" s="74" t="n">
        <v>0</v>
      </c>
      <c r="AL283" s="74" t="n">
        <v>0</v>
      </c>
    </row>
    <row r="284">
      <c r="A284" s="74" t="inlineStr">
        <is>
          <t>[문화동]</t>
        </is>
      </c>
      <c r="B284" s="74" t="n">
        <v>14970</v>
      </c>
      <c r="C284" s="74" t="n">
        <v>1</v>
      </c>
      <c r="D284" s="74" t="inlineStr">
        <is>
          <t>문화</t>
        </is>
      </c>
      <c r="E284" s="74" t="inlineStr">
        <is>
          <t>1981.02.</t>
        </is>
      </c>
      <c r="F284" s="74" t="n">
        <v>100</v>
      </c>
      <c r="G284" s="74" t="n">
        <v>24</v>
      </c>
      <c r="H284" s="74" t="n">
        <v>79.34</v>
      </c>
      <c r="I284" s="74" t="n">
        <v>22.23</v>
      </c>
      <c r="J284" s="74" t="n">
        <v>73.5</v>
      </c>
      <c r="K284" s="74" t="n">
        <v>100</v>
      </c>
      <c r="T284" s="74" t="n">
        <v>3</v>
      </c>
      <c r="U284" s="74" t="n">
        <v>1</v>
      </c>
      <c r="V284" s="74" t="inlineStr">
        <is>
          <t>계단식</t>
        </is>
      </c>
      <c r="W284" s="74" t="n">
        <v>79</v>
      </c>
      <c r="X284" s="74" t="n">
        <v>5</v>
      </c>
      <c r="Y284" s="74" t="n">
        <v>5</v>
      </c>
      <c r="Z284" s="74" t="inlineStr">
        <is>
          <t>https://new.land.naver.com/complexes/14970?tab=detail&amp;rf=Y</t>
        </is>
      </c>
      <c r="AA284" s="74" t="inlineStr">
        <is>
          <t>전라북도 군산시 문화동 769-2</t>
        </is>
      </c>
      <c r="AB284" s="74" t="inlineStr">
        <is>
          <t>전라북도</t>
        </is>
      </c>
      <c r="AC284" s="74" t="inlineStr">
        <is>
          <t>군산시</t>
        </is>
      </c>
      <c r="AD284" s="74" t="inlineStr">
        <is>
          <t>문화동</t>
        </is>
      </c>
      <c r="AG284" s="74" t="inlineStr">
        <is>
          <t>전라북도 군산시 석치안길 7</t>
        </is>
      </c>
      <c r="AH284" s="74" t="n">
        <v>0</v>
      </c>
      <c r="AI284" s="74" t="n">
        <v>131</v>
      </c>
      <c r="AJ284" s="74" t="n">
        <v>26</v>
      </c>
      <c r="AK284" s="74" t="n">
        <v>0</v>
      </c>
      <c r="AL284" s="74" t="n">
        <v>0</v>
      </c>
    </row>
    <row r="285">
      <c r="A285" s="74" t="inlineStr">
        <is>
          <t>[문화동]</t>
        </is>
      </c>
      <c r="B285" s="74" t="n">
        <v>5035</v>
      </c>
      <c r="C285" s="74" t="n">
        <v>1</v>
      </c>
      <c r="D285" s="74" t="inlineStr">
        <is>
          <t>삼성</t>
        </is>
      </c>
      <c r="E285" s="74" t="inlineStr">
        <is>
          <t>1992.08.</t>
        </is>
      </c>
      <c r="F285" s="74" t="n">
        <v>716</v>
      </c>
      <c r="G285" s="74" t="n">
        <v>24.1</v>
      </c>
      <c r="H285" s="74" t="n">
        <v>79.69</v>
      </c>
      <c r="I285" s="74" t="n">
        <v>19.71</v>
      </c>
      <c r="J285" s="74" t="n">
        <v>65.16</v>
      </c>
      <c r="K285" s="74" t="n">
        <v>56</v>
      </c>
      <c r="T285" s="74" t="n">
        <v>3</v>
      </c>
      <c r="U285" s="74" t="n">
        <v>1</v>
      </c>
      <c r="V285" s="74" t="inlineStr">
        <is>
          <t>계단식</t>
        </is>
      </c>
      <c r="W285" s="74" t="n">
        <v>79</v>
      </c>
      <c r="X285" s="74" t="n">
        <v>15</v>
      </c>
      <c r="Y285" s="74" t="n">
        <v>12</v>
      </c>
      <c r="Z285" s="74" t="inlineStr">
        <is>
          <t>https://new.land.naver.com/complexes/5035?tab=detail&amp;rf=Y</t>
        </is>
      </c>
      <c r="AA285" s="74" t="inlineStr">
        <is>
          <t>전라북도 군산시 문화동 26</t>
        </is>
      </c>
      <c r="AB285" s="74" t="inlineStr">
        <is>
          <t>전라북도</t>
        </is>
      </c>
      <c r="AC285" s="74" t="inlineStr">
        <is>
          <t>군산시</t>
        </is>
      </c>
      <c r="AD285" s="74" t="inlineStr">
        <is>
          <t>문화동</t>
        </is>
      </c>
      <c r="AG285" s="74" t="inlineStr">
        <is>
          <t>전라북도 군산시 백토로 93</t>
        </is>
      </c>
      <c r="AH285" s="74" t="n">
        <v>0</v>
      </c>
      <c r="AI285" s="74" t="n">
        <v>0</v>
      </c>
      <c r="AJ285" s="74" t="n">
        <v>0</v>
      </c>
      <c r="AK285" s="74" t="n">
        <v>0</v>
      </c>
      <c r="AL285" s="74" t="n">
        <v>0</v>
      </c>
    </row>
    <row r="286">
      <c r="A286" s="74" t="inlineStr">
        <is>
          <t>[문화동]</t>
        </is>
      </c>
      <c r="B286" s="74" t="n">
        <v>5035</v>
      </c>
      <c r="C286" s="74" t="n">
        <v>2</v>
      </c>
      <c r="D286" s="74" t="inlineStr">
        <is>
          <t>삼성</t>
        </is>
      </c>
      <c r="E286" s="74" t="inlineStr">
        <is>
          <t>1992.08.</t>
        </is>
      </c>
      <c r="F286" s="74" t="n">
        <v>716</v>
      </c>
      <c r="G286" s="74" t="n">
        <v>28.15</v>
      </c>
      <c r="H286" s="74" t="n">
        <v>93.08</v>
      </c>
      <c r="I286" s="74" t="n">
        <v>22.99</v>
      </c>
      <c r="J286" s="74" t="n">
        <v>76.02</v>
      </c>
      <c r="K286" s="74" t="n">
        <v>198</v>
      </c>
      <c r="T286" s="74" t="n">
        <v>3</v>
      </c>
      <c r="U286" s="74" t="n">
        <v>1</v>
      </c>
      <c r="V286" s="74" t="inlineStr">
        <is>
          <t>계단식</t>
        </is>
      </c>
      <c r="W286" s="74" t="n">
        <v>93</v>
      </c>
      <c r="X286" s="74" t="n">
        <v>15</v>
      </c>
      <c r="Y286" s="74" t="n">
        <v>12</v>
      </c>
      <c r="Z286" s="74" t="inlineStr">
        <is>
          <t>https://new.land.naver.com/complexes/5035?tab=detail&amp;rf=Y</t>
        </is>
      </c>
      <c r="AA286" s="74" t="inlineStr">
        <is>
          <t>전라북도 군산시 문화동 26</t>
        </is>
      </c>
      <c r="AB286" s="74" t="inlineStr">
        <is>
          <t>전라북도</t>
        </is>
      </c>
      <c r="AC286" s="74" t="inlineStr">
        <is>
          <t>군산시</t>
        </is>
      </c>
      <c r="AD286" s="74" t="inlineStr">
        <is>
          <t>문화동</t>
        </is>
      </c>
      <c r="AG286" s="74" t="inlineStr">
        <is>
          <t>전라북도 군산시 백토로 93</t>
        </is>
      </c>
      <c r="AH286" s="74" t="n">
        <v>0</v>
      </c>
      <c r="AI286" s="74" t="n">
        <v>0</v>
      </c>
      <c r="AJ286" s="74" t="n">
        <v>0</v>
      </c>
      <c r="AK286" s="74" t="n">
        <v>0</v>
      </c>
      <c r="AL286" s="74" t="n">
        <v>0</v>
      </c>
    </row>
    <row r="287">
      <c r="A287" s="74" t="inlineStr">
        <is>
          <t>[문화동]</t>
        </is>
      </c>
      <c r="B287" s="74" t="n">
        <v>5035</v>
      </c>
      <c r="C287" s="74" t="n">
        <v>3</v>
      </c>
      <c r="D287" s="74" t="inlineStr">
        <is>
          <t>삼성</t>
        </is>
      </c>
      <c r="E287" s="74" t="inlineStr">
        <is>
          <t>1992.08.</t>
        </is>
      </c>
      <c r="F287" s="74" t="n">
        <v>716</v>
      </c>
      <c r="G287" s="74" t="n">
        <v>31.46</v>
      </c>
      <c r="H287" s="74" t="n">
        <v>104.01</v>
      </c>
      <c r="I287" s="74" t="n">
        <v>25.67</v>
      </c>
      <c r="J287" s="74" t="n">
        <v>84.87</v>
      </c>
      <c r="K287" s="74" t="n">
        <v>462</v>
      </c>
      <c r="T287" s="74" t="n">
        <v>3</v>
      </c>
      <c r="U287" s="74" t="n">
        <v>2</v>
      </c>
      <c r="V287" s="74" t="inlineStr">
        <is>
          <t>계단식</t>
        </is>
      </c>
      <c r="W287" s="74" t="n">
        <v>104</v>
      </c>
      <c r="X287" s="74" t="n">
        <v>15</v>
      </c>
      <c r="Y287" s="74" t="n">
        <v>12</v>
      </c>
      <c r="Z287" s="74" t="inlineStr">
        <is>
          <t>https://new.land.naver.com/complexes/5035?tab=detail&amp;rf=Y</t>
        </is>
      </c>
      <c r="AA287" s="74" t="inlineStr">
        <is>
          <t>전라북도 군산시 문화동 26</t>
        </is>
      </c>
      <c r="AB287" s="74" t="inlineStr">
        <is>
          <t>전라북도</t>
        </is>
      </c>
      <c r="AC287" s="74" t="inlineStr">
        <is>
          <t>군산시</t>
        </is>
      </c>
      <c r="AD287" s="74" t="inlineStr">
        <is>
          <t>문화동</t>
        </is>
      </c>
      <c r="AG287" s="74" t="inlineStr">
        <is>
          <t>전라북도 군산시 백토로 93</t>
        </is>
      </c>
      <c r="AH287" s="74" t="n">
        <v>0</v>
      </c>
      <c r="AI287" s="74" t="n">
        <v>0</v>
      </c>
      <c r="AJ287" s="74" t="n">
        <v>0</v>
      </c>
      <c r="AK287" s="74" t="n">
        <v>0</v>
      </c>
      <c r="AL287" s="74" t="n">
        <v>0</v>
      </c>
    </row>
    <row r="288">
      <c r="A288" s="74" t="inlineStr">
        <is>
          <t>[문화동]</t>
        </is>
      </c>
      <c r="B288" s="74" t="n">
        <v>24248</v>
      </c>
      <c r="C288" s="74" t="n">
        <v>1</v>
      </c>
      <c r="D288" s="74" t="inlineStr">
        <is>
          <t>다우미빌</t>
        </is>
      </c>
      <c r="E288" s="74" t="inlineStr">
        <is>
          <t>2002.12.</t>
        </is>
      </c>
      <c r="F288" s="74" t="n">
        <v>90</v>
      </c>
      <c r="G288" s="74" t="n">
        <v>31.19</v>
      </c>
      <c r="H288" s="74" t="n">
        <v>103.11</v>
      </c>
      <c r="I288" s="74" t="n">
        <v>25.7</v>
      </c>
      <c r="J288" s="74" t="n">
        <v>84.95999999999999</v>
      </c>
      <c r="K288" s="74" t="n">
        <v>90</v>
      </c>
      <c r="T288" s="74" t="n">
        <v>3</v>
      </c>
      <c r="U288" s="74" t="n">
        <v>2</v>
      </c>
      <c r="V288" s="74" t="inlineStr">
        <is>
          <t>계단식</t>
        </is>
      </c>
      <c r="W288" s="74" t="n">
        <v>103</v>
      </c>
      <c r="X288" s="74" t="n">
        <v>15</v>
      </c>
      <c r="Y288" s="74" t="n">
        <v>15</v>
      </c>
      <c r="Z288" s="74" t="inlineStr">
        <is>
          <t>https://new.land.naver.com/complexes/24248?tab=detail&amp;rf=Y</t>
        </is>
      </c>
      <c r="AA288" s="74" t="inlineStr">
        <is>
          <t>전라북도 군산시 문화동 904</t>
        </is>
      </c>
      <c r="AB288" s="74" t="inlineStr">
        <is>
          <t>전라북도</t>
        </is>
      </c>
      <c r="AC288" s="74" t="inlineStr">
        <is>
          <t>군산시</t>
        </is>
      </c>
      <c r="AD288" s="74" t="inlineStr">
        <is>
          <t>문화동</t>
        </is>
      </c>
      <c r="AG288" s="74" t="inlineStr">
        <is>
          <t>전라북도 군산시 서흥길 24</t>
        </is>
      </c>
      <c r="AH288" s="74" t="n">
        <v>0</v>
      </c>
      <c r="AI288" s="74" t="n">
        <v>206</v>
      </c>
      <c r="AJ288" s="74" t="n">
        <v>16</v>
      </c>
      <c r="AK288" s="74" t="n">
        <v>93</v>
      </c>
      <c r="AL288" s="74" t="n">
        <v>1.03</v>
      </c>
    </row>
    <row r="289">
      <c r="A289" s="74" t="inlineStr">
        <is>
          <t>[문화동]</t>
        </is>
      </c>
      <c r="B289" s="74" t="n">
        <v>110388</v>
      </c>
      <c r="C289" s="74" t="n">
        <v>1</v>
      </c>
      <c r="D289" s="74" t="inlineStr">
        <is>
          <t>쉘브르타운</t>
        </is>
      </c>
      <c r="E289" s="74" t="inlineStr">
        <is>
          <t>2014.05.</t>
        </is>
      </c>
      <c r="F289" s="74" t="n">
        <v>28</v>
      </c>
      <c r="G289" s="74" t="n">
        <v>25.48</v>
      </c>
      <c r="H289" s="74" t="n">
        <v>84.25</v>
      </c>
      <c r="I289" s="74" t="n">
        <v>18.06</v>
      </c>
      <c r="J289" s="74" t="n">
        <v>59.72</v>
      </c>
      <c r="K289" s="74" t="n">
        <v>21</v>
      </c>
      <c r="T289" s="74" t="n">
        <v>3</v>
      </c>
      <c r="U289" s="74" t="n">
        <v>1</v>
      </c>
      <c r="V289" s="74" t="inlineStr">
        <is>
          <t>계단식</t>
        </is>
      </c>
      <c r="W289" s="74" t="n">
        <v>84</v>
      </c>
      <c r="X289" s="74" t="n">
        <v>8</v>
      </c>
      <c r="Y289" s="74" t="n">
        <v>8</v>
      </c>
      <c r="Z289" s="74" t="inlineStr">
        <is>
          <t>https://new.land.naver.com/complexes/110388?tab=detail&amp;rf=Y</t>
        </is>
      </c>
      <c r="AA289" s="74" t="inlineStr">
        <is>
          <t>전라북도 군산시 문화동 935</t>
        </is>
      </c>
      <c r="AB289" s="74" t="inlineStr">
        <is>
          <t>전라북도</t>
        </is>
      </c>
      <c r="AC289" s="74" t="inlineStr">
        <is>
          <t>군산시</t>
        </is>
      </c>
      <c r="AD289" s="74" t="inlineStr">
        <is>
          <t>문화동</t>
        </is>
      </c>
      <c r="AG289" s="74" t="inlineStr">
        <is>
          <t>전라북도 군산시 문화2길 11</t>
        </is>
      </c>
      <c r="AH289" s="74" t="n">
        <v>0</v>
      </c>
      <c r="AI289" s="74" t="n">
        <v>239</v>
      </c>
      <c r="AJ289" s="74" t="n">
        <v>38</v>
      </c>
      <c r="AK289" s="74" t="n">
        <v>22</v>
      </c>
      <c r="AL289" s="74" t="n">
        <v>0.79</v>
      </c>
    </row>
    <row r="290">
      <c r="A290" s="74" t="inlineStr">
        <is>
          <t>[문화동]</t>
        </is>
      </c>
      <c r="B290" s="74" t="n">
        <v>110388</v>
      </c>
      <c r="C290" s="74" t="n">
        <v>2</v>
      </c>
      <c r="D290" s="74" t="inlineStr">
        <is>
          <t>쉘브르타운</t>
        </is>
      </c>
      <c r="E290" s="74" t="inlineStr">
        <is>
          <t>2014.05.</t>
        </is>
      </c>
      <c r="F290" s="74" t="n">
        <v>28</v>
      </c>
      <c r="G290" s="74" t="n">
        <v>26.22</v>
      </c>
      <c r="H290" s="74" t="n">
        <v>86.69</v>
      </c>
      <c r="I290" s="74" t="n">
        <v>18.58</v>
      </c>
      <c r="J290" s="74" t="n">
        <v>61.45</v>
      </c>
      <c r="K290" s="74" t="n">
        <v>7</v>
      </c>
      <c r="T290" s="74" t="n">
        <v>3</v>
      </c>
      <c r="U290" s="74" t="n">
        <v>1</v>
      </c>
      <c r="V290" s="74" t="inlineStr">
        <is>
          <t>계단식</t>
        </is>
      </c>
      <c r="W290" s="74" t="n">
        <v>86</v>
      </c>
      <c r="X290" s="74" t="n">
        <v>8</v>
      </c>
      <c r="Y290" s="74" t="n">
        <v>8</v>
      </c>
      <c r="Z290" s="74" t="inlineStr">
        <is>
          <t>https://new.land.naver.com/complexes/110388?tab=detail&amp;rf=Y</t>
        </is>
      </c>
      <c r="AA290" s="74" t="inlineStr">
        <is>
          <t>전라북도 군산시 문화동 935</t>
        </is>
      </c>
      <c r="AB290" s="74" t="inlineStr">
        <is>
          <t>전라북도</t>
        </is>
      </c>
      <c r="AC290" s="74" t="inlineStr">
        <is>
          <t>군산시</t>
        </is>
      </c>
      <c r="AD290" s="74" t="inlineStr">
        <is>
          <t>문화동</t>
        </is>
      </c>
      <c r="AG290" s="74" t="inlineStr">
        <is>
          <t>전라북도 군산시 문화2길 11</t>
        </is>
      </c>
      <c r="AH290" s="74" t="n">
        <v>0</v>
      </c>
      <c r="AI290" s="74" t="n">
        <v>239</v>
      </c>
      <c r="AJ290" s="74" t="n">
        <v>38</v>
      </c>
      <c r="AK290" s="74" t="n">
        <v>22</v>
      </c>
      <c r="AL290" s="74" t="n">
        <v>0.79</v>
      </c>
    </row>
    <row r="291">
      <c r="A291" s="74" t="inlineStr">
        <is>
          <t>[미룡동]</t>
        </is>
      </c>
      <c r="B291" s="74" t="n">
        <v>104842</v>
      </c>
      <c r="C291" s="74" t="n">
        <v>1</v>
      </c>
      <c r="D291" s="74" t="inlineStr">
        <is>
          <t>미룡대명1차</t>
        </is>
      </c>
      <c r="E291" s="74" t="inlineStr">
        <is>
          <t>1998.06.</t>
        </is>
      </c>
      <c r="F291" s="74" t="n">
        <v>498</v>
      </c>
      <c r="G291" s="74" t="n">
        <v>16.3</v>
      </c>
      <c r="H291" s="74" t="n">
        <v>53.9</v>
      </c>
      <c r="I291" s="74" t="n">
        <v>12.08</v>
      </c>
      <c r="J291" s="74" t="n">
        <v>39.96</v>
      </c>
      <c r="K291" s="74" t="n">
        <v>498</v>
      </c>
      <c r="T291" s="74" t="n">
        <v>2</v>
      </c>
      <c r="U291" s="74" t="n">
        <v>1</v>
      </c>
      <c r="V291" s="74" t="inlineStr">
        <is>
          <t>계단식</t>
        </is>
      </c>
      <c r="W291" s="74" t="n">
        <v>53</v>
      </c>
      <c r="X291" s="74" t="n">
        <v>18</v>
      </c>
      <c r="Y291" s="74" t="n">
        <v>13</v>
      </c>
      <c r="Z291" s="74" t="inlineStr">
        <is>
          <t>https://new.land.naver.com/complexes/104842?tab=detail&amp;rf=Y</t>
        </is>
      </c>
      <c r="AA291" s="74" t="inlineStr">
        <is>
          <t>전라북도 군산시 미룡동 858</t>
        </is>
      </c>
      <c r="AB291" s="74" t="inlineStr">
        <is>
          <t>전라북도</t>
        </is>
      </c>
      <c r="AC291" s="74" t="inlineStr">
        <is>
          <t>군산시</t>
        </is>
      </c>
      <c r="AD291" s="74" t="inlineStr">
        <is>
          <t>미룡동</t>
        </is>
      </c>
      <c r="AG291" s="74" t="inlineStr">
        <is>
          <t>전라북도 군산시 칠성4길 20</t>
        </is>
      </c>
      <c r="AH291" s="74" t="n">
        <v>0</v>
      </c>
      <c r="AI291" s="74" t="n">
        <v>0</v>
      </c>
      <c r="AJ291" s="74" t="n">
        <v>0</v>
      </c>
      <c r="AK291" s="74" t="n">
        <v>0</v>
      </c>
      <c r="AL291" s="74" t="n">
        <v>0</v>
      </c>
    </row>
    <row r="292">
      <c r="A292" s="74" t="inlineStr">
        <is>
          <t>[미룡동]</t>
        </is>
      </c>
      <c r="B292" s="74" t="n">
        <v>27505</v>
      </c>
      <c r="C292" s="74" t="n">
        <v>1</v>
      </c>
      <c r="D292" s="74" t="inlineStr">
        <is>
          <t>금광베네스타</t>
        </is>
      </c>
      <c r="E292" s="74" t="inlineStr">
        <is>
          <t>2008.12.</t>
        </is>
      </c>
      <c r="F292" s="74" t="n">
        <v>950</v>
      </c>
      <c r="G292" s="74" t="n">
        <v>33.35</v>
      </c>
      <c r="H292" s="74" t="n">
        <v>110.25</v>
      </c>
      <c r="I292" s="74" t="n">
        <v>25.61</v>
      </c>
      <c r="J292" s="74" t="n">
        <v>84.67</v>
      </c>
      <c r="K292" s="74" t="n">
        <v>120</v>
      </c>
      <c r="T292" s="74" t="n">
        <v>3</v>
      </c>
      <c r="U292" s="74" t="n">
        <v>2</v>
      </c>
      <c r="V292" s="74" t="inlineStr">
        <is>
          <t>복도식</t>
        </is>
      </c>
      <c r="W292" s="74" t="inlineStr">
        <is>
          <t>110A</t>
        </is>
      </c>
      <c r="X292" s="74" t="n">
        <v>20</v>
      </c>
      <c r="Y292" s="74" t="n">
        <v>20</v>
      </c>
      <c r="Z292" s="74" t="inlineStr">
        <is>
          <t>https://new.land.naver.com/complexes/27505?tab=detail&amp;rf=Y</t>
        </is>
      </c>
      <c r="AA292" s="74" t="inlineStr">
        <is>
          <t>전라북도 군산시 미룡동 71</t>
        </is>
      </c>
      <c r="AB292" s="74" t="inlineStr">
        <is>
          <t>전라북도</t>
        </is>
      </c>
      <c r="AC292" s="74" t="inlineStr">
        <is>
          <t>군산시</t>
        </is>
      </c>
      <c r="AD292" s="74" t="inlineStr">
        <is>
          <t>미룡동</t>
        </is>
      </c>
      <c r="AG292" s="74" t="inlineStr">
        <is>
          <t>전라북도 군산시 용둔길 12</t>
        </is>
      </c>
      <c r="AH292" s="74" t="n">
        <v>0</v>
      </c>
      <c r="AI292" s="74" t="n">
        <v>249</v>
      </c>
      <c r="AJ292" s="74" t="n">
        <v>15</v>
      </c>
      <c r="AK292" s="74" t="n">
        <v>1618</v>
      </c>
      <c r="AL292" s="74" t="n">
        <v>1.7</v>
      </c>
    </row>
    <row r="293">
      <c r="A293" s="74" t="inlineStr">
        <is>
          <t>[미룡동]</t>
        </is>
      </c>
      <c r="B293" s="74" t="n">
        <v>27505</v>
      </c>
      <c r="C293" s="74" t="n">
        <v>2</v>
      </c>
      <c r="D293" s="74" t="inlineStr">
        <is>
          <t>금광베네스타</t>
        </is>
      </c>
      <c r="E293" s="74" t="inlineStr">
        <is>
          <t>2008.12.</t>
        </is>
      </c>
      <c r="F293" s="74" t="n">
        <v>950</v>
      </c>
      <c r="G293" s="74" t="n">
        <v>33.41</v>
      </c>
      <c r="H293" s="74" t="n">
        <v>110.45</v>
      </c>
      <c r="I293" s="74" t="n">
        <v>25.66</v>
      </c>
      <c r="J293" s="74" t="n">
        <v>84.83</v>
      </c>
      <c r="K293" s="74" t="n">
        <v>39</v>
      </c>
      <c r="T293" s="74" t="n">
        <v>3</v>
      </c>
      <c r="U293" s="74" t="n">
        <v>2</v>
      </c>
      <c r="V293" s="74" t="inlineStr">
        <is>
          <t>복도식</t>
        </is>
      </c>
      <c r="W293" s="74" t="inlineStr">
        <is>
          <t>110B</t>
        </is>
      </c>
      <c r="X293" s="74" t="n">
        <v>20</v>
      </c>
      <c r="Y293" s="74" t="n">
        <v>20</v>
      </c>
      <c r="Z293" s="74" t="inlineStr">
        <is>
          <t>https://new.land.naver.com/complexes/27505?tab=detail&amp;rf=Y</t>
        </is>
      </c>
      <c r="AA293" s="74" t="inlineStr">
        <is>
          <t>전라북도 군산시 미룡동 71</t>
        </is>
      </c>
      <c r="AB293" s="74" t="inlineStr">
        <is>
          <t>전라북도</t>
        </is>
      </c>
      <c r="AC293" s="74" t="inlineStr">
        <is>
          <t>군산시</t>
        </is>
      </c>
      <c r="AD293" s="74" t="inlineStr">
        <is>
          <t>미룡동</t>
        </is>
      </c>
      <c r="AG293" s="74" t="inlineStr">
        <is>
          <t>전라북도 군산시 용둔길 12</t>
        </is>
      </c>
      <c r="AH293" s="74" t="n">
        <v>0</v>
      </c>
      <c r="AI293" s="74" t="n">
        <v>249</v>
      </c>
      <c r="AJ293" s="74" t="n">
        <v>15</v>
      </c>
      <c r="AK293" s="74" t="n">
        <v>1618</v>
      </c>
      <c r="AL293" s="74" t="n">
        <v>1.7</v>
      </c>
    </row>
    <row r="294">
      <c r="A294" s="74" t="inlineStr">
        <is>
          <t>[미룡동]</t>
        </is>
      </c>
      <c r="B294" s="74" t="n">
        <v>27505</v>
      </c>
      <c r="C294" s="74" t="n">
        <v>3</v>
      </c>
      <c r="D294" s="74" t="inlineStr">
        <is>
          <t>금광베네스타</t>
        </is>
      </c>
      <c r="E294" s="74" t="inlineStr">
        <is>
          <t>2008.12.</t>
        </is>
      </c>
      <c r="F294" s="74" t="n">
        <v>950</v>
      </c>
      <c r="G294" s="74" t="n">
        <v>33.78</v>
      </c>
      <c r="H294" s="74" t="n">
        <v>111.67</v>
      </c>
      <c r="I294" s="74" t="n">
        <v>25.69</v>
      </c>
      <c r="J294" s="74" t="n">
        <v>84.95</v>
      </c>
      <c r="K294" s="74" t="n">
        <v>40</v>
      </c>
      <c r="T294" s="74" t="n">
        <v>3</v>
      </c>
      <c r="U294" s="74" t="n">
        <v>2</v>
      </c>
      <c r="V294" s="74" t="inlineStr">
        <is>
          <t>복도식</t>
        </is>
      </c>
      <c r="W294" s="74" t="inlineStr">
        <is>
          <t>111C</t>
        </is>
      </c>
      <c r="X294" s="74" t="n">
        <v>20</v>
      </c>
      <c r="Y294" s="74" t="n">
        <v>20</v>
      </c>
      <c r="Z294" s="74" t="inlineStr">
        <is>
          <t>https://new.land.naver.com/complexes/27505?tab=detail&amp;rf=Y</t>
        </is>
      </c>
      <c r="AA294" s="74" t="inlineStr">
        <is>
          <t>전라북도 군산시 미룡동 71</t>
        </is>
      </c>
      <c r="AB294" s="74" t="inlineStr">
        <is>
          <t>전라북도</t>
        </is>
      </c>
      <c r="AC294" s="74" t="inlineStr">
        <is>
          <t>군산시</t>
        </is>
      </c>
      <c r="AD294" s="74" t="inlineStr">
        <is>
          <t>미룡동</t>
        </is>
      </c>
      <c r="AG294" s="74" t="inlineStr">
        <is>
          <t>전라북도 군산시 용둔길 12</t>
        </is>
      </c>
      <c r="AH294" s="74" t="n">
        <v>0</v>
      </c>
      <c r="AI294" s="74" t="n">
        <v>249</v>
      </c>
      <c r="AJ294" s="74" t="n">
        <v>15</v>
      </c>
      <c r="AK294" s="74" t="n">
        <v>1618</v>
      </c>
      <c r="AL294" s="74" t="n">
        <v>1.7</v>
      </c>
    </row>
    <row r="295">
      <c r="A295" s="74" t="inlineStr">
        <is>
          <t>[미룡동]</t>
        </is>
      </c>
      <c r="B295" s="74" t="n">
        <v>27505</v>
      </c>
      <c r="C295" s="74" t="n">
        <v>4</v>
      </c>
      <c r="D295" s="74" t="inlineStr">
        <is>
          <t>금광베네스타</t>
        </is>
      </c>
      <c r="E295" s="74" t="inlineStr">
        <is>
          <t>2008.12.</t>
        </is>
      </c>
      <c r="F295" s="74" t="n">
        <v>950</v>
      </c>
      <c r="G295" s="74" t="n">
        <v>44.31</v>
      </c>
      <c r="H295" s="74" t="n">
        <v>146.48</v>
      </c>
      <c r="I295" s="74" t="n">
        <v>34.33</v>
      </c>
      <c r="J295" s="74" t="n">
        <v>113.52</v>
      </c>
      <c r="K295" s="74" t="n">
        <v>114</v>
      </c>
      <c r="T295" s="74" t="n">
        <v>3</v>
      </c>
      <c r="U295" s="74" t="n">
        <v>2</v>
      </c>
      <c r="V295" s="74" t="inlineStr">
        <is>
          <t>복도식</t>
        </is>
      </c>
      <c r="W295" s="74" t="n">
        <v>146</v>
      </c>
      <c r="X295" s="74" t="n">
        <v>20</v>
      </c>
      <c r="Y295" s="74" t="n">
        <v>20</v>
      </c>
      <c r="Z295" s="74" t="inlineStr">
        <is>
          <t>https://new.land.naver.com/complexes/27505?tab=detail&amp;rf=Y</t>
        </is>
      </c>
      <c r="AA295" s="74" t="inlineStr">
        <is>
          <t>전라북도 군산시 미룡동 71</t>
        </is>
      </c>
      <c r="AB295" s="74" t="inlineStr">
        <is>
          <t>전라북도</t>
        </is>
      </c>
      <c r="AC295" s="74" t="inlineStr">
        <is>
          <t>군산시</t>
        </is>
      </c>
      <c r="AD295" s="74" t="inlineStr">
        <is>
          <t>미룡동</t>
        </is>
      </c>
      <c r="AG295" s="74" t="inlineStr">
        <is>
          <t>전라북도 군산시 용둔길 12</t>
        </is>
      </c>
      <c r="AH295" s="74" t="n">
        <v>0</v>
      </c>
      <c r="AI295" s="74" t="n">
        <v>249</v>
      </c>
      <c r="AJ295" s="74" t="n">
        <v>15</v>
      </c>
      <c r="AK295" s="74" t="n">
        <v>1618</v>
      </c>
      <c r="AL295" s="74" t="n">
        <v>1.7</v>
      </c>
    </row>
    <row r="296">
      <c r="A296" s="74" t="inlineStr">
        <is>
          <t>[미룡동]</t>
        </is>
      </c>
      <c r="B296" s="74" t="n">
        <v>27505</v>
      </c>
      <c r="C296" s="74" t="n">
        <v>5</v>
      </c>
      <c r="D296" s="74" t="inlineStr">
        <is>
          <t>금광베네스타</t>
        </is>
      </c>
      <c r="E296" s="74" t="inlineStr">
        <is>
          <t>2008.12.</t>
        </is>
      </c>
      <c r="F296" s="74" t="n">
        <v>950</v>
      </c>
      <c r="G296" s="74" t="n">
        <v>48.4</v>
      </c>
      <c r="H296" s="74" t="n">
        <v>160.02</v>
      </c>
      <c r="I296" s="74" t="n">
        <v>39.57</v>
      </c>
      <c r="J296" s="74" t="n">
        <v>130.82</v>
      </c>
      <c r="K296" s="74" t="n">
        <v>320</v>
      </c>
      <c r="T296" s="74" t="n">
        <v>4</v>
      </c>
      <c r="U296" s="74" t="n">
        <v>2</v>
      </c>
      <c r="V296" s="74" t="inlineStr">
        <is>
          <t>복도식</t>
        </is>
      </c>
      <c r="W296" s="74" t="inlineStr">
        <is>
          <t>160A</t>
        </is>
      </c>
      <c r="X296" s="74" t="n">
        <v>20</v>
      </c>
      <c r="Y296" s="74" t="n">
        <v>20</v>
      </c>
      <c r="Z296" s="74" t="inlineStr">
        <is>
          <t>https://new.land.naver.com/complexes/27505?tab=detail&amp;rf=Y</t>
        </is>
      </c>
      <c r="AA296" s="74" t="inlineStr">
        <is>
          <t>전라북도 군산시 미룡동 71</t>
        </is>
      </c>
      <c r="AB296" s="74" t="inlineStr">
        <is>
          <t>전라북도</t>
        </is>
      </c>
      <c r="AC296" s="74" t="inlineStr">
        <is>
          <t>군산시</t>
        </is>
      </c>
      <c r="AD296" s="74" t="inlineStr">
        <is>
          <t>미룡동</t>
        </is>
      </c>
      <c r="AG296" s="74" t="inlineStr">
        <is>
          <t>전라북도 군산시 용둔길 12</t>
        </is>
      </c>
      <c r="AH296" s="74" t="n">
        <v>0</v>
      </c>
      <c r="AI296" s="74" t="n">
        <v>249</v>
      </c>
      <c r="AJ296" s="74" t="n">
        <v>15</v>
      </c>
      <c r="AK296" s="74" t="n">
        <v>1618</v>
      </c>
      <c r="AL296" s="74" t="n">
        <v>1.7</v>
      </c>
    </row>
    <row r="297">
      <c r="A297" s="74" t="inlineStr">
        <is>
          <t>[미룡동]</t>
        </is>
      </c>
      <c r="B297" s="74" t="n">
        <v>27505</v>
      </c>
      <c r="C297" s="74" t="n">
        <v>6</v>
      </c>
      <c r="D297" s="74" t="inlineStr">
        <is>
          <t>금광베네스타</t>
        </is>
      </c>
      <c r="E297" s="74" t="inlineStr">
        <is>
          <t>2008.12.</t>
        </is>
      </c>
      <c r="F297" s="74" t="n">
        <v>950</v>
      </c>
      <c r="G297" s="74" t="n">
        <v>48.4</v>
      </c>
      <c r="H297" s="74" t="n">
        <v>160.02</v>
      </c>
      <c r="I297" s="74" t="n">
        <v>39.57</v>
      </c>
      <c r="J297" s="74" t="n">
        <v>130.82</v>
      </c>
      <c r="K297" s="74" t="n">
        <v>78</v>
      </c>
      <c r="T297" s="74" t="n">
        <v>4</v>
      </c>
      <c r="U297" s="74" t="n">
        <v>2</v>
      </c>
      <c r="V297" s="74" t="inlineStr">
        <is>
          <t>복도식</t>
        </is>
      </c>
      <c r="W297" s="74" t="inlineStr">
        <is>
          <t>160B</t>
        </is>
      </c>
      <c r="X297" s="74" t="n">
        <v>20</v>
      </c>
      <c r="Y297" s="74" t="n">
        <v>20</v>
      </c>
      <c r="Z297" s="74" t="inlineStr">
        <is>
          <t>https://new.land.naver.com/complexes/27505?tab=detail&amp;rf=Y</t>
        </is>
      </c>
      <c r="AA297" s="74" t="inlineStr">
        <is>
          <t>전라북도 군산시 미룡동 71</t>
        </is>
      </c>
      <c r="AB297" s="74" t="inlineStr">
        <is>
          <t>전라북도</t>
        </is>
      </c>
      <c r="AC297" s="74" t="inlineStr">
        <is>
          <t>군산시</t>
        </is>
      </c>
      <c r="AD297" s="74" t="inlineStr">
        <is>
          <t>미룡동</t>
        </is>
      </c>
      <c r="AG297" s="74" t="inlineStr">
        <is>
          <t>전라북도 군산시 용둔길 12</t>
        </is>
      </c>
      <c r="AH297" s="74" t="n">
        <v>0</v>
      </c>
      <c r="AI297" s="74" t="n">
        <v>249</v>
      </c>
      <c r="AJ297" s="74" t="n">
        <v>15</v>
      </c>
      <c r="AK297" s="74" t="n">
        <v>1618</v>
      </c>
      <c r="AL297" s="74" t="n">
        <v>1.7</v>
      </c>
    </row>
    <row r="298">
      <c r="A298" s="74" t="inlineStr">
        <is>
          <t>[미룡동]</t>
        </is>
      </c>
      <c r="B298" s="74" t="n">
        <v>27505</v>
      </c>
      <c r="C298" s="74" t="n">
        <v>7</v>
      </c>
      <c r="D298" s="74" t="inlineStr">
        <is>
          <t>금광베네스타</t>
        </is>
      </c>
      <c r="E298" s="74" t="inlineStr">
        <is>
          <t>2008.12.</t>
        </is>
      </c>
      <c r="F298" s="74" t="n">
        <v>950</v>
      </c>
      <c r="G298" s="74" t="n">
        <v>53.43</v>
      </c>
      <c r="H298" s="74" t="n">
        <v>176.63</v>
      </c>
      <c r="I298" s="74" t="n">
        <v>42.27</v>
      </c>
      <c r="J298" s="74" t="n">
        <v>139.76</v>
      </c>
      <c r="K298" s="74" t="n">
        <v>160</v>
      </c>
      <c r="T298" s="74" t="n">
        <v>4</v>
      </c>
      <c r="U298" s="74" t="n">
        <v>2</v>
      </c>
      <c r="V298" s="74" t="inlineStr">
        <is>
          <t>복도식</t>
        </is>
      </c>
      <c r="W298" s="74" t="n">
        <v>176</v>
      </c>
      <c r="X298" s="74" t="n">
        <v>20</v>
      </c>
      <c r="Y298" s="74" t="n">
        <v>20</v>
      </c>
      <c r="Z298" s="74" t="inlineStr">
        <is>
          <t>https://new.land.naver.com/complexes/27505?tab=detail&amp;rf=Y</t>
        </is>
      </c>
      <c r="AA298" s="74" t="inlineStr">
        <is>
          <t>전라북도 군산시 미룡동 71</t>
        </is>
      </c>
      <c r="AB298" s="74" t="inlineStr">
        <is>
          <t>전라북도</t>
        </is>
      </c>
      <c r="AC298" s="74" t="inlineStr">
        <is>
          <t>군산시</t>
        </is>
      </c>
      <c r="AD298" s="74" t="inlineStr">
        <is>
          <t>미룡동</t>
        </is>
      </c>
      <c r="AG298" s="74" t="inlineStr">
        <is>
          <t>전라북도 군산시 용둔길 12</t>
        </is>
      </c>
      <c r="AH298" s="74" t="n">
        <v>0</v>
      </c>
      <c r="AI298" s="74" t="n">
        <v>249</v>
      </c>
      <c r="AJ298" s="74" t="n">
        <v>15</v>
      </c>
      <c r="AK298" s="74" t="n">
        <v>1618</v>
      </c>
      <c r="AL298" s="74" t="n">
        <v>1.7</v>
      </c>
    </row>
    <row r="299">
      <c r="A299" s="74" t="inlineStr">
        <is>
          <t>[미룡동]</t>
        </is>
      </c>
      <c r="B299" s="74" t="n">
        <v>27505</v>
      </c>
      <c r="C299" s="74" t="n">
        <v>8</v>
      </c>
      <c r="D299" s="74" t="inlineStr">
        <is>
          <t>금광베네스타</t>
        </is>
      </c>
      <c r="E299" s="74" t="inlineStr">
        <is>
          <t>2008.12.</t>
        </is>
      </c>
      <c r="F299" s="74" t="n">
        <v>950</v>
      </c>
      <c r="G299" s="74" t="n">
        <v>61.46</v>
      </c>
      <c r="H299" s="74" t="n">
        <v>203.19</v>
      </c>
      <c r="I299" s="74" t="n">
        <v>52.07</v>
      </c>
      <c r="J299" s="74" t="n">
        <v>172.15</v>
      </c>
      <c r="K299" s="74" t="n">
        <v>40</v>
      </c>
      <c r="T299" s="74" t="n">
        <v>4</v>
      </c>
      <c r="U299" s="74" t="n">
        <v>2</v>
      </c>
      <c r="V299" s="74" t="inlineStr">
        <is>
          <t>복도식</t>
        </is>
      </c>
      <c r="W299" s="74" t="inlineStr">
        <is>
          <t>203B</t>
        </is>
      </c>
      <c r="X299" s="74" t="n">
        <v>20</v>
      </c>
      <c r="Y299" s="74" t="n">
        <v>20</v>
      </c>
      <c r="Z299" s="74" t="inlineStr">
        <is>
          <t>https://new.land.naver.com/complexes/27505?tab=detail&amp;rf=Y</t>
        </is>
      </c>
      <c r="AA299" s="74" t="inlineStr">
        <is>
          <t>전라북도 군산시 미룡동 71</t>
        </is>
      </c>
      <c r="AB299" s="74" t="inlineStr">
        <is>
          <t>전라북도</t>
        </is>
      </c>
      <c r="AC299" s="74" t="inlineStr">
        <is>
          <t>군산시</t>
        </is>
      </c>
      <c r="AD299" s="74" t="inlineStr">
        <is>
          <t>미룡동</t>
        </is>
      </c>
      <c r="AG299" s="74" t="inlineStr">
        <is>
          <t>전라북도 군산시 용둔길 12</t>
        </is>
      </c>
      <c r="AH299" s="74" t="n">
        <v>0</v>
      </c>
      <c r="AI299" s="74" t="n">
        <v>249</v>
      </c>
      <c r="AJ299" s="74" t="n">
        <v>15</v>
      </c>
      <c r="AK299" s="74" t="n">
        <v>1618</v>
      </c>
      <c r="AL299" s="74" t="n">
        <v>1.7</v>
      </c>
    </row>
    <row r="300">
      <c r="A300" s="74" t="inlineStr">
        <is>
          <t>[미룡동]</t>
        </is>
      </c>
      <c r="B300" s="74" t="n">
        <v>27505</v>
      </c>
      <c r="C300" s="74" t="n">
        <v>9</v>
      </c>
      <c r="D300" s="74" t="inlineStr">
        <is>
          <t>금광베네스타</t>
        </is>
      </c>
      <c r="E300" s="74" t="inlineStr">
        <is>
          <t>2008.12.</t>
        </is>
      </c>
      <c r="F300" s="74" t="n">
        <v>950</v>
      </c>
      <c r="G300" s="74" t="n">
        <v>61.97</v>
      </c>
      <c r="H300" s="74" t="n">
        <v>204.86</v>
      </c>
      <c r="I300" s="74" t="n">
        <v>51.63</v>
      </c>
      <c r="J300" s="74" t="n">
        <v>170.7</v>
      </c>
      <c r="K300" s="74" t="n">
        <v>39</v>
      </c>
      <c r="T300" s="74" t="n">
        <v>5</v>
      </c>
      <c r="U300" s="74" t="n">
        <v>2</v>
      </c>
      <c r="V300" s="74" t="inlineStr">
        <is>
          <t>복도식</t>
        </is>
      </c>
      <c r="W300" s="74" t="inlineStr">
        <is>
          <t>204A</t>
        </is>
      </c>
      <c r="X300" s="74" t="n">
        <v>20</v>
      </c>
      <c r="Y300" s="74" t="n">
        <v>20</v>
      </c>
      <c r="Z300" s="74" t="inlineStr">
        <is>
          <t>https://new.land.naver.com/complexes/27505?tab=detail&amp;rf=Y</t>
        </is>
      </c>
      <c r="AA300" s="74" t="inlineStr">
        <is>
          <t>전라북도 군산시 미룡동 71</t>
        </is>
      </c>
      <c r="AB300" s="74" t="inlineStr">
        <is>
          <t>전라북도</t>
        </is>
      </c>
      <c r="AC300" s="74" t="inlineStr">
        <is>
          <t>군산시</t>
        </is>
      </c>
      <c r="AD300" s="74" t="inlineStr">
        <is>
          <t>미룡동</t>
        </is>
      </c>
      <c r="AG300" s="74" t="inlineStr">
        <is>
          <t>전라북도 군산시 용둔길 12</t>
        </is>
      </c>
      <c r="AH300" s="74" t="n">
        <v>0</v>
      </c>
      <c r="AI300" s="74" t="n">
        <v>249</v>
      </c>
      <c r="AJ300" s="74" t="n">
        <v>15</v>
      </c>
      <c r="AK300" s="74" t="n">
        <v>1618</v>
      </c>
      <c r="AL300" s="74" t="n">
        <v>1.7</v>
      </c>
    </row>
    <row r="301">
      <c r="A301" s="74" t="inlineStr">
        <is>
          <t>[미룡동]</t>
        </is>
      </c>
      <c r="B301" s="74" t="n">
        <v>109106</v>
      </c>
      <c r="C301" s="74" t="n">
        <v>1</v>
      </c>
      <c r="D301" s="74" t="inlineStr">
        <is>
          <t>미룡대명3차</t>
        </is>
      </c>
      <c r="E301" s="74" t="inlineStr">
        <is>
          <t>2002.05.</t>
        </is>
      </c>
      <c r="F301" s="74" t="n">
        <v>188</v>
      </c>
      <c r="G301" s="74" t="n">
        <v>16.71</v>
      </c>
      <c r="H301" s="74" t="n">
        <v>55.25</v>
      </c>
      <c r="I301" s="74" t="n">
        <v>11.73</v>
      </c>
      <c r="J301" s="74" t="n">
        <v>38.79</v>
      </c>
      <c r="K301" s="74" t="n">
        <v>188</v>
      </c>
      <c r="T301" s="74" t="n">
        <v>2</v>
      </c>
      <c r="U301" s="74" t="n">
        <v>1</v>
      </c>
      <c r="V301" s="74" t="inlineStr">
        <is>
          <t>계단식</t>
        </is>
      </c>
      <c r="W301" s="74" t="n">
        <v>55</v>
      </c>
      <c r="X301" s="74" t="n">
        <v>18</v>
      </c>
      <c r="Y301" s="74" t="n">
        <v>9</v>
      </c>
      <c r="Z301" s="74" t="inlineStr">
        <is>
          <t>https://new.land.naver.com/complexes/109106?tab=detail&amp;rf=Y</t>
        </is>
      </c>
      <c r="AA301" s="74" t="inlineStr">
        <is>
          <t>전라북도 군산시 미룡동 854</t>
        </is>
      </c>
      <c r="AB301" s="74" t="inlineStr">
        <is>
          <t>전라북도</t>
        </is>
      </c>
      <c r="AC301" s="74" t="inlineStr">
        <is>
          <t>군산시</t>
        </is>
      </c>
      <c r="AD301" s="74" t="inlineStr">
        <is>
          <t>미룡동</t>
        </is>
      </c>
      <c r="AG301" s="74" t="inlineStr">
        <is>
          <t>전라북도 군산시 칠성3길 22</t>
        </is>
      </c>
      <c r="AH301" s="74" t="n">
        <v>0</v>
      </c>
      <c r="AI301" s="74" t="n">
        <v>204</v>
      </c>
      <c r="AJ301" s="74" t="n">
        <v>13</v>
      </c>
      <c r="AK301" s="74" t="n">
        <v>133</v>
      </c>
      <c r="AL301" s="74" t="n">
        <v>0.71</v>
      </c>
    </row>
    <row r="302">
      <c r="A302" s="74" t="inlineStr">
        <is>
          <t>[미룡동]</t>
        </is>
      </c>
      <c r="B302" s="74" t="n">
        <v>27504</v>
      </c>
      <c r="C302" s="74" t="n">
        <v>1</v>
      </c>
      <c r="D302" s="74" t="inlineStr">
        <is>
          <t>은파롯데캐슬</t>
        </is>
      </c>
      <c r="E302" s="74" t="inlineStr">
        <is>
          <t>2007.09.</t>
        </is>
      </c>
      <c r="F302" s="74" t="n">
        <v>307</v>
      </c>
      <c r="G302" s="74" t="n">
        <v>33.2</v>
      </c>
      <c r="H302" s="74" t="n">
        <v>109.78</v>
      </c>
      <c r="I302" s="74" t="n">
        <v>25.69</v>
      </c>
      <c r="J302" s="74" t="n">
        <v>84.95</v>
      </c>
      <c r="K302" s="74" t="n">
        <v>50</v>
      </c>
      <c r="T302" s="74" t="n">
        <v>3</v>
      </c>
      <c r="U302" s="74" t="n">
        <v>2</v>
      </c>
      <c r="V302" s="74" t="inlineStr">
        <is>
          <t>복도식</t>
        </is>
      </c>
      <c r="W302" s="74" t="n">
        <v>109</v>
      </c>
      <c r="X302" s="74" t="n">
        <v>15</v>
      </c>
      <c r="Y302" s="74" t="n">
        <v>9</v>
      </c>
      <c r="Z302" s="74" t="inlineStr">
        <is>
          <t>https://new.land.naver.com/complexes/27504?tab=detail&amp;rf=Y</t>
        </is>
      </c>
      <c r="AA302" s="74" t="inlineStr">
        <is>
          <t>전라북도 군산시 미룡동 59-118</t>
        </is>
      </c>
      <c r="AB302" s="74" t="inlineStr">
        <is>
          <t>전라북도</t>
        </is>
      </c>
      <c r="AC302" s="74" t="inlineStr">
        <is>
          <t>군산시</t>
        </is>
      </c>
      <c r="AD302" s="74" t="inlineStr">
        <is>
          <t>미룡동</t>
        </is>
      </c>
      <c r="AG302" s="74" t="inlineStr">
        <is>
          <t>전라북도 군산시 미룡로 63</t>
        </is>
      </c>
      <c r="AH302" s="74" t="n">
        <v>0</v>
      </c>
      <c r="AI302" s="74" t="n">
        <v>244</v>
      </c>
      <c r="AJ302" s="74" t="n">
        <v>59</v>
      </c>
      <c r="AK302" s="74" t="n">
        <v>450</v>
      </c>
      <c r="AL302" s="74" t="n">
        <v>1.47</v>
      </c>
    </row>
    <row r="303">
      <c r="A303" s="74" t="inlineStr">
        <is>
          <t>[미룡동]</t>
        </is>
      </c>
      <c r="B303" s="74" t="n">
        <v>27504</v>
      </c>
      <c r="C303" s="74" t="n">
        <v>2</v>
      </c>
      <c r="D303" s="74" t="inlineStr">
        <is>
          <t>은파롯데캐슬</t>
        </is>
      </c>
      <c r="E303" s="74" t="inlineStr">
        <is>
          <t>2007.09.</t>
        </is>
      </c>
      <c r="F303" s="74" t="n">
        <v>307</v>
      </c>
      <c r="G303" s="74" t="n">
        <v>39.3</v>
      </c>
      <c r="H303" s="74" t="n">
        <v>129.92</v>
      </c>
      <c r="I303" s="74" t="n">
        <v>31.1</v>
      </c>
      <c r="J303" s="74" t="n">
        <v>102.83</v>
      </c>
      <c r="K303" s="74" t="n">
        <v>52</v>
      </c>
      <c r="T303" s="74" t="n">
        <v>3</v>
      </c>
      <c r="U303" s="74" t="n">
        <v>2</v>
      </c>
      <c r="V303" s="74" t="inlineStr">
        <is>
          <t>복도식</t>
        </is>
      </c>
      <c r="W303" s="74" t="inlineStr">
        <is>
          <t>129B</t>
        </is>
      </c>
      <c r="X303" s="74" t="n">
        <v>15</v>
      </c>
      <c r="Y303" s="74" t="n">
        <v>9</v>
      </c>
      <c r="Z303" s="74" t="inlineStr">
        <is>
          <t>https://new.land.naver.com/complexes/27504?tab=detail&amp;rf=Y</t>
        </is>
      </c>
      <c r="AA303" s="74" t="inlineStr">
        <is>
          <t>전라북도 군산시 미룡동 59-118</t>
        </is>
      </c>
      <c r="AB303" s="74" t="inlineStr">
        <is>
          <t>전라북도</t>
        </is>
      </c>
      <c r="AC303" s="74" t="inlineStr">
        <is>
          <t>군산시</t>
        </is>
      </c>
      <c r="AD303" s="74" t="inlineStr">
        <is>
          <t>미룡동</t>
        </is>
      </c>
      <c r="AG303" s="74" t="inlineStr">
        <is>
          <t>전라북도 군산시 미룡로 63</t>
        </is>
      </c>
      <c r="AH303" s="74" t="n">
        <v>0</v>
      </c>
      <c r="AI303" s="74" t="n">
        <v>244</v>
      </c>
      <c r="AJ303" s="74" t="n">
        <v>59</v>
      </c>
      <c r="AK303" s="74" t="n">
        <v>450</v>
      </c>
      <c r="AL303" s="74" t="n">
        <v>1.47</v>
      </c>
    </row>
    <row r="304">
      <c r="A304" s="74" t="inlineStr">
        <is>
          <t>[미룡동]</t>
        </is>
      </c>
      <c r="B304" s="74" t="n">
        <v>27504</v>
      </c>
      <c r="C304" s="74" t="n">
        <v>3</v>
      </c>
      <c r="D304" s="74" t="inlineStr">
        <is>
          <t>은파롯데캐슬</t>
        </is>
      </c>
      <c r="E304" s="74" t="inlineStr">
        <is>
          <t>2007.09.</t>
        </is>
      </c>
      <c r="F304" s="74" t="n">
        <v>307</v>
      </c>
      <c r="G304" s="74" t="n">
        <v>39.76</v>
      </c>
      <c r="H304" s="74" t="n">
        <v>131.47</v>
      </c>
      <c r="I304" s="74" t="n">
        <v>31.63</v>
      </c>
      <c r="J304" s="74" t="n">
        <v>104.59</v>
      </c>
      <c r="K304" s="74" t="n">
        <v>79</v>
      </c>
      <c r="T304" s="74" t="n">
        <v>3</v>
      </c>
      <c r="U304" s="74" t="n">
        <v>2</v>
      </c>
      <c r="V304" s="74" t="inlineStr">
        <is>
          <t>복도식</t>
        </is>
      </c>
      <c r="W304" s="74" t="inlineStr">
        <is>
          <t>131A</t>
        </is>
      </c>
      <c r="X304" s="74" t="n">
        <v>15</v>
      </c>
      <c r="Y304" s="74" t="n">
        <v>9</v>
      </c>
      <c r="Z304" s="74" t="inlineStr">
        <is>
          <t>https://new.land.naver.com/complexes/27504?tab=detail&amp;rf=Y</t>
        </is>
      </c>
      <c r="AA304" s="74" t="inlineStr">
        <is>
          <t>전라북도 군산시 미룡동 59-118</t>
        </is>
      </c>
      <c r="AB304" s="74" t="inlineStr">
        <is>
          <t>전라북도</t>
        </is>
      </c>
      <c r="AC304" s="74" t="inlineStr">
        <is>
          <t>군산시</t>
        </is>
      </c>
      <c r="AD304" s="74" t="inlineStr">
        <is>
          <t>미룡동</t>
        </is>
      </c>
      <c r="AG304" s="74" t="inlineStr">
        <is>
          <t>전라북도 군산시 미룡로 63</t>
        </is>
      </c>
      <c r="AH304" s="74" t="n">
        <v>0</v>
      </c>
      <c r="AI304" s="74" t="n">
        <v>244</v>
      </c>
      <c r="AJ304" s="74" t="n">
        <v>59</v>
      </c>
      <c r="AK304" s="74" t="n">
        <v>450</v>
      </c>
      <c r="AL304" s="74" t="n">
        <v>1.47</v>
      </c>
    </row>
    <row r="305">
      <c r="A305" s="74" t="inlineStr">
        <is>
          <t>[미룡동]</t>
        </is>
      </c>
      <c r="B305" s="74" t="n">
        <v>27504</v>
      </c>
      <c r="C305" s="74" t="n">
        <v>4</v>
      </c>
      <c r="D305" s="74" t="inlineStr">
        <is>
          <t>은파롯데캐슬</t>
        </is>
      </c>
      <c r="E305" s="74" t="inlineStr">
        <is>
          <t>2007.09.</t>
        </is>
      </c>
      <c r="F305" s="74" t="n">
        <v>307</v>
      </c>
      <c r="G305" s="74" t="n">
        <v>47.88</v>
      </c>
      <c r="H305" s="74" t="n">
        <v>158.31</v>
      </c>
      <c r="I305" s="74" t="n">
        <v>38.48</v>
      </c>
      <c r="J305" s="74" t="n">
        <v>127.22</v>
      </c>
      <c r="K305" s="74" t="n">
        <v>77</v>
      </c>
      <c r="T305" s="74" t="n">
        <v>4</v>
      </c>
      <c r="U305" s="74" t="n">
        <v>2</v>
      </c>
      <c r="V305" s="74" t="inlineStr">
        <is>
          <t>복도식</t>
        </is>
      </c>
      <c r="W305" s="74" t="inlineStr">
        <is>
          <t>158B</t>
        </is>
      </c>
      <c r="X305" s="74" t="n">
        <v>15</v>
      </c>
      <c r="Y305" s="74" t="n">
        <v>9</v>
      </c>
      <c r="Z305" s="74" t="inlineStr">
        <is>
          <t>https://new.land.naver.com/complexes/27504?tab=detail&amp;rf=Y</t>
        </is>
      </c>
      <c r="AA305" s="74" t="inlineStr">
        <is>
          <t>전라북도 군산시 미룡동 59-118</t>
        </is>
      </c>
      <c r="AB305" s="74" t="inlineStr">
        <is>
          <t>전라북도</t>
        </is>
      </c>
      <c r="AC305" s="74" t="inlineStr">
        <is>
          <t>군산시</t>
        </is>
      </c>
      <c r="AD305" s="74" t="inlineStr">
        <is>
          <t>미룡동</t>
        </is>
      </c>
      <c r="AG305" s="74" t="inlineStr">
        <is>
          <t>전라북도 군산시 미룡로 63</t>
        </is>
      </c>
      <c r="AH305" s="74" t="n">
        <v>0</v>
      </c>
      <c r="AI305" s="74" t="n">
        <v>244</v>
      </c>
      <c r="AJ305" s="74" t="n">
        <v>59</v>
      </c>
      <c r="AK305" s="74" t="n">
        <v>450</v>
      </c>
      <c r="AL305" s="74" t="n">
        <v>1.47</v>
      </c>
    </row>
    <row r="306">
      <c r="A306" s="74" t="inlineStr">
        <is>
          <t>[미룡동]</t>
        </is>
      </c>
      <c r="B306" s="74" t="n">
        <v>27504</v>
      </c>
      <c r="C306" s="74" t="n">
        <v>5</v>
      </c>
      <c r="D306" s="74" t="inlineStr">
        <is>
          <t>은파롯데캐슬</t>
        </is>
      </c>
      <c r="E306" s="74" t="inlineStr">
        <is>
          <t>2007.09.</t>
        </is>
      </c>
      <c r="F306" s="74" t="n">
        <v>307</v>
      </c>
      <c r="G306" s="74" t="n">
        <v>47.87</v>
      </c>
      <c r="H306" s="74" t="n">
        <v>158.25</v>
      </c>
      <c r="I306" s="74" t="n">
        <v>38.05</v>
      </c>
      <c r="J306" s="74" t="n">
        <v>125.79</v>
      </c>
      <c r="K306" s="74" t="n">
        <v>22</v>
      </c>
      <c r="T306" s="74" t="n">
        <v>4</v>
      </c>
      <c r="U306" s="74" t="n">
        <v>2</v>
      </c>
      <c r="V306" s="74" t="inlineStr">
        <is>
          <t>복도식</t>
        </is>
      </c>
      <c r="W306" s="74" t="inlineStr">
        <is>
          <t>158A</t>
        </is>
      </c>
      <c r="X306" s="74" t="n">
        <v>15</v>
      </c>
      <c r="Y306" s="74" t="n">
        <v>9</v>
      </c>
      <c r="Z306" s="74" t="inlineStr">
        <is>
          <t>https://new.land.naver.com/complexes/27504?tab=detail&amp;rf=Y</t>
        </is>
      </c>
      <c r="AA306" s="74" t="inlineStr">
        <is>
          <t>전라북도 군산시 미룡동 59-118</t>
        </is>
      </c>
      <c r="AB306" s="74" t="inlineStr">
        <is>
          <t>전라북도</t>
        </is>
      </c>
      <c r="AC306" s="74" t="inlineStr">
        <is>
          <t>군산시</t>
        </is>
      </c>
      <c r="AD306" s="74" t="inlineStr">
        <is>
          <t>미룡동</t>
        </is>
      </c>
      <c r="AG306" s="74" t="inlineStr">
        <is>
          <t>전라북도 군산시 미룡로 63</t>
        </is>
      </c>
      <c r="AH306" s="74" t="n">
        <v>0</v>
      </c>
      <c r="AI306" s="74" t="n">
        <v>244</v>
      </c>
      <c r="AJ306" s="74" t="n">
        <v>59</v>
      </c>
      <c r="AK306" s="74" t="n">
        <v>450</v>
      </c>
      <c r="AL306" s="74" t="n">
        <v>1.47</v>
      </c>
    </row>
    <row r="307">
      <c r="A307" s="74" t="inlineStr">
        <is>
          <t>[미룡동]</t>
        </is>
      </c>
      <c r="B307" s="74" t="n">
        <v>27504</v>
      </c>
      <c r="C307" s="74" t="n">
        <v>6</v>
      </c>
      <c r="D307" s="74" t="inlineStr">
        <is>
          <t>은파롯데캐슬</t>
        </is>
      </c>
      <c r="E307" s="74" t="inlineStr">
        <is>
          <t>2007.09.</t>
        </is>
      </c>
      <c r="F307" s="74" t="n">
        <v>307</v>
      </c>
      <c r="G307" s="74" t="n">
        <v>57.3</v>
      </c>
      <c r="H307" s="74" t="n">
        <v>189.45</v>
      </c>
      <c r="I307" s="74" t="n">
        <v>45.22</v>
      </c>
      <c r="J307" s="74" t="n">
        <v>149.51</v>
      </c>
      <c r="K307" s="74" t="n">
        <v>26</v>
      </c>
      <c r="T307" s="74" t="n">
        <v>4</v>
      </c>
      <c r="U307" s="74" t="n">
        <v>2</v>
      </c>
      <c r="V307" s="74" t="inlineStr">
        <is>
          <t>복도식</t>
        </is>
      </c>
      <c r="W307" s="74" t="n">
        <v>189</v>
      </c>
      <c r="X307" s="74" t="n">
        <v>15</v>
      </c>
      <c r="Y307" s="74" t="n">
        <v>9</v>
      </c>
      <c r="Z307" s="74" t="inlineStr">
        <is>
          <t>https://new.land.naver.com/complexes/27504?tab=detail&amp;rf=Y</t>
        </is>
      </c>
      <c r="AA307" s="74" t="inlineStr">
        <is>
          <t>전라북도 군산시 미룡동 59-118</t>
        </is>
      </c>
      <c r="AB307" s="74" t="inlineStr">
        <is>
          <t>전라북도</t>
        </is>
      </c>
      <c r="AC307" s="74" t="inlineStr">
        <is>
          <t>군산시</t>
        </is>
      </c>
      <c r="AD307" s="74" t="inlineStr">
        <is>
          <t>미룡동</t>
        </is>
      </c>
      <c r="AG307" s="74" t="inlineStr">
        <is>
          <t>전라북도 군산시 미룡로 63</t>
        </is>
      </c>
      <c r="AH307" s="74" t="n">
        <v>0</v>
      </c>
      <c r="AI307" s="74" t="n">
        <v>244</v>
      </c>
      <c r="AJ307" s="74" t="n">
        <v>59</v>
      </c>
      <c r="AK307" s="74" t="n">
        <v>450</v>
      </c>
      <c r="AL307" s="74" t="n">
        <v>1.47</v>
      </c>
    </row>
    <row r="308">
      <c r="A308" s="74" t="inlineStr">
        <is>
          <t>[미룡동]</t>
        </is>
      </c>
      <c r="B308" s="74" t="n">
        <v>27504</v>
      </c>
      <c r="C308" s="74" t="n">
        <v>7</v>
      </c>
      <c r="D308" s="74" t="inlineStr">
        <is>
          <t>은파롯데캐슬</t>
        </is>
      </c>
      <c r="E308" s="74" t="inlineStr">
        <is>
          <t>2007.09.</t>
        </is>
      </c>
      <c r="F308" s="74" t="n">
        <v>307</v>
      </c>
      <c r="G308" s="74" t="n">
        <v>72.98999999999999</v>
      </c>
      <c r="H308" s="74" t="n">
        <v>241.31</v>
      </c>
      <c r="I308" s="74" t="n">
        <v>58.89</v>
      </c>
      <c r="J308" s="74" t="n">
        <v>194.71</v>
      </c>
      <c r="K308" s="74" t="n">
        <v>1</v>
      </c>
      <c r="T308" s="74" t="n">
        <v>4</v>
      </c>
      <c r="U308" s="74" t="n">
        <v>2</v>
      </c>
      <c r="V308" s="74" t="inlineStr">
        <is>
          <t>복도식</t>
        </is>
      </c>
      <c r="W308" s="74" t="n">
        <v>241</v>
      </c>
      <c r="X308" s="74" t="n">
        <v>15</v>
      </c>
      <c r="Y308" s="74" t="n">
        <v>9</v>
      </c>
      <c r="Z308" s="74" t="inlineStr">
        <is>
          <t>https://new.land.naver.com/complexes/27504?tab=detail&amp;rf=Y</t>
        </is>
      </c>
      <c r="AA308" s="74" t="inlineStr">
        <is>
          <t>전라북도 군산시 미룡동 59-118</t>
        </is>
      </c>
      <c r="AB308" s="74" t="inlineStr">
        <is>
          <t>전라북도</t>
        </is>
      </c>
      <c r="AC308" s="74" t="inlineStr">
        <is>
          <t>군산시</t>
        </is>
      </c>
      <c r="AD308" s="74" t="inlineStr">
        <is>
          <t>미룡동</t>
        </is>
      </c>
      <c r="AG308" s="74" t="inlineStr">
        <is>
          <t>전라북도 군산시 미룡로 63</t>
        </is>
      </c>
      <c r="AH308" s="74" t="n">
        <v>0</v>
      </c>
      <c r="AI308" s="74" t="n">
        <v>244</v>
      </c>
      <c r="AJ308" s="74" t="n">
        <v>59</v>
      </c>
      <c r="AK308" s="74" t="n">
        <v>450</v>
      </c>
      <c r="AL308" s="74" t="n">
        <v>1.47</v>
      </c>
    </row>
    <row r="309">
      <c r="A309" s="74" t="inlineStr">
        <is>
          <t>[미룡동]</t>
        </is>
      </c>
      <c r="B309" s="74" t="n">
        <v>128348</v>
      </c>
      <c r="C309" s="74" t="n">
        <v>1</v>
      </c>
      <c r="D309" s="74" t="inlineStr">
        <is>
          <t>위즈홈(도시형)</t>
        </is>
      </c>
      <c r="E309" s="74" t="inlineStr">
        <is>
          <t>2017.05.</t>
        </is>
      </c>
      <c r="F309" s="74" t="n">
        <v>23</v>
      </c>
      <c r="G309" s="74" t="n">
        <v>10.18</v>
      </c>
      <c r="H309" s="74" t="n">
        <v>33.68</v>
      </c>
      <c r="I309" s="74" t="n">
        <v>7.48</v>
      </c>
      <c r="J309" s="74" t="n">
        <v>24.75</v>
      </c>
      <c r="K309" s="74" t="n">
        <v>1</v>
      </c>
      <c r="T309" s="74" t="n">
        <v>1</v>
      </c>
      <c r="U309" s="74" t="n">
        <v>1</v>
      </c>
      <c r="V309" s="74" t="inlineStr">
        <is>
          <t>계단식</t>
        </is>
      </c>
      <c r="W309" s="74" t="n">
        <v>33</v>
      </c>
      <c r="X309" s="74" t="n">
        <v>6</v>
      </c>
      <c r="Y309" s="74" t="n">
        <v>4</v>
      </c>
      <c r="Z309" s="74" t="inlineStr">
        <is>
          <t>https://new.land.naver.com/complexes/128348?tab=detail&amp;rf=Y</t>
        </is>
      </c>
      <c r="AA309" s="74" t="inlineStr">
        <is>
          <t>전라북도 군산시 미룡동 842-5</t>
        </is>
      </c>
      <c r="AB309" s="74" t="inlineStr">
        <is>
          <t>전라북도</t>
        </is>
      </c>
      <c r="AC309" s="74" t="inlineStr">
        <is>
          <t>군산시</t>
        </is>
      </c>
      <c r="AD309" s="74" t="inlineStr">
        <is>
          <t>미룡동</t>
        </is>
      </c>
      <c r="AG309" s="74" t="inlineStr">
        <is>
          <t>전라북도 군산시 칠성2길 48</t>
        </is>
      </c>
      <c r="AH309" s="74" t="n">
        <v>0</v>
      </c>
      <c r="AI309" s="74" t="n">
        <v>189</v>
      </c>
      <c r="AJ309" s="74" t="n">
        <v>46</v>
      </c>
      <c r="AK309" s="74" t="n">
        <v>15</v>
      </c>
      <c r="AL309" s="74" t="n">
        <v>0.65</v>
      </c>
    </row>
    <row r="310">
      <c r="A310" s="74" t="inlineStr">
        <is>
          <t>[미룡동]</t>
        </is>
      </c>
      <c r="B310" s="74" t="n">
        <v>128348</v>
      </c>
      <c r="C310" s="74" t="n">
        <v>2</v>
      </c>
      <c r="D310" s="74" t="inlineStr">
        <is>
          <t>위즈홈(도시형)</t>
        </is>
      </c>
      <c r="E310" s="74" t="inlineStr">
        <is>
          <t>2017.05.</t>
        </is>
      </c>
      <c r="F310" s="74" t="n">
        <v>23</v>
      </c>
      <c r="G310" s="74" t="n">
        <v>12.7</v>
      </c>
      <c r="H310" s="74" t="n">
        <v>42</v>
      </c>
      <c r="I310" s="74" t="n">
        <v>9.33</v>
      </c>
      <c r="J310" s="74" t="n">
        <v>30.87</v>
      </c>
      <c r="K310" s="74" t="n">
        <v>2</v>
      </c>
      <c r="T310" s="74" t="n">
        <v>1</v>
      </c>
      <c r="U310" s="74" t="n">
        <v>1</v>
      </c>
      <c r="V310" s="74" t="inlineStr">
        <is>
          <t>계단식</t>
        </is>
      </c>
      <c r="W310" s="74" t="n">
        <v>42</v>
      </c>
      <c r="X310" s="74" t="n">
        <v>6</v>
      </c>
      <c r="Y310" s="74" t="n">
        <v>4</v>
      </c>
      <c r="Z310" s="74" t="inlineStr">
        <is>
          <t>https://new.land.naver.com/complexes/128348?tab=detail&amp;rf=Y</t>
        </is>
      </c>
      <c r="AA310" s="74" t="inlineStr">
        <is>
          <t>전라북도 군산시 미룡동 842-5</t>
        </is>
      </c>
      <c r="AB310" s="74" t="inlineStr">
        <is>
          <t>전라북도</t>
        </is>
      </c>
      <c r="AC310" s="74" t="inlineStr">
        <is>
          <t>군산시</t>
        </is>
      </c>
      <c r="AD310" s="74" t="inlineStr">
        <is>
          <t>미룡동</t>
        </is>
      </c>
      <c r="AG310" s="74" t="inlineStr">
        <is>
          <t>전라북도 군산시 칠성2길 48</t>
        </is>
      </c>
      <c r="AH310" s="74" t="n">
        <v>0</v>
      </c>
      <c r="AI310" s="74" t="n">
        <v>189</v>
      </c>
      <c r="AJ310" s="74" t="n">
        <v>46</v>
      </c>
      <c r="AK310" s="74" t="n">
        <v>15</v>
      </c>
      <c r="AL310" s="74" t="n">
        <v>0.65</v>
      </c>
    </row>
    <row r="311">
      <c r="A311" s="74" t="inlineStr">
        <is>
          <t>[미룡동]</t>
        </is>
      </c>
      <c r="B311" s="74" t="n">
        <v>128348</v>
      </c>
      <c r="C311" s="74" t="n">
        <v>3</v>
      </c>
      <c r="D311" s="74" t="inlineStr">
        <is>
          <t>위즈홈(도시형)</t>
        </is>
      </c>
      <c r="E311" s="74" t="inlineStr">
        <is>
          <t>2017.05.</t>
        </is>
      </c>
      <c r="F311" s="74" t="n">
        <v>23</v>
      </c>
      <c r="G311" s="74" t="n">
        <v>14.46</v>
      </c>
      <c r="H311" s="74" t="n">
        <v>47.82</v>
      </c>
      <c r="I311" s="74" t="n">
        <v>10.63</v>
      </c>
      <c r="J311" s="74" t="n">
        <v>35.15</v>
      </c>
      <c r="K311" s="74" t="n">
        <v>5</v>
      </c>
      <c r="T311" s="74" t="n">
        <v>1</v>
      </c>
      <c r="U311" s="74" t="n">
        <v>1</v>
      </c>
      <c r="V311" s="74" t="inlineStr">
        <is>
          <t>계단식</t>
        </is>
      </c>
      <c r="W311" s="74" t="n">
        <v>47</v>
      </c>
      <c r="X311" s="74" t="n">
        <v>6</v>
      </c>
      <c r="Y311" s="74" t="n">
        <v>4</v>
      </c>
      <c r="Z311" s="74" t="inlineStr">
        <is>
          <t>https://new.land.naver.com/complexes/128348?tab=detail&amp;rf=Y</t>
        </is>
      </c>
      <c r="AA311" s="74" t="inlineStr">
        <is>
          <t>전라북도 군산시 미룡동 842-5</t>
        </is>
      </c>
      <c r="AB311" s="74" t="inlineStr">
        <is>
          <t>전라북도</t>
        </is>
      </c>
      <c r="AC311" s="74" t="inlineStr">
        <is>
          <t>군산시</t>
        </is>
      </c>
      <c r="AD311" s="74" t="inlineStr">
        <is>
          <t>미룡동</t>
        </is>
      </c>
      <c r="AG311" s="74" t="inlineStr">
        <is>
          <t>전라북도 군산시 칠성2길 48</t>
        </is>
      </c>
      <c r="AH311" s="74" t="n">
        <v>0</v>
      </c>
      <c r="AI311" s="74" t="n">
        <v>189</v>
      </c>
      <c r="AJ311" s="74" t="n">
        <v>46</v>
      </c>
      <c r="AK311" s="74" t="n">
        <v>15</v>
      </c>
      <c r="AL311" s="74" t="n">
        <v>0.65</v>
      </c>
    </row>
    <row r="312">
      <c r="A312" s="74" t="inlineStr">
        <is>
          <t>[미룡동]</t>
        </is>
      </c>
      <c r="B312" s="74" t="n">
        <v>128348</v>
      </c>
      <c r="C312" s="74" t="n">
        <v>4</v>
      </c>
      <c r="D312" s="74" t="inlineStr">
        <is>
          <t>위즈홈(도시형)</t>
        </is>
      </c>
      <c r="E312" s="74" t="inlineStr">
        <is>
          <t>2017.05.</t>
        </is>
      </c>
      <c r="F312" s="74" t="n">
        <v>23</v>
      </c>
      <c r="G312" s="74" t="n">
        <v>16.19</v>
      </c>
      <c r="H312" s="74" t="n">
        <v>53.54</v>
      </c>
      <c r="I312" s="74" t="n">
        <v>11.9</v>
      </c>
      <c r="J312" s="74" t="n">
        <v>39.36</v>
      </c>
      <c r="K312" s="74" t="n">
        <v>5</v>
      </c>
      <c r="T312" s="74" t="n">
        <v>1</v>
      </c>
      <c r="U312" s="74" t="n">
        <v>1</v>
      </c>
      <c r="V312" s="74" t="inlineStr">
        <is>
          <t>계단식</t>
        </is>
      </c>
      <c r="W312" s="74" t="n">
        <v>53</v>
      </c>
      <c r="X312" s="74" t="n">
        <v>6</v>
      </c>
      <c r="Y312" s="74" t="n">
        <v>4</v>
      </c>
      <c r="Z312" s="74" t="inlineStr">
        <is>
          <t>https://new.land.naver.com/complexes/128348?tab=detail&amp;rf=Y</t>
        </is>
      </c>
      <c r="AA312" s="74" t="inlineStr">
        <is>
          <t>전라북도 군산시 미룡동 842-5</t>
        </is>
      </c>
      <c r="AB312" s="74" t="inlineStr">
        <is>
          <t>전라북도</t>
        </is>
      </c>
      <c r="AC312" s="74" t="inlineStr">
        <is>
          <t>군산시</t>
        </is>
      </c>
      <c r="AD312" s="74" t="inlineStr">
        <is>
          <t>미룡동</t>
        </is>
      </c>
      <c r="AG312" s="74" t="inlineStr">
        <is>
          <t>전라북도 군산시 칠성2길 48</t>
        </is>
      </c>
      <c r="AH312" s="74" t="n">
        <v>0</v>
      </c>
      <c r="AI312" s="74" t="n">
        <v>189</v>
      </c>
      <c r="AJ312" s="74" t="n">
        <v>46</v>
      </c>
      <c r="AK312" s="74" t="n">
        <v>15</v>
      </c>
      <c r="AL312" s="74" t="n">
        <v>0.65</v>
      </c>
    </row>
    <row r="313">
      <c r="A313" s="74" t="inlineStr">
        <is>
          <t>[미룡동]</t>
        </is>
      </c>
      <c r="B313" s="74" t="n">
        <v>128348</v>
      </c>
      <c r="C313" s="74" t="n">
        <v>5</v>
      </c>
      <c r="D313" s="74" t="inlineStr">
        <is>
          <t>위즈홈(도시형)</t>
        </is>
      </c>
      <c r="E313" s="74" t="inlineStr">
        <is>
          <t>2017.05.</t>
        </is>
      </c>
      <c r="F313" s="74" t="n">
        <v>23</v>
      </c>
      <c r="G313" s="74" t="n">
        <v>17.88</v>
      </c>
      <c r="H313" s="74" t="n">
        <v>59.14</v>
      </c>
      <c r="I313" s="74" t="n">
        <v>13.14</v>
      </c>
      <c r="J313" s="74" t="n">
        <v>43.47</v>
      </c>
      <c r="K313" s="74" t="n">
        <v>10</v>
      </c>
      <c r="T313" s="74" t="n">
        <v>2</v>
      </c>
      <c r="U313" s="74" t="n">
        <v>1</v>
      </c>
      <c r="V313" s="74" t="inlineStr">
        <is>
          <t>계단식</t>
        </is>
      </c>
      <c r="W313" s="74" t="n">
        <v>59</v>
      </c>
      <c r="X313" s="74" t="n">
        <v>6</v>
      </c>
      <c r="Y313" s="74" t="n">
        <v>4</v>
      </c>
      <c r="Z313" s="74" t="inlineStr">
        <is>
          <t>https://new.land.naver.com/complexes/128348?tab=detail&amp;rf=Y</t>
        </is>
      </c>
      <c r="AA313" s="74" t="inlineStr">
        <is>
          <t>전라북도 군산시 미룡동 842-5</t>
        </is>
      </c>
      <c r="AB313" s="74" t="inlineStr">
        <is>
          <t>전라북도</t>
        </is>
      </c>
      <c r="AC313" s="74" t="inlineStr">
        <is>
          <t>군산시</t>
        </is>
      </c>
      <c r="AD313" s="74" t="inlineStr">
        <is>
          <t>미룡동</t>
        </is>
      </c>
      <c r="AG313" s="74" t="inlineStr">
        <is>
          <t>전라북도 군산시 칠성2길 48</t>
        </is>
      </c>
      <c r="AH313" s="74" t="n">
        <v>0</v>
      </c>
      <c r="AI313" s="74" t="n">
        <v>189</v>
      </c>
      <c r="AJ313" s="74" t="n">
        <v>46</v>
      </c>
      <c r="AK313" s="74" t="n">
        <v>15</v>
      </c>
      <c r="AL313" s="74" t="n">
        <v>0.65</v>
      </c>
    </row>
    <row r="314">
      <c r="A314" s="74" t="inlineStr">
        <is>
          <t>[미룡동]</t>
        </is>
      </c>
      <c r="B314" s="74" t="n">
        <v>27131</v>
      </c>
      <c r="C314" s="74" t="n">
        <v>1</v>
      </c>
      <c r="D314" s="74" t="inlineStr">
        <is>
          <t>미룡주공3단지</t>
        </is>
      </c>
      <c r="E314" s="74" t="inlineStr">
        <is>
          <t>2001.06.</t>
        </is>
      </c>
      <c r="F314" s="74" t="n">
        <v>1460</v>
      </c>
      <c r="G314" s="74" t="n">
        <v>19.43</v>
      </c>
      <c r="H314" s="74" t="n">
        <v>64.26000000000001</v>
      </c>
      <c r="I314" s="74" t="n">
        <v>14.82</v>
      </c>
      <c r="J314" s="74" t="n">
        <v>49.01</v>
      </c>
      <c r="K314" s="74" t="n">
        <v>36</v>
      </c>
      <c r="T314" s="74" t="n">
        <v>2</v>
      </c>
      <c r="U314" s="74" t="n">
        <v>1</v>
      </c>
      <c r="V314" s="74" t="inlineStr">
        <is>
          <t>계단식</t>
        </is>
      </c>
      <c r="W314" s="74" t="inlineStr">
        <is>
          <t>64A</t>
        </is>
      </c>
      <c r="X314" s="74" t="n">
        <v>20</v>
      </c>
      <c r="Y314" s="74" t="n">
        <v>15</v>
      </c>
      <c r="Z314" s="74" t="inlineStr">
        <is>
          <t>https://new.land.naver.com/complexes/27131?tab=detail&amp;rf=Y</t>
        </is>
      </c>
      <c r="AA314" s="74" t="inlineStr">
        <is>
          <t>전라북도 군산시 미룡동 900-1</t>
        </is>
      </c>
      <c r="AB314" s="74" t="inlineStr">
        <is>
          <t>전라북도</t>
        </is>
      </c>
      <c r="AC314" s="74" t="inlineStr">
        <is>
          <t>군산시</t>
        </is>
      </c>
      <c r="AD314" s="74" t="inlineStr">
        <is>
          <t>미룡동</t>
        </is>
      </c>
      <c r="AG314" s="74" t="inlineStr">
        <is>
          <t>전라북도 군산시 미룡로 42</t>
        </is>
      </c>
      <c r="AH314" s="74" t="n">
        <v>0</v>
      </c>
      <c r="AI314" s="74" t="n">
        <v>201</v>
      </c>
      <c r="AJ314" s="74" t="n">
        <v>15</v>
      </c>
      <c r="AK314" s="74" t="n">
        <v>1319</v>
      </c>
      <c r="AL314" s="74" t="n">
        <v>0.9</v>
      </c>
    </row>
    <row r="315">
      <c r="A315" s="74" t="inlineStr">
        <is>
          <t>[미룡동]</t>
        </is>
      </c>
      <c r="B315" s="74" t="n">
        <v>27131</v>
      </c>
      <c r="C315" s="74" t="n">
        <v>2</v>
      </c>
      <c r="D315" s="74" t="inlineStr">
        <is>
          <t>미룡주공3단지</t>
        </is>
      </c>
      <c r="E315" s="74" t="inlineStr">
        <is>
          <t>2001.06.</t>
        </is>
      </c>
      <c r="F315" s="74" t="n">
        <v>1460</v>
      </c>
      <c r="G315" s="74" t="n">
        <v>19.77</v>
      </c>
      <c r="H315" s="74" t="n">
        <v>65.37</v>
      </c>
      <c r="I315" s="74" t="n">
        <v>15.08</v>
      </c>
      <c r="J315" s="74" t="n">
        <v>49.86</v>
      </c>
      <c r="K315" s="74" t="n">
        <v>529</v>
      </c>
      <c r="T315" s="74" t="n">
        <v>2</v>
      </c>
      <c r="U315" s="74" t="n">
        <v>1</v>
      </c>
      <c r="V315" s="74" t="inlineStr">
        <is>
          <t>계단식</t>
        </is>
      </c>
      <c r="W315" s="74" t="inlineStr">
        <is>
          <t>65C</t>
        </is>
      </c>
      <c r="X315" s="74" t="n">
        <v>20</v>
      </c>
      <c r="Y315" s="74" t="n">
        <v>15</v>
      </c>
      <c r="Z315" s="74" t="inlineStr">
        <is>
          <t>https://new.land.naver.com/complexes/27131?tab=detail&amp;rf=Y</t>
        </is>
      </c>
      <c r="AA315" s="74" t="inlineStr">
        <is>
          <t>전라북도 군산시 미룡동 900-1</t>
        </is>
      </c>
      <c r="AB315" s="74" t="inlineStr">
        <is>
          <t>전라북도</t>
        </is>
      </c>
      <c r="AC315" s="74" t="inlineStr">
        <is>
          <t>군산시</t>
        </is>
      </c>
      <c r="AD315" s="74" t="inlineStr">
        <is>
          <t>미룡동</t>
        </is>
      </c>
      <c r="AG315" s="74" t="inlineStr">
        <is>
          <t>전라북도 군산시 미룡로 42</t>
        </is>
      </c>
      <c r="AH315" s="74" t="n">
        <v>0</v>
      </c>
      <c r="AI315" s="74" t="n">
        <v>201</v>
      </c>
      <c r="AJ315" s="74" t="n">
        <v>15</v>
      </c>
      <c r="AK315" s="74" t="n">
        <v>1319</v>
      </c>
      <c r="AL315" s="74" t="n">
        <v>0.9</v>
      </c>
    </row>
    <row r="316">
      <c r="A316" s="74" t="inlineStr">
        <is>
          <t>[미룡동]</t>
        </is>
      </c>
      <c r="B316" s="74" t="n">
        <v>27131</v>
      </c>
      <c r="C316" s="74" t="n">
        <v>3</v>
      </c>
      <c r="D316" s="74" t="inlineStr">
        <is>
          <t>미룡주공3단지</t>
        </is>
      </c>
      <c r="E316" s="74" t="inlineStr">
        <is>
          <t>2001.06.</t>
        </is>
      </c>
      <c r="F316" s="74" t="n">
        <v>1460</v>
      </c>
      <c r="G316" s="74" t="n">
        <v>19.66</v>
      </c>
      <c r="H316" s="74" t="n">
        <v>65.01000000000001</v>
      </c>
      <c r="I316" s="74" t="n">
        <v>14.99</v>
      </c>
      <c r="J316" s="74" t="n">
        <v>49.58</v>
      </c>
      <c r="K316" s="74" t="n">
        <v>55</v>
      </c>
      <c r="T316" s="74" t="n">
        <v>2</v>
      </c>
      <c r="U316" s="74" t="n">
        <v>1</v>
      </c>
      <c r="V316" s="74" t="inlineStr">
        <is>
          <t>계단식</t>
        </is>
      </c>
      <c r="W316" s="74" t="inlineStr">
        <is>
          <t>65B</t>
        </is>
      </c>
      <c r="X316" s="74" t="n">
        <v>20</v>
      </c>
      <c r="Y316" s="74" t="n">
        <v>15</v>
      </c>
      <c r="Z316" s="74" t="inlineStr">
        <is>
          <t>https://new.land.naver.com/complexes/27131?tab=detail&amp;rf=Y</t>
        </is>
      </c>
      <c r="AA316" s="74" t="inlineStr">
        <is>
          <t>전라북도 군산시 미룡동 900-1</t>
        </is>
      </c>
      <c r="AB316" s="74" t="inlineStr">
        <is>
          <t>전라북도</t>
        </is>
      </c>
      <c r="AC316" s="74" t="inlineStr">
        <is>
          <t>군산시</t>
        </is>
      </c>
      <c r="AD316" s="74" t="inlineStr">
        <is>
          <t>미룡동</t>
        </is>
      </c>
      <c r="AG316" s="74" t="inlineStr">
        <is>
          <t>전라북도 군산시 미룡로 42</t>
        </is>
      </c>
      <c r="AH316" s="74" t="n">
        <v>0</v>
      </c>
      <c r="AI316" s="74" t="n">
        <v>201</v>
      </c>
      <c r="AJ316" s="74" t="n">
        <v>15</v>
      </c>
      <c r="AK316" s="74" t="n">
        <v>1319</v>
      </c>
      <c r="AL316" s="74" t="n">
        <v>0.9</v>
      </c>
    </row>
    <row r="317">
      <c r="A317" s="74" t="inlineStr">
        <is>
          <t>[미룡동]</t>
        </is>
      </c>
      <c r="B317" s="74" t="n">
        <v>27131</v>
      </c>
      <c r="C317" s="74" t="n">
        <v>4</v>
      </c>
      <c r="D317" s="74" t="inlineStr">
        <is>
          <t>미룡주공3단지</t>
        </is>
      </c>
      <c r="E317" s="74" t="inlineStr">
        <is>
          <t>2001.06.</t>
        </is>
      </c>
      <c r="F317" s="74" t="n">
        <v>1460</v>
      </c>
      <c r="G317" s="74" t="n">
        <v>23.56</v>
      </c>
      <c r="H317" s="74" t="n">
        <v>77.91</v>
      </c>
      <c r="I317" s="74" t="n">
        <v>17.97</v>
      </c>
      <c r="J317" s="74" t="n">
        <v>59.42</v>
      </c>
      <c r="K317" s="74" t="n">
        <v>759</v>
      </c>
      <c r="T317" s="74" t="n">
        <v>3</v>
      </c>
      <c r="U317" s="74" t="n">
        <v>1</v>
      </c>
      <c r="V317" s="74" t="inlineStr">
        <is>
          <t>계단식</t>
        </is>
      </c>
      <c r="W317" s="74" t="inlineStr">
        <is>
          <t>77A</t>
        </is>
      </c>
      <c r="X317" s="74" t="n">
        <v>20</v>
      </c>
      <c r="Y317" s="74" t="n">
        <v>15</v>
      </c>
      <c r="Z317" s="74" t="inlineStr">
        <is>
          <t>https://new.land.naver.com/complexes/27131?tab=detail&amp;rf=Y</t>
        </is>
      </c>
      <c r="AA317" s="74" t="inlineStr">
        <is>
          <t>전라북도 군산시 미룡동 900-1</t>
        </is>
      </c>
      <c r="AB317" s="74" t="inlineStr">
        <is>
          <t>전라북도</t>
        </is>
      </c>
      <c r="AC317" s="74" t="inlineStr">
        <is>
          <t>군산시</t>
        </is>
      </c>
      <c r="AD317" s="74" t="inlineStr">
        <is>
          <t>미룡동</t>
        </is>
      </c>
      <c r="AG317" s="74" t="inlineStr">
        <is>
          <t>전라북도 군산시 미룡로 42</t>
        </is>
      </c>
      <c r="AH317" s="74" t="n">
        <v>0</v>
      </c>
      <c r="AI317" s="74" t="n">
        <v>201</v>
      </c>
      <c r="AJ317" s="74" t="n">
        <v>15</v>
      </c>
      <c r="AK317" s="74" t="n">
        <v>1319</v>
      </c>
      <c r="AL317" s="74" t="n">
        <v>0.9</v>
      </c>
    </row>
    <row r="318">
      <c r="A318" s="74" t="inlineStr">
        <is>
          <t>[미룡동]</t>
        </is>
      </c>
      <c r="B318" s="74" t="n">
        <v>27131</v>
      </c>
      <c r="C318" s="74" t="n">
        <v>5</v>
      </c>
      <c r="D318" s="74" t="inlineStr">
        <is>
          <t>미룡주공3단지</t>
        </is>
      </c>
      <c r="E318" s="74" t="inlineStr">
        <is>
          <t>2001.06.</t>
        </is>
      </c>
      <c r="F318" s="74" t="n">
        <v>1460</v>
      </c>
      <c r="G318" s="74" t="n">
        <v>23.48</v>
      </c>
      <c r="H318" s="74" t="n">
        <v>77.63</v>
      </c>
      <c r="I318" s="74" t="n">
        <v>17.91</v>
      </c>
      <c r="J318" s="74" t="n">
        <v>59.21</v>
      </c>
      <c r="K318" s="74" t="n">
        <v>81</v>
      </c>
      <c r="T318" s="74" t="n">
        <v>3</v>
      </c>
      <c r="U318" s="74" t="n">
        <v>1</v>
      </c>
      <c r="V318" s="74" t="inlineStr">
        <is>
          <t>계단식</t>
        </is>
      </c>
      <c r="W318" s="74" t="inlineStr">
        <is>
          <t>77B</t>
        </is>
      </c>
      <c r="X318" s="74" t="n">
        <v>20</v>
      </c>
      <c r="Y318" s="74" t="n">
        <v>15</v>
      </c>
      <c r="Z318" s="74" t="inlineStr">
        <is>
          <t>https://new.land.naver.com/complexes/27131?tab=detail&amp;rf=Y</t>
        </is>
      </c>
      <c r="AA318" s="74" t="inlineStr">
        <is>
          <t>전라북도 군산시 미룡동 900-1</t>
        </is>
      </c>
      <c r="AB318" s="74" t="inlineStr">
        <is>
          <t>전라북도</t>
        </is>
      </c>
      <c r="AC318" s="74" t="inlineStr">
        <is>
          <t>군산시</t>
        </is>
      </c>
      <c r="AD318" s="74" t="inlineStr">
        <is>
          <t>미룡동</t>
        </is>
      </c>
      <c r="AG318" s="74" t="inlineStr">
        <is>
          <t>전라북도 군산시 미룡로 42</t>
        </is>
      </c>
      <c r="AH318" s="74" t="n">
        <v>0</v>
      </c>
      <c r="AI318" s="74" t="n">
        <v>201</v>
      </c>
      <c r="AJ318" s="74" t="n">
        <v>15</v>
      </c>
      <c r="AK318" s="74" t="n">
        <v>1319</v>
      </c>
      <c r="AL318" s="74" t="n">
        <v>0.9</v>
      </c>
    </row>
    <row r="319">
      <c r="A319" s="74" t="inlineStr">
        <is>
          <t>[미룡동]</t>
        </is>
      </c>
      <c r="B319" s="74" t="n">
        <v>114910</v>
      </c>
      <c r="C319" s="74" t="n">
        <v>1</v>
      </c>
      <c r="D319" s="74" t="inlineStr">
        <is>
          <t>산북부향하나로3차</t>
        </is>
      </c>
      <c r="E319" s="74" t="inlineStr">
        <is>
          <t>1998.04.</t>
        </is>
      </c>
      <c r="F319" s="74" t="n">
        <v>346</v>
      </c>
      <c r="G319" s="74" t="n">
        <v>13.68</v>
      </c>
      <c r="H319" s="74" t="n">
        <v>45.24</v>
      </c>
      <c r="I319" s="74" t="n">
        <v>9.92</v>
      </c>
      <c r="J319" s="74" t="n">
        <v>32.81</v>
      </c>
      <c r="K319" s="74" t="n">
        <v>12</v>
      </c>
      <c r="T319" s="74" t="n">
        <v>2</v>
      </c>
      <c r="U319" s="74" t="n">
        <v>1</v>
      </c>
      <c r="V319" s="74" t="inlineStr">
        <is>
          <t>계단식</t>
        </is>
      </c>
      <c r="W319" s="74" t="n">
        <v>45</v>
      </c>
      <c r="X319" s="74" t="n">
        <v>15</v>
      </c>
      <c r="Y319" s="74" t="n">
        <v>9</v>
      </c>
      <c r="Z319" s="74" t="inlineStr">
        <is>
          <t>https://new.land.naver.com/complexes/114910?tab=detail&amp;rf=Y</t>
        </is>
      </c>
      <c r="AA319" s="74" t="inlineStr">
        <is>
          <t>전라북도 군산시 미룡동 852</t>
        </is>
      </c>
      <c r="AB319" s="74" t="inlineStr">
        <is>
          <t>전라북도</t>
        </is>
      </c>
      <c r="AC319" s="74" t="inlineStr">
        <is>
          <t>군산시</t>
        </is>
      </c>
      <c r="AD319" s="74" t="inlineStr">
        <is>
          <t>미룡동</t>
        </is>
      </c>
      <c r="AG319" s="74" t="inlineStr">
        <is>
          <t>전라북도 군산시 칠성5길 30</t>
        </is>
      </c>
      <c r="AH319" s="74" t="n">
        <v>0</v>
      </c>
      <c r="AI319" s="74" t="n">
        <v>369</v>
      </c>
      <c r="AJ319" s="74" t="n">
        <v>34</v>
      </c>
      <c r="AK319" s="74" t="n">
        <v>207</v>
      </c>
      <c r="AL319" s="74" t="n">
        <v>0.6</v>
      </c>
    </row>
    <row r="320">
      <c r="A320" s="74" t="inlineStr">
        <is>
          <t>[미룡동]</t>
        </is>
      </c>
      <c r="B320" s="74" t="n">
        <v>114910</v>
      </c>
      <c r="C320" s="74" t="n">
        <v>2</v>
      </c>
      <c r="D320" s="74" t="inlineStr">
        <is>
          <t>산북부향하나로3차</t>
        </is>
      </c>
      <c r="E320" s="74" t="inlineStr">
        <is>
          <t>1998.04.</t>
        </is>
      </c>
      <c r="F320" s="74" t="n">
        <v>346</v>
      </c>
      <c r="G320" s="74" t="n">
        <v>16.66</v>
      </c>
      <c r="H320" s="74" t="n">
        <v>55.08</v>
      </c>
      <c r="I320" s="74" t="n">
        <v>12.08</v>
      </c>
      <c r="J320" s="74" t="n">
        <v>39.95</v>
      </c>
      <c r="K320" s="74" t="n">
        <v>334</v>
      </c>
      <c r="T320" s="74" t="n">
        <v>2</v>
      </c>
      <c r="U320" s="74" t="n">
        <v>1</v>
      </c>
      <c r="V320" s="74" t="inlineStr">
        <is>
          <t>계단식</t>
        </is>
      </c>
      <c r="W320" s="74" t="n">
        <v>55</v>
      </c>
      <c r="X320" s="74" t="n">
        <v>15</v>
      </c>
      <c r="Y320" s="74" t="n">
        <v>9</v>
      </c>
      <c r="Z320" s="74" t="inlineStr">
        <is>
          <t>https://new.land.naver.com/complexes/114910?tab=detail&amp;rf=Y</t>
        </is>
      </c>
      <c r="AA320" s="74" t="inlineStr">
        <is>
          <t>전라북도 군산시 미룡동 852</t>
        </is>
      </c>
      <c r="AB320" s="74" t="inlineStr">
        <is>
          <t>전라북도</t>
        </is>
      </c>
      <c r="AC320" s="74" t="inlineStr">
        <is>
          <t>군산시</t>
        </is>
      </c>
      <c r="AD320" s="74" t="inlineStr">
        <is>
          <t>미룡동</t>
        </is>
      </c>
      <c r="AG320" s="74" t="inlineStr">
        <is>
          <t>전라북도 군산시 칠성5길 30</t>
        </is>
      </c>
      <c r="AH320" s="74" t="n">
        <v>0</v>
      </c>
      <c r="AI320" s="74" t="n">
        <v>369</v>
      </c>
      <c r="AJ320" s="74" t="n">
        <v>34</v>
      </c>
      <c r="AK320" s="74" t="n">
        <v>207</v>
      </c>
      <c r="AL320" s="74" t="n">
        <v>0.6</v>
      </c>
    </row>
    <row r="321">
      <c r="A321" s="74" t="inlineStr">
        <is>
          <t>[미룡동]</t>
        </is>
      </c>
      <c r="B321" s="74" t="n">
        <v>27503</v>
      </c>
      <c r="C321" s="74" t="n">
        <v>1</v>
      </c>
      <c r="D321" s="74" t="inlineStr">
        <is>
          <t>은파리젠시빌파크</t>
        </is>
      </c>
      <c r="E321" s="74" t="inlineStr">
        <is>
          <t>2007.02.</t>
        </is>
      </c>
      <c r="F321" s="74" t="n">
        <v>317</v>
      </c>
      <c r="G321" s="74" t="n">
        <v>35.04</v>
      </c>
      <c r="H321" s="74" t="n">
        <v>115.85</v>
      </c>
      <c r="I321" s="74" t="n">
        <v>25.67</v>
      </c>
      <c r="J321" s="74" t="n">
        <v>84.86</v>
      </c>
      <c r="K321" s="74" t="n">
        <v>233</v>
      </c>
      <c r="T321" s="74" t="n">
        <v>3</v>
      </c>
      <c r="U321" s="74" t="n">
        <v>2</v>
      </c>
      <c r="V321" s="74" t="inlineStr">
        <is>
          <t>계단식</t>
        </is>
      </c>
      <c r="W321" s="74" t="n">
        <v>115</v>
      </c>
      <c r="X321" s="74" t="n">
        <v>15</v>
      </c>
      <c r="Y321" s="74" t="n">
        <v>15</v>
      </c>
      <c r="Z321" s="74" t="inlineStr">
        <is>
          <t>https://new.land.naver.com/complexes/27503?tab=detail&amp;rf=Y</t>
        </is>
      </c>
      <c r="AA321" s="74" t="inlineStr">
        <is>
          <t>전라북도 군산시 미룡동 59-59</t>
        </is>
      </c>
      <c r="AB321" s="74" t="inlineStr">
        <is>
          <t>전라북도</t>
        </is>
      </c>
      <c r="AC321" s="74" t="inlineStr">
        <is>
          <t>군산시</t>
        </is>
      </c>
      <c r="AD321" s="74" t="inlineStr">
        <is>
          <t>미룡동</t>
        </is>
      </c>
      <c r="AG321" s="74" t="inlineStr">
        <is>
          <t>전라북도 군산시 미룡로 64</t>
        </is>
      </c>
      <c r="AH321" s="74" t="n">
        <v>0</v>
      </c>
      <c r="AI321" s="74" t="n">
        <v>238</v>
      </c>
      <c r="AJ321" s="74" t="n">
        <v>35</v>
      </c>
      <c r="AK321" s="74" t="n">
        <v>388</v>
      </c>
      <c r="AL321" s="74" t="n">
        <v>1.22</v>
      </c>
    </row>
    <row r="322">
      <c r="A322" s="74" t="inlineStr">
        <is>
          <t>[미룡동]</t>
        </is>
      </c>
      <c r="B322" s="74" t="n">
        <v>27503</v>
      </c>
      <c r="C322" s="74" t="n">
        <v>2</v>
      </c>
      <c r="D322" s="74" t="inlineStr">
        <is>
          <t>은파리젠시빌파크</t>
        </is>
      </c>
      <c r="E322" s="74" t="inlineStr">
        <is>
          <t>2007.02.</t>
        </is>
      </c>
      <c r="F322" s="74" t="n">
        <v>317</v>
      </c>
      <c r="G322" s="74" t="n">
        <v>48.31</v>
      </c>
      <c r="H322" s="74" t="n">
        <v>159.72</v>
      </c>
      <c r="I322" s="74" t="n">
        <v>40.05</v>
      </c>
      <c r="J322" s="74" t="n">
        <v>132.41</v>
      </c>
      <c r="K322" s="74" t="n">
        <v>84</v>
      </c>
      <c r="T322" s="74" t="n">
        <v>4</v>
      </c>
      <c r="U322" s="74" t="n">
        <v>2</v>
      </c>
      <c r="V322" s="74" t="inlineStr">
        <is>
          <t>계단식</t>
        </is>
      </c>
      <c r="W322" s="74" t="n">
        <v>159</v>
      </c>
      <c r="X322" s="74" t="n">
        <v>15</v>
      </c>
      <c r="Y322" s="74" t="n">
        <v>15</v>
      </c>
      <c r="Z322" s="74" t="inlineStr">
        <is>
          <t>https://new.land.naver.com/complexes/27503?tab=detail&amp;rf=Y</t>
        </is>
      </c>
      <c r="AA322" s="74" t="inlineStr">
        <is>
          <t>전라북도 군산시 미룡동 59-59</t>
        </is>
      </c>
      <c r="AB322" s="74" t="inlineStr">
        <is>
          <t>전라북도</t>
        </is>
      </c>
      <c r="AC322" s="74" t="inlineStr">
        <is>
          <t>군산시</t>
        </is>
      </c>
      <c r="AD322" s="74" t="inlineStr">
        <is>
          <t>미룡동</t>
        </is>
      </c>
      <c r="AG322" s="74" t="inlineStr">
        <is>
          <t>전라북도 군산시 미룡로 64</t>
        </is>
      </c>
      <c r="AH322" s="74" t="n">
        <v>0</v>
      </c>
      <c r="AI322" s="74" t="n">
        <v>238</v>
      </c>
      <c r="AJ322" s="74" t="n">
        <v>35</v>
      </c>
      <c r="AK322" s="74" t="n">
        <v>388</v>
      </c>
      <c r="AL322" s="74" t="n">
        <v>1.22</v>
      </c>
    </row>
    <row r="323">
      <c r="A323" s="74" t="inlineStr">
        <is>
          <t>[미룡동]</t>
        </is>
      </c>
      <c r="B323" s="74" t="n">
        <v>104840</v>
      </c>
      <c r="C323" s="74" t="n">
        <v>1</v>
      </c>
      <c r="D323" s="74" t="inlineStr">
        <is>
          <t>미룡대명2차</t>
        </is>
      </c>
      <c r="E323" s="74" t="inlineStr">
        <is>
          <t>2002.05.</t>
        </is>
      </c>
      <c r="F323" s="74" t="n">
        <v>276</v>
      </c>
      <c r="G323" s="74" t="n">
        <v>20.84</v>
      </c>
      <c r="H323" s="74" t="n">
        <v>68.92</v>
      </c>
      <c r="I323" s="74" t="n">
        <v>14.79</v>
      </c>
      <c r="J323" s="74" t="n">
        <v>48.91</v>
      </c>
      <c r="K323" s="74" t="n">
        <v>78</v>
      </c>
      <c r="T323" s="74" t="n">
        <v>2</v>
      </c>
      <c r="U323" s="74" t="n">
        <v>1</v>
      </c>
      <c r="V323" s="74" t="inlineStr">
        <is>
          <t>계단식</t>
        </is>
      </c>
      <c r="W323" s="74" t="inlineStr">
        <is>
          <t>68B</t>
        </is>
      </c>
      <c r="X323" s="74" t="n">
        <v>18</v>
      </c>
      <c r="Y323" s="74" t="n">
        <v>13</v>
      </c>
      <c r="Z323" s="74" t="inlineStr">
        <is>
          <t>https://new.land.naver.com/complexes/104840?tab=detail&amp;rf=Y</t>
        </is>
      </c>
      <c r="AA323" s="74" t="inlineStr">
        <is>
          <t>전라북도 군산시 미룡동 857</t>
        </is>
      </c>
      <c r="AB323" s="74" t="inlineStr">
        <is>
          <t>전라북도</t>
        </is>
      </c>
      <c r="AC323" s="74" t="inlineStr">
        <is>
          <t>군산시</t>
        </is>
      </c>
      <c r="AD323" s="74" t="inlineStr">
        <is>
          <t>미룡동</t>
        </is>
      </c>
      <c r="AG323" s="74" t="inlineStr">
        <is>
          <t>전라북도 군산시 칠성3길 8</t>
        </is>
      </c>
      <c r="AH323" s="74" t="n">
        <v>0</v>
      </c>
      <c r="AI323" s="74" t="n">
        <v>0</v>
      </c>
      <c r="AJ323" s="74" t="n">
        <v>0</v>
      </c>
      <c r="AK323" s="74" t="n">
        <v>0</v>
      </c>
      <c r="AL323" s="74" t="n">
        <v>0</v>
      </c>
    </row>
    <row r="324">
      <c r="A324" s="74" t="inlineStr">
        <is>
          <t>[미룡동]</t>
        </is>
      </c>
      <c r="B324" s="74" t="n">
        <v>104840</v>
      </c>
      <c r="C324" s="74" t="n">
        <v>2</v>
      </c>
      <c r="D324" s="74" t="inlineStr">
        <is>
          <t>미룡대명2차</t>
        </is>
      </c>
      <c r="E324" s="74" t="inlineStr">
        <is>
          <t>2002.05.</t>
        </is>
      </c>
      <c r="F324" s="74" t="n">
        <v>276</v>
      </c>
      <c r="G324" s="74" t="n">
        <v>20.94</v>
      </c>
      <c r="H324" s="74" t="n">
        <v>69.25</v>
      </c>
      <c r="I324" s="74" t="n">
        <v>14.86</v>
      </c>
      <c r="J324" s="74" t="n">
        <v>49.14</v>
      </c>
      <c r="K324" s="74" t="n">
        <v>198</v>
      </c>
      <c r="T324" s="74" t="n">
        <v>2</v>
      </c>
      <c r="U324" s="74" t="n">
        <v>1</v>
      </c>
      <c r="V324" s="74" t="inlineStr">
        <is>
          <t>계단식</t>
        </is>
      </c>
      <c r="W324" s="74" t="inlineStr">
        <is>
          <t>69A</t>
        </is>
      </c>
      <c r="X324" s="74" t="n">
        <v>18</v>
      </c>
      <c r="Y324" s="74" t="n">
        <v>13</v>
      </c>
      <c r="Z324" s="74" t="inlineStr">
        <is>
          <t>https://new.land.naver.com/complexes/104840?tab=detail&amp;rf=Y</t>
        </is>
      </c>
      <c r="AA324" s="74" t="inlineStr">
        <is>
          <t>전라북도 군산시 미룡동 857</t>
        </is>
      </c>
      <c r="AB324" s="74" t="inlineStr">
        <is>
          <t>전라북도</t>
        </is>
      </c>
      <c r="AC324" s="74" t="inlineStr">
        <is>
          <t>군산시</t>
        </is>
      </c>
      <c r="AD324" s="74" t="inlineStr">
        <is>
          <t>미룡동</t>
        </is>
      </c>
      <c r="AG324" s="74" t="inlineStr">
        <is>
          <t>전라북도 군산시 칠성3길 8</t>
        </is>
      </c>
      <c r="AH324" s="74" t="n">
        <v>0</v>
      </c>
      <c r="AI324" s="74" t="n">
        <v>0</v>
      </c>
      <c r="AJ324" s="74" t="n">
        <v>0</v>
      </c>
      <c r="AK324" s="74" t="n">
        <v>0</v>
      </c>
      <c r="AL324" s="74" t="n">
        <v>0</v>
      </c>
    </row>
    <row r="325">
      <c r="A325" s="74" t="inlineStr">
        <is>
          <t>[미룡동]</t>
        </is>
      </c>
      <c r="B325" s="74" t="n">
        <v>126472</v>
      </c>
      <c r="C325" s="74" t="n">
        <v>1</v>
      </c>
      <c r="D325" s="74" t="inlineStr">
        <is>
          <t>해강솔비앙미룡시티2차(도시형)</t>
        </is>
      </c>
      <c r="E325" s="74" t="inlineStr">
        <is>
          <t>2018.12.</t>
        </is>
      </c>
      <c r="F325" s="74" t="n">
        <v>16</v>
      </c>
      <c r="G325" s="74" t="n">
        <v>26.21</v>
      </c>
      <c r="H325" s="74" t="n">
        <v>86.66</v>
      </c>
      <c r="I325" s="74" t="n">
        <v>22.65</v>
      </c>
      <c r="J325" s="74" t="n">
        <v>74.90000000000001</v>
      </c>
      <c r="K325" s="74" t="n">
        <v>16</v>
      </c>
      <c r="T325" s="74" t="n">
        <v>3</v>
      </c>
      <c r="U325" s="74" t="n">
        <v>2</v>
      </c>
      <c r="V325" s="74" t="inlineStr">
        <is>
          <t>계단식</t>
        </is>
      </c>
      <c r="W325" s="74" t="n">
        <v>86</v>
      </c>
      <c r="X325" s="74" t="n">
        <v>5</v>
      </c>
      <c r="Y325" s="74" t="n">
        <v>5</v>
      </c>
      <c r="Z325" s="74" t="inlineStr">
        <is>
          <t>https://new.land.naver.com/complexes/126472?tab=detail&amp;rf=Y</t>
        </is>
      </c>
      <c r="AA325" s="74" t="inlineStr">
        <is>
          <t>전라북도 군산시 미룡동 860-2</t>
        </is>
      </c>
      <c r="AB325" s="74" t="inlineStr">
        <is>
          <t>전라북도</t>
        </is>
      </c>
      <c r="AC325" s="74" t="inlineStr">
        <is>
          <t>군산시</t>
        </is>
      </c>
      <c r="AD325" s="74" t="inlineStr">
        <is>
          <t>미룡동</t>
        </is>
      </c>
      <c r="AG325" s="74" t="inlineStr">
        <is>
          <t>전라북도 군산시 칠성5길 10</t>
        </is>
      </c>
      <c r="AH325" s="74" t="n">
        <v>0</v>
      </c>
      <c r="AI325" s="74" t="n">
        <v>214</v>
      </c>
      <c r="AJ325" s="74" t="n">
        <v>20</v>
      </c>
      <c r="AK325" s="74" t="n">
        <v>16</v>
      </c>
      <c r="AL325" s="74" t="n">
        <v>1</v>
      </c>
    </row>
    <row r="326">
      <c r="A326" s="74" t="inlineStr">
        <is>
          <t>[미룡동]</t>
        </is>
      </c>
      <c r="B326" s="74" t="n">
        <v>16988</v>
      </c>
      <c r="C326" s="74" t="n">
        <v>1</v>
      </c>
      <c r="D326" s="74" t="inlineStr">
        <is>
          <t>미룡주공2단지</t>
        </is>
      </c>
      <c r="E326" s="74" t="inlineStr">
        <is>
          <t>2001.03.</t>
        </is>
      </c>
      <c r="F326" s="74" t="n">
        <v>874</v>
      </c>
      <c r="G326" s="74" t="n">
        <v>20.66</v>
      </c>
      <c r="H326" s="74" t="n">
        <v>68.3</v>
      </c>
      <c r="I326" s="74" t="n">
        <v>15.2</v>
      </c>
      <c r="J326" s="74" t="n">
        <v>50.28</v>
      </c>
      <c r="K326" s="74" t="n">
        <v>288</v>
      </c>
      <c r="T326" s="74" t="n">
        <v>2</v>
      </c>
      <c r="U326" s="74" t="n">
        <v>1</v>
      </c>
      <c r="V326" s="74" t="inlineStr">
        <is>
          <t>복도식</t>
        </is>
      </c>
      <c r="W326" s="74" t="inlineStr">
        <is>
          <t>68A</t>
        </is>
      </c>
      <c r="X326" s="74" t="n">
        <v>20</v>
      </c>
      <c r="Y326" s="74" t="n">
        <v>15</v>
      </c>
      <c r="Z326" s="74" t="inlineStr">
        <is>
          <t>https://new.land.naver.com/complexes/16988?tab=detail&amp;rf=Y</t>
        </is>
      </c>
      <c r="AA326" s="74" t="inlineStr">
        <is>
          <t>전라북도 군산시 미룡동 896-1</t>
        </is>
      </c>
      <c r="AB326" s="74" t="inlineStr">
        <is>
          <t>전라북도</t>
        </is>
      </c>
      <c r="AC326" s="74" t="inlineStr">
        <is>
          <t>군산시</t>
        </is>
      </c>
      <c r="AD326" s="74" t="inlineStr">
        <is>
          <t>미룡동</t>
        </is>
      </c>
      <c r="AG326" s="74" t="inlineStr">
        <is>
          <t>전라북도 군산시 미룡로 41</t>
        </is>
      </c>
      <c r="AH326" s="74" t="n">
        <v>0</v>
      </c>
      <c r="AI326" s="74" t="n">
        <v>209</v>
      </c>
      <c r="AJ326" s="74" t="n">
        <v>17</v>
      </c>
      <c r="AK326" s="74" t="n">
        <v>782</v>
      </c>
      <c r="AL326" s="74" t="n">
        <v>0.89</v>
      </c>
    </row>
    <row r="327">
      <c r="A327" s="74" t="inlineStr">
        <is>
          <t>[미룡동]</t>
        </is>
      </c>
      <c r="B327" s="74" t="n">
        <v>16988</v>
      </c>
      <c r="C327" s="74" t="n">
        <v>2</v>
      </c>
      <c r="D327" s="74" t="inlineStr">
        <is>
          <t>미룡주공2단지</t>
        </is>
      </c>
      <c r="E327" s="74" t="inlineStr">
        <is>
          <t>2001.03.</t>
        </is>
      </c>
      <c r="F327" s="74" t="n">
        <v>874</v>
      </c>
      <c r="G327" s="74" t="n">
        <v>21.34</v>
      </c>
      <c r="H327" s="74" t="n">
        <v>70.55</v>
      </c>
      <c r="I327" s="74" t="n">
        <v>15.71</v>
      </c>
      <c r="J327" s="74" t="n">
        <v>51.94</v>
      </c>
      <c r="K327" s="74" t="n">
        <v>4</v>
      </c>
      <c r="T327" s="74" t="n">
        <v>2</v>
      </c>
      <c r="U327" s="74" t="n">
        <v>1</v>
      </c>
      <c r="V327" s="74" t="inlineStr">
        <is>
          <t>계단식</t>
        </is>
      </c>
      <c r="W327" s="74" t="inlineStr">
        <is>
          <t>70B</t>
        </is>
      </c>
      <c r="X327" s="74" t="n">
        <v>20</v>
      </c>
      <c r="Y327" s="74" t="n">
        <v>15</v>
      </c>
      <c r="Z327" s="74" t="inlineStr">
        <is>
          <t>https://new.land.naver.com/complexes/16988?tab=detail&amp;rf=Y</t>
        </is>
      </c>
      <c r="AA327" s="74" t="inlineStr">
        <is>
          <t>전라북도 군산시 미룡동 896-1</t>
        </is>
      </c>
      <c r="AB327" s="74" t="inlineStr">
        <is>
          <t>전라북도</t>
        </is>
      </c>
      <c r="AC327" s="74" t="inlineStr">
        <is>
          <t>군산시</t>
        </is>
      </c>
      <c r="AD327" s="74" t="inlineStr">
        <is>
          <t>미룡동</t>
        </is>
      </c>
      <c r="AG327" s="74" t="inlineStr">
        <is>
          <t>전라북도 군산시 미룡로 41</t>
        </is>
      </c>
      <c r="AH327" s="74" t="n">
        <v>0</v>
      </c>
      <c r="AI327" s="74" t="n">
        <v>209</v>
      </c>
      <c r="AJ327" s="74" t="n">
        <v>17</v>
      </c>
      <c r="AK327" s="74" t="n">
        <v>782</v>
      </c>
      <c r="AL327" s="74" t="n">
        <v>0.89</v>
      </c>
    </row>
    <row r="328">
      <c r="A328" s="74" t="inlineStr">
        <is>
          <t>[미룡동]</t>
        </is>
      </c>
      <c r="B328" s="74" t="n">
        <v>16988</v>
      </c>
      <c r="C328" s="74" t="n">
        <v>3</v>
      </c>
      <c r="D328" s="74" t="inlineStr">
        <is>
          <t>미룡주공2단지</t>
        </is>
      </c>
      <c r="E328" s="74" t="inlineStr">
        <is>
          <t>2001.03.</t>
        </is>
      </c>
      <c r="F328" s="74" t="n">
        <v>874</v>
      </c>
      <c r="G328" s="74" t="n">
        <v>24.4</v>
      </c>
      <c r="H328" s="74" t="n">
        <v>80.67</v>
      </c>
      <c r="I328" s="74" t="n">
        <v>17.96</v>
      </c>
      <c r="J328" s="74" t="n">
        <v>59.39</v>
      </c>
      <c r="K328" s="74" t="n">
        <v>267</v>
      </c>
      <c r="T328" s="74" t="n">
        <v>3</v>
      </c>
      <c r="U328" s="74" t="n">
        <v>1</v>
      </c>
      <c r="V328" s="74" t="inlineStr">
        <is>
          <t>계단식</t>
        </is>
      </c>
      <c r="W328" s="74" t="inlineStr">
        <is>
          <t>80B</t>
        </is>
      </c>
      <c r="X328" s="74" t="n">
        <v>20</v>
      </c>
      <c r="Y328" s="74" t="n">
        <v>15</v>
      </c>
      <c r="Z328" s="74" t="inlineStr">
        <is>
          <t>https://new.land.naver.com/complexes/16988?tab=detail&amp;rf=Y</t>
        </is>
      </c>
      <c r="AA328" s="74" t="inlineStr">
        <is>
          <t>전라북도 군산시 미룡동 896-1</t>
        </is>
      </c>
      <c r="AB328" s="74" t="inlineStr">
        <is>
          <t>전라북도</t>
        </is>
      </c>
      <c r="AC328" s="74" t="inlineStr">
        <is>
          <t>군산시</t>
        </is>
      </c>
      <c r="AD328" s="74" t="inlineStr">
        <is>
          <t>미룡동</t>
        </is>
      </c>
      <c r="AG328" s="74" t="inlineStr">
        <is>
          <t>전라북도 군산시 미룡로 41</t>
        </is>
      </c>
      <c r="AH328" s="74" t="n">
        <v>0</v>
      </c>
      <c r="AI328" s="74" t="n">
        <v>209</v>
      </c>
      <c r="AJ328" s="74" t="n">
        <v>17</v>
      </c>
      <c r="AK328" s="74" t="n">
        <v>782</v>
      </c>
      <c r="AL328" s="74" t="n">
        <v>0.89</v>
      </c>
    </row>
    <row r="329">
      <c r="A329" s="74" t="inlineStr">
        <is>
          <t>[미룡동]</t>
        </is>
      </c>
      <c r="B329" s="74" t="n">
        <v>16988</v>
      </c>
      <c r="C329" s="74" t="n">
        <v>4</v>
      </c>
      <c r="D329" s="74" t="inlineStr">
        <is>
          <t>미룡주공2단지</t>
        </is>
      </c>
      <c r="E329" s="74" t="inlineStr">
        <is>
          <t>2001.03.</t>
        </is>
      </c>
      <c r="F329" s="74" t="n">
        <v>874</v>
      </c>
      <c r="G329" s="74" t="n">
        <v>24.41</v>
      </c>
      <c r="H329" s="74" t="n">
        <v>80.7</v>
      </c>
      <c r="I329" s="74" t="n">
        <v>17.97</v>
      </c>
      <c r="J329" s="74" t="n">
        <v>59.41</v>
      </c>
      <c r="K329" s="74" t="n">
        <v>76</v>
      </c>
      <c r="T329" s="74" t="n">
        <v>3</v>
      </c>
      <c r="U329" s="74" t="n">
        <v>1</v>
      </c>
      <c r="V329" s="74" t="inlineStr">
        <is>
          <t>계단식</t>
        </is>
      </c>
      <c r="W329" s="74" t="inlineStr">
        <is>
          <t>80C</t>
        </is>
      </c>
      <c r="X329" s="74" t="n">
        <v>20</v>
      </c>
      <c r="Y329" s="74" t="n">
        <v>15</v>
      </c>
      <c r="Z329" s="74" t="inlineStr">
        <is>
          <t>https://new.land.naver.com/complexes/16988?tab=detail&amp;rf=Y</t>
        </is>
      </c>
      <c r="AA329" s="74" t="inlineStr">
        <is>
          <t>전라북도 군산시 미룡동 896-1</t>
        </is>
      </c>
      <c r="AB329" s="74" t="inlineStr">
        <is>
          <t>전라북도</t>
        </is>
      </c>
      <c r="AC329" s="74" t="inlineStr">
        <is>
          <t>군산시</t>
        </is>
      </c>
      <c r="AD329" s="74" t="inlineStr">
        <is>
          <t>미룡동</t>
        </is>
      </c>
      <c r="AG329" s="74" t="inlineStr">
        <is>
          <t>전라북도 군산시 미룡로 41</t>
        </is>
      </c>
      <c r="AH329" s="74" t="n">
        <v>0</v>
      </c>
      <c r="AI329" s="74" t="n">
        <v>209</v>
      </c>
      <c r="AJ329" s="74" t="n">
        <v>17</v>
      </c>
      <c r="AK329" s="74" t="n">
        <v>782</v>
      </c>
      <c r="AL329" s="74" t="n">
        <v>0.89</v>
      </c>
    </row>
    <row r="330">
      <c r="A330" s="74" t="inlineStr">
        <is>
          <t>[미룡동]</t>
        </is>
      </c>
      <c r="B330" s="74" t="n">
        <v>16988</v>
      </c>
      <c r="C330" s="74" t="n">
        <v>5</v>
      </c>
      <c r="D330" s="74" t="inlineStr">
        <is>
          <t>미룡주공2단지</t>
        </is>
      </c>
      <c r="E330" s="74" t="inlineStr">
        <is>
          <t>2001.03.</t>
        </is>
      </c>
      <c r="F330" s="74" t="n">
        <v>874</v>
      </c>
      <c r="G330" s="74" t="n">
        <v>24.38</v>
      </c>
      <c r="H330" s="74" t="n">
        <v>80.61</v>
      </c>
      <c r="I330" s="74" t="n">
        <v>17.95</v>
      </c>
      <c r="J330" s="74" t="n">
        <v>59.34</v>
      </c>
      <c r="K330" s="74" t="n">
        <v>15</v>
      </c>
      <c r="T330" s="74" t="n">
        <v>3</v>
      </c>
      <c r="U330" s="74" t="n">
        <v>1</v>
      </c>
      <c r="V330" s="74" t="inlineStr">
        <is>
          <t>계단식</t>
        </is>
      </c>
      <c r="W330" s="74" t="inlineStr">
        <is>
          <t>80A</t>
        </is>
      </c>
      <c r="X330" s="74" t="n">
        <v>20</v>
      </c>
      <c r="Y330" s="74" t="n">
        <v>15</v>
      </c>
      <c r="Z330" s="74" t="inlineStr">
        <is>
          <t>https://new.land.naver.com/complexes/16988?tab=detail&amp;rf=Y</t>
        </is>
      </c>
      <c r="AA330" s="74" t="inlineStr">
        <is>
          <t>전라북도 군산시 미룡동 896-1</t>
        </is>
      </c>
      <c r="AB330" s="74" t="inlineStr">
        <is>
          <t>전라북도</t>
        </is>
      </c>
      <c r="AC330" s="74" t="inlineStr">
        <is>
          <t>군산시</t>
        </is>
      </c>
      <c r="AD330" s="74" t="inlineStr">
        <is>
          <t>미룡동</t>
        </is>
      </c>
      <c r="AG330" s="74" t="inlineStr">
        <is>
          <t>전라북도 군산시 미룡로 41</t>
        </is>
      </c>
      <c r="AH330" s="74" t="n">
        <v>0</v>
      </c>
      <c r="AI330" s="74" t="n">
        <v>209</v>
      </c>
      <c r="AJ330" s="74" t="n">
        <v>17</v>
      </c>
      <c r="AK330" s="74" t="n">
        <v>782</v>
      </c>
      <c r="AL330" s="74" t="n">
        <v>0.89</v>
      </c>
    </row>
    <row r="331">
      <c r="A331" s="74" t="inlineStr">
        <is>
          <t>[미룡동]</t>
        </is>
      </c>
      <c r="B331" s="74" t="n">
        <v>16988</v>
      </c>
      <c r="C331" s="74" t="n">
        <v>6</v>
      </c>
      <c r="D331" s="74" t="inlineStr">
        <is>
          <t>미룡주공2단지</t>
        </is>
      </c>
      <c r="E331" s="74" t="inlineStr">
        <is>
          <t>2001.03.</t>
        </is>
      </c>
      <c r="F331" s="74" t="n">
        <v>874</v>
      </c>
      <c r="G331" s="74" t="n">
        <v>34.65</v>
      </c>
      <c r="H331" s="74" t="n">
        <v>114.57</v>
      </c>
      <c r="I331" s="74" t="n">
        <v>25.51</v>
      </c>
      <c r="J331" s="74" t="n">
        <v>84.34</v>
      </c>
      <c r="K331" s="74" t="n">
        <v>224</v>
      </c>
      <c r="T331" s="74" t="n">
        <v>3</v>
      </c>
      <c r="U331" s="74" t="n">
        <v>1</v>
      </c>
      <c r="V331" s="74" t="inlineStr">
        <is>
          <t>계단식</t>
        </is>
      </c>
      <c r="W331" s="74" t="n">
        <v>114</v>
      </c>
      <c r="X331" s="74" t="n">
        <v>20</v>
      </c>
      <c r="Y331" s="74" t="n">
        <v>15</v>
      </c>
      <c r="Z331" s="74" t="inlineStr">
        <is>
          <t>https://new.land.naver.com/complexes/16988?tab=detail&amp;rf=Y</t>
        </is>
      </c>
      <c r="AA331" s="74" t="inlineStr">
        <is>
          <t>전라북도 군산시 미룡동 896-1</t>
        </is>
      </c>
      <c r="AB331" s="74" t="inlineStr">
        <is>
          <t>전라북도</t>
        </is>
      </c>
      <c r="AC331" s="74" t="inlineStr">
        <is>
          <t>군산시</t>
        </is>
      </c>
      <c r="AD331" s="74" t="inlineStr">
        <is>
          <t>미룡동</t>
        </is>
      </c>
      <c r="AG331" s="74" t="inlineStr">
        <is>
          <t>전라북도 군산시 미룡로 41</t>
        </is>
      </c>
      <c r="AH331" s="74" t="n">
        <v>0</v>
      </c>
      <c r="AI331" s="74" t="n">
        <v>209</v>
      </c>
      <c r="AJ331" s="74" t="n">
        <v>17</v>
      </c>
      <c r="AK331" s="74" t="n">
        <v>782</v>
      </c>
      <c r="AL331" s="74" t="n">
        <v>0.89</v>
      </c>
    </row>
    <row r="332">
      <c r="A332" s="74" t="inlineStr">
        <is>
          <t>[미장동]</t>
        </is>
      </c>
      <c r="B332" s="74" t="n">
        <v>27527</v>
      </c>
      <c r="C332" s="74" t="n">
        <v>1</v>
      </c>
      <c r="D332" s="74" t="inlineStr">
        <is>
          <t>파인빌2차</t>
        </is>
      </c>
      <c r="E332" s="74" t="inlineStr">
        <is>
          <t>2006.06.</t>
        </is>
      </c>
      <c r="F332" s="74" t="n">
        <v>351</v>
      </c>
      <c r="G332" s="74" t="n">
        <v>24.36</v>
      </c>
      <c r="H332" s="74" t="n">
        <v>80.55</v>
      </c>
      <c r="I332" s="74" t="n">
        <v>18.12</v>
      </c>
      <c r="J332" s="74" t="n">
        <v>59.93</v>
      </c>
      <c r="K332" s="74" t="n">
        <v>149</v>
      </c>
      <c r="T332" s="74" t="n">
        <v>3</v>
      </c>
      <c r="U332" s="74" t="n">
        <v>2</v>
      </c>
      <c r="V332" s="74" t="inlineStr">
        <is>
          <t>계단식</t>
        </is>
      </c>
      <c r="W332" s="74" t="n">
        <v>80</v>
      </c>
      <c r="X332" s="74" t="n">
        <v>15</v>
      </c>
      <c r="Y332" s="74" t="n">
        <v>14</v>
      </c>
      <c r="Z332" s="74" t="inlineStr">
        <is>
          <t>https://new.land.naver.com/complexes/27527?tab=detail&amp;rf=Y</t>
        </is>
      </c>
      <c r="AA332" s="74" t="inlineStr">
        <is>
          <t>전라북도 군산시 미장동 51-1</t>
        </is>
      </c>
      <c r="AB332" s="74" t="inlineStr">
        <is>
          <t>전라북도</t>
        </is>
      </c>
      <c r="AC332" s="74" t="inlineStr">
        <is>
          <t>군산시</t>
        </is>
      </c>
      <c r="AD332" s="74" t="inlineStr">
        <is>
          <t>미장동</t>
        </is>
      </c>
      <c r="AG332" s="74" t="inlineStr">
        <is>
          <t>전라북도 군산시 미장안길 55</t>
        </is>
      </c>
      <c r="AH332" s="74" t="n">
        <v>0</v>
      </c>
      <c r="AI332" s="74" t="n">
        <v>226</v>
      </c>
      <c r="AJ332" s="74" t="n">
        <v>20</v>
      </c>
      <c r="AK332" s="74" t="n">
        <v>386</v>
      </c>
      <c r="AL332" s="74" t="n">
        <v>1.1</v>
      </c>
    </row>
    <row r="333">
      <c r="A333" s="74" t="inlineStr">
        <is>
          <t>[미장동]</t>
        </is>
      </c>
      <c r="B333" s="74" t="n">
        <v>27527</v>
      </c>
      <c r="C333" s="74" t="n">
        <v>2</v>
      </c>
      <c r="D333" s="74" t="inlineStr">
        <is>
          <t>파인빌2차</t>
        </is>
      </c>
      <c r="E333" s="74" t="inlineStr">
        <is>
          <t>2006.06.</t>
        </is>
      </c>
      <c r="F333" s="74" t="n">
        <v>351</v>
      </c>
      <c r="G333" s="74" t="n">
        <v>36.26</v>
      </c>
      <c r="H333" s="74" t="n">
        <v>119.87</v>
      </c>
      <c r="I333" s="74" t="n">
        <v>25.7</v>
      </c>
      <c r="J333" s="74" t="n">
        <v>84.98</v>
      </c>
      <c r="K333" s="74" t="n">
        <v>202</v>
      </c>
      <c r="T333" s="74" t="n">
        <v>3</v>
      </c>
      <c r="U333" s="74" t="n">
        <v>2</v>
      </c>
      <c r="V333" s="74" t="inlineStr">
        <is>
          <t>복도식</t>
        </is>
      </c>
      <c r="W333" s="74" t="n">
        <v>119</v>
      </c>
      <c r="X333" s="74" t="n">
        <v>15</v>
      </c>
      <c r="Y333" s="74" t="n">
        <v>14</v>
      </c>
      <c r="Z333" s="74" t="inlineStr">
        <is>
          <t>https://new.land.naver.com/complexes/27527?tab=detail&amp;rf=Y</t>
        </is>
      </c>
      <c r="AA333" s="74" t="inlineStr">
        <is>
          <t>전라북도 군산시 미장동 51-1</t>
        </is>
      </c>
      <c r="AB333" s="74" t="inlineStr">
        <is>
          <t>전라북도</t>
        </is>
      </c>
      <c r="AC333" s="74" t="inlineStr">
        <is>
          <t>군산시</t>
        </is>
      </c>
      <c r="AD333" s="74" t="inlineStr">
        <is>
          <t>미장동</t>
        </is>
      </c>
      <c r="AG333" s="74" t="inlineStr">
        <is>
          <t>전라북도 군산시 미장안길 55</t>
        </is>
      </c>
      <c r="AH333" s="74" t="n">
        <v>0</v>
      </c>
      <c r="AI333" s="74" t="n">
        <v>226</v>
      </c>
      <c r="AJ333" s="74" t="n">
        <v>20</v>
      </c>
      <c r="AK333" s="74" t="n">
        <v>386</v>
      </c>
      <c r="AL333" s="74" t="n">
        <v>1.1</v>
      </c>
    </row>
    <row r="334">
      <c r="A334" s="74" t="inlineStr">
        <is>
          <t>[미장동]</t>
        </is>
      </c>
      <c r="B334" s="74" t="n">
        <v>27526</v>
      </c>
      <c r="C334" s="74" t="n">
        <v>1</v>
      </c>
      <c r="D334" s="74" t="inlineStr">
        <is>
          <t>파인빌1차</t>
        </is>
      </c>
      <c r="E334" s="74" t="inlineStr">
        <is>
          <t>2004.11.</t>
        </is>
      </c>
      <c r="F334" s="74" t="n">
        <v>499</v>
      </c>
      <c r="G334" s="74" t="n">
        <v>24.22</v>
      </c>
      <c r="H334" s="74" t="n">
        <v>80.09</v>
      </c>
      <c r="I334" s="74" t="n">
        <v>18.14</v>
      </c>
      <c r="J334" s="74" t="n">
        <v>59.97</v>
      </c>
      <c r="K334" s="74" t="n">
        <v>139</v>
      </c>
      <c r="T334" s="74" t="n">
        <v>3</v>
      </c>
      <c r="U334" s="74" t="n">
        <v>1</v>
      </c>
      <c r="V334" s="74" t="inlineStr">
        <is>
          <t>계단식</t>
        </is>
      </c>
      <c r="W334" s="74" t="n">
        <v>80</v>
      </c>
      <c r="X334" s="74" t="n">
        <v>15</v>
      </c>
      <c r="Y334" s="74" t="n">
        <v>14</v>
      </c>
      <c r="Z334" s="74" t="inlineStr">
        <is>
          <t>https://new.land.naver.com/complexes/27526?tab=detail&amp;rf=Y</t>
        </is>
      </c>
      <c r="AA334" s="74" t="inlineStr">
        <is>
          <t>전라북도 군산시 미장동 53-1</t>
        </is>
      </c>
      <c r="AB334" s="74" t="inlineStr">
        <is>
          <t>전라북도</t>
        </is>
      </c>
      <c r="AC334" s="74" t="inlineStr">
        <is>
          <t>군산시</t>
        </is>
      </c>
      <c r="AD334" s="74" t="inlineStr">
        <is>
          <t>미장동</t>
        </is>
      </c>
      <c r="AG334" s="74" t="inlineStr">
        <is>
          <t>전라북도 군산시 문화로 208-8</t>
        </is>
      </c>
      <c r="AH334" s="74" t="n">
        <v>0</v>
      </c>
      <c r="AI334" s="74" t="n">
        <v>229</v>
      </c>
      <c r="AJ334" s="74" t="n">
        <v>20</v>
      </c>
      <c r="AK334" s="74" t="n">
        <v>510</v>
      </c>
      <c r="AL334" s="74" t="n">
        <v>1.02</v>
      </c>
    </row>
    <row r="335">
      <c r="A335" s="74" t="inlineStr">
        <is>
          <t>[미장동]</t>
        </is>
      </c>
      <c r="B335" s="74" t="n">
        <v>27526</v>
      </c>
      <c r="C335" s="74" t="n">
        <v>2</v>
      </c>
      <c r="D335" s="74" t="inlineStr">
        <is>
          <t>파인빌1차</t>
        </is>
      </c>
      <c r="E335" s="74" t="inlineStr">
        <is>
          <t>2004.11.</t>
        </is>
      </c>
      <c r="F335" s="74" t="n">
        <v>499</v>
      </c>
      <c r="G335" s="74" t="n">
        <v>33.53</v>
      </c>
      <c r="H335" s="74" t="n">
        <v>110.85</v>
      </c>
      <c r="I335" s="74" t="n">
        <v>25.7</v>
      </c>
      <c r="J335" s="74" t="n">
        <v>84.98999999999999</v>
      </c>
      <c r="K335" s="74" t="n">
        <v>360</v>
      </c>
      <c r="T335" s="74" t="n">
        <v>3</v>
      </c>
      <c r="U335" s="74" t="n">
        <v>2</v>
      </c>
      <c r="V335" s="74" t="inlineStr">
        <is>
          <t>계단식</t>
        </is>
      </c>
      <c r="W335" s="74" t="n">
        <v>110</v>
      </c>
      <c r="X335" s="74" t="n">
        <v>15</v>
      </c>
      <c r="Y335" s="74" t="n">
        <v>14</v>
      </c>
      <c r="Z335" s="74" t="inlineStr">
        <is>
          <t>https://new.land.naver.com/complexes/27526?tab=detail&amp;rf=Y</t>
        </is>
      </c>
      <c r="AA335" s="74" t="inlineStr">
        <is>
          <t>전라북도 군산시 미장동 53-1</t>
        </is>
      </c>
      <c r="AB335" s="74" t="inlineStr">
        <is>
          <t>전라북도</t>
        </is>
      </c>
      <c r="AC335" s="74" t="inlineStr">
        <is>
          <t>군산시</t>
        </is>
      </c>
      <c r="AD335" s="74" t="inlineStr">
        <is>
          <t>미장동</t>
        </is>
      </c>
      <c r="AG335" s="74" t="inlineStr">
        <is>
          <t>전라북도 군산시 문화로 208-8</t>
        </is>
      </c>
      <c r="AH335" s="74" t="n">
        <v>0</v>
      </c>
      <c r="AI335" s="74" t="n">
        <v>229</v>
      </c>
      <c r="AJ335" s="74" t="n">
        <v>20</v>
      </c>
      <c r="AK335" s="74" t="n">
        <v>510</v>
      </c>
      <c r="AL335" s="74" t="n">
        <v>1.02</v>
      </c>
    </row>
    <row r="336">
      <c r="A336" s="74" t="inlineStr">
        <is>
          <t>[미장동]</t>
        </is>
      </c>
      <c r="B336" s="74" t="n">
        <v>110132</v>
      </c>
      <c r="C336" s="74" t="n">
        <v>1</v>
      </c>
      <c r="D336" s="74" t="inlineStr">
        <is>
          <t>군산미장2차아이파크</t>
        </is>
      </c>
      <c r="E336" s="74" t="inlineStr">
        <is>
          <t>2017.06.</t>
        </is>
      </c>
      <c r="F336" s="74" t="n">
        <v>540</v>
      </c>
      <c r="G336" s="74" t="n">
        <v>30.2</v>
      </c>
      <c r="H336" s="74" t="n">
        <v>99.84</v>
      </c>
      <c r="I336" s="74" t="n">
        <v>22.68</v>
      </c>
      <c r="J336" s="74" t="n">
        <v>74.98</v>
      </c>
      <c r="K336" s="74" t="n">
        <v>72</v>
      </c>
      <c r="T336" s="74" t="n">
        <v>3</v>
      </c>
      <c r="U336" s="74" t="n">
        <v>2</v>
      </c>
      <c r="V336" s="74" t="inlineStr">
        <is>
          <t>계단식</t>
        </is>
      </c>
      <c r="W336" s="74" t="inlineStr">
        <is>
          <t>99C</t>
        </is>
      </c>
      <c r="X336" s="74" t="n">
        <v>25</v>
      </c>
      <c r="Y336" s="74" t="n">
        <v>16</v>
      </c>
      <c r="Z336" s="74" t="inlineStr">
        <is>
          <t>https://new.land.naver.com/complexes/110132?tab=detail&amp;rf=Y</t>
        </is>
      </c>
      <c r="AA336" s="74" t="inlineStr">
        <is>
          <t>전라북도 군산시 미장동 484</t>
        </is>
      </c>
      <c r="AB336" s="74" t="inlineStr">
        <is>
          <t>전라북도</t>
        </is>
      </c>
      <c r="AC336" s="74" t="inlineStr">
        <is>
          <t>군산시</t>
        </is>
      </c>
      <c r="AD336" s="74" t="inlineStr">
        <is>
          <t>미장동</t>
        </is>
      </c>
      <c r="AG336" s="74" t="inlineStr">
        <is>
          <t>전라북도 군산시 미장안길 45</t>
        </is>
      </c>
      <c r="AH336" s="74" t="n">
        <v>0</v>
      </c>
      <c r="AI336" s="74" t="n">
        <v>0</v>
      </c>
      <c r="AJ336" s="74" t="n">
        <v>0</v>
      </c>
      <c r="AK336" s="74" t="n">
        <v>712</v>
      </c>
      <c r="AL336" s="74" t="n">
        <v>1.32</v>
      </c>
    </row>
    <row r="337">
      <c r="A337" s="74" t="inlineStr">
        <is>
          <t>[미장동]</t>
        </is>
      </c>
      <c r="B337" s="74" t="n">
        <v>110132</v>
      </c>
      <c r="C337" s="74" t="n">
        <v>2</v>
      </c>
      <c r="D337" s="74" t="inlineStr">
        <is>
          <t>군산미장2차아이파크</t>
        </is>
      </c>
      <c r="E337" s="74" t="inlineStr">
        <is>
          <t>2017.06.</t>
        </is>
      </c>
      <c r="F337" s="74" t="n">
        <v>540</v>
      </c>
      <c r="G337" s="74" t="n">
        <v>30.24</v>
      </c>
      <c r="H337" s="74" t="n">
        <v>99.98999999999999</v>
      </c>
      <c r="I337" s="74" t="n">
        <v>22.67</v>
      </c>
      <c r="J337" s="74" t="n">
        <v>74.97</v>
      </c>
      <c r="K337" s="74" t="n">
        <v>49</v>
      </c>
      <c r="T337" s="74" t="n">
        <v>3</v>
      </c>
      <c r="U337" s="74" t="n">
        <v>2</v>
      </c>
      <c r="V337" s="74" t="inlineStr">
        <is>
          <t>계단식</t>
        </is>
      </c>
      <c r="W337" s="74" t="inlineStr">
        <is>
          <t>99D</t>
        </is>
      </c>
      <c r="X337" s="74" t="n">
        <v>25</v>
      </c>
      <c r="Y337" s="74" t="n">
        <v>16</v>
      </c>
      <c r="Z337" s="74" t="inlineStr">
        <is>
          <t>https://new.land.naver.com/complexes/110132?tab=detail&amp;rf=Y</t>
        </is>
      </c>
      <c r="AA337" s="74" t="inlineStr">
        <is>
          <t>전라북도 군산시 미장동 484</t>
        </is>
      </c>
      <c r="AB337" s="74" t="inlineStr">
        <is>
          <t>전라북도</t>
        </is>
      </c>
      <c r="AC337" s="74" t="inlineStr">
        <is>
          <t>군산시</t>
        </is>
      </c>
      <c r="AD337" s="74" t="inlineStr">
        <is>
          <t>미장동</t>
        </is>
      </c>
      <c r="AG337" s="74" t="inlineStr">
        <is>
          <t>전라북도 군산시 미장안길 45</t>
        </is>
      </c>
      <c r="AH337" s="74" t="n">
        <v>0</v>
      </c>
      <c r="AI337" s="74" t="n">
        <v>0</v>
      </c>
      <c r="AJ337" s="74" t="n">
        <v>0</v>
      </c>
      <c r="AK337" s="74" t="n">
        <v>712</v>
      </c>
      <c r="AL337" s="74" t="n">
        <v>1.32</v>
      </c>
    </row>
    <row r="338">
      <c r="A338" s="74" t="inlineStr">
        <is>
          <t>[미장동]</t>
        </is>
      </c>
      <c r="B338" s="74" t="n">
        <v>110132</v>
      </c>
      <c r="C338" s="74" t="n">
        <v>3</v>
      </c>
      <c r="D338" s="74" t="inlineStr">
        <is>
          <t>군산미장2차아이파크</t>
        </is>
      </c>
      <c r="E338" s="74" t="inlineStr">
        <is>
          <t>2017.06.</t>
        </is>
      </c>
      <c r="F338" s="74" t="n">
        <v>540</v>
      </c>
      <c r="G338" s="74" t="n">
        <v>30.4</v>
      </c>
      <c r="H338" s="74" t="n">
        <v>100.52</v>
      </c>
      <c r="I338" s="74" t="n">
        <v>22.68</v>
      </c>
      <c r="J338" s="74" t="n">
        <v>74.98999999999999</v>
      </c>
      <c r="K338" s="74" t="n">
        <v>188</v>
      </c>
      <c r="T338" s="74" t="n">
        <v>3</v>
      </c>
      <c r="U338" s="74" t="n">
        <v>2</v>
      </c>
      <c r="V338" s="74" t="inlineStr">
        <is>
          <t>계단식</t>
        </is>
      </c>
      <c r="W338" s="74" t="inlineStr">
        <is>
          <t>100A</t>
        </is>
      </c>
      <c r="X338" s="74" t="n">
        <v>25</v>
      </c>
      <c r="Y338" s="74" t="n">
        <v>16</v>
      </c>
      <c r="Z338" s="74" t="inlineStr">
        <is>
          <t>https://new.land.naver.com/complexes/110132?tab=detail&amp;rf=Y</t>
        </is>
      </c>
      <c r="AA338" s="74" t="inlineStr">
        <is>
          <t>전라북도 군산시 미장동 484</t>
        </is>
      </c>
      <c r="AB338" s="74" t="inlineStr">
        <is>
          <t>전라북도</t>
        </is>
      </c>
      <c r="AC338" s="74" t="inlineStr">
        <is>
          <t>군산시</t>
        </is>
      </c>
      <c r="AD338" s="74" t="inlineStr">
        <is>
          <t>미장동</t>
        </is>
      </c>
      <c r="AG338" s="74" t="inlineStr">
        <is>
          <t>전라북도 군산시 미장안길 45</t>
        </is>
      </c>
      <c r="AH338" s="74" t="n">
        <v>0</v>
      </c>
      <c r="AI338" s="74" t="n">
        <v>0</v>
      </c>
      <c r="AJ338" s="74" t="n">
        <v>0</v>
      </c>
      <c r="AK338" s="74" t="n">
        <v>712</v>
      </c>
      <c r="AL338" s="74" t="n">
        <v>1.32</v>
      </c>
    </row>
    <row r="339">
      <c r="A339" s="74" t="inlineStr">
        <is>
          <t>[미장동]</t>
        </is>
      </c>
      <c r="B339" s="74" t="n">
        <v>110132</v>
      </c>
      <c r="C339" s="74" t="n">
        <v>4</v>
      </c>
      <c r="D339" s="74" t="inlineStr">
        <is>
          <t>군산미장2차아이파크</t>
        </is>
      </c>
      <c r="E339" s="74" t="inlineStr">
        <is>
          <t>2017.06.</t>
        </is>
      </c>
      <c r="F339" s="74" t="n">
        <v>540</v>
      </c>
      <c r="G339" s="74" t="n">
        <v>30.25</v>
      </c>
      <c r="H339" s="74" t="n">
        <v>100.01</v>
      </c>
      <c r="I339" s="74" t="n">
        <v>22.68</v>
      </c>
      <c r="J339" s="74" t="n">
        <v>74.98</v>
      </c>
      <c r="K339" s="74" t="n">
        <v>50</v>
      </c>
      <c r="T339" s="74" t="n">
        <v>3</v>
      </c>
      <c r="U339" s="74" t="n">
        <v>2</v>
      </c>
      <c r="V339" s="74" t="inlineStr">
        <is>
          <t>계단식</t>
        </is>
      </c>
      <c r="W339" s="74" t="inlineStr">
        <is>
          <t>100E</t>
        </is>
      </c>
      <c r="X339" s="74" t="n">
        <v>25</v>
      </c>
      <c r="Y339" s="74" t="n">
        <v>16</v>
      </c>
      <c r="Z339" s="74" t="inlineStr">
        <is>
          <t>https://new.land.naver.com/complexes/110132?tab=detail&amp;rf=Y</t>
        </is>
      </c>
      <c r="AA339" s="74" t="inlineStr">
        <is>
          <t>전라북도 군산시 미장동 484</t>
        </is>
      </c>
      <c r="AB339" s="74" t="inlineStr">
        <is>
          <t>전라북도</t>
        </is>
      </c>
      <c r="AC339" s="74" t="inlineStr">
        <is>
          <t>군산시</t>
        </is>
      </c>
      <c r="AD339" s="74" t="inlineStr">
        <is>
          <t>미장동</t>
        </is>
      </c>
      <c r="AG339" s="74" t="inlineStr">
        <is>
          <t>전라북도 군산시 미장안길 45</t>
        </is>
      </c>
      <c r="AH339" s="74" t="n">
        <v>0</v>
      </c>
      <c r="AI339" s="74" t="n">
        <v>0</v>
      </c>
      <c r="AJ339" s="74" t="n">
        <v>0</v>
      </c>
      <c r="AK339" s="74" t="n">
        <v>712</v>
      </c>
      <c r="AL339" s="74" t="n">
        <v>1.32</v>
      </c>
    </row>
    <row r="340">
      <c r="A340" s="74" t="inlineStr">
        <is>
          <t>[미장동]</t>
        </is>
      </c>
      <c r="B340" s="74" t="n">
        <v>110132</v>
      </c>
      <c r="C340" s="74" t="n">
        <v>5</v>
      </c>
      <c r="D340" s="74" t="inlineStr">
        <is>
          <t>군산미장2차아이파크</t>
        </is>
      </c>
      <c r="E340" s="74" t="inlineStr">
        <is>
          <t>2017.06.</t>
        </is>
      </c>
      <c r="F340" s="74" t="n">
        <v>540</v>
      </c>
      <c r="G340" s="74" t="n">
        <v>30.48</v>
      </c>
      <c r="H340" s="74" t="n">
        <v>100.77</v>
      </c>
      <c r="I340" s="74" t="n">
        <v>22.68</v>
      </c>
      <c r="J340" s="74" t="n">
        <v>74.98999999999999</v>
      </c>
      <c r="K340" s="74" t="n">
        <v>15</v>
      </c>
      <c r="T340" s="74" t="n">
        <v>3</v>
      </c>
      <c r="U340" s="74" t="n">
        <v>2</v>
      </c>
      <c r="V340" s="74" t="inlineStr">
        <is>
          <t>계단식</t>
        </is>
      </c>
      <c r="W340" s="74" t="inlineStr">
        <is>
          <t>100B</t>
        </is>
      </c>
      <c r="X340" s="74" t="n">
        <v>25</v>
      </c>
      <c r="Y340" s="74" t="n">
        <v>16</v>
      </c>
      <c r="Z340" s="74" t="inlineStr">
        <is>
          <t>https://new.land.naver.com/complexes/110132?tab=detail&amp;rf=Y</t>
        </is>
      </c>
      <c r="AA340" s="74" t="inlineStr">
        <is>
          <t>전라북도 군산시 미장동 484</t>
        </is>
      </c>
      <c r="AB340" s="74" t="inlineStr">
        <is>
          <t>전라북도</t>
        </is>
      </c>
      <c r="AC340" s="74" t="inlineStr">
        <is>
          <t>군산시</t>
        </is>
      </c>
      <c r="AD340" s="74" t="inlineStr">
        <is>
          <t>미장동</t>
        </is>
      </c>
      <c r="AG340" s="74" t="inlineStr">
        <is>
          <t>전라북도 군산시 미장안길 45</t>
        </is>
      </c>
      <c r="AH340" s="74" t="n">
        <v>0</v>
      </c>
      <c r="AI340" s="74" t="n">
        <v>0</v>
      </c>
      <c r="AJ340" s="74" t="n">
        <v>0</v>
      </c>
      <c r="AK340" s="74" t="n">
        <v>712</v>
      </c>
      <c r="AL340" s="74" t="n">
        <v>1.32</v>
      </c>
    </row>
    <row r="341">
      <c r="A341" s="74" t="inlineStr">
        <is>
          <t>[미장동]</t>
        </is>
      </c>
      <c r="B341" s="74" t="n">
        <v>110132</v>
      </c>
      <c r="C341" s="74" t="n">
        <v>6</v>
      </c>
      <c r="D341" s="74" t="inlineStr">
        <is>
          <t>군산미장2차아이파크</t>
        </is>
      </c>
      <c r="E341" s="74" t="inlineStr">
        <is>
          <t>2017.06.</t>
        </is>
      </c>
      <c r="F341" s="74" t="n">
        <v>540</v>
      </c>
      <c r="G341" s="74" t="n">
        <v>39.45</v>
      </c>
      <c r="H341" s="74" t="n">
        <v>130.44</v>
      </c>
      <c r="I341" s="74" t="n">
        <v>30.78</v>
      </c>
      <c r="J341" s="74" t="n">
        <v>101.78</v>
      </c>
      <c r="K341" s="74" t="n">
        <v>166</v>
      </c>
      <c r="T341" s="74" t="n">
        <v>3</v>
      </c>
      <c r="U341" s="74" t="n">
        <v>2</v>
      </c>
      <c r="V341" s="74" t="inlineStr">
        <is>
          <t>계단식</t>
        </is>
      </c>
      <c r="W341" s="74" t="n">
        <v>130</v>
      </c>
      <c r="X341" s="74" t="n">
        <v>25</v>
      </c>
      <c r="Y341" s="74" t="n">
        <v>16</v>
      </c>
      <c r="Z341" s="74" t="inlineStr">
        <is>
          <t>https://new.land.naver.com/complexes/110132?tab=detail&amp;rf=Y</t>
        </is>
      </c>
      <c r="AA341" s="74" t="inlineStr">
        <is>
          <t>전라북도 군산시 미장동 484</t>
        </is>
      </c>
      <c r="AB341" s="74" t="inlineStr">
        <is>
          <t>전라북도</t>
        </is>
      </c>
      <c r="AC341" s="74" t="inlineStr">
        <is>
          <t>군산시</t>
        </is>
      </c>
      <c r="AD341" s="74" t="inlineStr">
        <is>
          <t>미장동</t>
        </is>
      </c>
      <c r="AG341" s="74" t="inlineStr">
        <is>
          <t>전라북도 군산시 미장안길 45</t>
        </is>
      </c>
      <c r="AH341" s="74" t="n">
        <v>0</v>
      </c>
      <c r="AI341" s="74" t="n">
        <v>0</v>
      </c>
      <c r="AJ341" s="74" t="n">
        <v>0</v>
      </c>
      <c r="AK341" s="74" t="n">
        <v>712</v>
      </c>
      <c r="AL341" s="74" t="n">
        <v>1.32</v>
      </c>
    </row>
    <row r="342">
      <c r="A342" s="74" t="inlineStr">
        <is>
          <t>[미장동]</t>
        </is>
      </c>
      <c r="B342" s="74" t="n">
        <v>106162</v>
      </c>
      <c r="C342" s="74" t="n">
        <v>1</v>
      </c>
      <c r="D342" s="74" t="inlineStr">
        <is>
          <t>군산미장아이파크</t>
        </is>
      </c>
      <c r="E342" s="74" t="inlineStr">
        <is>
          <t>2015.01.</t>
        </is>
      </c>
      <c r="F342" s="74" t="n">
        <v>1078</v>
      </c>
      <c r="G342" s="74" t="n">
        <v>24.29</v>
      </c>
      <c r="H342" s="74" t="n">
        <v>80.33</v>
      </c>
      <c r="I342" s="74" t="n">
        <v>18.14</v>
      </c>
      <c r="J342" s="74" t="n">
        <v>59.99</v>
      </c>
      <c r="K342" s="74" t="n">
        <v>141</v>
      </c>
      <c r="T342" s="74" t="n">
        <v>3</v>
      </c>
      <c r="U342" s="74" t="n">
        <v>2</v>
      </c>
      <c r="V342" s="74" t="inlineStr">
        <is>
          <t>계단식</t>
        </is>
      </c>
      <c r="W342" s="74" t="n">
        <v>80</v>
      </c>
      <c r="X342" s="74" t="n">
        <v>25</v>
      </c>
      <c r="Y342" s="74" t="n">
        <v>12</v>
      </c>
      <c r="Z342" s="74" t="inlineStr">
        <is>
          <t>https://new.land.naver.com/complexes/106162?tab=detail&amp;rf=Y</t>
        </is>
      </c>
      <c r="AA342" s="74" t="inlineStr">
        <is>
          <t>전라북도 군산시 미장동 542</t>
        </is>
      </c>
      <c r="AB342" s="74" t="inlineStr">
        <is>
          <t>전라북도</t>
        </is>
      </c>
      <c r="AC342" s="74" t="inlineStr">
        <is>
          <t>군산시</t>
        </is>
      </c>
      <c r="AD342" s="74" t="inlineStr">
        <is>
          <t>미장동</t>
        </is>
      </c>
      <c r="AG342" s="74" t="inlineStr">
        <is>
          <t>전라북도 군산시 미장남로 10</t>
        </is>
      </c>
      <c r="AH342" s="74" t="n">
        <v>0</v>
      </c>
      <c r="AI342" s="74" t="n">
        <v>249</v>
      </c>
      <c r="AJ342" s="74" t="n">
        <v>20</v>
      </c>
      <c r="AK342" s="74" t="n">
        <v>1299</v>
      </c>
      <c r="AL342" s="74" t="n">
        <v>1.21</v>
      </c>
    </row>
    <row r="343">
      <c r="A343" s="74" t="inlineStr">
        <is>
          <t>[미장동]</t>
        </is>
      </c>
      <c r="B343" s="74" t="n">
        <v>106162</v>
      </c>
      <c r="C343" s="74" t="n">
        <v>2</v>
      </c>
      <c r="D343" s="74" t="inlineStr">
        <is>
          <t>군산미장아이파크</t>
        </is>
      </c>
      <c r="E343" s="74" t="inlineStr">
        <is>
          <t>2015.01.</t>
        </is>
      </c>
      <c r="F343" s="74" t="n">
        <v>1078</v>
      </c>
      <c r="G343" s="74" t="n">
        <v>33.66</v>
      </c>
      <c r="H343" s="74" t="n">
        <v>111.3</v>
      </c>
      <c r="I343" s="74" t="n">
        <v>25.7</v>
      </c>
      <c r="J343" s="74" t="n">
        <v>84.98999999999999</v>
      </c>
      <c r="K343" s="74" t="n">
        <v>435</v>
      </c>
      <c r="T343" s="74" t="n">
        <v>3</v>
      </c>
      <c r="U343" s="74" t="n">
        <v>2</v>
      </c>
      <c r="V343" s="74" t="inlineStr">
        <is>
          <t>계단식</t>
        </is>
      </c>
      <c r="W343" s="74" t="inlineStr">
        <is>
          <t>111A</t>
        </is>
      </c>
      <c r="X343" s="74" t="n">
        <v>25</v>
      </c>
      <c r="Y343" s="74" t="n">
        <v>12</v>
      </c>
      <c r="Z343" s="74" t="inlineStr">
        <is>
          <t>https://new.land.naver.com/complexes/106162?tab=detail&amp;rf=Y</t>
        </is>
      </c>
      <c r="AA343" s="74" t="inlineStr">
        <is>
          <t>전라북도 군산시 미장동 542</t>
        </is>
      </c>
      <c r="AB343" s="74" t="inlineStr">
        <is>
          <t>전라북도</t>
        </is>
      </c>
      <c r="AC343" s="74" t="inlineStr">
        <is>
          <t>군산시</t>
        </is>
      </c>
      <c r="AD343" s="74" t="inlineStr">
        <is>
          <t>미장동</t>
        </is>
      </c>
      <c r="AG343" s="74" t="inlineStr">
        <is>
          <t>전라북도 군산시 미장남로 10</t>
        </is>
      </c>
      <c r="AH343" s="74" t="n">
        <v>0</v>
      </c>
      <c r="AI343" s="74" t="n">
        <v>249</v>
      </c>
      <c r="AJ343" s="74" t="n">
        <v>20</v>
      </c>
      <c r="AK343" s="74" t="n">
        <v>1299</v>
      </c>
      <c r="AL343" s="74" t="n">
        <v>1.21</v>
      </c>
    </row>
    <row r="344">
      <c r="A344" s="74" t="inlineStr">
        <is>
          <t>[미장동]</t>
        </is>
      </c>
      <c r="B344" s="74" t="n">
        <v>106162</v>
      </c>
      <c r="C344" s="74" t="n">
        <v>3</v>
      </c>
      <c r="D344" s="74" t="inlineStr">
        <is>
          <t>군산미장아이파크</t>
        </is>
      </c>
      <c r="E344" s="74" t="inlineStr">
        <is>
          <t>2015.01.</t>
        </is>
      </c>
      <c r="F344" s="74" t="n">
        <v>1078</v>
      </c>
      <c r="G344" s="74" t="n">
        <v>33.67</v>
      </c>
      <c r="H344" s="74" t="n">
        <v>111.31</v>
      </c>
      <c r="I344" s="74" t="n">
        <v>25.7</v>
      </c>
      <c r="J344" s="74" t="n">
        <v>84.98999999999999</v>
      </c>
      <c r="K344" s="74" t="n">
        <v>40</v>
      </c>
      <c r="T344" s="74" t="n">
        <v>3</v>
      </c>
      <c r="U344" s="74" t="n">
        <v>2</v>
      </c>
      <c r="V344" s="74" t="inlineStr">
        <is>
          <t>계단식</t>
        </is>
      </c>
      <c r="W344" s="74" t="inlineStr">
        <is>
          <t>111E</t>
        </is>
      </c>
      <c r="X344" s="74" t="n">
        <v>25</v>
      </c>
      <c r="Y344" s="74" t="n">
        <v>12</v>
      </c>
      <c r="Z344" s="74" t="inlineStr">
        <is>
          <t>https://new.land.naver.com/complexes/106162?tab=detail&amp;rf=Y</t>
        </is>
      </c>
      <c r="AA344" s="74" t="inlineStr">
        <is>
          <t>전라북도 군산시 미장동 542</t>
        </is>
      </c>
      <c r="AB344" s="74" t="inlineStr">
        <is>
          <t>전라북도</t>
        </is>
      </c>
      <c r="AC344" s="74" t="inlineStr">
        <is>
          <t>군산시</t>
        </is>
      </c>
      <c r="AD344" s="74" t="inlineStr">
        <is>
          <t>미장동</t>
        </is>
      </c>
      <c r="AG344" s="74" t="inlineStr">
        <is>
          <t>전라북도 군산시 미장남로 10</t>
        </is>
      </c>
      <c r="AH344" s="74" t="n">
        <v>0</v>
      </c>
      <c r="AI344" s="74" t="n">
        <v>249</v>
      </c>
      <c r="AJ344" s="74" t="n">
        <v>20</v>
      </c>
      <c r="AK344" s="74" t="n">
        <v>1299</v>
      </c>
      <c r="AL344" s="74" t="n">
        <v>1.21</v>
      </c>
    </row>
    <row r="345">
      <c r="A345" s="74" t="inlineStr">
        <is>
          <t>[미장동]</t>
        </is>
      </c>
      <c r="B345" s="74" t="n">
        <v>106162</v>
      </c>
      <c r="C345" s="74" t="n">
        <v>4</v>
      </c>
      <c r="D345" s="74" t="inlineStr">
        <is>
          <t>군산미장아이파크</t>
        </is>
      </c>
      <c r="E345" s="74" t="inlineStr">
        <is>
          <t>2015.01.</t>
        </is>
      </c>
      <c r="F345" s="74" t="n">
        <v>1078</v>
      </c>
      <c r="G345" s="74" t="n">
        <v>34.17</v>
      </c>
      <c r="H345" s="74" t="n">
        <v>112.98</v>
      </c>
      <c r="I345" s="74" t="n">
        <v>25.7</v>
      </c>
      <c r="J345" s="74" t="n">
        <v>84.98</v>
      </c>
      <c r="K345" s="74" t="n">
        <v>200</v>
      </c>
      <c r="T345" s="74" t="n">
        <v>3</v>
      </c>
      <c r="U345" s="74" t="n">
        <v>2</v>
      </c>
      <c r="V345" s="74" t="inlineStr">
        <is>
          <t>계단식</t>
        </is>
      </c>
      <c r="W345" s="74" t="inlineStr">
        <is>
          <t>112B</t>
        </is>
      </c>
      <c r="X345" s="74" t="n">
        <v>25</v>
      </c>
      <c r="Y345" s="74" t="n">
        <v>12</v>
      </c>
      <c r="Z345" s="74" t="inlineStr">
        <is>
          <t>https://new.land.naver.com/complexes/106162?tab=detail&amp;rf=Y</t>
        </is>
      </c>
      <c r="AA345" s="74" t="inlineStr">
        <is>
          <t>전라북도 군산시 미장동 542</t>
        </is>
      </c>
      <c r="AB345" s="74" t="inlineStr">
        <is>
          <t>전라북도</t>
        </is>
      </c>
      <c r="AC345" s="74" t="inlineStr">
        <is>
          <t>군산시</t>
        </is>
      </c>
      <c r="AD345" s="74" t="inlineStr">
        <is>
          <t>미장동</t>
        </is>
      </c>
      <c r="AG345" s="74" t="inlineStr">
        <is>
          <t>전라북도 군산시 미장남로 10</t>
        </is>
      </c>
      <c r="AH345" s="74" t="n">
        <v>0</v>
      </c>
      <c r="AI345" s="74" t="n">
        <v>249</v>
      </c>
      <c r="AJ345" s="74" t="n">
        <v>20</v>
      </c>
      <c r="AK345" s="74" t="n">
        <v>1299</v>
      </c>
      <c r="AL345" s="74" t="n">
        <v>1.21</v>
      </c>
    </row>
    <row r="346">
      <c r="A346" s="74" t="inlineStr">
        <is>
          <t>[미장동]</t>
        </is>
      </c>
      <c r="B346" s="74" t="n">
        <v>106162</v>
      </c>
      <c r="C346" s="74" t="n">
        <v>5</v>
      </c>
      <c r="D346" s="74" t="inlineStr">
        <is>
          <t>군산미장아이파크</t>
        </is>
      </c>
      <c r="E346" s="74" t="inlineStr">
        <is>
          <t>2015.01.</t>
        </is>
      </c>
      <c r="F346" s="74" t="n">
        <v>1078</v>
      </c>
      <c r="G346" s="74" t="n">
        <v>33.94</v>
      </c>
      <c r="H346" s="74" t="n">
        <v>112.21</v>
      </c>
      <c r="I346" s="74" t="n">
        <v>25.7</v>
      </c>
      <c r="J346" s="74" t="n">
        <v>84.98</v>
      </c>
      <c r="K346" s="74" t="n">
        <v>134</v>
      </c>
      <c r="T346" s="74" t="n">
        <v>3</v>
      </c>
      <c r="U346" s="74" t="n">
        <v>2</v>
      </c>
      <c r="V346" s="74" t="inlineStr">
        <is>
          <t>계단식</t>
        </is>
      </c>
      <c r="W346" s="74" t="inlineStr">
        <is>
          <t>112C</t>
        </is>
      </c>
      <c r="X346" s="74" t="n">
        <v>25</v>
      </c>
      <c r="Y346" s="74" t="n">
        <v>12</v>
      </c>
      <c r="Z346" s="74" t="inlineStr">
        <is>
          <t>https://new.land.naver.com/complexes/106162?tab=detail&amp;rf=Y</t>
        </is>
      </c>
      <c r="AA346" s="74" t="inlineStr">
        <is>
          <t>전라북도 군산시 미장동 542</t>
        </is>
      </c>
      <c r="AB346" s="74" t="inlineStr">
        <is>
          <t>전라북도</t>
        </is>
      </c>
      <c r="AC346" s="74" t="inlineStr">
        <is>
          <t>군산시</t>
        </is>
      </c>
      <c r="AD346" s="74" t="inlineStr">
        <is>
          <t>미장동</t>
        </is>
      </c>
      <c r="AG346" s="74" t="inlineStr">
        <is>
          <t>전라북도 군산시 미장남로 10</t>
        </is>
      </c>
      <c r="AH346" s="74" t="n">
        <v>0</v>
      </c>
      <c r="AI346" s="74" t="n">
        <v>249</v>
      </c>
      <c r="AJ346" s="74" t="n">
        <v>20</v>
      </c>
      <c r="AK346" s="74" t="n">
        <v>1299</v>
      </c>
      <c r="AL346" s="74" t="n">
        <v>1.21</v>
      </c>
    </row>
    <row r="347">
      <c r="A347" s="74" t="inlineStr">
        <is>
          <t>[미장동]</t>
        </is>
      </c>
      <c r="B347" s="74" t="n">
        <v>106162</v>
      </c>
      <c r="C347" s="74" t="n">
        <v>6</v>
      </c>
      <c r="D347" s="74" t="inlineStr">
        <is>
          <t>군산미장아이파크</t>
        </is>
      </c>
      <c r="E347" s="74" t="inlineStr">
        <is>
          <t>2015.01.</t>
        </is>
      </c>
      <c r="F347" s="74" t="n">
        <v>1078</v>
      </c>
      <c r="G347" s="74" t="n">
        <v>34.05</v>
      </c>
      <c r="H347" s="74" t="n">
        <v>112.58</v>
      </c>
      <c r="I347" s="74" t="n">
        <v>25.7</v>
      </c>
      <c r="J347" s="74" t="n">
        <v>84.97</v>
      </c>
      <c r="K347" s="74" t="n">
        <v>54</v>
      </c>
      <c r="T347" s="74" t="n">
        <v>3</v>
      </c>
      <c r="U347" s="74" t="n">
        <v>2</v>
      </c>
      <c r="V347" s="74" t="inlineStr">
        <is>
          <t>계단식</t>
        </is>
      </c>
      <c r="W347" s="74" t="inlineStr">
        <is>
          <t>112D</t>
        </is>
      </c>
      <c r="X347" s="74" t="n">
        <v>25</v>
      </c>
      <c r="Y347" s="74" t="n">
        <v>12</v>
      </c>
      <c r="Z347" s="74" t="inlineStr">
        <is>
          <t>https://new.land.naver.com/complexes/106162?tab=detail&amp;rf=Y</t>
        </is>
      </c>
      <c r="AA347" s="74" t="inlineStr">
        <is>
          <t>전라북도 군산시 미장동 542</t>
        </is>
      </c>
      <c r="AB347" s="74" t="inlineStr">
        <is>
          <t>전라북도</t>
        </is>
      </c>
      <c r="AC347" s="74" t="inlineStr">
        <is>
          <t>군산시</t>
        </is>
      </c>
      <c r="AD347" s="74" t="inlineStr">
        <is>
          <t>미장동</t>
        </is>
      </c>
      <c r="AG347" s="74" t="inlineStr">
        <is>
          <t>전라북도 군산시 미장남로 10</t>
        </is>
      </c>
      <c r="AH347" s="74" t="n">
        <v>0</v>
      </c>
      <c r="AI347" s="74" t="n">
        <v>249</v>
      </c>
      <c r="AJ347" s="74" t="n">
        <v>20</v>
      </c>
      <c r="AK347" s="74" t="n">
        <v>1299</v>
      </c>
      <c r="AL347" s="74" t="n">
        <v>1.21</v>
      </c>
    </row>
    <row r="348">
      <c r="A348" s="74" t="inlineStr">
        <is>
          <t>[미장동]</t>
        </is>
      </c>
      <c r="B348" s="74" t="n">
        <v>106162</v>
      </c>
      <c r="C348" s="74" t="n">
        <v>7</v>
      </c>
      <c r="D348" s="74" t="inlineStr">
        <is>
          <t>군산미장아이파크</t>
        </is>
      </c>
      <c r="E348" s="74" t="inlineStr">
        <is>
          <t>2015.01.</t>
        </is>
      </c>
      <c r="F348" s="74" t="n">
        <v>1078</v>
      </c>
      <c r="G348" s="74" t="n">
        <v>39.84</v>
      </c>
      <c r="H348" s="74" t="n">
        <v>131.73</v>
      </c>
      <c r="I348" s="74" t="n">
        <v>30.38</v>
      </c>
      <c r="J348" s="74" t="n">
        <v>100.43</v>
      </c>
      <c r="K348" s="74" t="n">
        <v>74</v>
      </c>
      <c r="T348" s="74" t="n">
        <v>4</v>
      </c>
      <c r="U348" s="74" t="n">
        <v>2</v>
      </c>
      <c r="V348" s="74" t="inlineStr">
        <is>
          <t>계단식</t>
        </is>
      </c>
      <c r="W348" s="74" t="n">
        <v>131</v>
      </c>
      <c r="X348" s="74" t="n">
        <v>25</v>
      </c>
      <c r="Y348" s="74" t="n">
        <v>12</v>
      </c>
      <c r="Z348" s="74" t="inlineStr">
        <is>
          <t>https://new.land.naver.com/complexes/106162?tab=detail&amp;rf=Y</t>
        </is>
      </c>
      <c r="AA348" s="74" t="inlineStr">
        <is>
          <t>전라북도 군산시 미장동 542</t>
        </is>
      </c>
      <c r="AB348" s="74" t="inlineStr">
        <is>
          <t>전라북도</t>
        </is>
      </c>
      <c r="AC348" s="74" t="inlineStr">
        <is>
          <t>군산시</t>
        </is>
      </c>
      <c r="AD348" s="74" t="inlineStr">
        <is>
          <t>미장동</t>
        </is>
      </c>
      <c r="AG348" s="74" t="inlineStr">
        <is>
          <t>전라북도 군산시 미장남로 10</t>
        </is>
      </c>
      <c r="AH348" s="74" t="n">
        <v>0</v>
      </c>
      <c r="AI348" s="74" t="n">
        <v>249</v>
      </c>
      <c r="AJ348" s="74" t="n">
        <v>20</v>
      </c>
      <c r="AK348" s="74" t="n">
        <v>1299</v>
      </c>
      <c r="AL348" s="74" t="n">
        <v>1.21</v>
      </c>
    </row>
    <row r="349">
      <c r="A349" s="74" t="inlineStr">
        <is>
          <t>[미장동]</t>
        </is>
      </c>
      <c r="B349" s="74" t="n">
        <v>27793</v>
      </c>
      <c r="C349" s="74" t="n">
        <v>1</v>
      </c>
      <c r="D349" s="74" t="inlineStr">
        <is>
          <t>미장코아루</t>
        </is>
      </c>
      <c r="E349" s="74" t="inlineStr">
        <is>
          <t>2007.06.</t>
        </is>
      </c>
      <c r="F349" s="74" t="n">
        <v>354</v>
      </c>
      <c r="G349" s="74" t="n">
        <v>48.65</v>
      </c>
      <c r="H349" s="74" t="n">
        <v>160.84</v>
      </c>
      <c r="I349" s="74" t="n">
        <v>39.07</v>
      </c>
      <c r="J349" s="74" t="n">
        <v>129.19</v>
      </c>
      <c r="K349" s="74" t="n">
        <v>174</v>
      </c>
      <c r="T349" s="74" t="n">
        <v>4</v>
      </c>
      <c r="U349" s="74" t="n">
        <v>2</v>
      </c>
      <c r="V349" s="74" t="inlineStr">
        <is>
          <t>계단식</t>
        </is>
      </c>
      <c r="W349" s="74" t="n">
        <v>160</v>
      </c>
      <c r="X349" s="74" t="n">
        <v>15</v>
      </c>
      <c r="Y349" s="74" t="n">
        <v>14</v>
      </c>
      <c r="Z349" s="74" t="inlineStr">
        <is>
          <t>https://new.land.naver.com/complexes/27793?tab=detail&amp;rf=Y</t>
        </is>
      </c>
      <c r="AA349" s="74" t="inlineStr">
        <is>
          <t>전라북도 군산시 미장동 55-5</t>
        </is>
      </c>
      <c r="AB349" s="74" t="inlineStr">
        <is>
          <t>전라북도</t>
        </is>
      </c>
      <c r="AC349" s="74" t="inlineStr">
        <is>
          <t>군산시</t>
        </is>
      </c>
      <c r="AD349" s="74" t="inlineStr">
        <is>
          <t>미장동</t>
        </is>
      </c>
      <c r="AG349" s="74" t="inlineStr">
        <is>
          <t>전라북도 군산시 미장안길 42</t>
        </is>
      </c>
      <c r="AH349" s="74" t="n">
        <v>0</v>
      </c>
      <c r="AI349" s="74" t="n">
        <v>214</v>
      </c>
      <c r="AJ349" s="74" t="n">
        <v>18</v>
      </c>
      <c r="AK349" s="74" t="n">
        <v>706</v>
      </c>
      <c r="AL349" s="74" t="n">
        <v>1.99</v>
      </c>
    </row>
    <row r="350">
      <c r="A350" s="74" t="inlineStr">
        <is>
          <t>[미장동]</t>
        </is>
      </c>
      <c r="B350" s="74" t="n">
        <v>27793</v>
      </c>
      <c r="C350" s="74" t="n">
        <v>2</v>
      </c>
      <c r="D350" s="74" t="inlineStr">
        <is>
          <t>미장코아루</t>
        </is>
      </c>
      <c r="E350" s="74" t="inlineStr">
        <is>
          <t>2007.06.</t>
        </is>
      </c>
      <c r="F350" s="74" t="n">
        <v>354</v>
      </c>
      <c r="G350" s="74" t="n">
        <v>56.16</v>
      </c>
      <c r="H350" s="74" t="n">
        <v>185.67</v>
      </c>
      <c r="I350" s="74" t="n">
        <v>46.17</v>
      </c>
      <c r="J350" s="74" t="n">
        <v>152.66</v>
      </c>
      <c r="K350" s="74" t="n">
        <v>120</v>
      </c>
      <c r="T350" s="74" t="n">
        <v>4</v>
      </c>
      <c r="U350" s="74" t="n">
        <v>2</v>
      </c>
      <c r="V350" s="74" t="inlineStr">
        <is>
          <t>계단식</t>
        </is>
      </c>
      <c r="W350" s="74" t="n">
        <v>185</v>
      </c>
      <c r="X350" s="74" t="n">
        <v>15</v>
      </c>
      <c r="Y350" s="74" t="n">
        <v>14</v>
      </c>
      <c r="Z350" s="74" t="inlineStr">
        <is>
          <t>https://new.land.naver.com/complexes/27793?tab=detail&amp;rf=Y</t>
        </is>
      </c>
      <c r="AA350" s="74" t="inlineStr">
        <is>
          <t>전라북도 군산시 미장동 55-5</t>
        </is>
      </c>
      <c r="AB350" s="74" t="inlineStr">
        <is>
          <t>전라북도</t>
        </is>
      </c>
      <c r="AC350" s="74" t="inlineStr">
        <is>
          <t>군산시</t>
        </is>
      </c>
      <c r="AD350" s="74" t="inlineStr">
        <is>
          <t>미장동</t>
        </is>
      </c>
      <c r="AG350" s="74" t="inlineStr">
        <is>
          <t>전라북도 군산시 미장안길 42</t>
        </is>
      </c>
      <c r="AH350" s="74" t="n">
        <v>0</v>
      </c>
      <c r="AI350" s="74" t="n">
        <v>214</v>
      </c>
      <c r="AJ350" s="74" t="n">
        <v>18</v>
      </c>
      <c r="AK350" s="74" t="n">
        <v>706</v>
      </c>
      <c r="AL350" s="74" t="n">
        <v>1.99</v>
      </c>
    </row>
    <row r="351">
      <c r="A351" s="74" t="inlineStr">
        <is>
          <t>[미장동]</t>
        </is>
      </c>
      <c r="B351" s="74" t="n">
        <v>27793</v>
      </c>
      <c r="C351" s="74" t="n">
        <v>3</v>
      </c>
      <c r="D351" s="74" t="inlineStr">
        <is>
          <t>미장코아루</t>
        </is>
      </c>
      <c r="E351" s="74" t="inlineStr">
        <is>
          <t>2007.06.</t>
        </is>
      </c>
      <c r="F351" s="74" t="n">
        <v>354</v>
      </c>
      <c r="G351" s="74" t="n">
        <v>65.26000000000001</v>
      </c>
      <c r="H351" s="74" t="n">
        <v>215.75</v>
      </c>
      <c r="I351" s="74" t="n">
        <v>54.78</v>
      </c>
      <c r="J351" s="74" t="n">
        <v>181.1</v>
      </c>
      <c r="K351" s="74" t="n">
        <v>60</v>
      </c>
      <c r="T351" s="74" t="n">
        <v>5</v>
      </c>
      <c r="U351" s="74" t="n">
        <v>2</v>
      </c>
      <c r="V351" s="74" t="inlineStr">
        <is>
          <t>계단식</t>
        </is>
      </c>
      <c r="W351" s="74" t="n">
        <v>215</v>
      </c>
      <c r="X351" s="74" t="n">
        <v>15</v>
      </c>
      <c r="Y351" s="74" t="n">
        <v>14</v>
      </c>
      <c r="Z351" s="74" t="inlineStr">
        <is>
          <t>https://new.land.naver.com/complexes/27793?tab=detail&amp;rf=Y</t>
        </is>
      </c>
      <c r="AA351" s="74" t="inlineStr">
        <is>
          <t>전라북도 군산시 미장동 55-5</t>
        </is>
      </c>
      <c r="AB351" s="74" t="inlineStr">
        <is>
          <t>전라북도</t>
        </is>
      </c>
      <c r="AC351" s="74" t="inlineStr">
        <is>
          <t>군산시</t>
        </is>
      </c>
      <c r="AD351" s="74" t="inlineStr">
        <is>
          <t>미장동</t>
        </is>
      </c>
      <c r="AG351" s="74" t="inlineStr">
        <is>
          <t>전라북도 군산시 미장안길 42</t>
        </is>
      </c>
      <c r="AH351" s="74" t="n">
        <v>0</v>
      </c>
      <c r="AI351" s="74" t="n">
        <v>214</v>
      </c>
      <c r="AJ351" s="74" t="n">
        <v>18</v>
      </c>
      <c r="AK351" s="74" t="n">
        <v>706</v>
      </c>
      <c r="AL351" s="74" t="n">
        <v>1.99</v>
      </c>
    </row>
    <row r="352">
      <c r="A352" s="74" t="inlineStr">
        <is>
          <t>[미장동]</t>
        </is>
      </c>
      <c r="B352" s="74" t="n">
        <v>27794</v>
      </c>
      <c r="C352" s="74" t="n">
        <v>1</v>
      </c>
      <c r="D352" s="74" t="inlineStr">
        <is>
          <t>예그린</t>
        </is>
      </c>
      <c r="E352" s="74" t="inlineStr">
        <is>
          <t>1992.06.</t>
        </is>
      </c>
      <c r="F352" s="74" t="n">
        <v>198</v>
      </c>
      <c r="G352" s="74" t="n">
        <v>22.95</v>
      </c>
      <c r="H352" s="74" t="n">
        <v>75.90000000000001</v>
      </c>
      <c r="I352" s="74" t="n">
        <v>18.14</v>
      </c>
      <c r="J352" s="74" t="n">
        <v>59.97</v>
      </c>
      <c r="K352" s="74" t="n">
        <v>72</v>
      </c>
      <c r="T352" s="74" t="n">
        <v>3</v>
      </c>
      <c r="U352" s="74" t="n">
        <v>1</v>
      </c>
      <c r="V352" s="74" t="inlineStr">
        <is>
          <t>계단식</t>
        </is>
      </c>
      <c r="W352" s="74" t="inlineStr">
        <is>
          <t>75B</t>
        </is>
      </c>
      <c r="X352" s="74" t="n">
        <v>15</v>
      </c>
      <c r="Y352" s="74" t="n">
        <v>6</v>
      </c>
      <c r="Z352" s="74" t="inlineStr">
        <is>
          <t>https://new.land.naver.com/complexes/27794?tab=detail&amp;rf=Y</t>
        </is>
      </c>
      <c r="AA352" s="74" t="inlineStr">
        <is>
          <t>전라북도 군산시 미장동 52-1</t>
        </is>
      </c>
      <c r="AB352" s="74" t="inlineStr">
        <is>
          <t>전라북도</t>
        </is>
      </c>
      <c r="AC352" s="74" t="inlineStr">
        <is>
          <t>군산시</t>
        </is>
      </c>
      <c r="AD352" s="74" t="inlineStr">
        <is>
          <t>미장동</t>
        </is>
      </c>
      <c r="AG352" s="74" t="inlineStr">
        <is>
          <t>전라북도 군산시 문화로 205</t>
        </is>
      </c>
      <c r="AH352" s="74" t="n">
        <v>0</v>
      </c>
      <c r="AI352" s="74" t="n">
        <v>0</v>
      </c>
      <c r="AJ352" s="74" t="n">
        <v>0</v>
      </c>
      <c r="AK352" s="74" t="n">
        <v>0</v>
      </c>
      <c r="AL352" s="74" t="n">
        <v>0</v>
      </c>
    </row>
    <row r="353">
      <c r="A353" s="74" t="inlineStr">
        <is>
          <t>[미장동]</t>
        </is>
      </c>
      <c r="B353" s="74" t="n">
        <v>27794</v>
      </c>
      <c r="C353" s="74" t="n">
        <v>2</v>
      </c>
      <c r="D353" s="74" t="inlineStr">
        <is>
          <t>예그린</t>
        </is>
      </c>
      <c r="E353" s="74" t="inlineStr">
        <is>
          <t>1992.06.</t>
        </is>
      </c>
      <c r="F353" s="74" t="n">
        <v>198</v>
      </c>
      <c r="G353" s="74" t="n">
        <v>23.64</v>
      </c>
      <c r="H353" s="74" t="n">
        <v>78.18000000000001</v>
      </c>
      <c r="I353" s="74" t="n">
        <v>18.13</v>
      </c>
      <c r="J353" s="74" t="n">
        <v>59.94</v>
      </c>
      <c r="K353" s="74" t="n">
        <v>126</v>
      </c>
      <c r="T353" s="74" t="n">
        <v>3</v>
      </c>
      <c r="U353" s="74" t="n">
        <v>1</v>
      </c>
      <c r="V353" s="74" t="inlineStr">
        <is>
          <t>계단식</t>
        </is>
      </c>
      <c r="W353" s="74" t="inlineStr">
        <is>
          <t>78A</t>
        </is>
      </c>
      <c r="X353" s="74" t="n">
        <v>15</v>
      </c>
      <c r="Y353" s="74" t="n">
        <v>6</v>
      </c>
      <c r="Z353" s="74" t="inlineStr">
        <is>
          <t>https://new.land.naver.com/complexes/27794?tab=detail&amp;rf=Y</t>
        </is>
      </c>
      <c r="AA353" s="74" t="inlineStr">
        <is>
          <t>전라북도 군산시 미장동 52-1</t>
        </is>
      </c>
      <c r="AB353" s="74" t="inlineStr">
        <is>
          <t>전라북도</t>
        </is>
      </c>
      <c r="AC353" s="74" t="inlineStr">
        <is>
          <t>군산시</t>
        </is>
      </c>
      <c r="AD353" s="74" t="inlineStr">
        <is>
          <t>미장동</t>
        </is>
      </c>
      <c r="AG353" s="74" t="inlineStr">
        <is>
          <t>전라북도 군산시 문화로 205</t>
        </is>
      </c>
      <c r="AH353" s="74" t="n">
        <v>0</v>
      </c>
      <c r="AI353" s="74" t="n">
        <v>0</v>
      </c>
      <c r="AJ353" s="74" t="n">
        <v>0</v>
      </c>
      <c r="AK353" s="74" t="n">
        <v>0</v>
      </c>
      <c r="AL353" s="74" t="n">
        <v>0</v>
      </c>
    </row>
    <row r="354">
      <c r="A354" s="74" t="inlineStr">
        <is>
          <t>[미장동]</t>
        </is>
      </c>
      <c r="B354" s="74" t="n">
        <v>27010</v>
      </c>
      <c r="C354" s="74" t="n">
        <v>1</v>
      </c>
      <c r="D354" s="74" t="inlineStr">
        <is>
          <t>수송공원삼성쉐르빌</t>
        </is>
      </c>
      <c r="E354" s="74" t="inlineStr">
        <is>
          <t>2009.12.</t>
        </is>
      </c>
      <c r="F354" s="74" t="n">
        <v>654</v>
      </c>
      <c r="G354" s="74" t="n">
        <v>34.19</v>
      </c>
      <c r="H354" s="74" t="n">
        <v>113.03</v>
      </c>
      <c r="I354" s="74" t="n">
        <v>25.53</v>
      </c>
      <c r="J354" s="74" t="n">
        <v>84.40000000000001</v>
      </c>
      <c r="K354" s="74" t="n">
        <v>205</v>
      </c>
      <c r="T354" s="74" t="n">
        <v>3</v>
      </c>
      <c r="U354" s="74" t="n">
        <v>2</v>
      </c>
      <c r="V354" s="74" t="inlineStr">
        <is>
          <t>계단식</t>
        </is>
      </c>
      <c r="W354" s="74" t="inlineStr">
        <is>
          <t>113A</t>
        </is>
      </c>
      <c r="X354" s="74" t="n">
        <v>15</v>
      </c>
      <c r="Y354" s="74" t="n">
        <v>10</v>
      </c>
      <c r="Z354" s="74" t="inlineStr">
        <is>
          <t>https://new.land.naver.com/complexes/27010?tab=detail&amp;rf=Y</t>
        </is>
      </c>
      <c r="AA354" s="74" t="inlineStr">
        <is>
          <t>전라북도 군산시 미장동 473</t>
        </is>
      </c>
      <c r="AB354" s="74" t="inlineStr">
        <is>
          <t>전라북도</t>
        </is>
      </c>
      <c r="AC354" s="74" t="inlineStr">
        <is>
          <t>군산시</t>
        </is>
      </c>
      <c r="AD354" s="74" t="inlineStr">
        <is>
          <t>미장동</t>
        </is>
      </c>
      <c r="AG354" s="74" t="inlineStr">
        <is>
          <t>전라북도 군산시 경포천로 66</t>
        </is>
      </c>
      <c r="AH354" s="74" t="n">
        <v>0</v>
      </c>
      <c r="AI354" s="74" t="n">
        <v>238</v>
      </c>
      <c r="AJ354" s="74" t="n">
        <v>24</v>
      </c>
      <c r="AK354" s="74" t="n">
        <v>974</v>
      </c>
      <c r="AL354" s="74" t="n">
        <v>1.49</v>
      </c>
    </row>
    <row r="355">
      <c r="A355" s="74" t="inlineStr">
        <is>
          <t>[미장동]</t>
        </is>
      </c>
      <c r="B355" s="74" t="n">
        <v>27010</v>
      </c>
      <c r="C355" s="74" t="n">
        <v>2</v>
      </c>
      <c r="D355" s="74" t="inlineStr">
        <is>
          <t>수송공원삼성쉐르빌</t>
        </is>
      </c>
      <c r="E355" s="74" t="inlineStr">
        <is>
          <t>2009.12.</t>
        </is>
      </c>
      <c r="F355" s="74" t="n">
        <v>654</v>
      </c>
      <c r="G355" s="74" t="n">
        <v>34.88</v>
      </c>
      <c r="H355" s="74" t="n">
        <v>115.31</v>
      </c>
      <c r="I355" s="74" t="n">
        <v>25.67</v>
      </c>
      <c r="J355" s="74" t="n">
        <v>84.86</v>
      </c>
      <c r="K355" s="74" t="n">
        <v>60</v>
      </c>
      <c r="T355" s="74" t="n">
        <v>3</v>
      </c>
      <c r="U355" s="74" t="n">
        <v>2</v>
      </c>
      <c r="V355" s="74" t="inlineStr">
        <is>
          <t>계단식</t>
        </is>
      </c>
      <c r="W355" s="74" t="inlineStr">
        <is>
          <t>115B</t>
        </is>
      </c>
      <c r="X355" s="74" t="n">
        <v>15</v>
      </c>
      <c r="Y355" s="74" t="n">
        <v>10</v>
      </c>
      <c r="Z355" s="74" t="inlineStr">
        <is>
          <t>https://new.land.naver.com/complexes/27010?tab=detail&amp;rf=Y</t>
        </is>
      </c>
      <c r="AA355" s="74" t="inlineStr">
        <is>
          <t>전라북도 군산시 미장동 473</t>
        </is>
      </c>
      <c r="AB355" s="74" t="inlineStr">
        <is>
          <t>전라북도</t>
        </is>
      </c>
      <c r="AC355" s="74" t="inlineStr">
        <is>
          <t>군산시</t>
        </is>
      </c>
      <c r="AD355" s="74" t="inlineStr">
        <is>
          <t>미장동</t>
        </is>
      </c>
      <c r="AG355" s="74" t="inlineStr">
        <is>
          <t>전라북도 군산시 경포천로 66</t>
        </is>
      </c>
      <c r="AH355" s="74" t="n">
        <v>0</v>
      </c>
      <c r="AI355" s="74" t="n">
        <v>238</v>
      </c>
      <c r="AJ355" s="74" t="n">
        <v>24</v>
      </c>
      <c r="AK355" s="74" t="n">
        <v>974</v>
      </c>
      <c r="AL355" s="74" t="n">
        <v>1.49</v>
      </c>
    </row>
    <row r="356">
      <c r="A356" s="74" t="inlineStr">
        <is>
          <t>[미장동]</t>
        </is>
      </c>
      <c r="B356" s="74" t="n">
        <v>27010</v>
      </c>
      <c r="C356" s="74" t="n">
        <v>3</v>
      </c>
      <c r="D356" s="74" t="inlineStr">
        <is>
          <t>수송공원삼성쉐르빌</t>
        </is>
      </c>
      <c r="E356" s="74" t="inlineStr">
        <is>
          <t>2009.12.</t>
        </is>
      </c>
      <c r="F356" s="74" t="n">
        <v>654</v>
      </c>
      <c r="G356" s="74" t="n">
        <v>40.92</v>
      </c>
      <c r="H356" s="74" t="n">
        <v>135.3</v>
      </c>
      <c r="I356" s="74" t="n">
        <v>31.4</v>
      </c>
      <c r="J356" s="74" t="n">
        <v>103.82</v>
      </c>
      <c r="K356" s="74" t="n">
        <v>163</v>
      </c>
      <c r="T356" s="74" t="n">
        <v>3</v>
      </c>
      <c r="U356" s="74" t="n">
        <v>2</v>
      </c>
      <c r="V356" s="74" t="inlineStr">
        <is>
          <t>계단식</t>
        </is>
      </c>
      <c r="W356" s="74" t="inlineStr">
        <is>
          <t>135A</t>
        </is>
      </c>
      <c r="X356" s="74" t="n">
        <v>15</v>
      </c>
      <c r="Y356" s="74" t="n">
        <v>10</v>
      </c>
      <c r="Z356" s="74" t="inlineStr">
        <is>
          <t>https://new.land.naver.com/complexes/27010?tab=detail&amp;rf=Y</t>
        </is>
      </c>
      <c r="AA356" s="74" t="inlineStr">
        <is>
          <t>전라북도 군산시 미장동 473</t>
        </is>
      </c>
      <c r="AB356" s="74" t="inlineStr">
        <is>
          <t>전라북도</t>
        </is>
      </c>
      <c r="AC356" s="74" t="inlineStr">
        <is>
          <t>군산시</t>
        </is>
      </c>
      <c r="AD356" s="74" t="inlineStr">
        <is>
          <t>미장동</t>
        </is>
      </c>
      <c r="AG356" s="74" t="inlineStr">
        <is>
          <t>전라북도 군산시 경포천로 66</t>
        </is>
      </c>
      <c r="AH356" s="74" t="n">
        <v>0</v>
      </c>
      <c r="AI356" s="74" t="n">
        <v>238</v>
      </c>
      <c r="AJ356" s="74" t="n">
        <v>24</v>
      </c>
      <c r="AK356" s="74" t="n">
        <v>974</v>
      </c>
      <c r="AL356" s="74" t="n">
        <v>1.49</v>
      </c>
    </row>
    <row r="357">
      <c r="A357" s="74" t="inlineStr">
        <is>
          <t>[미장동]</t>
        </is>
      </c>
      <c r="B357" s="74" t="n">
        <v>27010</v>
      </c>
      <c r="C357" s="74" t="n">
        <v>4</v>
      </c>
      <c r="D357" s="74" t="inlineStr">
        <is>
          <t>수송공원삼성쉐르빌</t>
        </is>
      </c>
      <c r="E357" s="74" t="inlineStr">
        <is>
          <t>2009.12.</t>
        </is>
      </c>
      <c r="F357" s="74" t="n">
        <v>654</v>
      </c>
      <c r="G357" s="74" t="n">
        <v>40.89</v>
      </c>
      <c r="H357" s="74" t="n">
        <v>135.18</v>
      </c>
      <c r="I357" s="74" t="n">
        <v>31.5</v>
      </c>
      <c r="J357" s="74" t="n">
        <v>104.16</v>
      </c>
      <c r="K357" s="74" t="n">
        <v>113</v>
      </c>
      <c r="T357" s="74" t="n">
        <v>3</v>
      </c>
      <c r="U357" s="74" t="n">
        <v>2</v>
      </c>
      <c r="V357" s="74" t="inlineStr">
        <is>
          <t>계단식</t>
        </is>
      </c>
      <c r="W357" s="74" t="inlineStr">
        <is>
          <t>135B</t>
        </is>
      </c>
      <c r="X357" s="74" t="n">
        <v>15</v>
      </c>
      <c r="Y357" s="74" t="n">
        <v>10</v>
      </c>
      <c r="Z357" s="74" t="inlineStr">
        <is>
          <t>https://new.land.naver.com/complexes/27010?tab=detail&amp;rf=Y</t>
        </is>
      </c>
      <c r="AA357" s="74" t="inlineStr">
        <is>
          <t>전라북도 군산시 미장동 473</t>
        </is>
      </c>
      <c r="AB357" s="74" t="inlineStr">
        <is>
          <t>전라북도</t>
        </is>
      </c>
      <c r="AC357" s="74" t="inlineStr">
        <is>
          <t>군산시</t>
        </is>
      </c>
      <c r="AD357" s="74" t="inlineStr">
        <is>
          <t>미장동</t>
        </is>
      </c>
      <c r="AG357" s="74" t="inlineStr">
        <is>
          <t>전라북도 군산시 경포천로 66</t>
        </is>
      </c>
      <c r="AH357" s="74" t="n">
        <v>0</v>
      </c>
      <c r="AI357" s="74" t="n">
        <v>238</v>
      </c>
      <c r="AJ357" s="74" t="n">
        <v>24</v>
      </c>
      <c r="AK357" s="74" t="n">
        <v>974</v>
      </c>
      <c r="AL357" s="74" t="n">
        <v>1.49</v>
      </c>
    </row>
    <row r="358">
      <c r="A358" s="74" t="inlineStr">
        <is>
          <t>[미장동]</t>
        </is>
      </c>
      <c r="B358" s="74" t="n">
        <v>27010</v>
      </c>
      <c r="C358" s="74" t="n">
        <v>5</v>
      </c>
      <c r="D358" s="74" t="inlineStr">
        <is>
          <t>수송공원삼성쉐르빌</t>
        </is>
      </c>
      <c r="E358" s="74" t="inlineStr">
        <is>
          <t>2009.12.</t>
        </is>
      </c>
      <c r="F358" s="74" t="n">
        <v>654</v>
      </c>
      <c r="G358" s="74" t="n">
        <v>45.97</v>
      </c>
      <c r="H358" s="74" t="n">
        <v>151.97</v>
      </c>
      <c r="I358" s="74" t="n">
        <v>36.69</v>
      </c>
      <c r="J358" s="74" t="n">
        <v>121.3</v>
      </c>
      <c r="K358" s="74" t="n">
        <v>52</v>
      </c>
      <c r="T358" s="74" t="n">
        <v>4</v>
      </c>
      <c r="U358" s="74" t="n">
        <v>2</v>
      </c>
      <c r="V358" s="74" t="inlineStr">
        <is>
          <t>계단식</t>
        </is>
      </c>
      <c r="W358" s="74" t="n">
        <v>151</v>
      </c>
      <c r="X358" s="74" t="n">
        <v>15</v>
      </c>
      <c r="Y358" s="74" t="n">
        <v>10</v>
      </c>
      <c r="Z358" s="74" t="inlineStr">
        <is>
          <t>https://new.land.naver.com/complexes/27010?tab=detail&amp;rf=Y</t>
        </is>
      </c>
      <c r="AA358" s="74" t="inlineStr">
        <is>
          <t>전라북도 군산시 미장동 473</t>
        </is>
      </c>
      <c r="AB358" s="74" t="inlineStr">
        <is>
          <t>전라북도</t>
        </is>
      </c>
      <c r="AC358" s="74" t="inlineStr">
        <is>
          <t>군산시</t>
        </is>
      </c>
      <c r="AD358" s="74" t="inlineStr">
        <is>
          <t>미장동</t>
        </is>
      </c>
      <c r="AG358" s="74" t="inlineStr">
        <is>
          <t>전라북도 군산시 경포천로 66</t>
        </is>
      </c>
      <c r="AH358" s="74" t="n">
        <v>0</v>
      </c>
      <c r="AI358" s="74" t="n">
        <v>238</v>
      </c>
      <c r="AJ358" s="74" t="n">
        <v>24</v>
      </c>
      <c r="AK358" s="74" t="n">
        <v>974</v>
      </c>
      <c r="AL358" s="74" t="n">
        <v>1.49</v>
      </c>
    </row>
    <row r="359">
      <c r="A359" s="74" t="inlineStr">
        <is>
          <t>[미장동]</t>
        </is>
      </c>
      <c r="B359" s="74" t="n">
        <v>27010</v>
      </c>
      <c r="C359" s="74" t="n">
        <v>6</v>
      </c>
      <c r="D359" s="74" t="inlineStr">
        <is>
          <t>수송공원삼성쉐르빌</t>
        </is>
      </c>
      <c r="E359" s="74" t="inlineStr">
        <is>
          <t>2009.12.</t>
        </is>
      </c>
      <c r="F359" s="74" t="n">
        <v>654</v>
      </c>
      <c r="G359" s="74" t="n">
        <v>54.98</v>
      </c>
      <c r="H359" s="74" t="n">
        <v>181.77</v>
      </c>
      <c r="I359" s="74" t="n">
        <v>45.34</v>
      </c>
      <c r="J359" s="74" t="n">
        <v>149.9</v>
      </c>
      <c r="K359" s="74" t="n">
        <v>57</v>
      </c>
      <c r="T359" s="74" t="n">
        <v>4</v>
      </c>
      <c r="U359" s="74" t="n">
        <v>2</v>
      </c>
      <c r="V359" s="74" t="inlineStr">
        <is>
          <t>계단식</t>
        </is>
      </c>
      <c r="W359" s="74" t="n">
        <v>181</v>
      </c>
      <c r="X359" s="74" t="n">
        <v>15</v>
      </c>
      <c r="Y359" s="74" t="n">
        <v>10</v>
      </c>
      <c r="Z359" s="74" t="inlineStr">
        <is>
          <t>https://new.land.naver.com/complexes/27010?tab=detail&amp;rf=Y</t>
        </is>
      </c>
      <c r="AA359" s="74" t="inlineStr">
        <is>
          <t>전라북도 군산시 미장동 473</t>
        </is>
      </c>
      <c r="AB359" s="74" t="inlineStr">
        <is>
          <t>전라북도</t>
        </is>
      </c>
      <c r="AC359" s="74" t="inlineStr">
        <is>
          <t>군산시</t>
        </is>
      </c>
      <c r="AD359" s="74" t="inlineStr">
        <is>
          <t>미장동</t>
        </is>
      </c>
      <c r="AG359" s="74" t="inlineStr">
        <is>
          <t>전라북도 군산시 경포천로 66</t>
        </is>
      </c>
      <c r="AH359" s="74" t="n">
        <v>0</v>
      </c>
      <c r="AI359" s="74" t="n">
        <v>238</v>
      </c>
      <c r="AJ359" s="74" t="n">
        <v>24</v>
      </c>
      <c r="AK359" s="74" t="n">
        <v>974</v>
      </c>
      <c r="AL359" s="74" t="n">
        <v>1.49</v>
      </c>
    </row>
    <row r="360">
      <c r="A360" s="74" t="inlineStr">
        <is>
          <t>[미장동]</t>
        </is>
      </c>
      <c r="B360" s="74" t="n">
        <v>27010</v>
      </c>
      <c r="C360" s="74" t="n">
        <v>7</v>
      </c>
      <c r="D360" s="74" t="inlineStr">
        <is>
          <t>수송공원삼성쉐르빌</t>
        </is>
      </c>
      <c r="E360" s="74" t="inlineStr">
        <is>
          <t>2009.12.</t>
        </is>
      </c>
      <c r="F360" s="74" t="n">
        <v>654</v>
      </c>
      <c r="G360" s="74" t="n">
        <v>63.27</v>
      </c>
      <c r="H360" s="74" t="n">
        <v>209.16</v>
      </c>
      <c r="I360" s="74" t="n">
        <v>48.43</v>
      </c>
      <c r="J360" s="74" t="n">
        <v>160.13</v>
      </c>
      <c r="K360" s="74" t="n">
        <v>4</v>
      </c>
      <c r="T360" s="74" t="n">
        <v>5</v>
      </c>
      <c r="U360" s="74" t="n">
        <v>2</v>
      </c>
      <c r="V360" s="74" t="inlineStr">
        <is>
          <t>계단식</t>
        </is>
      </c>
      <c r="W360" s="74" t="n">
        <v>209</v>
      </c>
      <c r="X360" s="74" t="n">
        <v>15</v>
      </c>
      <c r="Y360" s="74" t="n">
        <v>10</v>
      </c>
      <c r="Z360" s="74" t="inlineStr">
        <is>
          <t>https://new.land.naver.com/complexes/27010?tab=detail&amp;rf=Y</t>
        </is>
      </c>
      <c r="AA360" s="74" t="inlineStr">
        <is>
          <t>전라북도 군산시 미장동 473</t>
        </is>
      </c>
      <c r="AB360" s="74" t="inlineStr">
        <is>
          <t>전라북도</t>
        </is>
      </c>
      <c r="AC360" s="74" t="inlineStr">
        <is>
          <t>군산시</t>
        </is>
      </c>
      <c r="AD360" s="74" t="inlineStr">
        <is>
          <t>미장동</t>
        </is>
      </c>
      <c r="AG360" s="74" t="inlineStr">
        <is>
          <t>전라북도 군산시 경포천로 66</t>
        </is>
      </c>
      <c r="AH360" s="74" t="n">
        <v>0</v>
      </c>
      <c r="AI360" s="74" t="n">
        <v>238</v>
      </c>
      <c r="AJ360" s="74" t="n">
        <v>24</v>
      </c>
      <c r="AK360" s="74" t="n">
        <v>974</v>
      </c>
      <c r="AL360" s="74" t="n">
        <v>1.49</v>
      </c>
    </row>
    <row r="361">
      <c r="A361" s="74" t="inlineStr">
        <is>
          <t>[미장동]</t>
        </is>
      </c>
      <c r="B361" s="74" t="n">
        <v>112656</v>
      </c>
      <c r="C361" s="74" t="n">
        <v>1</v>
      </c>
      <c r="D361" s="74" t="inlineStr">
        <is>
          <t>미장대원칸타빌</t>
        </is>
      </c>
      <c r="E361" s="74" t="inlineStr">
        <is>
          <t>2018.06.</t>
        </is>
      </c>
      <c r="F361" s="74" t="n">
        <v>805</v>
      </c>
      <c r="G361" s="74" t="n">
        <v>24.29</v>
      </c>
      <c r="H361" s="74" t="n">
        <v>80.33</v>
      </c>
      <c r="I361" s="74" t="n">
        <v>18.12</v>
      </c>
      <c r="J361" s="74" t="n">
        <v>59.93</v>
      </c>
      <c r="K361" s="74" t="n">
        <v>78</v>
      </c>
      <c r="T361" s="74" t="n">
        <v>3</v>
      </c>
      <c r="U361" s="74" t="n">
        <v>1</v>
      </c>
      <c r="V361" s="74" t="inlineStr">
        <is>
          <t>계단식</t>
        </is>
      </c>
      <c r="W361" s="74" t="n">
        <v>80</v>
      </c>
      <c r="X361" s="74" t="n">
        <v>25</v>
      </c>
      <c r="Y361" s="74" t="n">
        <v>16</v>
      </c>
      <c r="Z361" s="74" t="inlineStr">
        <is>
          <t>https://new.land.naver.com/complexes/112656?tab=detail&amp;rf=Y</t>
        </is>
      </c>
      <c r="AA361" s="74" t="inlineStr">
        <is>
          <t>전라북도 군산시 미장동 558</t>
        </is>
      </c>
      <c r="AB361" s="74" t="inlineStr">
        <is>
          <t>전라북도</t>
        </is>
      </c>
      <c r="AC361" s="74" t="inlineStr">
        <is>
          <t>군산시</t>
        </is>
      </c>
      <c r="AD361" s="74" t="inlineStr">
        <is>
          <t>미장동</t>
        </is>
      </c>
      <c r="AG361" s="74" t="inlineStr">
        <is>
          <t>전라북도 군산시 미장남로 100</t>
        </is>
      </c>
      <c r="AH361" s="74" t="n">
        <v>0</v>
      </c>
      <c r="AI361" s="74" t="n">
        <v>248</v>
      </c>
      <c r="AJ361" s="74" t="n">
        <v>23</v>
      </c>
      <c r="AK361" s="74" t="n">
        <v>1008</v>
      </c>
      <c r="AL361" s="74" t="n">
        <v>1.25</v>
      </c>
    </row>
    <row r="362">
      <c r="A362" s="74" t="inlineStr">
        <is>
          <t>[미장동]</t>
        </is>
      </c>
      <c r="B362" s="74" t="n">
        <v>112656</v>
      </c>
      <c r="C362" s="74" t="n">
        <v>2</v>
      </c>
      <c r="D362" s="74" t="inlineStr">
        <is>
          <t>미장대원칸타빌</t>
        </is>
      </c>
      <c r="E362" s="74" t="inlineStr">
        <is>
          <t>2018.06.</t>
        </is>
      </c>
      <c r="F362" s="74" t="n">
        <v>805</v>
      </c>
      <c r="G362" s="74" t="n">
        <v>26.59</v>
      </c>
      <c r="H362" s="74" t="n">
        <v>87.91</v>
      </c>
      <c r="I362" s="74" t="n">
        <v>19.93</v>
      </c>
      <c r="J362" s="74" t="n">
        <v>65.90000000000001</v>
      </c>
      <c r="K362" s="74" t="n">
        <v>47</v>
      </c>
      <c r="T362" s="74" t="n">
        <v>3</v>
      </c>
      <c r="U362" s="74" t="n">
        <v>2</v>
      </c>
      <c r="V362" s="74" t="inlineStr">
        <is>
          <t>계단식</t>
        </is>
      </c>
      <c r="W362" s="74" t="inlineStr">
        <is>
          <t>87B</t>
        </is>
      </c>
      <c r="X362" s="74" t="n">
        <v>25</v>
      </c>
      <c r="Y362" s="74" t="n">
        <v>16</v>
      </c>
      <c r="Z362" s="74" t="inlineStr">
        <is>
          <t>https://new.land.naver.com/complexes/112656?tab=detail&amp;rf=Y</t>
        </is>
      </c>
      <c r="AA362" s="74" t="inlineStr">
        <is>
          <t>전라북도 군산시 미장동 558</t>
        </is>
      </c>
      <c r="AB362" s="74" t="inlineStr">
        <is>
          <t>전라북도</t>
        </is>
      </c>
      <c r="AC362" s="74" t="inlineStr">
        <is>
          <t>군산시</t>
        </is>
      </c>
      <c r="AD362" s="74" t="inlineStr">
        <is>
          <t>미장동</t>
        </is>
      </c>
      <c r="AG362" s="74" t="inlineStr">
        <is>
          <t>전라북도 군산시 미장남로 100</t>
        </is>
      </c>
      <c r="AH362" s="74" t="n">
        <v>0</v>
      </c>
      <c r="AI362" s="74" t="n">
        <v>248</v>
      </c>
      <c r="AJ362" s="74" t="n">
        <v>23</v>
      </c>
      <c r="AK362" s="74" t="n">
        <v>1008</v>
      </c>
      <c r="AL362" s="74" t="n">
        <v>1.25</v>
      </c>
    </row>
    <row r="363">
      <c r="A363" s="74" t="inlineStr">
        <is>
          <t>[미장동]</t>
        </is>
      </c>
      <c r="B363" s="74" t="n">
        <v>112656</v>
      </c>
      <c r="C363" s="74" t="n">
        <v>3</v>
      </c>
      <c r="D363" s="74" t="inlineStr">
        <is>
          <t>미장대원칸타빌</t>
        </is>
      </c>
      <c r="E363" s="74" t="inlineStr">
        <is>
          <t>2018.06.</t>
        </is>
      </c>
      <c r="F363" s="74" t="n">
        <v>805</v>
      </c>
      <c r="G363" s="74" t="n">
        <v>26.81</v>
      </c>
      <c r="H363" s="74" t="n">
        <v>88.66</v>
      </c>
      <c r="I363" s="74" t="n">
        <v>19.94</v>
      </c>
      <c r="J363" s="74" t="n">
        <v>65.93000000000001</v>
      </c>
      <c r="K363" s="74" t="n">
        <v>44</v>
      </c>
      <c r="T363" s="74" t="n">
        <v>3</v>
      </c>
      <c r="U363" s="74" t="n">
        <v>2</v>
      </c>
      <c r="V363" s="74" t="inlineStr">
        <is>
          <t>계단식</t>
        </is>
      </c>
      <c r="W363" s="74" t="inlineStr">
        <is>
          <t>88A</t>
        </is>
      </c>
      <c r="X363" s="74" t="n">
        <v>25</v>
      </c>
      <c r="Y363" s="74" t="n">
        <v>16</v>
      </c>
      <c r="Z363" s="74" t="inlineStr">
        <is>
          <t>https://new.land.naver.com/complexes/112656?tab=detail&amp;rf=Y</t>
        </is>
      </c>
      <c r="AA363" s="74" t="inlineStr">
        <is>
          <t>전라북도 군산시 미장동 558</t>
        </is>
      </c>
      <c r="AB363" s="74" t="inlineStr">
        <is>
          <t>전라북도</t>
        </is>
      </c>
      <c r="AC363" s="74" t="inlineStr">
        <is>
          <t>군산시</t>
        </is>
      </c>
      <c r="AD363" s="74" t="inlineStr">
        <is>
          <t>미장동</t>
        </is>
      </c>
      <c r="AG363" s="74" t="inlineStr">
        <is>
          <t>전라북도 군산시 미장남로 100</t>
        </is>
      </c>
      <c r="AH363" s="74" t="n">
        <v>0</v>
      </c>
      <c r="AI363" s="74" t="n">
        <v>248</v>
      </c>
      <c r="AJ363" s="74" t="n">
        <v>23</v>
      </c>
      <c r="AK363" s="74" t="n">
        <v>1008</v>
      </c>
      <c r="AL363" s="74" t="n">
        <v>1.25</v>
      </c>
    </row>
    <row r="364">
      <c r="A364" s="74" t="inlineStr">
        <is>
          <t>[미장동]</t>
        </is>
      </c>
      <c r="B364" s="74" t="n">
        <v>112656</v>
      </c>
      <c r="C364" s="74" t="n">
        <v>4</v>
      </c>
      <c r="D364" s="74" t="inlineStr">
        <is>
          <t>미장대원칸타빌</t>
        </is>
      </c>
      <c r="E364" s="74" t="inlineStr">
        <is>
          <t>2018.06.</t>
        </is>
      </c>
      <c r="F364" s="74" t="n">
        <v>805</v>
      </c>
      <c r="G364" s="74" t="n">
        <v>30.23</v>
      </c>
      <c r="H364" s="74" t="n">
        <v>99.95999999999999</v>
      </c>
      <c r="I364" s="74" t="n">
        <v>22.66</v>
      </c>
      <c r="J364" s="74" t="n">
        <v>74.91</v>
      </c>
      <c r="K364" s="74" t="n">
        <v>186</v>
      </c>
      <c r="T364" s="74" t="n">
        <v>3</v>
      </c>
      <c r="U364" s="74" t="n">
        <v>2</v>
      </c>
      <c r="V364" s="74" t="inlineStr">
        <is>
          <t>계단식</t>
        </is>
      </c>
      <c r="W364" s="74" t="inlineStr">
        <is>
          <t>99A</t>
        </is>
      </c>
      <c r="X364" s="74" t="n">
        <v>25</v>
      </c>
      <c r="Y364" s="74" t="n">
        <v>16</v>
      </c>
      <c r="Z364" s="74" t="inlineStr">
        <is>
          <t>https://new.land.naver.com/complexes/112656?tab=detail&amp;rf=Y</t>
        </is>
      </c>
      <c r="AA364" s="74" t="inlineStr">
        <is>
          <t>전라북도 군산시 미장동 558</t>
        </is>
      </c>
      <c r="AB364" s="74" t="inlineStr">
        <is>
          <t>전라북도</t>
        </is>
      </c>
      <c r="AC364" s="74" t="inlineStr">
        <is>
          <t>군산시</t>
        </is>
      </c>
      <c r="AD364" s="74" t="inlineStr">
        <is>
          <t>미장동</t>
        </is>
      </c>
      <c r="AG364" s="74" t="inlineStr">
        <is>
          <t>전라북도 군산시 미장남로 100</t>
        </is>
      </c>
      <c r="AH364" s="74" t="n">
        <v>0</v>
      </c>
      <c r="AI364" s="74" t="n">
        <v>248</v>
      </c>
      <c r="AJ364" s="74" t="n">
        <v>23</v>
      </c>
      <c r="AK364" s="74" t="n">
        <v>1008</v>
      </c>
      <c r="AL364" s="74" t="n">
        <v>1.25</v>
      </c>
    </row>
    <row r="365">
      <c r="A365" s="74" t="inlineStr">
        <is>
          <t>[미장동]</t>
        </is>
      </c>
      <c r="B365" s="74" t="n">
        <v>112656</v>
      </c>
      <c r="C365" s="74" t="n">
        <v>5</v>
      </c>
      <c r="D365" s="74" t="inlineStr">
        <is>
          <t>미장대원칸타빌</t>
        </is>
      </c>
      <c r="E365" s="74" t="inlineStr">
        <is>
          <t>2018.06.</t>
        </is>
      </c>
      <c r="F365" s="74" t="n">
        <v>805</v>
      </c>
      <c r="G365" s="74" t="n">
        <v>30.15</v>
      </c>
      <c r="H365" s="74" t="n">
        <v>99.67</v>
      </c>
      <c r="I365" s="74" t="n">
        <v>22.65</v>
      </c>
      <c r="J365" s="74" t="n">
        <v>74.90000000000001</v>
      </c>
      <c r="K365" s="74" t="n">
        <v>18</v>
      </c>
      <c r="T365" s="74" t="n">
        <v>3</v>
      </c>
      <c r="U365" s="74" t="n">
        <v>2</v>
      </c>
      <c r="V365" s="74" t="inlineStr">
        <is>
          <t>계단식</t>
        </is>
      </c>
      <c r="W365" s="74" t="inlineStr">
        <is>
          <t>99D</t>
        </is>
      </c>
      <c r="X365" s="74" t="n">
        <v>25</v>
      </c>
      <c r="Y365" s="74" t="n">
        <v>16</v>
      </c>
      <c r="Z365" s="74" t="inlineStr">
        <is>
          <t>https://new.land.naver.com/complexes/112656?tab=detail&amp;rf=Y</t>
        </is>
      </c>
      <c r="AA365" s="74" t="inlineStr">
        <is>
          <t>전라북도 군산시 미장동 558</t>
        </is>
      </c>
      <c r="AB365" s="74" t="inlineStr">
        <is>
          <t>전라북도</t>
        </is>
      </c>
      <c r="AC365" s="74" t="inlineStr">
        <is>
          <t>군산시</t>
        </is>
      </c>
      <c r="AD365" s="74" t="inlineStr">
        <is>
          <t>미장동</t>
        </is>
      </c>
      <c r="AG365" s="74" t="inlineStr">
        <is>
          <t>전라북도 군산시 미장남로 100</t>
        </is>
      </c>
      <c r="AH365" s="74" t="n">
        <v>0</v>
      </c>
      <c r="AI365" s="74" t="n">
        <v>248</v>
      </c>
      <c r="AJ365" s="74" t="n">
        <v>23</v>
      </c>
      <c r="AK365" s="74" t="n">
        <v>1008</v>
      </c>
      <c r="AL365" s="74" t="n">
        <v>1.25</v>
      </c>
    </row>
    <row r="366">
      <c r="A366" s="74" t="inlineStr">
        <is>
          <t>[미장동]</t>
        </is>
      </c>
      <c r="B366" s="74" t="n">
        <v>112656</v>
      </c>
      <c r="C366" s="74" t="n">
        <v>6</v>
      </c>
      <c r="D366" s="74" t="inlineStr">
        <is>
          <t>미장대원칸타빌</t>
        </is>
      </c>
      <c r="E366" s="74" t="inlineStr">
        <is>
          <t>2018.06.</t>
        </is>
      </c>
      <c r="F366" s="74" t="n">
        <v>805</v>
      </c>
      <c r="G366" s="74" t="n">
        <v>30.37</v>
      </c>
      <c r="H366" s="74" t="n">
        <v>100.4</v>
      </c>
      <c r="I366" s="74" t="n">
        <v>22.65</v>
      </c>
      <c r="J366" s="74" t="n">
        <v>74.88</v>
      </c>
      <c r="K366" s="74" t="n">
        <v>44</v>
      </c>
      <c r="T366" s="74" t="n">
        <v>3</v>
      </c>
      <c r="U366" s="74" t="n">
        <v>2</v>
      </c>
      <c r="V366" s="74" t="inlineStr">
        <is>
          <t>계단식</t>
        </is>
      </c>
      <c r="W366" s="74" t="inlineStr">
        <is>
          <t>100C</t>
        </is>
      </c>
      <c r="X366" s="74" t="n">
        <v>25</v>
      </c>
      <c r="Y366" s="74" t="n">
        <v>16</v>
      </c>
      <c r="Z366" s="74" t="inlineStr">
        <is>
          <t>https://new.land.naver.com/complexes/112656?tab=detail&amp;rf=Y</t>
        </is>
      </c>
      <c r="AA366" s="74" t="inlineStr">
        <is>
          <t>전라북도 군산시 미장동 558</t>
        </is>
      </c>
      <c r="AB366" s="74" t="inlineStr">
        <is>
          <t>전라북도</t>
        </is>
      </c>
      <c r="AC366" s="74" t="inlineStr">
        <is>
          <t>군산시</t>
        </is>
      </c>
      <c r="AD366" s="74" t="inlineStr">
        <is>
          <t>미장동</t>
        </is>
      </c>
      <c r="AG366" s="74" t="inlineStr">
        <is>
          <t>전라북도 군산시 미장남로 100</t>
        </is>
      </c>
      <c r="AH366" s="74" t="n">
        <v>0</v>
      </c>
      <c r="AI366" s="74" t="n">
        <v>248</v>
      </c>
      <c r="AJ366" s="74" t="n">
        <v>23</v>
      </c>
      <c r="AK366" s="74" t="n">
        <v>1008</v>
      </c>
      <c r="AL366" s="74" t="n">
        <v>1.25</v>
      </c>
    </row>
    <row r="367">
      <c r="A367" s="74" t="inlineStr">
        <is>
          <t>[미장동]</t>
        </is>
      </c>
      <c r="B367" s="74" t="n">
        <v>112656</v>
      </c>
      <c r="C367" s="74" t="n">
        <v>7</v>
      </c>
      <c r="D367" s="74" t="inlineStr">
        <is>
          <t>미장대원칸타빌</t>
        </is>
      </c>
      <c r="E367" s="74" t="inlineStr">
        <is>
          <t>2018.06.</t>
        </is>
      </c>
      <c r="F367" s="74" t="n">
        <v>805</v>
      </c>
      <c r="G367" s="74" t="n">
        <v>30.29</v>
      </c>
      <c r="H367" s="74" t="n">
        <v>100.14</v>
      </c>
      <c r="I367" s="74" t="n">
        <v>22.68</v>
      </c>
      <c r="J367" s="74" t="n">
        <v>74.98999999999999</v>
      </c>
      <c r="K367" s="74" t="n">
        <v>40</v>
      </c>
      <c r="T367" s="74" t="n">
        <v>3</v>
      </c>
      <c r="U367" s="74" t="n">
        <v>2</v>
      </c>
      <c r="V367" s="74" t="inlineStr">
        <is>
          <t>계단식</t>
        </is>
      </c>
      <c r="W367" s="74" t="inlineStr">
        <is>
          <t>100B</t>
        </is>
      </c>
      <c r="X367" s="74" t="n">
        <v>25</v>
      </c>
      <c r="Y367" s="74" t="n">
        <v>16</v>
      </c>
      <c r="Z367" s="74" t="inlineStr">
        <is>
          <t>https://new.land.naver.com/complexes/112656?tab=detail&amp;rf=Y</t>
        </is>
      </c>
      <c r="AA367" s="74" t="inlineStr">
        <is>
          <t>전라북도 군산시 미장동 558</t>
        </is>
      </c>
      <c r="AB367" s="74" t="inlineStr">
        <is>
          <t>전라북도</t>
        </is>
      </c>
      <c r="AC367" s="74" t="inlineStr">
        <is>
          <t>군산시</t>
        </is>
      </c>
      <c r="AD367" s="74" t="inlineStr">
        <is>
          <t>미장동</t>
        </is>
      </c>
      <c r="AG367" s="74" t="inlineStr">
        <is>
          <t>전라북도 군산시 미장남로 100</t>
        </is>
      </c>
      <c r="AH367" s="74" t="n">
        <v>0</v>
      </c>
      <c r="AI367" s="74" t="n">
        <v>248</v>
      </c>
      <c r="AJ367" s="74" t="n">
        <v>23</v>
      </c>
      <c r="AK367" s="74" t="n">
        <v>1008</v>
      </c>
      <c r="AL367" s="74" t="n">
        <v>1.25</v>
      </c>
    </row>
    <row r="368">
      <c r="A368" s="74" t="inlineStr">
        <is>
          <t>[미장동]</t>
        </is>
      </c>
      <c r="B368" s="74" t="n">
        <v>112656</v>
      </c>
      <c r="C368" s="74" t="n">
        <v>8</v>
      </c>
      <c r="D368" s="74" t="inlineStr">
        <is>
          <t>미장대원칸타빌</t>
        </is>
      </c>
      <c r="E368" s="74" t="inlineStr">
        <is>
          <t>2018.06.</t>
        </is>
      </c>
      <c r="F368" s="74" t="n">
        <v>805</v>
      </c>
      <c r="G368" s="74" t="n">
        <v>33.98</v>
      </c>
      <c r="H368" s="74" t="n">
        <v>112.36</v>
      </c>
      <c r="I368" s="74" t="n">
        <v>25.67</v>
      </c>
      <c r="J368" s="74" t="n">
        <v>84.86</v>
      </c>
      <c r="K368" s="74" t="n">
        <v>274</v>
      </c>
      <c r="T368" s="74" t="n">
        <v>4</v>
      </c>
      <c r="U368" s="74" t="n">
        <v>2</v>
      </c>
      <c r="V368" s="74" t="inlineStr">
        <is>
          <t>계단식</t>
        </is>
      </c>
      <c r="W368" s="74" t="n">
        <v>112</v>
      </c>
      <c r="X368" s="74" t="n">
        <v>25</v>
      </c>
      <c r="Y368" s="74" t="n">
        <v>16</v>
      </c>
      <c r="Z368" s="74" t="inlineStr">
        <is>
          <t>https://new.land.naver.com/complexes/112656?tab=detail&amp;rf=Y</t>
        </is>
      </c>
      <c r="AA368" s="74" t="inlineStr">
        <is>
          <t>전라북도 군산시 미장동 558</t>
        </is>
      </c>
      <c r="AB368" s="74" t="inlineStr">
        <is>
          <t>전라북도</t>
        </is>
      </c>
      <c r="AC368" s="74" t="inlineStr">
        <is>
          <t>군산시</t>
        </is>
      </c>
      <c r="AD368" s="74" t="inlineStr">
        <is>
          <t>미장동</t>
        </is>
      </c>
      <c r="AG368" s="74" t="inlineStr">
        <is>
          <t>전라북도 군산시 미장남로 100</t>
        </is>
      </c>
      <c r="AH368" s="74" t="n">
        <v>0</v>
      </c>
      <c r="AI368" s="74" t="n">
        <v>248</v>
      </c>
      <c r="AJ368" s="74" t="n">
        <v>23</v>
      </c>
      <c r="AK368" s="74" t="n">
        <v>1008</v>
      </c>
      <c r="AL368" s="74" t="n">
        <v>1.25</v>
      </c>
    </row>
    <row r="369">
      <c r="A369" s="74" t="inlineStr">
        <is>
          <t>[미장동]</t>
        </is>
      </c>
      <c r="B369" s="74" t="n">
        <v>112656</v>
      </c>
      <c r="C369" s="74" t="n">
        <v>9</v>
      </c>
      <c r="D369" s="74" t="inlineStr">
        <is>
          <t>미장대원칸타빌</t>
        </is>
      </c>
      <c r="E369" s="74" t="inlineStr">
        <is>
          <t>2018.06.</t>
        </is>
      </c>
      <c r="F369" s="74" t="n">
        <v>805</v>
      </c>
      <c r="G369" s="74" t="n">
        <v>40.74</v>
      </c>
      <c r="H369" s="74" t="n">
        <v>134.7</v>
      </c>
      <c r="I369" s="74" t="n">
        <v>30.8</v>
      </c>
      <c r="J369" s="74" t="n">
        <v>101.84</v>
      </c>
      <c r="K369" s="74" t="n">
        <v>70</v>
      </c>
      <c r="T369" s="74" t="n">
        <v>4</v>
      </c>
      <c r="U369" s="74" t="n">
        <v>2</v>
      </c>
      <c r="V369" s="74" t="inlineStr">
        <is>
          <t>계단식</t>
        </is>
      </c>
      <c r="W369" s="74" t="n">
        <v>134</v>
      </c>
      <c r="X369" s="74" t="n">
        <v>25</v>
      </c>
      <c r="Y369" s="74" t="n">
        <v>16</v>
      </c>
      <c r="Z369" s="74" t="inlineStr">
        <is>
          <t>https://new.land.naver.com/complexes/112656?tab=detail&amp;rf=Y</t>
        </is>
      </c>
      <c r="AA369" s="74" t="inlineStr">
        <is>
          <t>전라북도 군산시 미장동 558</t>
        </is>
      </c>
      <c r="AB369" s="74" t="inlineStr">
        <is>
          <t>전라북도</t>
        </is>
      </c>
      <c r="AC369" s="74" t="inlineStr">
        <is>
          <t>군산시</t>
        </is>
      </c>
      <c r="AD369" s="74" t="inlineStr">
        <is>
          <t>미장동</t>
        </is>
      </c>
      <c r="AG369" s="74" t="inlineStr">
        <is>
          <t>전라북도 군산시 미장남로 100</t>
        </is>
      </c>
      <c r="AH369" s="74" t="n">
        <v>0</v>
      </c>
      <c r="AI369" s="74" t="n">
        <v>248</v>
      </c>
      <c r="AJ369" s="74" t="n">
        <v>23</v>
      </c>
      <c r="AK369" s="74" t="n">
        <v>1008</v>
      </c>
      <c r="AL369" s="74" t="n">
        <v>1.25</v>
      </c>
    </row>
    <row r="370">
      <c r="A370" s="74" t="inlineStr">
        <is>
          <t>[미장동]</t>
        </is>
      </c>
      <c r="B370" s="74" t="n">
        <v>112656</v>
      </c>
      <c r="C370" s="74" t="n">
        <v>10</v>
      </c>
      <c r="D370" s="74" t="inlineStr">
        <is>
          <t>미장대원칸타빌</t>
        </is>
      </c>
      <c r="E370" s="74" t="inlineStr">
        <is>
          <t>2018.06.</t>
        </is>
      </c>
      <c r="F370" s="74" t="n">
        <v>805</v>
      </c>
      <c r="G370" s="74" t="n">
        <v>52.7</v>
      </c>
      <c r="H370" s="74" t="n">
        <v>174.24</v>
      </c>
      <c r="I370" s="74" t="n">
        <v>38.92</v>
      </c>
      <c r="J370" s="74" t="n">
        <v>128.68</v>
      </c>
      <c r="K370" s="74" t="n">
        <v>4</v>
      </c>
      <c r="T370" s="74" t="n">
        <v>4</v>
      </c>
      <c r="U370" s="74" t="n">
        <v>2</v>
      </c>
      <c r="V370" s="74" t="inlineStr">
        <is>
          <t>계단식</t>
        </is>
      </c>
      <c r="W370" s="74" t="n">
        <v>174</v>
      </c>
      <c r="X370" s="74" t="n">
        <v>25</v>
      </c>
      <c r="Y370" s="74" t="n">
        <v>16</v>
      </c>
      <c r="Z370" s="74" t="inlineStr">
        <is>
          <t>https://new.land.naver.com/complexes/112656?tab=detail&amp;rf=Y</t>
        </is>
      </c>
      <c r="AA370" s="74" t="inlineStr">
        <is>
          <t>전라북도 군산시 미장동 558</t>
        </is>
      </c>
      <c r="AB370" s="74" t="inlineStr">
        <is>
          <t>전라북도</t>
        </is>
      </c>
      <c r="AC370" s="74" t="inlineStr">
        <is>
          <t>군산시</t>
        </is>
      </c>
      <c r="AD370" s="74" t="inlineStr">
        <is>
          <t>미장동</t>
        </is>
      </c>
      <c r="AG370" s="74" t="inlineStr">
        <is>
          <t>전라북도 군산시 미장남로 100</t>
        </is>
      </c>
      <c r="AH370" s="74" t="n">
        <v>0</v>
      </c>
      <c r="AI370" s="74" t="n">
        <v>248</v>
      </c>
      <c r="AJ370" s="74" t="n">
        <v>23</v>
      </c>
      <c r="AK370" s="74" t="n">
        <v>1008</v>
      </c>
      <c r="AL370" s="74" t="n">
        <v>1.25</v>
      </c>
    </row>
    <row r="371">
      <c r="A371" s="74" t="inlineStr">
        <is>
          <t>[사정동]</t>
        </is>
      </c>
      <c r="B371" s="74" t="n">
        <v>5042</v>
      </c>
      <c r="C371" s="74" t="n">
        <v>1</v>
      </c>
      <c r="D371" s="74" t="inlineStr">
        <is>
          <t>금호타운2단지</t>
        </is>
      </c>
      <c r="E371" s="74" t="inlineStr">
        <is>
          <t>1996.11.</t>
        </is>
      </c>
      <c r="F371" s="74" t="n">
        <v>358</v>
      </c>
      <c r="G371" s="74" t="n">
        <v>23.05</v>
      </c>
      <c r="H371" s="74" t="n">
        <v>76.22</v>
      </c>
      <c r="I371" s="74" t="n">
        <v>18.02</v>
      </c>
      <c r="J371" s="74" t="n">
        <v>59.58</v>
      </c>
      <c r="K371" s="74" t="n">
        <v>150</v>
      </c>
      <c r="T371" s="74" t="n">
        <v>3</v>
      </c>
      <c r="U371" s="74" t="n">
        <v>1</v>
      </c>
      <c r="V371" s="74" t="inlineStr">
        <is>
          <t>계단식</t>
        </is>
      </c>
      <c r="W371" s="74" t="n">
        <v>76</v>
      </c>
      <c r="X371" s="74" t="n">
        <v>15</v>
      </c>
      <c r="Y371" s="74" t="n">
        <v>14</v>
      </c>
      <c r="Z371" s="74" t="inlineStr">
        <is>
          <t>https://new.land.naver.com/complexes/5042?tab=detail&amp;rf=Y</t>
        </is>
      </c>
      <c r="AA371" s="74" t="inlineStr">
        <is>
          <t>전라북도 군산시 사정동 100</t>
        </is>
      </c>
      <c r="AB371" s="74" t="inlineStr">
        <is>
          <t>전라북도</t>
        </is>
      </c>
      <c r="AC371" s="74" t="inlineStr">
        <is>
          <t>군산시</t>
        </is>
      </c>
      <c r="AD371" s="74" t="inlineStr">
        <is>
          <t>사정동</t>
        </is>
      </c>
      <c r="AG371" s="74" t="inlineStr">
        <is>
          <t>전라북도 군산시 두란뜸2길 8</t>
        </is>
      </c>
      <c r="AH371" s="74" t="n">
        <v>0</v>
      </c>
      <c r="AI371" s="74" t="n">
        <v>175</v>
      </c>
      <c r="AJ371" s="74" t="n">
        <v>18</v>
      </c>
      <c r="AK371" s="74" t="n">
        <v>332</v>
      </c>
      <c r="AL371" s="74" t="n">
        <v>0.93</v>
      </c>
    </row>
    <row r="372">
      <c r="A372" s="74" t="inlineStr">
        <is>
          <t>[사정동]</t>
        </is>
      </c>
      <c r="B372" s="74" t="n">
        <v>5042</v>
      </c>
      <c r="C372" s="74" t="n">
        <v>2</v>
      </c>
      <c r="D372" s="74" t="inlineStr">
        <is>
          <t>금호타운2단지</t>
        </is>
      </c>
      <c r="E372" s="74" t="inlineStr">
        <is>
          <t>1996.11.</t>
        </is>
      </c>
      <c r="F372" s="74" t="n">
        <v>358</v>
      </c>
      <c r="G372" s="74" t="n">
        <v>31.15</v>
      </c>
      <c r="H372" s="74" t="n">
        <v>102.98</v>
      </c>
      <c r="I372" s="74" t="n">
        <v>25.59</v>
      </c>
      <c r="J372" s="74" t="n">
        <v>84.59999999999999</v>
      </c>
      <c r="K372" s="74" t="n">
        <v>208</v>
      </c>
      <c r="T372" s="74" t="n">
        <v>3</v>
      </c>
      <c r="U372" s="74" t="n">
        <v>2</v>
      </c>
      <c r="V372" s="74" t="inlineStr">
        <is>
          <t>계단식</t>
        </is>
      </c>
      <c r="W372" s="74" t="n">
        <v>102</v>
      </c>
      <c r="X372" s="74" t="n">
        <v>15</v>
      </c>
      <c r="Y372" s="74" t="n">
        <v>14</v>
      </c>
      <c r="Z372" s="74" t="inlineStr">
        <is>
          <t>https://new.land.naver.com/complexes/5042?tab=detail&amp;rf=Y</t>
        </is>
      </c>
      <c r="AA372" s="74" t="inlineStr">
        <is>
          <t>전라북도 군산시 사정동 100</t>
        </is>
      </c>
      <c r="AB372" s="74" t="inlineStr">
        <is>
          <t>전라북도</t>
        </is>
      </c>
      <c r="AC372" s="74" t="inlineStr">
        <is>
          <t>군산시</t>
        </is>
      </c>
      <c r="AD372" s="74" t="inlineStr">
        <is>
          <t>사정동</t>
        </is>
      </c>
      <c r="AG372" s="74" t="inlineStr">
        <is>
          <t>전라북도 군산시 두란뜸2길 8</t>
        </is>
      </c>
      <c r="AH372" s="74" t="n">
        <v>0</v>
      </c>
      <c r="AI372" s="74" t="n">
        <v>175</v>
      </c>
      <c r="AJ372" s="74" t="n">
        <v>18</v>
      </c>
      <c r="AK372" s="74" t="n">
        <v>332</v>
      </c>
      <c r="AL372" s="74" t="n">
        <v>0.93</v>
      </c>
    </row>
    <row r="373">
      <c r="A373" s="74" t="inlineStr">
        <is>
          <t>[사정동]</t>
        </is>
      </c>
      <c r="B373" s="74" t="n">
        <v>5036</v>
      </c>
      <c r="C373" s="74" t="n">
        <v>1</v>
      </c>
      <c r="D373" s="74" t="inlineStr">
        <is>
          <t>금호타운1단지</t>
        </is>
      </c>
      <c r="E373" s="74" t="inlineStr">
        <is>
          <t>1993.02.</t>
        </is>
      </c>
      <c r="F373" s="74" t="n">
        <v>342</v>
      </c>
      <c r="G373" s="74" t="n">
        <v>27.02</v>
      </c>
      <c r="H373" s="74" t="n">
        <v>89.34999999999999</v>
      </c>
      <c r="I373" s="74" t="n">
        <v>22.1</v>
      </c>
      <c r="J373" s="74" t="n">
        <v>73.09</v>
      </c>
      <c r="K373" s="74" t="n">
        <v>138</v>
      </c>
      <c r="T373" s="74" t="n">
        <v>3</v>
      </c>
      <c r="U373" s="74" t="n">
        <v>2</v>
      </c>
      <c r="V373" s="74" t="inlineStr">
        <is>
          <t>계단식</t>
        </is>
      </c>
      <c r="W373" s="74" t="n">
        <v>89</v>
      </c>
      <c r="X373" s="74" t="n">
        <v>13</v>
      </c>
      <c r="Y373" s="74" t="n">
        <v>10</v>
      </c>
      <c r="Z373" s="74" t="inlineStr">
        <is>
          <t>https://new.land.naver.com/complexes/5036?tab=detail&amp;rf=Y</t>
        </is>
      </c>
      <c r="AA373" s="74" t="inlineStr">
        <is>
          <t>전라북도 군산시 사정동 421</t>
        </is>
      </c>
      <c r="AB373" s="74" t="inlineStr">
        <is>
          <t>전라북도</t>
        </is>
      </c>
      <c r="AC373" s="74" t="inlineStr">
        <is>
          <t>군산시</t>
        </is>
      </c>
      <c r="AD373" s="74" t="inlineStr">
        <is>
          <t>사정동</t>
        </is>
      </c>
      <c r="AG373" s="74" t="inlineStr">
        <is>
          <t>전라북도 군산시 내사길 43</t>
        </is>
      </c>
      <c r="AH373" s="74" t="n">
        <v>0</v>
      </c>
      <c r="AI373" s="74" t="n">
        <v>0</v>
      </c>
      <c r="AJ373" s="74" t="n">
        <v>0</v>
      </c>
      <c r="AK373" s="74" t="n">
        <v>342</v>
      </c>
      <c r="AL373" s="74" t="n">
        <v>1</v>
      </c>
    </row>
    <row r="374">
      <c r="A374" s="74" t="inlineStr">
        <is>
          <t>[사정동]</t>
        </is>
      </c>
      <c r="B374" s="74" t="n">
        <v>5036</v>
      </c>
      <c r="C374" s="74" t="n">
        <v>2</v>
      </c>
      <c r="D374" s="74" t="inlineStr">
        <is>
          <t>금호타운1단지</t>
        </is>
      </c>
      <c r="E374" s="74" t="inlineStr">
        <is>
          <t>1993.02.</t>
        </is>
      </c>
      <c r="F374" s="74" t="n">
        <v>342</v>
      </c>
      <c r="G374" s="74" t="n">
        <v>30.85</v>
      </c>
      <c r="H374" s="74" t="n">
        <v>102</v>
      </c>
      <c r="I374" s="74" t="n">
        <v>25.64</v>
      </c>
      <c r="J374" s="74" t="n">
        <v>84.79000000000001</v>
      </c>
      <c r="K374" s="74" t="n">
        <v>204</v>
      </c>
      <c r="T374" s="74" t="n">
        <v>3</v>
      </c>
      <c r="U374" s="74" t="n">
        <v>2</v>
      </c>
      <c r="V374" s="74" t="inlineStr">
        <is>
          <t>계단식</t>
        </is>
      </c>
      <c r="W374" s="74" t="n">
        <v>102</v>
      </c>
      <c r="X374" s="74" t="n">
        <v>13</v>
      </c>
      <c r="Y374" s="74" t="n">
        <v>10</v>
      </c>
      <c r="Z374" s="74" t="inlineStr">
        <is>
          <t>https://new.land.naver.com/complexes/5036?tab=detail&amp;rf=Y</t>
        </is>
      </c>
      <c r="AA374" s="74" t="inlineStr">
        <is>
          <t>전라북도 군산시 사정동 421</t>
        </is>
      </c>
      <c r="AB374" s="74" t="inlineStr">
        <is>
          <t>전라북도</t>
        </is>
      </c>
      <c r="AC374" s="74" t="inlineStr">
        <is>
          <t>군산시</t>
        </is>
      </c>
      <c r="AD374" s="74" t="inlineStr">
        <is>
          <t>사정동</t>
        </is>
      </c>
      <c r="AG374" s="74" t="inlineStr">
        <is>
          <t>전라북도 군산시 내사길 43</t>
        </is>
      </c>
      <c r="AH374" s="74" t="n">
        <v>0</v>
      </c>
      <c r="AI374" s="74" t="n">
        <v>0</v>
      </c>
      <c r="AJ374" s="74" t="n">
        <v>0</v>
      </c>
      <c r="AK374" s="74" t="n">
        <v>342</v>
      </c>
      <c r="AL374" s="74" t="n">
        <v>1</v>
      </c>
    </row>
    <row r="375">
      <c r="A375" s="74" t="inlineStr">
        <is>
          <t>[사정동]</t>
        </is>
      </c>
      <c r="B375" s="74" t="n">
        <v>125020</v>
      </c>
      <c r="C375" s="74" t="n">
        <v>1</v>
      </c>
      <c r="D375" s="74" t="inlineStr">
        <is>
          <t>자연애</t>
        </is>
      </c>
      <c r="E375" s="74" t="inlineStr">
        <is>
          <t>2014.04.</t>
        </is>
      </c>
      <c r="F375" s="74" t="n">
        <v>19</v>
      </c>
      <c r="G375" s="74" t="n">
        <v>31.76</v>
      </c>
      <c r="H375" s="74" t="n">
        <v>105</v>
      </c>
      <c r="I375" s="74" t="n">
        <v>24.34</v>
      </c>
      <c r="J375" s="74" t="n">
        <v>80.47</v>
      </c>
      <c r="K375" s="74" t="n">
        <v>19</v>
      </c>
      <c r="T375" s="74" t="n">
        <v>3</v>
      </c>
      <c r="U375" s="74" t="n">
        <v>2</v>
      </c>
      <c r="V375" s="74" t="inlineStr">
        <is>
          <t>계단식</t>
        </is>
      </c>
      <c r="W375" s="74" t="n">
        <v>105</v>
      </c>
      <c r="X375" s="74" t="n">
        <v>8</v>
      </c>
      <c r="Y375" s="74" t="n">
        <v>7</v>
      </c>
      <c r="Z375" s="74" t="inlineStr">
        <is>
          <t>https://new.land.naver.com/complexes/125020?tab=detail&amp;rf=Y</t>
        </is>
      </c>
      <c r="AA375" s="74" t="inlineStr">
        <is>
          <t>전라북도 군산시 사정동 488-1</t>
        </is>
      </c>
      <c r="AB375" s="74" t="inlineStr">
        <is>
          <t>전라북도</t>
        </is>
      </c>
      <c r="AC375" s="74" t="inlineStr">
        <is>
          <t>군산시</t>
        </is>
      </c>
      <c r="AD375" s="74" t="inlineStr">
        <is>
          <t>사정동</t>
        </is>
      </c>
      <c r="AG375" s="74" t="inlineStr">
        <is>
          <t>전라북도 군산시 경기장로 36-12</t>
        </is>
      </c>
      <c r="AH375" s="74" t="n">
        <v>0</v>
      </c>
      <c r="AI375" s="74" t="n">
        <v>127</v>
      </c>
      <c r="AJ375" s="74" t="n">
        <v>24</v>
      </c>
      <c r="AK375" s="74" t="n">
        <v>22</v>
      </c>
      <c r="AL375" s="74" t="n">
        <v>1.16</v>
      </c>
    </row>
    <row r="376">
      <c r="A376" s="74" t="inlineStr">
        <is>
          <t>[산북동]</t>
        </is>
      </c>
      <c r="B376" s="74" t="n">
        <v>5044</v>
      </c>
      <c r="C376" s="74" t="n">
        <v>1</v>
      </c>
      <c r="D376" s="74" t="inlineStr">
        <is>
          <t>시영1단지</t>
        </is>
      </c>
      <c r="E376" s="74" t="inlineStr">
        <is>
          <t>1990.12.</t>
        </is>
      </c>
      <c r="F376" s="74" t="n">
        <v>280</v>
      </c>
      <c r="G376" s="74" t="n">
        <v>13.27</v>
      </c>
      <c r="H376" s="74" t="n">
        <v>43.87</v>
      </c>
      <c r="I376" s="74" t="n">
        <v>10.39</v>
      </c>
      <c r="J376" s="74" t="n">
        <v>34.38</v>
      </c>
      <c r="K376" s="74" t="n">
        <v>40</v>
      </c>
      <c r="T376" s="74" t="n">
        <v>2</v>
      </c>
      <c r="U376" s="74" t="n">
        <v>1</v>
      </c>
      <c r="V376" s="74" t="inlineStr">
        <is>
          <t>계단식</t>
        </is>
      </c>
      <c r="W376" s="74" t="inlineStr">
        <is>
          <t>43A</t>
        </is>
      </c>
      <c r="X376" s="74" t="n">
        <v>5</v>
      </c>
      <c r="Y376" s="74" t="n">
        <v>5</v>
      </c>
      <c r="Z376" s="74" t="inlineStr">
        <is>
          <t>https://new.land.naver.com/complexes/5044?tab=detail&amp;rf=Y</t>
        </is>
      </c>
      <c r="AA376" s="74" t="inlineStr">
        <is>
          <t>전라북도 군산시 산북동 3551-1</t>
        </is>
      </c>
      <c r="AB376" s="74" t="inlineStr">
        <is>
          <t>전라북도</t>
        </is>
      </c>
      <c r="AC376" s="74" t="inlineStr">
        <is>
          <t>군산시</t>
        </is>
      </c>
      <c r="AD376" s="74" t="inlineStr">
        <is>
          <t>산북동</t>
        </is>
      </c>
      <c r="AG376" s="74" t="inlineStr">
        <is>
          <t>전라북도 군산시 칠성안1길 16</t>
        </is>
      </c>
      <c r="AH376" s="74" t="n">
        <v>0</v>
      </c>
      <c r="AI376" s="74" t="n">
        <v>0</v>
      </c>
      <c r="AJ376" s="74" t="n">
        <v>0</v>
      </c>
      <c r="AK376" s="74" t="n">
        <v>0</v>
      </c>
      <c r="AL376" s="74" t="n">
        <v>0</v>
      </c>
    </row>
    <row r="377">
      <c r="A377" s="74" t="inlineStr">
        <is>
          <t>[산북동]</t>
        </is>
      </c>
      <c r="B377" s="74" t="n">
        <v>5044</v>
      </c>
      <c r="C377" s="74" t="n">
        <v>2</v>
      </c>
      <c r="D377" s="74" t="inlineStr">
        <is>
          <t>시영1단지</t>
        </is>
      </c>
      <c r="E377" s="74" t="inlineStr">
        <is>
          <t>1990.12.</t>
        </is>
      </c>
      <c r="F377" s="74" t="n">
        <v>280</v>
      </c>
      <c r="G377" s="74" t="n">
        <v>13.35</v>
      </c>
      <c r="H377" s="74" t="n">
        <v>44.14</v>
      </c>
      <c r="I377" s="74" t="n">
        <v>10.48</v>
      </c>
      <c r="J377" s="74" t="n">
        <v>34.65</v>
      </c>
      <c r="K377" s="74" t="n">
        <v>40</v>
      </c>
      <c r="T377" s="74" t="n">
        <v>2</v>
      </c>
      <c r="U377" s="74" t="n">
        <v>1</v>
      </c>
      <c r="V377" s="74" t="inlineStr">
        <is>
          <t>계단식</t>
        </is>
      </c>
      <c r="W377" s="74" t="inlineStr">
        <is>
          <t>44B</t>
        </is>
      </c>
      <c r="X377" s="74" t="n">
        <v>5</v>
      </c>
      <c r="Y377" s="74" t="n">
        <v>5</v>
      </c>
      <c r="Z377" s="74" t="inlineStr">
        <is>
          <t>https://new.land.naver.com/complexes/5044?tab=detail&amp;rf=Y</t>
        </is>
      </c>
      <c r="AA377" s="74" t="inlineStr">
        <is>
          <t>전라북도 군산시 산북동 3551-1</t>
        </is>
      </c>
      <c r="AB377" s="74" t="inlineStr">
        <is>
          <t>전라북도</t>
        </is>
      </c>
      <c r="AC377" s="74" t="inlineStr">
        <is>
          <t>군산시</t>
        </is>
      </c>
      <c r="AD377" s="74" t="inlineStr">
        <is>
          <t>산북동</t>
        </is>
      </c>
      <c r="AG377" s="74" t="inlineStr">
        <is>
          <t>전라북도 군산시 칠성안1길 16</t>
        </is>
      </c>
      <c r="AH377" s="74" t="n">
        <v>0</v>
      </c>
      <c r="AI377" s="74" t="n">
        <v>0</v>
      </c>
      <c r="AJ377" s="74" t="n">
        <v>0</v>
      </c>
      <c r="AK377" s="74" t="n">
        <v>0</v>
      </c>
      <c r="AL377" s="74" t="n">
        <v>0</v>
      </c>
    </row>
    <row r="378">
      <c r="A378" s="74" t="inlineStr">
        <is>
          <t>[산북동]</t>
        </is>
      </c>
      <c r="B378" s="74" t="n">
        <v>5044</v>
      </c>
      <c r="C378" s="74" t="n">
        <v>3</v>
      </c>
      <c r="D378" s="74" t="inlineStr">
        <is>
          <t>시영1단지</t>
        </is>
      </c>
      <c r="E378" s="74" t="inlineStr">
        <is>
          <t>1990.12.</t>
        </is>
      </c>
      <c r="F378" s="74" t="n">
        <v>280</v>
      </c>
      <c r="G378" s="74" t="n">
        <v>16.16</v>
      </c>
      <c r="H378" s="74" t="n">
        <v>53.43</v>
      </c>
      <c r="I378" s="74" t="n">
        <v>13.16</v>
      </c>
      <c r="J378" s="74" t="n">
        <v>43.52</v>
      </c>
      <c r="K378" s="74" t="n">
        <v>150</v>
      </c>
      <c r="T378" s="74" t="n">
        <v>3</v>
      </c>
      <c r="U378" s="74" t="n">
        <v>1</v>
      </c>
      <c r="V378" s="74" t="inlineStr">
        <is>
          <t>계단식</t>
        </is>
      </c>
      <c r="W378" s="74" t="inlineStr">
        <is>
          <t>53A</t>
        </is>
      </c>
      <c r="X378" s="74" t="n">
        <v>5</v>
      </c>
      <c r="Y378" s="74" t="n">
        <v>5</v>
      </c>
      <c r="Z378" s="74" t="inlineStr">
        <is>
          <t>https://new.land.naver.com/complexes/5044?tab=detail&amp;rf=Y</t>
        </is>
      </c>
      <c r="AA378" s="74" t="inlineStr">
        <is>
          <t>전라북도 군산시 산북동 3551-1</t>
        </is>
      </c>
      <c r="AB378" s="74" t="inlineStr">
        <is>
          <t>전라북도</t>
        </is>
      </c>
      <c r="AC378" s="74" t="inlineStr">
        <is>
          <t>군산시</t>
        </is>
      </c>
      <c r="AD378" s="74" t="inlineStr">
        <is>
          <t>산북동</t>
        </is>
      </c>
      <c r="AG378" s="74" t="inlineStr">
        <is>
          <t>전라북도 군산시 칠성안1길 16</t>
        </is>
      </c>
      <c r="AH378" s="74" t="n">
        <v>0</v>
      </c>
      <c r="AI378" s="74" t="n">
        <v>0</v>
      </c>
      <c r="AJ378" s="74" t="n">
        <v>0</v>
      </c>
      <c r="AK378" s="74" t="n">
        <v>0</v>
      </c>
      <c r="AL378" s="74" t="n">
        <v>0</v>
      </c>
    </row>
    <row r="379">
      <c r="A379" s="74" t="inlineStr">
        <is>
          <t>[산북동]</t>
        </is>
      </c>
      <c r="B379" s="74" t="n">
        <v>5044</v>
      </c>
      <c r="C379" s="74" t="n">
        <v>4</v>
      </c>
      <c r="D379" s="74" t="inlineStr">
        <is>
          <t>시영1단지</t>
        </is>
      </c>
      <c r="E379" s="74" t="inlineStr">
        <is>
          <t>1990.12.</t>
        </is>
      </c>
      <c r="F379" s="74" t="n">
        <v>280</v>
      </c>
      <c r="G379" s="74" t="n">
        <v>16.34</v>
      </c>
      <c r="H379" s="74" t="n">
        <v>54.03</v>
      </c>
      <c r="I379" s="74" t="n">
        <v>13.34</v>
      </c>
      <c r="J379" s="74" t="n">
        <v>44.12</v>
      </c>
      <c r="K379" s="74" t="n">
        <v>50</v>
      </c>
      <c r="T379" s="74" t="n">
        <v>3</v>
      </c>
      <c r="U379" s="74" t="n">
        <v>1</v>
      </c>
      <c r="V379" s="74" t="inlineStr">
        <is>
          <t>계단식</t>
        </is>
      </c>
      <c r="W379" s="74" t="inlineStr">
        <is>
          <t>54B</t>
        </is>
      </c>
      <c r="X379" s="74" t="n">
        <v>5</v>
      </c>
      <c r="Y379" s="74" t="n">
        <v>5</v>
      </c>
      <c r="Z379" s="74" t="inlineStr">
        <is>
          <t>https://new.land.naver.com/complexes/5044?tab=detail&amp;rf=Y</t>
        </is>
      </c>
      <c r="AA379" s="74" t="inlineStr">
        <is>
          <t>전라북도 군산시 산북동 3551-1</t>
        </is>
      </c>
      <c r="AB379" s="74" t="inlineStr">
        <is>
          <t>전라북도</t>
        </is>
      </c>
      <c r="AC379" s="74" t="inlineStr">
        <is>
          <t>군산시</t>
        </is>
      </c>
      <c r="AD379" s="74" t="inlineStr">
        <is>
          <t>산북동</t>
        </is>
      </c>
      <c r="AG379" s="74" t="inlineStr">
        <is>
          <t>전라북도 군산시 칠성안1길 16</t>
        </is>
      </c>
      <c r="AH379" s="74" t="n">
        <v>0</v>
      </c>
      <c r="AI379" s="74" t="n">
        <v>0</v>
      </c>
      <c r="AJ379" s="74" t="n">
        <v>0</v>
      </c>
      <c r="AK379" s="74" t="n">
        <v>0</v>
      </c>
      <c r="AL379" s="74" t="n">
        <v>0</v>
      </c>
    </row>
    <row r="380">
      <c r="A380" s="74" t="inlineStr">
        <is>
          <t>[산북동]</t>
        </is>
      </c>
      <c r="B380" s="74" t="n">
        <v>144163</v>
      </c>
      <c r="C380" s="74" t="n">
        <v>1</v>
      </c>
      <c r="D380" s="74" t="inlineStr">
        <is>
          <t>하나리움시티2차</t>
        </is>
      </c>
      <c r="E380" s="74" t="inlineStr">
        <is>
          <t>2014.12.</t>
        </is>
      </c>
      <c r="F380" s="74" t="n">
        <v>175</v>
      </c>
      <c r="G380" s="74" t="n">
        <v>26.99</v>
      </c>
      <c r="H380" s="74" t="n">
        <v>89.25</v>
      </c>
      <c r="I380" s="74" t="n">
        <v>18.14</v>
      </c>
      <c r="J380" s="74" t="n">
        <v>59.98</v>
      </c>
      <c r="K380" s="74" t="n">
        <v>146</v>
      </c>
      <c r="T380" s="74" t="n">
        <v>3</v>
      </c>
      <c r="U380" s="74" t="n">
        <v>2</v>
      </c>
      <c r="V380" s="74" t="inlineStr">
        <is>
          <t>계단식</t>
        </is>
      </c>
      <c r="W380" s="74" t="inlineStr">
        <is>
          <t>89A</t>
        </is>
      </c>
      <c r="X380" s="74" t="n">
        <v>18</v>
      </c>
      <c r="Y380" s="74" t="n">
        <v>9</v>
      </c>
      <c r="Z380" s="74" t="inlineStr">
        <is>
          <t>https://new.land.naver.com/complexes/144163?tab=detail&amp;rf=Y</t>
        </is>
      </c>
      <c r="AA380" s="74" t="inlineStr">
        <is>
          <t>전라북도 군산시 산북동 3646</t>
        </is>
      </c>
      <c r="AB380" s="74" t="inlineStr">
        <is>
          <t>전라북도</t>
        </is>
      </c>
      <c r="AC380" s="74" t="inlineStr">
        <is>
          <t>군산시</t>
        </is>
      </c>
      <c r="AD380" s="74" t="inlineStr">
        <is>
          <t>산북동</t>
        </is>
      </c>
      <c r="AG380" s="74" t="inlineStr">
        <is>
          <t>전라북도 군산시 원산북2길 6</t>
        </is>
      </c>
      <c r="AH380" s="74" t="n">
        <v>0</v>
      </c>
      <c r="AI380" s="74" t="n">
        <v>170</v>
      </c>
      <c r="AJ380" s="74" t="n">
        <v>19</v>
      </c>
      <c r="AK380" s="74" t="n">
        <v>182</v>
      </c>
      <c r="AL380" s="74" t="n">
        <v>1.04</v>
      </c>
    </row>
    <row r="381">
      <c r="A381" s="74" t="inlineStr">
        <is>
          <t>[산북동]</t>
        </is>
      </c>
      <c r="B381" s="74" t="n">
        <v>144163</v>
      </c>
      <c r="C381" s="74" t="n">
        <v>2</v>
      </c>
      <c r="D381" s="74" t="inlineStr">
        <is>
          <t>하나리움시티2차</t>
        </is>
      </c>
      <c r="E381" s="74" t="inlineStr">
        <is>
          <t>2014.12.</t>
        </is>
      </c>
      <c r="F381" s="74" t="n">
        <v>175</v>
      </c>
      <c r="G381" s="74" t="n">
        <v>27.13</v>
      </c>
      <c r="H381" s="74" t="n">
        <v>89.70999999999999</v>
      </c>
      <c r="I381" s="74" t="n">
        <v>18.14</v>
      </c>
      <c r="J381" s="74" t="n">
        <v>59.98</v>
      </c>
      <c r="K381" s="74" t="n">
        <v>29</v>
      </c>
      <c r="T381" s="74" t="n">
        <v>3</v>
      </c>
      <c r="U381" s="74" t="n">
        <v>2</v>
      </c>
      <c r="V381" s="74" t="inlineStr">
        <is>
          <t>계단식</t>
        </is>
      </c>
      <c r="W381" s="74" t="inlineStr">
        <is>
          <t>89B</t>
        </is>
      </c>
      <c r="X381" s="74" t="n">
        <v>18</v>
      </c>
      <c r="Y381" s="74" t="n">
        <v>9</v>
      </c>
      <c r="Z381" s="74" t="inlineStr">
        <is>
          <t>https://new.land.naver.com/complexes/144163?tab=detail&amp;rf=Y</t>
        </is>
      </c>
      <c r="AA381" s="74" t="inlineStr">
        <is>
          <t>전라북도 군산시 산북동 3646</t>
        </is>
      </c>
      <c r="AB381" s="74" t="inlineStr">
        <is>
          <t>전라북도</t>
        </is>
      </c>
      <c r="AC381" s="74" t="inlineStr">
        <is>
          <t>군산시</t>
        </is>
      </c>
      <c r="AD381" s="74" t="inlineStr">
        <is>
          <t>산북동</t>
        </is>
      </c>
      <c r="AG381" s="74" t="inlineStr">
        <is>
          <t>전라북도 군산시 원산북2길 6</t>
        </is>
      </c>
      <c r="AH381" s="74" t="n">
        <v>0</v>
      </c>
      <c r="AI381" s="74" t="n">
        <v>170</v>
      </c>
      <c r="AJ381" s="74" t="n">
        <v>19</v>
      </c>
      <c r="AK381" s="74" t="n">
        <v>182</v>
      </c>
      <c r="AL381" s="74" t="n">
        <v>1.04</v>
      </c>
    </row>
    <row r="382">
      <c r="A382" s="74" t="inlineStr">
        <is>
          <t>[산북동]</t>
        </is>
      </c>
      <c r="B382" s="74" t="n">
        <v>107967</v>
      </c>
      <c r="C382" s="74" t="n">
        <v>1</v>
      </c>
      <c r="D382" s="74" t="inlineStr">
        <is>
          <t>산북대명1차</t>
        </is>
      </c>
      <c r="E382" s="74" t="inlineStr">
        <is>
          <t>1997.09.</t>
        </is>
      </c>
      <c r="F382" s="74" t="n">
        <v>225</v>
      </c>
      <c r="G382" s="74" t="n">
        <v>16.96</v>
      </c>
      <c r="H382" s="74" t="n">
        <v>56.08</v>
      </c>
      <c r="I382" s="74" t="n">
        <v>12.08</v>
      </c>
      <c r="J382" s="74" t="n">
        <v>39.96</v>
      </c>
      <c r="K382" s="74" t="n">
        <v>225</v>
      </c>
      <c r="T382" s="74" t="n">
        <v>2</v>
      </c>
      <c r="U382" s="74" t="n">
        <v>1</v>
      </c>
      <c r="V382" s="74" t="inlineStr">
        <is>
          <t>복도식</t>
        </is>
      </c>
      <c r="W382" s="74" t="n">
        <v>56</v>
      </c>
      <c r="X382" s="74" t="n">
        <v>17</v>
      </c>
      <c r="Y382" s="74" t="n">
        <v>9</v>
      </c>
      <c r="Z382" s="74" t="inlineStr">
        <is>
          <t>https://new.land.naver.com/complexes/107967?tab=detail&amp;rf=Y</t>
        </is>
      </c>
      <c r="AA382" s="74" t="inlineStr">
        <is>
          <t>전라북도 군산시 산북동 3579-1</t>
        </is>
      </c>
      <c r="AB382" s="74" t="inlineStr">
        <is>
          <t>전라북도</t>
        </is>
      </c>
      <c r="AC382" s="74" t="inlineStr">
        <is>
          <t>군산시</t>
        </is>
      </c>
      <c r="AD382" s="74" t="inlineStr">
        <is>
          <t>산북동</t>
        </is>
      </c>
      <c r="AG382" s="74" t="inlineStr">
        <is>
          <t>전라북도 군산시 원산북2길 35</t>
        </is>
      </c>
      <c r="AH382" s="74" t="n">
        <v>0</v>
      </c>
      <c r="AI382" s="74" t="n">
        <v>298</v>
      </c>
      <c r="AJ382" s="74" t="n">
        <v>26</v>
      </c>
      <c r="AK382" s="74" t="n">
        <v>137</v>
      </c>
      <c r="AL382" s="74" t="n">
        <v>0.61</v>
      </c>
    </row>
    <row r="383">
      <c r="A383" s="74" t="inlineStr">
        <is>
          <t>[산북동]</t>
        </is>
      </c>
      <c r="B383" s="74" t="n">
        <v>5045</v>
      </c>
      <c r="C383" s="74" t="n">
        <v>1</v>
      </c>
      <c r="D383" s="74" t="inlineStr">
        <is>
          <t>시영2단지</t>
        </is>
      </c>
      <c r="E383" s="74" t="inlineStr">
        <is>
          <t>1991.11.</t>
        </is>
      </c>
      <c r="F383" s="74" t="n">
        <v>200</v>
      </c>
      <c r="G383" s="74" t="n">
        <v>13.47</v>
      </c>
      <c r="H383" s="74" t="n">
        <v>44.54</v>
      </c>
      <c r="I383" s="74" t="n">
        <v>10.7</v>
      </c>
      <c r="J383" s="74" t="n">
        <v>35.4</v>
      </c>
      <c r="K383" s="74" t="n">
        <v>100</v>
      </c>
      <c r="T383" s="74" t="n">
        <v>2</v>
      </c>
      <c r="U383" s="74" t="n">
        <v>1</v>
      </c>
      <c r="V383" s="74" t="inlineStr">
        <is>
          <t>계단식</t>
        </is>
      </c>
      <c r="W383" s="74" t="n">
        <v>44</v>
      </c>
      <c r="X383" s="74" t="n">
        <v>13</v>
      </c>
      <c r="Y383" s="74" t="n">
        <v>5</v>
      </c>
      <c r="Z383" s="74" t="inlineStr">
        <is>
          <t>https://new.land.naver.com/complexes/5045?tab=detail&amp;rf=Y</t>
        </is>
      </c>
      <c r="AA383" s="74" t="inlineStr">
        <is>
          <t>전라북도 군산시 산북동 3551</t>
        </is>
      </c>
      <c r="AB383" s="74" t="inlineStr">
        <is>
          <t>전라북도</t>
        </is>
      </c>
      <c r="AC383" s="74" t="inlineStr">
        <is>
          <t>군산시</t>
        </is>
      </c>
      <c r="AD383" s="74" t="inlineStr">
        <is>
          <t>산북동</t>
        </is>
      </c>
      <c r="AG383" s="74" t="inlineStr">
        <is>
          <t>전라북도 군산시 산북로 162</t>
        </is>
      </c>
      <c r="AH383" s="74" t="n">
        <v>0</v>
      </c>
      <c r="AI383" s="74" t="n">
        <v>0</v>
      </c>
      <c r="AJ383" s="74" t="n">
        <v>0</v>
      </c>
      <c r="AK383" s="74" t="n">
        <v>0</v>
      </c>
      <c r="AL383" s="74" t="n">
        <v>0</v>
      </c>
    </row>
    <row r="384">
      <c r="A384" s="74" t="inlineStr">
        <is>
          <t>[산북동]</t>
        </is>
      </c>
      <c r="B384" s="74" t="n">
        <v>5045</v>
      </c>
      <c r="C384" s="74" t="n">
        <v>2</v>
      </c>
      <c r="D384" s="74" t="inlineStr">
        <is>
          <t>시영2단지</t>
        </is>
      </c>
      <c r="E384" s="74" t="inlineStr">
        <is>
          <t>1991.11.</t>
        </is>
      </c>
      <c r="F384" s="74" t="n">
        <v>200</v>
      </c>
      <c r="G384" s="74" t="n">
        <v>18.12</v>
      </c>
      <c r="H384" s="74" t="n">
        <v>59.91</v>
      </c>
      <c r="I384" s="74" t="n">
        <v>14.67</v>
      </c>
      <c r="J384" s="74" t="n">
        <v>48.52</v>
      </c>
      <c r="K384" s="74" t="n">
        <v>100</v>
      </c>
      <c r="T384" s="74" t="n">
        <v>3</v>
      </c>
      <c r="U384" s="74" t="n">
        <v>1</v>
      </c>
      <c r="V384" s="74" t="inlineStr">
        <is>
          <t>계단식</t>
        </is>
      </c>
      <c r="W384" s="74" t="n">
        <v>59</v>
      </c>
      <c r="X384" s="74" t="n">
        <v>13</v>
      </c>
      <c r="Y384" s="74" t="n">
        <v>5</v>
      </c>
      <c r="Z384" s="74" t="inlineStr">
        <is>
          <t>https://new.land.naver.com/complexes/5045?tab=detail&amp;rf=Y</t>
        </is>
      </c>
      <c r="AA384" s="74" t="inlineStr">
        <is>
          <t>전라북도 군산시 산북동 3551</t>
        </is>
      </c>
      <c r="AB384" s="74" t="inlineStr">
        <is>
          <t>전라북도</t>
        </is>
      </c>
      <c r="AC384" s="74" t="inlineStr">
        <is>
          <t>군산시</t>
        </is>
      </c>
      <c r="AD384" s="74" t="inlineStr">
        <is>
          <t>산북동</t>
        </is>
      </c>
      <c r="AG384" s="74" t="inlineStr">
        <is>
          <t>전라북도 군산시 산북로 162</t>
        </is>
      </c>
      <c r="AH384" s="74" t="n">
        <v>0</v>
      </c>
      <c r="AI384" s="74" t="n">
        <v>0</v>
      </c>
      <c r="AJ384" s="74" t="n">
        <v>0</v>
      </c>
      <c r="AK384" s="74" t="n">
        <v>0</v>
      </c>
      <c r="AL384" s="74" t="n">
        <v>0</v>
      </c>
    </row>
    <row r="385">
      <c r="A385" s="74" t="inlineStr">
        <is>
          <t>[산북동]</t>
        </is>
      </c>
      <c r="B385" s="74" t="n">
        <v>143519</v>
      </c>
      <c r="C385" s="74" t="n">
        <v>1</v>
      </c>
      <c r="D385" s="74" t="inlineStr">
        <is>
          <t>성일맨션(3537-4)</t>
        </is>
      </c>
      <c r="E385" s="74" t="inlineStr">
        <is>
          <t>1996.08.</t>
        </is>
      </c>
      <c r="F385" s="74" t="n">
        <v>19</v>
      </c>
      <c r="G385" s="74" t="n">
        <v>37.1</v>
      </c>
      <c r="H385" s="74" t="n">
        <v>122.65</v>
      </c>
      <c r="I385" s="74" t="n">
        <v>31.9</v>
      </c>
      <c r="J385" s="74" t="n">
        <v>105.48</v>
      </c>
      <c r="K385" s="74" t="n">
        <v>15</v>
      </c>
      <c r="T385" s="74" t="n">
        <v>3</v>
      </c>
      <c r="U385" s="74" t="n">
        <v>2</v>
      </c>
      <c r="V385" s="74" t="inlineStr">
        <is>
          <t>계단식</t>
        </is>
      </c>
      <c r="W385" s="74" t="inlineStr">
        <is>
          <t>122B</t>
        </is>
      </c>
      <c r="X385" s="74" t="n">
        <v>5</v>
      </c>
      <c r="Y385" s="74" t="n">
        <v>4</v>
      </c>
      <c r="Z385" s="74" t="inlineStr">
        <is>
          <t>https://new.land.naver.com/complexes/143519?tab=detail&amp;rf=Y</t>
        </is>
      </c>
      <c r="AA385" s="74" t="inlineStr">
        <is>
          <t>전라북도 군산시 산북동 3537-4</t>
        </is>
      </c>
      <c r="AB385" s="74" t="inlineStr">
        <is>
          <t>전라북도</t>
        </is>
      </c>
      <c r="AC385" s="74" t="inlineStr">
        <is>
          <t>군산시</t>
        </is>
      </c>
      <c r="AD385" s="74" t="inlineStr">
        <is>
          <t>산북동</t>
        </is>
      </c>
      <c r="AG385" s="74" t="inlineStr">
        <is>
          <t>전라북도 군산시 칠성안1길 49</t>
        </is>
      </c>
      <c r="AH385" s="74" t="n">
        <v>0</v>
      </c>
      <c r="AI385" s="74" t="n">
        <v>170</v>
      </c>
      <c r="AJ385" s="74" t="n">
        <v>39</v>
      </c>
      <c r="AK385" s="74" t="n">
        <v>16</v>
      </c>
      <c r="AL385" s="74" t="n">
        <v>0.84</v>
      </c>
    </row>
    <row r="386">
      <c r="A386" s="74" t="inlineStr">
        <is>
          <t>[산북동]</t>
        </is>
      </c>
      <c r="B386" s="74" t="n">
        <v>143519</v>
      </c>
      <c r="C386" s="74" t="n">
        <v>2</v>
      </c>
      <c r="D386" s="74" t="inlineStr">
        <is>
          <t>성일맨션(3537-4)</t>
        </is>
      </c>
      <c r="E386" s="74" t="inlineStr">
        <is>
          <t>1996.08.</t>
        </is>
      </c>
      <c r="F386" s="74" t="n">
        <v>19</v>
      </c>
      <c r="G386" s="74" t="n">
        <v>37.09</v>
      </c>
      <c r="H386" s="74" t="n">
        <v>122.64</v>
      </c>
      <c r="I386" s="74" t="n">
        <v>31.9</v>
      </c>
      <c r="J386" s="74" t="n">
        <v>105.48</v>
      </c>
      <c r="K386" s="74" t="n">
        <v>4</v>
      </c>
      <c r="T386" s="74" t="n">
        <v>3</v>
      </c>
      <c r="U386" s="74" t="n">
        <v>2</v>
      </c>
      <c r="V386" s="74" t="inlineStr">
        <is>
          <t>계단식</t>
        </is>
      </c>
      <c r="W386" s="74" t="inlineStr">
        <is>
          <t>122A</t>
        </is>
      </c>
      <c r="X386" s="74" t="n">
        <v>5</v>
      </c>
      <c r="Y386" s="74" t="n">
        <v>4</v>
      </c>
      <c r="Z386" s="74" t="inlineStr">
        <is>
          <t>https://new.land.naver.com/complexes/143519?tab=detail&amp;rf=Y</t>
        </is>
      </c>
      <c r="AA386" s="74" t="inlineStr">
        <is>
          <t>전라북도 군산시 산북동 3537-4</t>
        </is>
      </c>
      <c r="AB386" s="74" t="inlineStr">
        <is>
          <t>전라북도</t>
        </is>
      </c>
      <c r="AC386" s="74" t="inlineStr">
        <is>
          <t>군산시</t>
        </is>
      </c>
      <c r="AD386" s="74" t="inlineStr">
        <is>
          <t>산북동</t>
        </is>
      </c>
      <c r="AG386" s="74" t="inlineStr">
        <is>
          <t>전라북도 군산시 칠성안1길 49</t>
        </is>
      </c>
      <c r="AH386" s="74" t="n">
        <v>0</v>
      </c>
      <c r="AI386" s="74" t="n">
        <v>170</v>
      </c>
      <c r="AJ386" s="74" t="n">
        <v>39</v>
      </c>
      <c r="AK386" s="74" t="n">
        <v>16</v>
      </c>
      <c r="AL386" s="74" t="n">
        <v>0.84</v>
      </c>
    </row>
    <row r="387">
      <c r="A387" s="74" t="inlineStr">
        <is>
          <t>[산북동]</t>
        </is>
      </c>
      <c r="B387" s="74" t="n">
        <v>5046</v>
      </c>
      <c r="C387" s="74" t="n">
        <v>1</v>
      </c>
      <c r="D387" s="74" t="inlineStr">
        <is>
          <t>코오롱</t>
        </is>
      </c>
      <c r="E387" s="74" t="inlineStr">
        <is>
          <t>1994.11.</t>
        </is>
      </c>
      <c r="F387" s="74" t="n">
        <v>380</v>
      </c>
      <c r="G387" s="74" t="n">
        <v>22.95</v>
      </c>
      <c r="H387" s="74" t="n">
        <v>75.90000000000001</v>
      </c>
      <c r="I387" s="74" t="n">
        <v>17.95</v>
      </c>
      <c r="J387" s="74" t="n">
        <v>59.35</v>
      </c>
      <c r="K387" s="74" t="n">
        <v>254</v>
      </c>
      <c r="T387" s="74" t="n">
        <v>3</v>
      </c>
      <c r="U387" s="74" t="n">
        <v>1</v>
      </c>
      <c r="V387" s="74" t="inlineStr">
        <is>
          <t>계단식</t>
        </is>
      </c>
      <c r="W387" s="74" t="n">
        <v>75</v>
      </c>
      <c r="X387" s="74" t="n">
        <v>14</v>
      </c>
      <c r="Y387" s="74" t="n">
        <v>9</v>
      </c>
      <c r="Z387" s="74" t="inlineStr">
        <is>
          <t>https://new.land.naver.com/complexes/5046?tab=detail&amp;rf=Y</t>
        </is>
      </c>
      <c r="AA387" s="74" t="inlineStr">
        <is>
          <t>전라북도 군산시 산북동 3538</t>
        </is>
      </c>
      <c r="AB387" s="74" t="inlineStr">
        <is>
          <t>전라북도</t>
        </is>
      </c>
      <c r="AC387" s="74" t="inlineStr">
        <is>
          <t>군산시</t>
        </is>
      </c>
      <c r="AD387" s="74" t="inlineStr">
        <is>
          <t>산북동</t>
        </is>
      </c>
      <c r="AG387" s="74" t="inlineStr">
        <is>
          <t>전라북도 군산시 소룡안3길 24</t>
        </is>
      </c>
      <c r="AH387" s="74" t="n">
        <v>0</v>
      </c>
      <c r="AI387" s="74" t="n">
        <v>217</v>
      </c>
      <c r="AJ387" s="74" t="n">
        <v>92</v>
      </c>
      <c r="AK387" s="74" t="n">
        <v>380</v>
      </c>
      <c r="AL387" s="74" t="n">
        <v>1</v>
      </c>
    </row>
    <row r="388">
      <c r="A388" s="74" t="inlineStr">
        <is>
          <t>[산북동]</t>
        </is>
      </c>
      <c r="B388" s="74" t="n">
        <v>5046</v>
      </c>
      <c r="C388" s="74" t="n">
        <v>2</v>
      </c>
      <c r="D388" s="74" t="inlineStr">
        <is>
          <t>코오롱</t>
        </is>
      </c>
      <c r="E388" s="74" t="inlineStr">
        <is>
          <t>1994.11.</t>
        </is>
      </c>
      <c r="F388" s="74" t="n">
        <v>380</v>
      </c>
      <c r="G388" s="74" t="n">
        <v>31.11</v>
      </c>
      <c r="H388" s="74" t="n">
        <v>102.85</v>
      </c>
      <c r="I388" s="74" t="n">
        <v>25.54</v>
      </c>
      <c r="J388" s="74" t="n">
        <v>84.45999999999999</v>
      </c>
      <c r="K388" s="74" t="n">
        <v>126</v>
      </c>
      <c r="T388" s="74" t="n">
        <v>3</v>
      </c>
      <c r="U388" s="74" t="n">
        <v>2</v>
      </c>
      <c r="V388" s="74" t="inlineStr">
        <is>
          <t>계단식</t>
        </is>
      </c>
      <c r="W388" s="74" t="n">
        <v>102</v>
      </c>
      <c r="X388" s="74" t="n">
        <v>14</v>
      </c>
      <c r="Y388" s="74" t="n">
        <v>9</v>
      </c>
      <c r="Z388" s="74" t="inlineStr">
        <is>
          <t>https://new.land.naver.com/complexes/5046?tab=detail&amp;rf=Y</t>
        </is>
      </c>
      <c r="AA388" s="74" t="inlineStr">
        <is>
          <t>전라북도 군산시 산북동 3538</t>
        </is>
      </c>
      <c r="AB388" s="74" t="inlineStr">
        <is>
          <t>전라북도</t>
        </is>
      </c>
      <c r="AC388" s="74" t="inlineStr">
        <is>
          <t>군산시</t>
        </is>
      </c>
      <c r="AD388" s="74" t="inlineStr">
        <is>
          <t>산북동</t>
        </is>
      </c>
      <c r="AG388" s="74" t="inlineStr">
        <is>
          <t>전라북도 군산시 소룡안3길 24</t>
        </is>
      </c>
      <c r="AH388" s="74" t="n">
        <v>0</v>
      </c>
      <c r="AI388" s="74" t="n">
        <v>217</v>
      </c>
      <c r="AJ388" s="74" t="n">
        <v>92</v>
      </c>
      <c r="AK388" s="74" t="n">
        <v>380</v>
      </c>
      <c r="AL388" s="74" t="n">
        <v>1</v>
      </c>
    </row>
    <row r="389">
      <c r="A389" s="74" t="inlineStr">
        <is>
          <t>[산북동]</t>
        </is>
      </c>
      <c r="B389" s="74" t="n">
        <v>5043</v>
      </c>
      <c r="C389" s="74" t="n">
        <v>1</v>
      </c>
      <c r="D389" s="74" t="inlineStr">
        <is>
          <t>산북주공</t>
        </is>
      </c>
      <c r="E389" s="74" t="inlineStr">
        <is>
          <t>1989.04.</t>
        </is>
      </c>
      <c r="F389" s="74" t="n">
        <v>750</v>
      </c>
      <c r="G389" s="74" t="n">
        <v>15.09</v>
      </c>
      <c r="H389" s="74" t="n">
        <v>49.91</v>
      </c>
      <c r="I389" s="74" t="n">
        <v>12</v>
      </c>
      <c r="J389" s="74" t="n">
        <v>39.69</v>
      </c>
      <c r="K389" s="74" t="n">
        <v>110</v>
      </c>
      <c r="T389" s="74" t="n">
        <v>2</v>
      </c>
      <c r="U389" s="74" t="n">
        <v>1</v>
      </c>
      <c r="V389" s="74" t="inlineStr">
        <is>
          <t>계단식</t>
        </is>
      </c>
      <c r="W389" s="74" t="inlineStr">
        <is>
          <t>49A</t>
        </is>
      </c>
      <c r="X389" s="74" t="n">
        <v>5</v>
      </c>
      <c r="Y389" s="74" t="n">
        <v>5</v>
      </c>
      <c r="Z389" s="74" t="inlineStr">
        <is>
          <t>https://new.land.naver.com/complexes/5043?tab=detail&amp;rf=Y</t>
        </is>
      </c>
      <c r="AA389" s="74" t="inlineStr">
        <is>
          <t>전라북도 군산시 산북동 3542</t>
        </is>
      </c>
      <c r="AB389" s="74" t="inlineStr">
        <is>
          <t>전라북도</t>
        </is>
      </c>
      <c r="AC389" s="74" t="inlineStr">
        <is>
          <t>군산시</t>
        </is>
      </c>
      <c r="AD389" s="74" t="inlineStr">
        <is>
          <t>산북동</t>
        </is>
      </c>
      <c r="AG389" s="74" t="inlineStr">
        <is>
          <t>전라북도 군산시 동아로 145-1</t>
        </is>
      </c>
      <c r="AH389" s="74" t="n">
        <v>0</v>
      </c>
      <c r="AI389" s="74" t="n">
        <v>0</v>
      </c>
      <c r="AJ389" s="74" t="n">
        <v>0</v>
      </c>
      <c r="AK389" s="74" t="n">
        <v>0</v>
      </c>
      <c r="AL389" s="74" t="n">
        <v>0</v>
      </c>
    </row>
    <row r="390">
      <c r="A390" s="74" t="inlineStr">
        <is>
          <t>[산북동]</t>
        </is>
      </c>
      <c r="B390" s="74" t="n">
        <v>5043</v>
      </c>
      <c r="C390" s="74" t="n">
        <v>2</v>
      </c>
      <c r="D390" s="74" t="inlineStr">
        <is>
          <t>산북주공</t>
        </is>
      </c>
      <c r="E390" s="74" t="inlineStr">
        <is>
          <t>1989.04.</t>
        </is>
      </c>
      <c r="F390" s="74" t="n">
        <v>750</v>
      </c>
      <c r="G390" s="74" t="n">
        <v>14.96</v>
      </c>
      <c r="H390" s="74" t="n">
        <v>49.48</v>
      </c>
      <c r="I390" s="74" t="n">
        <v>11.88</v>
      </c>
      <c r="J390" s="74" t="n">
        <v>39.3</v>
      </c>
      <c r="K390" s="74" t="n">
        <v>110</v>
      </c>
      <c r="T390" s="74" t="n">
        <v>2</v>
      </c>
      <c r="U390" s="74" t="n">
        <v>1</v>
      </c>
      <c r="V390" s="74" t="inlineStr">
        <is>
          <t>계단식</t>
        </is>
      </c>
      <c r="W390" s="74" t="inlineStr">
        <is>
          <t>49B</t>
        </is>
      </c>
      <c r="X390" s="74" t="n">
        <v>5</v>
      </c>
      <c r="Y390" s="74" t="n">
        <v>5</v>
      </c>
      <c r="Z390" s="74" t="inlineStr">
        <is>
          <t>https://new.land.naver.com/complexes/5043?tab=detail&amp;rf=Y</t>
        </is>
      </c>
      <c r="AA390" s="74" t="inlineStr">
        <is>
          <t>전라북도 군산시 산북동 3542</t>
        </is>
      </c>
      <c r="AB390" s="74" t="inlineStr">
        <is>
          <t>전라북도</t>
        </is>
      </c>
      <c r="AC390" s="74" t="inlineStr">
        <is>
          <t>군산시</t>
        </is>
      </c>
      <c r="AD390" s="74" t="inlineStr">
        <is>
          <t>산북동</t>
        </is>
      </c>
      <c r="AG390" s="74" t="inlineStr">
        <is>
          <t>전라북도 군산시 동아로 145-1</t>
        </is>
      </c>
      <c r="AH390" s="74" t="n">
        <v>0</v>
      </c>
      <c r="AI390" s="74" t="n">
        <v>0</v>
      </c>
      <c r="AJ390" s="74" t="n">
        <v>0</v>
      </c>
      <c r="AK390" s="74" t="n">
        <v>0</v>
      </c>
      <c r="AL390" s="74" t="n">
        <v>0</v>
      </c>
    </row>
    <row r="391">
      <c r="A391" s="74" t="inlineStr">
        <is>
          <t>[산북동]</t>
        </is>
      </c>
      <c r="B391" s="74" t="n">
        <v>5043</v>
      </c>
      <c r="C391" s="74" t="n">
        <v>3</v>
      </c>
      <c r="D391" s="74" t="inlineStr">
        <is>
          <t>산북주공</t>
        </is>
      </c>
      <c r="E391" s="74" t="inlineStr">
        <is>
          <t>1989.04.</t>
        </is>
      </c>
      <c r="F391" s="74" t="n">
        <v>750</v>
      </c>
      <c r="G391" s="74" t="n">
        <v>17.52</v>
      </c>
      <c r="H391" s="74" t="n">
        <v>57.93</v>
      </c>
      <c r="I391" s="74" t="n">
        <v>14.22</v>
      </c>
      <c r="J391" s="74" t="n">
        <v>47.01</v>
      </c>
      <c r="K391" s="74" t="n">
        <v>290</v>
      </c>
      <c r="T391" s="74" t="n">
        <v>2</v>
      </c>
      <c r="U391" s="74" t="n">
        <v>1</v>
      </c>
      <c r="V391" s="74" t="inlineStr">
        <is>
          <t>계단식</t>
        </is>
      </c>
      <c r="W391" s="74" t="n">
        <v>57</v>
      </c>
      <c r="X391" s="74" t="n">
        <v>5</v>
      </c>
      <c r="Y391" s="74" t="n">
        <v>5</v>
      </c>
      <c r="Z391" s="74" t="inlineStr">
        <is>
          <t>https://new.land.naver.com/complexes/5043?tab=detail&amp;rf=Y</t>
        </is>
      </c>
      <c r="AA391" s="74" t="inlineStr">
        <is>
          <t>전라북도 군산시 산북동 3542</t>
        </is>
      </c>
      <c r="AB391" s="74" t="inlineStr">
        <is>
          <t>전라북도</t>
        </is>
      </c>
      <c r="AC391" s="74" t="inlineStr">
        <is>
          <t>군산시</t>
        </is>
      </c>
      <c r="AD391" s="74" t="inlineStr">
        <is>
          <t>산북동</t>
        </is>
      </c>
      <c r="AG391" s="74" t="inlineStr">
        <is>
          <t>전라북도 군산시 동아로 145-1</t>
        </is>
      </c>
      <c r="AH391" s="74" t="n">
        <v>0</v>
      </c>
      <c r="AI391" s="74" t="n">
        <v>0</v>
      </c>
      <c r="AJ391" s="74" t="n">
        <v>0</v>
      </c>
      <c r="AK391" s="74" t="n">
        <v>0</v>
      </c>
      <c r="AL391" s="74" t="n">
        <v>0</v>
      </c>
    </row>
    <row r="392">
      <c r="A392" s="74" t="inlineStr">
        <is>
          <t>[산북동]</t>
        </is>
      </c>
      <c r="B392" s="74" t="n">
        <v>5043</v>
      </c>
      <c r="C392" s="74" t="n">
        <v>4</v>
      </c>
      <c r="D392" s="74" t="inlineStr">
        <is>
          <t>산북주공</t>
        </is>
      </c>
      <c r="E392" s="74" t="inlineStr">
        <is>
          <t>1989.04.</t>
        </is>
      </c>
      <c r="F392" s="74" t="n">
        <v>750</v>
      </c>
      <c r="G392" s="74" t="n">
        <v>17.41</v>
      </c>
      <c r="H392" s="74" t="n">
        <v>57.57</v>
      </c>
      <c r="I392" s="74" t="n">
        <v>14.12</v>
      </c>
      <c r="J392" s="74" t="n">
        <v>46.68</v>
      </c>
      <c r="K392" s="74" t="n">
        <v>240</v>
      </c>
      <c r="T392" s="74" t="n">
        <v>2</v>
      </c>
      <c r="U392" s="74" t="n">
        <v>1</v>
      </c>
      <c r="V392" s="74" t="inlineStr">
        <is>
          <t>계단식</t>
        </is>
      </c>
      <c r="W392" s="74" t="n">
        <v>57</v>
      </c>
      <c r="X392" s="74" t="n">
        <v>5</v>
      </c>
      <c r="Y392" s="74" t="n">
        <v>5</v>
      </c>
      <c r="Z392" s="74" t="inlineStr">
        <is>
          <t>https://new.land.naver.com/complexes/5043?tab=detail&amp;rf=Y</t>
        </is>
      </c>
      <c r="AA392" s="74" t="inlineStr">
        <is>
          <t>전라북도 군산시 산북동 3542</t>
        </is>
      </c>
      <c r="AB392" s="74" t="inlineStr">
        <is>
          <t>전라북도</t>
        </is>
      </c>
      <c r="AC392" s="74" t="inlineStr">
        <is>
          <t>군산시</t>
        </is>
      </c>
      <c r="AD392" s="74" t="inlineStr">
        <is>
          <t>산북동</t>
        </is>
      </c>
      <c r="AG392" s="74" t="inlineStr">
        <is>
          <t>전라북도 군산시 동아로 145-1</t>
        </is>
      </c>
      <c r="AH392" s="74" t="n">
        <v>0</v>
      </c>
      <c r="AI392" s="74" t="n">
        <v>0</v>
      </c>
      <c r="AJ392" s="74" t="n">
        <v>0</v>
      </c>
      <c r="AK392" s="74" t="n">
        <v>0</v>
      </c>
      <c r="AL392" s="74" t="n">
        <v>0</v>
      </c>
    </row>
    <row r="393">
      <c r="A393" s="74" t="inlineStr">
        <is>
          <t>[산북동]</t>
        </is>
      </c>
      <c r="B393" s="74" t="n">
        <v>118058</v>
      </c>
      <c r="C393" s="74" t="n">
        <v>1</v>
      </c>
      <c r="D393" s="74" t="inlineStr">
        <is>
          <t>산북하늘가201동</t>
        </is>
      </c>
      <c r="E393" s="74" t="inlineStr">
        <is>
          <t>2007.02.</t>
        </is>
      </c>
      <c r="F393" s="74" t="n">
        <v>220</v>
      </c>
      <c r="G393" s="74" t="n">
        <v>14.8</v>
      </c>
      <c r="H393" s="74" t="n">
        <v>48.95</v>
      </c>
      <c r="I393" s="74" t="n">
        <v>10.86</v>
      </c>
      <c r="J393" s="74" t="n">
        <v>35.91</v>
      </c>
      <c r="K393" s="74" t="n">
        <v>220</v>
      </c>
      <c r="T393" s="74" t="n">
        <v>1</v>
      </c>
      <c r="U393" s="74" t="n">
        <v>1</v>
      </c>
      <c r="V393" s="74" t="inlineStr">
        <is>
          <t>계단식</t>
        </is>
      </c>
      <c r="W393" s="74" t="n">
        <v>48</v>
      </c>
      <c r="X393" s="74" t="n">
        <v>12</v>
      </c>
      <c r="Y393" s="74" t="n">
        <v>12</v>
      </c>
      <c r="Z393" s="74" t="inlineStr">
        <is>
          <t>https://new.land.naver.com/complexes/118058?tab=detail&amp;rf=Y</t>
        </is>
      </c>
      <c r="AA393" s="74" t="inlineStr">
        <is>
          <t>전라북도 군산시 산북동 3560-1</t>
        </is>
      </c>
      <c r="AB393" s="74" t="inlineStr">
        <is>
          <t>전라북도</t>
        </is>
      </c>
      <c r="AC393" s="74" t="inlineStr">
        <is>
          <t>군산시</t>
        </is>
      </c>
      <c r="AD393" s="74" t="inlineStr">
        <is>
          <t>산북동</t>
        </is>
      </c>
      <c r="AG393" s="74" t="inlineStr">
        <is>
          <t>전라북도 군산시 칠성로 126</t>
        </is>
      </c>
      <c r="AH393" s="74" t="n">
        <v>0</v>
      </c>
      <c r="AI393" s="74" t="n">
        <v>277</v>
      </c>
      <c r="AJ393" s="74" t="n">
        <v>28</v>
      </c>
      <c r="AK393" s="74" t="n">
        <v>167</v>
      </c>
      <c r="AL393" s="74" t="n">
        <v>0.76</v>
      </c>
    </row>
    <row r="394">
      <c r="A394" s="74" t="inlineStr">
        <is>
          <t>[산북동]</t>
        </is>
      </c>
      <c r="B394" s="74" t="n">
        <v>106888</v>
      </c>
      <c r="C394" s="74" t="n">
        <v>1</v>
      </c>
      <c r="D394" s="74" t="inlineStr">
        <is>
          <t>하늘가1차</t>
        </is>
      </c>
      <c r="E394" s="74" t="inlineStr">
        <is>
          <t>2001.08.</t>
        </is>
      </c>
      <c r="F394" s="74" t="n">
        <v>221</v>
      </c>
      <c r="G394" s="74" t="n">
        <v>15.73</v>
      </c>
      <c r="H394" s="74" t="n">
        <v>52.02</v>
      </c>
      <c r="I394" s="74" t="n">
        <v>12.08</v>
      </c>
      <c r="J394" s="74" t="n">
        <v>39.95</v>
      </c>
      <c r="K394" s="74" t="n">
        <v>221</v>
      </c>
      <c r="T394" s="74" t="n">
        <v>2</v>
      </c>
      <c r="U394" s="74" t="n">
        <v>1</v>
      </c>
      <c r="V394" s="74" t="inlineStr">
        <is>
          <t>복도식</t>
        </is>
      </c>
      <c r="W394" s="74" t="n">
        <v>52</v>
      </c>
      <c r="X394" s="74" t="n">
        <v>14</v>
      </c>
      <c r="Y394" s="74" t="n">
        <v>14</v>
      </c>
      <c r="Z394" s="74" t="inlineStr">
        <is>
          <t>https://new.land.naver.com/complexes/106888?tab=detail&amp;rf=Y</t>
        </is>
      </c>
      <c r="AA394" s="74" t="inlineStr">
        <is>
          <t>전라북도 군산시 산북동 3589</t>
        </is>
      </c>
      <c r="AB394" s="74" t="inlineStr">
        <is>
          <t>전라북도</t>
        </is>
      </c>
      <c r="AC394" s="74" t="inlineStr">
        <is>
          <t>군산시</t>
        </is>
      </c>
      <c r="AD394" s="74" t="inlineStr">
        <is>
          <t>산북동</t>
        </is>
      </c>
      <c r="AG394" s="74" t="inlineStr">
        <is>
          <t>전라북도 군산시 부원로 116</t>
        </is>
      </c>
      <c r="AH394" s="74" t="n">
        <v>0</v>
      </c>
      <c r="AI394" s="74" t="n">
        <v>271</v>
      </c>
      <c r="AJ394" s="74" t="n">
        <v>23</v>
      </c>
      <c r="AK394" s="74" t="n">
        <v>199</v>
      </c>
      <c r="AL394" s="74" t="n">
        <v>0.9</v>
      </c>
    </row>
    <row r="395">
      <c r="A395" s="74" t="inlineStr">
        <is>
          <t>[산북동]</t>
        </is>
      </c>
      <c r="B395" s="74" t="n">
        <v>127042</v>
      </c>
      <c r="C395" s="74" t="n">
        <v>1</v>
      </c>
      <c r="D395" s="74" t="inlineStr">
        <is>
          <t>부향하나로2차</t>
        </is>
      </c>
      <c r="E395" s="74" t="inlineStr">
        <is>
          <t>1997.09.</t>
        </is>
      </c>
      <c r="F395" s="74" t="n">
        <v>96</v>
      </c>
      <c r="G395" s="74" t="n">
        <v>13.07</v>
      </c>
      <c r="H395" s="74" t="n">
        <v>43.23</v>
      </c>
      <c r="I395" s="74" t="n">
        <v>9.19</v>
      </c>
      <c r="J395" s="74" t="n">
        <v>30.4</v>
      </c>
      <c r="K395" s="74" t="n">
        <v>96</v>
      </c>
      <c r="T395" s="74" t="n">
        <v>2</v>
      </c>
      <c r="U395" s="74" t="n">
        <v>1</v>
      </c>
      <c r="V395" s="74" t="inlineStr">
        <is>
          <t>계단식</t>
        </is>
      </c>
      <c r="W395" s="74" t="n">
        <v>43</v>
      </c>
      <c r="X395" s="74" t="n">
        <v>8</v>
      </c>
      <c r="Y395" s="74" t="n">
        <v>8</v>
      </c>
      <c r="Z395" s="74" t="inlineStr">
        <is>
          <t>https://new.land.naver.com/complexes/127042?tab=detail&amp;rf=Y</t>
        </is>
      </c>
      <c r="AA395" s="74" t="inlineStr">
        <is>
          <t>전라북도 군산시 산북동 3602-4</t>
        </is>
      </c>
      <c r="AB395" s="74" t="inlineStr">
        <is>
          <t>전라북도</t>
        </is>
      </c>
      <c r="AC395" s="74" t="inlineStr">
        <is>
          <t>군산시</t>
        </is>
      </c>
      <c r="AD395" s="74" t="inlineStr">
        <is>
          <t>산북동</t>
        </is>
      </c>
      <c r="AG395" s="74" t="inlineStr">
        <is>
          <t>전라북도 군산시 동아로 17</t>
        </is>
      </c>
      <c r="AH395" s="74" t="n">
        <v>0</v>
      </c>
      <c r="AI395" s="74" t="n">
        <v>171</v>
      </c>
      <c r="AJ395" s="74" t="n">
        <v>24</v>
      </c>
      <c r="AK395" s="74" t="n">
        <v>58</v>
      </c>
      <c r="AL395" s="74" t="n">
        <v>0.6</v>
      </c>
    </row>
    <row r="396">
      <c r="A396" s="74" t="inlineStr">
        <is>
          <t>[산북동]</t>
        </is>
      </c>
      <c r="B396" s="74" t="n">
        <v>16993</v>
      </c>
      <c r="C396" s="74" t="n">
        <v>1</v>
      </c>
      <c r="D396" s="74" t="inlineStr">
        <is>
          <t>산북부향하나로4차</t>
        </is>
      </c>
      <c r="E396" s="74" t="inlineStr">
        <is>
          <t>1997.12.</t>
        </is>
      </c>
      <c r="F396" s="74" t="n">
        <v>404</v>
      </c>
      <c r="G396" s="74" t="n">
        <v>12.19</v>
      </c>
      <c r="H396" s="74" t="n">
        <v>40.31</v>
      </c>
      <c r="I396" s="74" t="n">
        <v>9.15</v>
      </c>
      <c r="J396" s="74" t="n">
        <v>30.26</v>
      </c>
      <c r="K396" s="74" t="n">
        <v>9</v>
      </c>
      <c r="T396" s="74" t="n">
        <v>1</v>
      </c>
      <c r="U396" s="74" t="n">
        <v>1</v>
      </c>
      <c r="V396" s="74" t="inlineStr">
        <is>
          <t>계단식</t>
        </is>
      </c>
      <c r="W396" s="74" t="n">
        <v>40</v>
      </c>
      <c r="X396" s="74" t="n">
        <v>15</v>
      </c>
      <c r="Y396" s="74" t="n">
        <v>7</v>
      </c>
      <c r="Z396" s="74" t="inlineStr">
        <is>
          <t>https://new.land.naver.com/complexes/16993?tab=detail&amp;rf=Y</t>
        </is>
      </c>
      <c r="AA396" s="74" t="inlineStr">
        <is>
          <t>전라북도 군산시 산북동 3637</t>
        </is>
      </c>
      <c r="AB396" s="74" t="inlineStr">
        <is>
          <t>전라북도</t>
        </is>
      </c>
      <c r="AC396" s="74" t="inlineStr">
        <is>
          <t>군산시</t>
        </is>
      </c>
      <c r="AD396" s="74" t="inlineStr">
        <is>
          <t>산북동</t>
        </is>
      </c>
      <c r="AG396" s="74" t="inlineStr">
        <is>
          <t>전라북도 군산시 칠성안5길 40</t>
        </is>
      </c>
      <c r="AH396" s="74" t="n">
        <v>290</v>
      </c>
      <c r="AI396" s="74" t="n">
        <v>346</v>
      </c>
      <c r="AJ396" s="74" t="n">
        <v>31</v>
      </c>
      <c r="AK396" s="74" t="n">
        <v>245</v>
      </c>
      <c r="AL396" s="74" t="n">
        <v>0.61</v>
      </c>
    </row>
    <row r="397">
      <c r="A397" s="74" t="inlineStr">
        <is>
          <t>[산북동]</t>
        </is>
      </c>
      <c r="B397" s="74" t="n">
        <v>16993</v>
      </c>
      <c r="C397" s="74" t="n">
        <v>2</v>
      </c>
      <c r="D397" s="74" t="inlineStr">
        <is>
          <t>산북부향하나로4차</t>
        </is>
      </c>
      <c r="E397" s="74" t="inlineStr">
        <is>
          <t>1997.12.</t>
        </is>
      </c>
      <c r="F397" s="74" t="n">
        <v>404</v>
      </c>
      <c r="G397" s="74" t="n">
        <v>15.74</v>
      </c>
      <c r="H397" s="74" t="n">
        <v>52.06</v>
      </c>
      <c r="I397" s="74" t="n">
        <v>11.82</v>
      </c>
      <c r="J397" s="74" t="n">
        <v>39.08</v>
      </c>
      <c r="K397" s="74" t="n">
        <v>105</v>
      </c>
      <c r="T397" s="74" t="n">
        <v>1</v>
      </c>
      <c r="U397" s="74" t="n">
        <v>1</v>
      </c>
      <c r="V397" s="74" t="inlineStr">
        <is>
          <t>계단식</t>
        </is>
      </c>
      <c r="W397" s="74" t="n">
        <v>52</v>
      </c>
      <c r="X397" s="74" t="n">
        <v>15</v>
      </c>
      <c r="Y397" s="74" t="n">
        <v>7</v>
      </c>
      <c r="Z397" s="74" t="inlineStr">
        <is>
          <t>https://new.land.naver.com/complexes/16993?tab=detail&amp;rf=Y</t>
        </is>
      </c>
      <c r="AA397" s="74" t="inlineStr">
        <is>
          <t>전라북도 군산시 산북동 3637</t>
        </is>
      </c>
      <c r="AB397" s="74" t="inlineStr">
        <is>
          <t>전라북도</t>
        </is>
      </c>
      <c r="AC397" s="74" t="inlineStr">
        <is>
          <t>군산시</t>
        </is>
      </c>
      <c r="AD397" s="74" t="inlineStr">
        <is>
          <t>산북동</t>
        </is>
      </c>
      <c r="AG397" s="74" t="inlineStr">
        <is>
          <t>전라북도 군산시 칠성안5길 40</t>
        </is>
      </c>
      <c r="AH397" s="74" t="n">
        <v>290</v>
      </c>
      <c r="AI397" s="74" t="n">
        <v>346</v>
      </c>
      <c r="AJ397" s="74" t="n">
        <v>31</v>
      </c>
      <c r="AK397" s="74" t="n">
        <v>245</v>
      </c>
      <c r="AL397" s="74" t="n">
        <v>0.61</v>
      </c>
    </row>
    <row r="398">
      <c r="A398" s="74" t="inlineStr">
        <is>
          <t>[산북동]</t>
        </is>
      </c>
      <c r="B398" s="74" t="n">
        <v>101157</v>
      </c>
      <c r="C398" s="74" t="n">
        <v>1</v>
      </c>
      <c r="D398" s="74" t="inlineStr">
        <is>
          <t>금강맨션</t>
        </is>
      </c>
      <c r="E398" s="74" t="inlineStr">
        <is>
          <t>1989.11.</t>
        </is>
      </c>
      <c r="F398" s="74" t="n">
        <v>120</v>
      </c>
      <c r="G398" s="74" t="n">
        <v>25.53</v>
      </c>
      <c r="H398" s="74" t="n">
        <v>84.42</v>
      </c>
      <c r="I398" s="74" t="n">
        <v>21.44</v>
      </c>
      <c r="J398" s="74" t="n">
        <v>70.89</v>
      </c>
      <c r="K398" s="74" t="n">
        <v>30</v>
      </c>
      <c r="T398" s="74" t="n">
        <v>3</v>
      </c>
      <c r="U398" s="74" t="n">
        <v>1</v>
      </c>
      <c r="V398" s="74" t="inlineStr">
        <is>
          <t>계단식</t>
        </is>
      </c>
      <c r="W398" s="74" t="n">
        <v>84</v>
      </c>
      <c r="X398" s="74" t="n">
        <v>5</v>
      </c>
      <c r="Y398" s="74" t="n">
        <v>5</v>
      </c>
      <c r="Z398" s="74" t="inlineStr">
        <is>
          <t>https://new.land.naver.com/complexes/101157?tab=detail&amp;rf=Y</t>
        </is>
      </c>
      <c r="AA398" s="74" t="inlineStr">
        <is>
          <t>전라북도 군산시 산북동 3540</t>
        </is>
      </c>
      <c r="AB398" s="74" t="inlineStr">
        <is>
          <t>전라북도</t>
        </is>
      </c>
      <c r="AC398" s="74" t="inlineStr">
        <is>
          <t>군산시</t>
        </is>
      </c>
      <c r="AD398" s="74" t="inlineStr">
        <is>
          <t>산북동</t>
        </is>
      </c>
      <c r="AG398" s="74" t="inlineStr">
        <is>
          <t>전라북도 군산시 소룡길 86-5</t>
        </is>
      </c>
      <c r="AH398" s="74" t="n">
        <v>0</v>
      </c>
      <c r="AI398" s="74" t="n">
        <v>0</v>
      </c>
      <c r="AJ398" s="74" t="n">
        <v>0</v>
      </c>
      <c r="AK398" s="74" t="n">
        <v>0</v>
      </c>
      <c r="AL398" s="74" t="n">
        <v>0</v>
      </c>
    </row>
    <row r="399">
      <c r="A399" s="74" t="inlineStr">
        <is>
          <t>[산북동]</t>
        </is>
      </c>
      <c r="B399" s="74" t="n">
        <v>101157</v>
      </c>
      <c r="C399" s="74" t="n">
        <v>2</v>
      </c>
      <c r="D399" s="74" t="inlineStr">
        <is>
          <t>금강맨션</t>
        </is>
      </c>
      <c r="E399" s="74" t="inlineStr">
        <is>
          <t>1989.11.</t>
        </is>
      </c>
      <c r="F399" s="74" t="n">
        <v>120</v>
      </c>
      <c r="G399" s="74" t="n">
        <v>27.32</v>
      </c>
      <c r="H399" s="74" t="n">
        <v>90.33</v>
      </c>
      <c r="I399" s="74" t="n">
        <v>23.23</v>
      </c>
      <c r="J399" s="74" t="n">
        <v>76.8</v>
      </c>
      <c r="K399" s="74" t="n">
        <v>60</v>
      </c>
      <c r="T399" s="74" t="n">
        <v>3</v>
      </c>
      <c r="U399" s="74" t="n">
        <v>1</v>
      </c>
      <c r="V399" s="74" t="inlineStr">
        <is>
          <t>계단식</t>
        </is>
      </c>
      <c r="W399" s="74" t="n">
        <v>90</v>
      </c>
      <c r="X399" s="74" t="n">
        <v>5</v>
      </c>
      <c r="Y399" s="74" t="n">
        <v>5</v>
      </c>
      <c r="Z399" s="74" t="inlineStr">
        <is>
          <t>https://new.land.naver.com/complexes/101157?tab=detail&amp;rf=Y</t>
        </is>
      </c>
      <c r="AA399" s="74" t="inlineStr">
        <is>
          <t>전라북도 군산시 산북동 3540</t>
        </is>
      </c>
      <c r="AB399" s="74" t="inlineStr">
        <is>
          <t>전라북도</t>
        </is>
      </c>
      <c r="AC399" s="74" t="inlineStr">
        <is>
          <t>군산시</t>
        </is>
      </c>
      <c r="AD399" s="74" t="inlineStr">
        <is>
          <t>산북동</t>
        </is>
      </c>
      <c r="AG399" s="74" t="inlineStr">
        <is>
          <t>전라북도 군산시 소룡길 86-5</t>
        </is>
      </c>
      <c r="AH399" s="74" t="n">
        <v>0</v>
      </c>
      <c r="AI399" s="74" t="n">
        <v>0</v>
      </c>
      <c r="AJ399" s="74" t="n">
        <v>0</v>
      </c>
      <c r="AK399" s="74" t="n">
        <v>0</v>
      </c>
      <c r="AL399" s="74" t="n">
        <v>0</v>
      </c>
    </row>
    <row r="400">
      <c r="A400" s="74" t="inlineStr">
        <is>
          <t>[산북동]</t>
        </is>
      </c>
      <c r="B400" s="74" t="n">
        <v>101157</v>
      </c>
      <c r="C400" s="74" t="n">
        <v>3</v>
      </c>
      <c r="D400" s="74" t="inlineStr">
        <is>
          <t>금강맨션</t>
        </is>
      </c>
      <c r="E400" s="74" t="inlineStr">
        <is>
          <t>1989.11.</t>
        </is>
      </c>
      <c r="F400" s="74" t="n">
        <v>120</v>
      </c>
      <c r="G400" s="74" t="n">
        <v>27.53</v>
      </c>
      <c r="H400" s="74" t="n">
        <v>91.02</v>
      </c>
      <c r="I400" s="74" t="n">
        <v>23.44</v>
      </c>
      <c r="J400" s="74" t="n">
        <v>77.48999999999999</v>
      </c>
      <c r="K400" s="74" t="n">
        <v>30</v>
      </c>
      <c r="T400" s="74" t="n">
        <v>3</v>
      </c>
      <c r="U400" s="74" t="n">
        <v>1</v>
      </c>
      <c r="V400" s="74" t="inlineStr">
        <is>
          <t>복도식</t>
        </is>
      </c>
      <c r="W400" s="74" t="n">
        <v>91</v>
      </c>
      <c r="X400" s="74" t="n">
        <v>5</v>
      </c>
      <c r="Y400" s="74" t="n">
        <v>5</v>
      </c>
      <c r="Z400" s="74" t="inlineStr">
        <is>
          <t>https://new.land.naver.com/complexes/101157?tab=detail&amp;rf=Y</t>
        </is>
      </c>
      <c r="AA400" s="74" t="inlineStr">
        <is>
          <t>전라북도 군산시 산북동 3540</t>
        </is>
      </c>
      <c r="AB400" s="74" t="inlineStr">
        <is>
          <t>전라북도</t>
        </is>
      </c>
      <c r="AC400" s="74" t="inlineStr">
        <is>
          <t>군산시</t>
        </is>
      </c>
      <c r="AD400" s="74" t="inlineStr">
        <is>
          <t>산북동</t>
        </is>
      </c>
      <c r="AG400" s="74" t="inlineStr">
        <is>
          <t>전라북도 군산시 소룡길 86-5</t>
        </is>
      </c>
      <c r="AH400" s="74" t="n">
        <v>0</v>
      </c>
      <c r="AI400" s="74" t="n">
        <v>0</v>
      </c>
      <c r="AJ400" s="74" t="n">
        <v>0</v>
      </c>
      <c r="AK400" s="74" t="n">
        <v>0</v>
      </c>
      <c r="AL400" s="74" t="n">
        <v>0</v>
      </c>
    </row>
    <row r="401">
      <c r="A401" s="74" t="inlineStr">
        <is>
          <t>[산북동]</t>
        </is>
      </c>
      <c r="B401" s="74" t="n">
        <v>16991</v>
      </c>
      <c r="C401" s="74" t="n">
        <v>1</v>
      </c>
      <c r="D401" s="74" t="inlineStr">
        <is>
          <t>서해제일</t>
        </is>
      </c>
      <c r="E401" s="74" t="inlineStr">
        <is>
          <t>1995.05.</t>
        </is>
      </c>
      <c r="F401" s="74" t="n">
        <v>70</v>
      </c>
      <c r="G401" s="74" t="n">
        <v>25.99</v>
      </c>
      <c r="H401" s="74" t="n">
        <v>85.94</v>
      </c>
      <c r="I401" s="74" t="n">
        <v>18.12</v>
      </c>
      <c r="J401" s="74" t="n">
        <v>59.91</v>
      </c>
      <c r="K401" s="74" t="n">
        <v>70</v>
      </c>
      <c r="T401" s="74" t="n">
        <v>3</v>
      </c>
      <c r="U401" s="74" t="n">
        <v>1</v>
      </c>
      <c r="V401" s="74" t="inlineStr">
        <is>
          <t>복도식</t>
        </is>
      </c>
      <c r="W401" s="74" t="n">
        <v>85</v>
      </c>
      <c r="X401" s="74" t="n">
        <v>7</v>
      </c>
      <c r="Y401" s="74" t="n">
        <v>7</v>
      </c>
      <c r="Z401" s="74" t="inlineStr">
        <is>
          <t>https://new.land.naver.com/complexes/16991?tab=detail&amp;rf=Y</t>
        </is>
      </c>
      <c r="AA401" s="74" t="inlineStr">
        <is>
          <t>전라북도 군산시 산북동 3536-1</t>
        </is>
      </c>
      <c r="AB401" s="74" t="inlineStr">
        <is>
          <t>전라북도</t>
        </is>
      </c>
      <c r="AC401" s="74" t="inlineStr">
        <is>
          <t>군산시</t>
        </is>
      </c>
      <c r="AD401" s="74" t="inlineStr">
        <is>
          <t>산북동</t>
        </is>
      </c>
      <c r="AG401" s="74" t="inlineStr">
        <is>
          <t>전라북도 군산시 칠성안1길 45</t>
        </is>
      </c>
      <c r="AH401" s="74" t="n">
        <v>0</v>
      </c>
      <c r="AI401" s="74" t="n">
        <v>190</v>
      </c>
      <c r="AJ401" s="74" t="n">
        <v>31</v>
      </c>
      <c r="AK401" s="74" t="n">
        <v>64</v>
      </c>
      <c r="AL401" s="74" t="n">
        <v>0.91</v>
      </c>
    </row>
    <row r="402">
      <c r="A402" s="74" t="inlineStr">
        <is>
          <t>[산북동]</t>
        </is>
      </c>
      <c r="B402" s="74" t="n">
        <v>16992</v>
      </c>
      <c r="C402" s="74" t="n">
        <v>1</v>
      </c>
      <c r="D402" s="74" t="inlineStr">
        <is>
          <t>성일(3546-5)</t>
        </is>
      </c>
      <c r="E402" s="74" t="inlineStr">
        <is>
          <t>1995.01.</t>
        </is>
      </c>
      <c r="F402" s="74" t="n">
        <v>99</v>
      </c>
      <c r="G402" s="74" t="n">
        <v>21.34</v>
      </c>
      <c r="H402" s="74" t="n">
        <v>70.56</v>
      </c>
      <c r="I402" s="74" t="n">
        <v>17.31</v>
      </c>
      <c r="J402" s="74" t="n">
        <v>57.24</v>
      </c>
      <c r="K402" s="74" t="n">
        <v>5</v>
      </c>
      <c r="T402" s="74" t="n">
        <v>3</v>
      </c>
      <c r="U402" s="74" t="n">
        <v>1</v>
      </c>
      <c r="V402" s="74" t="inlineStr">
        <is>
          <t>계단식</t>
        </is>
      </c>
      <c r="W402" s="74" t="n">
        <v>70</v>
      </c>
      <c r="X402" s="74" t="n">
        <v>10</v>
      </c>
      <c r="Y402" s="74" t="n">
        <v>4</v>
      </c>
      <c r="Z402" s="74" t="inlineStr">
        <is>
          <t>https://new.land.naver.com/complexes/16992?tab=detail&amp;rf=Y</t>
        </is>
      </c>
      <c r="AA402" s="74" t="inlineStr">
        <is>
          <t>전라북도 군산시 산북동 3546-5</t>
        </is>
      </c>
      <c r="AB402" s="74" t="inlineStr">
        <is>
          <t>전라북도</t>
        </is>
      </c>
      <c r="AC402" s="74" t="inlineStr">
        <is>
          <t>군산시</t>
        </is>
      </c>
      <c r="AD402" s="74" t="inlineStr">
        <is>
          <t>산북동</t>
        </is>
      </c>
      <c r="AG402" s="74" t="inlineStr">
        <is>
          <t>전라북도 군산시 칠성7길 74</t>
        </is>
      </c>
      <c r="AH402" s="74" t="n">
        <v>0</v>
      </c>
      <c r="AI402" s="74" t="n">
        <v>215</v>
      </c>
      <c r="AJ402" s="74" t="n">
        <v>28</v>
      </c>
      <c r="AK402" s="74" t="n">
        <v>89</v>
      </c>
      <c r="AL402" s="74" t="n">
        <v>0.9</v>
      </c>
    </row>
    <row r="403">
      <c r="A403" s="74" t="inlineStr">
        <is>
          <t>[산북동]</t>
        </is>
      </c>
      <c r="B403" s="74" t="n">
        <v>16992</v>
      </c>
      <c r="C403" s="74" t="n">
        <v>2</v>
      </c>
      <c r="D403" s="74" t="inlineStr">
        <is>
          <t>성일(3546-5)</t>
        </is>
      </c>
      <c r="E403" s="74" t="inlineStr">
        <is>
          <t>1995.01.</t>
        </is>
      </c>
      <c r="F403" s="74" t="n">
        <v>99</v>
      </c>
      <c r="G403" s="74" t="n">
        <v>22.33</v>
      </c>
      <c r="H403" s="74" t="n">
        <v>73.81999999999999</v>
      </c>
      <c r="I403" s="74" t="n">
        <v>18.11</v>
      </c>
      <c r="J403" s="74" t="n">
        <v>59.88</v>
      </c>
      <c r="K403" s="74" t="n">
        <v>40</v>
      </c>
      <c r="T403" s="74" t="n">
        <v>3</v>
      </c>
      <c r="U403" s="74" t="n">
        <v>1</v>
      </c>
      <c r="V403" s="74" t="inlineStr">
        <is>
          <t>복도식</t>
        </is>
      </c>
      <c r="W403" s="74" t="n">
        <v>73</v>
      </c>
      <c r="X403" s="74" t="n">
        <v>10</v>
      </c>
      <c r="Y403" s="74" t="n">
        <v>4</v>
      </c>
      <c r="Z403" s="74" t="inlineStr">
        <is>
          <t>https://new.land.naver.com/complexes/16992?tab=detail&amp;rf=Y</t>
        </is>
      </c>
      <c r="AA403" s="74" t="inlineStr">
        <is>
          <t>전라북도 군산시 산북동 3546-5</t>
        </is>
      </c>
      <c r="AB403" s="74" t="inlineStr">
        <is>
          <t>전라북도</t>
        </is>
      </c>
      <c r="AC403" s="74" t="inlineStr">
        <is>
          <t>군산시</t>
        </is>
      </c>
      <c r="AD403" s="74" t="inlineStr">
        <is>
          <t>산북동</t>
        </is>
      </c>
      <c r="AG403" s="74" t="inlineStr">
        <is>
          <t>전라북도 군산시 칠성7길 74</t>
        </is>
      </c>
      <c r="AH403" s="74" t="n">
        <v>0</v>
      </c>
      <c r="AI403" s="74" t="n">
        <v>215</v>
      </c>
      <c r="AJ403" s="74" t="n">
        <v>28</v>
      </c>
      <c r="AK403" s="74" t="n">
        <v>89</v>
      </c>
      <c r="AL403" s="74" t="n">
        <v>0.9</v>
      </c>
    </row>
    <row r="404">
      <c r="A404" s="74" t="inlineStr">
        <is>
          <t>[산북동]</t>
        </is>
      </c>
      <c r="B404" s="74" t="n">
        <v>16992</v>
      </c>
      <c r="C404" s="74" t="n">
        <v>3</v>
      </c>
      <c r="D404" s="74" t="inlineStr">
        <is>
          <t>성일(3546-5)</t>
        </is>
      </c>
      <c r="E404" s="74" t="inlineStr">
        <is>
          <t>1995.01.</t>
        </is>
      </c>
      <c r="F404" s="74" t="n">
        <v>99</v>
      </c>
      <c r="G404" s="74" t="n">
        <v>25.64</v>
      </c>
      <c r="H404" s="74" t="n">
        <v>84.77</v>
      </c>
      <c r="I404" s="74" t="n">
        <v>20.79</v>
      </c>
      <c r="J404" s="74" t="n">
        <v>68.76000000000001</v>
      </c>
      <c r="K404" s="74" t="n">
        <v>54</v>
      </c>
      <c r="T404" s="74" t="n">
        <v>3</v>
      </c>
      <c r="U404" s="74" t="n">
        <v>1</v>
      </c>
      <c r="V404" s="74" t="inlineStr">
        <is>
          <t>복도식</t>
        </is>
      </c>
      <c r="W404" s="74" t="n">
        <v>84</v>
      </c>
      <c r="X404" s="74" t="n">
        <v>10</v>
      </c>
      <c r="Y404" s="74" t="n">
        <v>4</v>
      </c>
      <c r="Z404" s="74" t="inlineStr">
        <is>
          <t>https://new.land.naver.com/complexes/16992?tab=detail&amp;rf=Y</t>
        </is>
      </c>
      <c r="AA404" s="74" t="inlineStr">
        <is>
          <t>전라북도 군산시 산북동 3546-5</t>
        </is>
      </c>
      <c r="AB404" s="74" t="inlineStr">
        <is>
          <t>전라북도</t>
        </is>
      </c>
      <c r="AC404" s="74" t="inlineStr">
        <is>
          <t>군산시</t>
        </is>
      </c>
      <c r="AD404" s="74" t="inlineStr">
        <is>
          <t>산북동</t>
        </is>
      </c>
      <c r="AG404" s="74" t="inlineStr">
        <is>
          <t>전라북도 군산시 칠성7길 74</t>
        </is>
      </c>
      <c r="AH404" s="74" t="n">
        <v>0</v>
      </c>
      <c r="AI404" s="74" t="n">
        <v>215</v>
      </c>
      <c r="AJ404" s="74" t="n">
        <v>28</v>
      </c>
      <c r="AK404" s="74" t="n">
        <v>89</v>
      </c>
      <c r="AL404" s="74" t="n">
        <v>0.9</v>
      </c>
    </row>
    <row r="405">
      <c r="A405" s="74" t="inlineStr">
        <is>
          <t>[산북동]</t>
        </is>
      </c>
      <c r="B405" s="74" t="n">
        <v>102909</v>
      </c>
      <c r="C405" s="74" t="n">
        <v>1</v>
      </c>
      <c r="D405" s="74" t="inlineStr">
        <is>
          <t>고천마을</t>
        </is>
      </c>
      <c r="E405" s="74" t="inlineStr">
        <is>
          <t>2008.06.</t>
        </is>
      </c>
      <c r="F405" s="74" t="n">
        <v>99</v>
      </c>
      <c r="G405" s="74" t="n">
        <v>18.77</v>
      </c>
      <c r="H405" s="74" t="n">
        <v>62.08</v>
      </c>
      <c r="I405" s="74" t="n">
        <v>13.03</v>
      </c>
      <c r="J405" s="74" t="n">
        <v>43.08</v>
      </c>
      <c r="K405" s="74" t="n">
        <v>99</v>
      </c>
      <c r="T405" s="74" t="n">
        <v>2</v>
      </c>
      <c r="U405" s="74" t="n">
        <v>1</v>
      </c>
      <c r="V405" s="74" t="inlineStr">
        <is>
          <t>복도식</t>
        </is>
      </c>
      <c r="W405" s="74" t="n">
        <v>62</v>
      </c>
      <c r="X405" s="74" t="n">
        <v>9</v>
      </c>
      <c r="Y405" s="74" t="n">
        <v>9</v>
      </c>
      <c r="Z405" s="74" t="inlineStr">
        <is>
          <t>https://new.land.naver.com/complexes/102909?tab=detail&amp;rf=Y</t>
        </is>
      </c>
      <c r="AA405" s="74" t="inlineStr">
        <is>
          <t>전라북도 군산시 산북동 3592</t>
        </is>
      </c>
      <c r="AB405" s="74" t="inlineStr">
        <is>
          <t>전라북도</t>
        </is>
      </c>
      <c r="AC405" s="74" t="inlineStr">
        <is>
          <t>군산시</t>
        </is>
      </c>
      <c r="AD405" s="74" t="inlineStr">
        <is>
          <t>산북동</t>
        </is>
      </c>
      <c r="AG405" s="74" t="inlineStr">
        <is>
          <t>전라북도 군산시 원산북1길 32</t>
        </is>
      </c>
      <c r="AH405" s="74" t="n">
        <v>0</v>
      </c>
      <c r="AI405" s="74" t="n">
        <v>168</v>
      </c>
      <c r="AJ405" s="74" t="n">
        <v>21</v>
      </c>
      <c r="AK405" s="74" t="n">
        <v>72</v>
      </c>
      <c r="AL405" s="74" t="n">
        <v>0.73</v>
      </c>
    </row>
    <row r="406">
      <c r="A406" s="74" t="inlineStr">
        <is>
          <t>[산북동]</t>
        </is>
      </c>
      <c r="B406" s="74" t="n">
        <v>118059</v>
      </c>
      <c r="C406" s="74" t="n">
        <v>1</v>
      </c>
      <c r="D406" s="74" t="inlineStr">
        <is>
          <t>부향하나로1차</t>
        </is>
      </c>
      <c r="E406" s="74" t="inlineStr">
        <is>
          <t>1997.03.</t>
        </is>
      </c>
      <c r="F406" s="74" t="n">
        <v>349</v>
      </c>
      <c r="G406" s="74" t="n">
        <v>10.77</v>
      </c>
      <c r="H406" s="74" t="n">
        <v>35.63</v>
      </c>
      <c r="I406" s="74" t="n">
        <v>8.16</v>
      </c>
      <c r="J406" s="74" t="n">
        <v>27</v>
      </c>
      <c r="K406" s="74" t="n">
        <v>54</v>
      </c>
      <c r="T406" s="74" t="n">
        <v>1</v>
      </c>
      <c r="U406" s="74" t="n">
        <v>1</v>
      </c>
      <c r="V406" s="74" t="inlineStr">
        <is>
          <t>복도식</t>
        </is>
      </c>
      <c r="W406" s="74" t="n">
        <v>35</v>
      </c>
      <c r="X406" s="74" t="n">
        <v>15</v>
      </c>
      <c r="Y406" s="74" t="n">
        <v>9</v>
      </c>
      <c r="Z406" s="74" t="inlineStr">
        <is>
          <t>https://new.land.naver.com/complexes/118059?tab=detail&amp;rf=Y</t>
        </is>
      </c>
      <c r="AA406" s="74" t="inlineStr">
        <is>
          <t>전라북도 군산시 산북동 3616</t>
        </is>
      </c>
      <c r="AB406" s="74" t="inlineStr">
        <is>
          <t>전라북도</t>
        </is>
      </c>
      <c r="AC406" s="74" t="inlineStr">
        <is>
          <t>군산시</t>
        </is>
      </c>
      <c r="AD406" s="74" t="inlineStr">
        <is>
          <t>산북동</t>
        </is>
      </c>
      <c r="AG406" s="74" t="inlineStr">
        <is>
          <t>전라북도 군산시 동아로 12</t>
        </is>
      </c>
      <c r="AH406" s="74" t="n">
        <v>0</v>
      </c>
      <c r="AI406" s="74" t="n">
        <v>347</v>
      </c>
      <c r="AJ406" s="74" t="n">
        <v>31</v>
      </c>
      <c r="AK406" s="74" t="n">
        <v>212</v>
      </c>
      <c r="AL406" s="74" t="n">
        <v>0.61</v>
      </c>
    </row>
    <row r="407">
      <c r="A407" s="74" t="inlineStr">
        <is>
          <t>[산북동]</t>
        </is>
      </c>
      <c r="B407" s="74" t="n">
        <v>118059</v>
      </c>
      <c r="C407" s="74" t="n">
        <v>2</v>
      </c>
      <c r="D407" s="74" t="inlineStr">
        <is>
          <t>부향하나로1차</t>
        </is>
      </c>
      <c r="E407" s="74" t="inlineStr">
        <is>
          <t>1997.03.</t>
        </is>
      </c>
      <c r="F407" s="74" t="n">
        <v>349</v>
      </c>
      <c r="G407" s="74" t="n">
        <v>15.56</v>
      </c>
      <c r="H407" s="74" t="n">
        <v>51.46</v>
      </c>
      <c r="I407" s="74" t="n">
        <v>11.79</v>
      </c>
      <c r="J407" s="74" t="n">
        <v>39</v>
      </c>
      <c r="K407" s="74" t="n">
        <v>295</v>
      </c>
      <c r="T407" s="74" t="n">
        <v>2</v>
      </c>
      <c r="U407" s="74" t="n">
        <v>1</v>
      </c>
      <c r="V407" s="74" t="inlineStr">
        <is>
          <t>복도식</t>
        </is>
      </c>
      <c r="W407" s="74" t="n">
        <v>51</v>
      </c>
      <c r="X407" s="74" t="n">
        <v>15</v>
      </c>
      <c r="Y407" s="74" t="n">
        <v>9</v>
      </c>
      <c r="Z407" s="74" t="inlineStr">
        <is>
          <t>https://new.land.naver.com/complexes/118059?tab=detail&amp;rf=Y</t>
        </is>
      </c>
      <c r="AA407" s="74" t="inlineStr">
        <is>
          <t>전라북도 군산시 산북동 3616</t>
        </is>
      </c>
      <c r="AB407" s="74" t="inlineStr">
        <is>
          <t>전라북도</t>
        </is>
      </c>
      <c r="AC407" s="74" t="inlineStr">
        <is>
          <t>군산시</t>
        </is>
      </c>
      <c r="AD407" s="74" t="inlineStr">
        <is>
          <t>산북동</t>
        </is>
      </c>
      <c r="AG407" s="74" t="inlineStr">
        <is>
          <t>전라북도 군산시 동아로 12</t>
        </is>
      </c>
      <c r="AH407" s="74" t="n">
        <v>0</v>
      </c>
      <c r="AI407" s="74" t="n">
        <v>347</v>
      </c>
      <c r="AJ407" s="74" t="n">
        <v>31</v>
      </c>
      <c r="AK407" s="74" t="n">
        <v>212</v>
      </c>
      <c r="AL407" s="74" t="n">
        <v>0.61</v>
      </c>
    </row>
    <row r="408">
      <c r="A408" s="74" t="inlineStr">
        <is>
          <t>[삼학동]</t>
        </is>
      </c>
      <c r="B408" s="74" t="n">
        <v>5047</v>
      </c>
      <c r="C408" s="74" t="n">
        <v>1</v>
      </c>
      <c r="D408" s="74" t="inlineStr">
        <is>
          <t>군산삼학대우</t>
        </is>
      </c>
      <c r="E408" s="74" t="inlineStr">
        <is>
          <t>1996.07.</t>
        </is>
      </c>
      <c r="F408" s="74" t="n">
        <v>381</v>
      </c>
      <c r="G408" s="74" t="n">
        <v>24.52</v>
      </c>
      <c r="H408" s="74" t="n">
        <v>81.06</v>
      </c>
      <c r="I408" s="74" t="n">
        <v>18.11</v>
      </c>
      <c r="J408" s="74" t="n">
        <v>59.89</v>
      </c>
      <c r="K408" s="74" t="n">
        <v>159</v>
      </c>
      <c r="T408" s="74" t="n">
        <v>3</v>
      </c>
      <c r="U408" s="74" t="n">
        <v>1</v>
      </c>
      <c r="V408" s="74" t="inlineStr">
        <is>
          <t>복도식</t>
        </is>
      </c>
      <c r="W408" s="74" t="n">
        <v>81</v>
      </c>
      <c r="X408" s="74" t="n">
        <v>15</v>
      </c>
      <c r="Y408" s="74" t="n">
        <v>12</v>
      </c>
      <c r="Z408" s="74" t="inlineStr">
        <is>
          <t>https://new.land.naver.com/complexes/5047?tab=detail&amp;rf=Y</t>
        </is>
      </c>
      <c r="AA408" s="74" t="inlineStr">
        <is>
          <t>전라북도 군산시 삼학동 811-1</t>
        </is>
      </c>
      <c r="AB408" s="74" t="inlineStr">
        <is>
          <t>전라북도</t>
        </is>
      </c>
      <c r="AC408" s="74" t="inlineStr">
        <is>
          <t>군산시</t>
        </is>
      </c>
      <c r="AD408" s="74" t="inlineStr">
        <is>
          <t>삼학동</t>
        </is>
      </c>
      <c r="AG408" s="74" t="inlineStr">
        <is>
          <t>전라북도 군산시 축동로 188</t>
        </is>
      </c>
      <c r="AH408" s="74" t="n">
        <v>0</v>
      </c>
      <c r="AI408" s="74" t="n">
        <v>259</v>
      </c>
      <c r="AJ408" s="74" t="n">
        <v>25</v>
      </c>
      <c r="AK408" s="74" t="n">
        <v>343</v>
      </c>
      <c r="AL408" s="74" t="n">
        <v>0.9</v>
      </c>
    </row>
    <row r="409">
      <c r="A409" s="74" t="inlineStr">
        <is>
          <t>[삼학동]</t>
        </is>
      </c>
      <c r="B409" s="74" t="n">
        <v>5047</v>
      </c>
      <c r="C409" s="74" t="n">
        <v>2</v>
      </c>
      <c r="D409" s="74" t="inlineStr">
        <is>
          <t>군산삼학대우</t>
        </is>
      </c>
      <c r="E409" s="74" t="inlineStr">
        <is>
          <t>1996.07.</t>
        </is>
      </c>
      <c r="F409" s="74" t="n">
        <v>381</v>
      </c>
      <c r="G409" s="74" t="n">
        <v>31.56</v>
      </c>
      <c r="H409" s="74" t="n">
        <v>104.36</v>
      </c>
      <c r="I409" s="74" t="n">
        <v>25.67</v>
      </c>
      <c r="J409" s="74" t="n">
        <v>84.87</v>
      </c>
      <c r="K409" s="74" t="n">
        <v>132</v>
      </c>
      <c r="T409" s="74" t="n">
        <v>3</v>
      </c>
      <c r="U409" s="74" t="n">
        <v>2</v>
      </c>
      <c r="V409" s="74" t="inlineStr">
        <is>
          <t>계단식</t>
        </is>
      </c>
      <c r="W409" s="74" t="n">
        <v>104</v>
      </c>
      <c r="X409" s="74" t="n">
        <v>15</v>
      </c>
      <c r="Y409" s="74" t="n">
        <v>12</v>
      </c>
      <c r="Z409" s="74" t="inlineStr">
        <is>
          <t>https://new.land.naver.com/complexes/5047?tab=detail&amp;rf=Y</t>
        </is>
      </c>
      <c r="AA409" s="74" t="inlineStr">
        <is>
          <t>전라북도 군산시 삼학동 811-1</t>
        </is>
      </c>
      <c r="AB409" s="74" t="inlineStr">
        <is>
          <t>전라북도</t>
        </is>
      </c>
      <c r="AC409" s="74" t="inlineStr">
        <is>
          <t>군산시</t>
        </is>
      </c>
      <c r="AD409" s="74" t="inlineStr">
        <is>
          <t>삼학동</t>
        </is>
      </c>
      <c r="AG409" s="74" t="inlineStr">
        <is>
          <t>전라북도 군산시 축동로 188</t>
        </is>
      </c>
      <c r="AH409" s="74" t="n">
        <v>0</v>
      </c>
      <c r="AI409" s="74" t="n">
        <v>259</v>
      </c>
      <c r="AJ409" s="74" t="n">
        <v>25</v>
      </c>
      <c r="AK409" s="74" t="n">
        <v>343</v>
      </c>
      <c r="AL409" s="74" t="n">
        <v>0.9</v>
      </c>
    </row>
    <row r="410">
      <c r="A410" s="74" t="inlineStr">
        <is>
          <t>[삼학동]</t>
        </is>
      </c>
      <c r="B410" s="74" t="n">
        <v>5047</v>
      </c>
      <c r="C410" s="74" t="n">
        <v>3</v>
      </c>
      <c r="D410" s="74" t="inlineStr">
        <is>
          <t>군산삼학대우</t>
        </is>
      </c>
      <c r="E410" s="74" t="inlineStr">
        <is>
          <t>1996.07.</t>
        </is>
      </c>
      <c r="F410" s="74" t="n">
        <v>381</v>
      </c>
      <c r="G410" s="74" t="n">
        <v>46.93</v>
      </c>
      <c r="H410" s="74" t="n">
        <v>155.15</v>
      </c>
      <c r="I410" s="74" t="n">
        <v>39.75</v>
      </c>
      <c r="J410" s="74" t="n">
        <v>131.43</v>
      </c>
      <c r="K410" s="74" t="n">
        <v>90</v>
      </c>
      <c r="T410" s="74" t="n">
        <v>4</v>
      </c>
      <c r="U410" s="74" t="n">
        <v>2</v>
      </c>
      <c r="V410" s="74" t="inlineStr">
        <is>
          <t>계단식</t>
        </is>
      </c>
      <c r="W410" s="74" t="n">
        <v>155</v>
      </c>
      <c r="X410" s="74" t="n">
        <v>15</v>
      </c>
      <c r="Y410" s="74" t="n">
        <v>12</v>
      </c>
      <c r="Z410" s="74" t="inlineStr">
        <is>
          <t>https://new.land.naver.com/complexes/5047?tab=detail&amp;rf=Y</t>
        </is>
      </c>
      <c r="AA410" s="74" t="inlineStr">
        <is>
          <t>전라북도 군산시 삼학동 811-1</t>
        </is>
      </c>
      <c r="AB410" s="74" t="inlineStr">
        <is>
          <t>전라북도</t>
        </is>
      </c>
      <c r="AC410" s="74" t="inlineStr">
        <is>
          <t>군산시</t>
        </is>
      </c>
      <c r="AD410" s="74" t="inlineStr">
        <is>
          <t>삼학동</t>
        </is>
      </c>
      <c r="AG410" s="74" t="inlineStr">
        <is>
          <t>전라북도 군산시 축동로 188</t>
        </is>
      </c>
      <c r="AH410" s="74" t="n">
        <v>0</v>
      </c>
      <c r="AI410" s="74" t="n">
        <v>259</v>
      </c>
      <c r="AJ410" s="74" t="n">
        <v>25</v>
      </c>
      <c r="AK410" s="74" t="n">
        <v>343</v>
      </c>
      <c r="AL410" s="74" t="n">
        <v>0.9</v>
      </c>
    </row>
    <row r="411">
      <c r="A411" s="74" t="inlineStr">
        <is>
          <t>[삼학동]</t>
        </is>
      </c>
      <c r="B411" s="74" t="n">
        <v>123852</v>
      </c>
      <c r="C411" s="74" t="n">
        <v>1</v>
      </c>
      <c r="D411" s="74" t="inlineStr">
        <is>
          <t>삼학</t>
        </is>
      </c>
      <c r="E411" s="74" t="inlineStr">
        <is>
          <t>1973.02.</t>
        </is>
      </c>
      <c r="F411" s="74" t="n">
        <v>24</v>
      </c>
      <c r="G411" s="74" t="n">
        <v>11.03</v>
      </c>
      <c r="H411" s="74" t="n">
        <v>36.49</v>
      </c>
      <c r="I411" s="74" t="n">
        <v>11.03</v>
      </c>
      <c r="J411" s="74" t="n">
        <v>36.49</v>
      </c>
      <c r="K411" s="74" t="n">
        <v>12</v>
      </c>
      <c r="T411" s="74" t="n">
        <v>2</v>
      </c>
      <c r="U411" s="74" t="n">
        <v>1</v>
      </c>
      <c r="V411" s="74" t="inlineStr">
        <is>
          <t>계단식</t>
        </is>
      </c>
      <c r="W411" s="74" t="n">
        <v>36</v>
      </c>
      <c r="X411" s="74" t="n">
        <v>4</v>
      </c>
      <c r="Y411" s="74" t="n">
        <v>4</v>
      </c>
      <c r="Z411" s="74" t="inlineStr">
        <is>
          <t>https://new.land.naver.com/complexes/123852?tab=detail&amp;rf=Y</t>
        </is>
      </c>
      <c r="AA411" s="74" t="inlineStr">
        <is>
          <t>전라북도 군산시 삼학동 275-9</t>
        </is>
      </c>
      <c r="AB411" s="74" t="inlineStr">
        <is>
          <t>전라북도</t>
        </is>
      </c>
      <c r="AC411" s="74" t="inlineStr">
        <is>
          <t>군산시</t>
        </is>
      </c>
      <c r="AD411" s="74" t="inlineStr">
        <is>
          <t>삼학동</t>
        </is>
      </c>
      <c r="AG411" s="74" t="inlineStr">
        <is>
          <t>전라북도 군산시 삼학5길 9</t>
        </is>
      </c>
      <c r="AH411" s="74" t="n">
        <v>0</v>
      </c>
      <c r="AI411" s="74" t="n">
        <v>120</v>
      </c>
      <c r="AJ411" s="74" t="n">
        <v>30</v>
      </c>
      <c r="AK411" s="74" t="n">
        <v>0</v>
      </c>
      <c r="AL411" s="74" t="n">
        <v>0</v>
      </c>
    </row>
    <row r="412">
      <c r="A412" s="74" t="inlineStr">
        <is>
          <t>[삼학동]</t>
        </is>
      </c>
      <c r="B412" s="74" t="n">
        <v>123852</v>
      </c>
      <c r="C412" s="74" t="n">
        <v>2</v>
      </c>
      <c r="D412" s="74" t="inlineStr">
        <is>
          <t>삼학</t>
        </is>
      </c>
      <c r="E412" s="74" t="inlineStr">
        <is>
          <t>1973.02.</t>
        </is>
      </c>
      <c r="F412" s="74" t="n">
        <v>24</v>
      </c>
      <c r="G412" s="74" t="n">
        <v>12.29</v>
      </c>
      <c r="H412" s="74" t="n">
        <v>40.65</v>
      </c>
      <c r="I412" s="74" t="n">
        <v>11.03</v>
      </c>
      <c r="J412" s="74" t="n">
        <v>36.49</v>
      </c>
      <c r="K412" s="74" t="n">
        <v>1</v>
      </c>
      <c r="T412" s="74" t="n">
        <v>2</v>
      </c>
      <c r="U412" s="74" t="n">
        <v>1</v>
      </c>
      <c r="V412" s="74" t="inlineStr">
        <is>
          <t>계단식</t>
        </is>
      </c>
      <c r="W412" s="74" t="n">
        <v>40</v>
      </c>
      <c r="X412" s="74" t="n">
        <v>4</v>
      </c>
      <c r="Y412" s="74" t="n">
        <v>4</v>
      </c>
      <c r="Z412" s="74" t="inlineStr">
        <is>
          <t>https://new.land.naver.com/complexes/123852?tab=detail&amp;rf=Y</t>
        </is>
      </c>
      <c r="AA412" s="74" t="inlineStr">
        <is>
          <t>전라북도 군산시 삼학동 275-9</t>
        </is>
      </c>
      <c r="AB412" s="74" t="inlineStr">
        <is>
          <t>전라북도</t>
        </is>
      </c>
      <c r="AC412" s="74" t="inlineStr">
        <is>
          <t>군산시</t>
        </is>
      </c>
      <c r="AD412" s="74" t="inlineStr">
        <is>
          <t>삼학동</t>
        </is>
      </c>
      <c r="AG412" s="74" t="inlineStr">
        <is>
          <t>전라북도 군산시 삼학5길 9</t>
        </is>
      </c>
      <c r="AH412" s="74" t="n">
        <v>0</v>
      </c>
      <c r="AI412" s="74" t="n">
        <v>120</v>
      </c>
      <c r="AJ412" s="74" t="n">
        <v>30</v>
      </c>
      <c r="AK412" s="74" t="n">
        <v>0</v>
      </c>
      <c r="AL412" s="74" t="n">
        <v>0</v>
      </c>
    </row>
    <row r="413">
      <c r="A413" s="74" t="inlineStr">
        <is>
          <t>[삼학동]</t>
        </is>
      </c>
      <c r="B413" s="74" t="n">
        <v>123852</v>
      </c>
      <c r="C413" s="74" t="n">
        <v>3</v>
      </c>
      <c r="D413" s="74" t="inlineStr">
        <is>
          <t>삼학</t>
        </is>
      </c>
      <c r="E413" s="74" t="inlineStr">
        <is>
          <t>1973.02.</t>
        </is>
      </c>
      <c r="F413" s="74" t="n">
        <v>24</v>
      </c>
      <c r="G413" s="74" t="n">
        <v>15.19</v>
      </c>
      <c r="H413" s="74" t="n">
        <v>50.24</v>
      </c>
      <c r="I413" s="74" t="n">
        <v>11.03</v>
      </c>
      <c r="J413" s="74" t="n">
        <v>36.49</v>
      </c>
      <c r="K413" s="74" t="n">
        <v>7</v>
      </c>
      <c r="T413" s="74" t="n">
        <v>2</v>
      </c>
      <c r="U413" s="74" t="n">
        <v>1</v>
      </c>
      <c r="V413" s="74" t="inlineStr">
        <is>
          <t>계단식</t>
        </is>
      </c>
      <c r="W413" s="74" t="inlineStr">
        <is>
          <t>50B</t>
        </is>
      </c>
      <c r="X413" s="74" t="n">
        <v>4</v>
      </c>
      <c r="Y413" s="74" t="n">
        <v>4</v>
      </c>
      <c r="Z413" s="74" t="inlineStr">
        <is>
          <t>https://new.land.naver.com/complexes/123852?tab=detail&amp;rf=Y</t>
        </is>
      </c>
      <c r="AA413" s="74" t="inlineStr">
        <is>
          <t>전라북도 군산시 삼학동 275-9</t>
        </is>
      </c>
      <c r="AB413" s="74" t="inlineStr">
        <is>
          <t>전라북도</t>
        </is>
      </c>
      <c r="AC413" s="74" t="inlineStr">
        <is>
          <t>군산시</t>
        </is>
      </c>
      <c r="AD413" s="74" t="inlineStr">
        <is>
          <t>삼학동</t>
        </is>
      </c>
      <c r="AG413" s="74" t="inlineStr">
        <is>
          <t>전라북도 군산시 삼학5길 9</t>
        </is>
      </c>
      <c r="AH413" s="74" t="n">
        <v>0</v>
      </c>
      <c r="AI413" s="74" t="n">
        <v>120</v>
      </c>
      <c r="AJ413" s="74" t="n">
        <v>30</v>
      </c>
      <c r="AK413" s="74" t="n">
        <v>0</v>
      </c>
      <c r="AL413" s="74" t="n">
        <v>0</v>
      </c>
    </row>
    <row r="414">
      <c r="A414" s="74" t="inlineStr">
        <is>
          <t>[삼학동]</t>
        </is>
      </c>
      <c r="B414" s="74" t="n">
        <v>123852</v>
      </c>
      <c r="C414" s="74" t="n">
        <v>4</v>
      </c>
      <c r="D414" s="74" t="inlineStr">
        <is>
          <t>삼학</t>
        </is>
      </c>
      <c r="E414" s="74" t="inlineStr">
        <is>
          <t>1973.02.</t>
        </is>
      </c>
      <c r="F414" s="74" t="n">
        <v>24</v>
      </c>
      <c r="G414" s="74" t="n">
        <v>15.19</v>
      </c>
      <c r="H414" s="74" t="n">
        <v>50.23</v>
      </c>
      <c r="I414" s="74" t="n">
        <v>11.03</v>
      </c>
      <c r="J414" s="74" t="n">
        <v>36.49</v>
      </c>
      <c r="K414" s="74" t="n">
        <v>3</v>
      </c>
      <c r="T414" s="74" t="n">
        <v>2</v>
      </c>
      <c r="U414" s="74" t="n">
        <v>1</v>
      </c>
      <c r="V414" s="74" t="inlineStr">
        <is>
          <t>계단식</t>
        </is>
      </c>
      <c r="W414" s="74" t="inlineStr">
        <is>
          <t>50A</t>
        </is>
      </c>
      <c r="X414" s="74" t="n">
        <v>4</v>
      </c>
      <c r="Y414" s="74" t="n">
        <v>4</v>
      </c>
      <c r="Z414" s="74" t="inlineStr">
        <is>
          <t>https://new.land.naver.com/complexes/123852?tab=detail&amp;rf=Y</t>
        </is>
      </c>
      <c r="AA414" s="74" t="inlineStr">
        <is>
          <t>전라북도 군산시 삼학동 275-9</t>
        </is>
      </c>
      <c r="AB414" s="74" t="inlineStr">
        <is>
          <t>전라북도</t>
        </is>
      </c>
      <c r="AC414" s="74" t="inlineStr">
        <is>
          <t>군산시</t>
        </is>
      </c>
      <c r="AD414" s="74" t="inlineStr">
        <is>
          <t>삼학동</t>
        </is>
      </c>
      <c r="AG414" s="74" t="inlineStr">
        <is>
          <t>전라북도 군산시 삼학5길 9</t>
        </is>
      </c>
      <c r="AH414" s="74" t="n">
        <v>0</v>
      </c>
      <c r="AI414" s="74" t="n">
        <v>120</v>
      </c>
      <c r="AJ414" s="74" t="n">
        <v>30</v>
      </c>
      <c r="AK414" s="74" t="n">
        <v>0</v>
      </c>
      <c r="AL414" s="74" t="n">
        <v>0</v>
      </c>
    </row>
    <row r="415">
      <c r="A415" s="74" t="inlineStr">
        <is>
          <t>[삼학동]</t>
        </is>
      </c>
      <c r="B415" s="74" t="n">
        <v>123852</v>
      </c>
      <c r="C415" s="74" t="n">
        <v>5</v>
      </c>
      <c r="D415" s="74" t="inlineStr">
        <is>
          <t>삼학</t>
        </is>
      </c>
      <c r="E415" s="74" t="inlineStr">
        <is>
          <t>1973.02.</t>
        </is>
      </c>
      <c r="F415" s="74" t="n">
        <v>24</v>
      </c>
      <c r="G415" s="74" t="n">
        <v>15.26</v>
      </c>
      <c r="H415" s="74" t="n">
        <v>50.45</v>
      </c>
      <c r="I415" s="74" t="n">
        <v>11.03</v>
      </c>
      <c r="J415" s="74" t="n">
        <v>36.49</v>
      </c>
      <c r="K415" s="74" t="n">
        <v>1</v>
      </c>
      <c r="T415" s="74" t="n">
        <v>2</v>
      </c>
      <c r="U415" s="74" t="n">
        <v>1</v>
      </c>
      <c r="V415" s="74" t="inlineStr">
        <is>
          <t>계단식</t>
        </is>
      </c>
      <c r="W415" s="74" t="inlineStr">
        <is>
          <t>50C</t>
        </is>
      </c>
      <c r="X415" s="74" t="n">
        <v>4</v>
      </c>
      <c r="Y415" s="74" t="n">
        <v>4</v>
      </c>
      <c r="Z415" s="74" t="inlineStr">
        <is>
          <t>https://new.land.naver.com/complexes/123852?tab=detail&amp;rf=Y</t>
        </is>
      </c>
      <c r="AA415" s="74" t="inlineStr">
        <is>
          <t>전라북도 군산시 삼학동 275-9</t>
        </is>
      </c>
      <c r="AB415" s="74" t="inlineStr">
        <is>
          <t>전라북도</t>
        </is>
      </c>
      <c r="AC415" s="74" t="inlineStr">
        <is>
          <t>군산시</t>
        </is>
      </c>
      <c r="AD415" s="74" t="inlineStr">
        <is>
          <t>삼학동</t>
        </is>
      </c>
      <c r="AG415" s="74" t="inlineStr">
        <is>
          <t>전라북도 군산시 삼학5길 9</t>
        </is>
      </c>
      <c r="AH415" s="74" t="n">
        <v>0</v>
      </c>
      <c r="AI415" s="74" t="n">
        <v>120</v>
      </c>
      <c r="AJ415" s="74" t="n">
        <v>30</v>
      </c>
      <c r="AK415" s="74" t="n">
        <v>0</v>
      </c>
      <c r="AL415" s="74" t="n">
        <v>0</v>
      </c>
    </row>
    <row r="416">
      <c r="A416" s="74" t="inlineStr">
        <is>
          <t>[삼학동]</t>
        </is>
      </c>
      <c r="B416" s="74" t="n">
        <v>124774</v>
      </c>
      <c r="C416" s="74" t="n">
        <v>1</v>
      </c>
      <c r="D416" s="74" t="inlineStr">
        <is>
          <t>춘광아티움(도시형)</t>
        </is>
      </c>
      <c r="E416" s="74" t="inlineStr">
        <is>
          <t>2014.06.</t>
        </is>
      </c>
      <c r="F416" s="74" t="n">
        <v>54</v>
      </c>
      <c r="G416" s="74" t="n">
        <v>17.96</v>
      </c>
      <c r="H416" s="74" t="n">
        <v>59.39</v>
      </c>
      <c r="I416" s="74" t="n">
        <v>13.57</v>
      </c>
      <c r="J416" s="74" t="n">
        <v>44.87</v>
      </c>
      <c r="K416" s="74" t="n">
        <v>2</v>
      </c>
      <c r="T416" s="74" t="n">
        <v>2</v>
      </c>
      <c r="U416" s="74" t="n">
        <v>1</v>
      </c>
      <c r="V416" s="74" t="inlineStr">
        <is>
          <t>계단식</t>
        </is>
      </c>
      <c r="W416" s="74" t="n">
        <v>59</v>
      </c>
      <c r="X416" s="74" t="n">
        <v>10</v>
      </c>
      <c r="Y416" s="74" t="n">
        <v>9</v>
      </c>
      <c r="Z416" s="74" t="inlineStr">
        <is>
          <t>https://new.land.naver.com/complexes/124774?tab=detail&amp;rf=Y</t>
        </is>
      </c>
      <c r="AA416" s="74" t="inlineStr">
        <is>
          <t>전라북도 군산시 삼학동 287</t>
        </is>
      </c>
      <c r="AB416" s="74" t="inlineStr">
        <is>
          <t>전라북도</t>
        </is>
      </c>
      <c r="AC416" s="74" t="inlineStr">
        <is>
          <t>군산시</t>
        </is>
      </c>
      <c r="AD416" s="74" t="inlineStr">
        <is>
          <t>삼학동</t>
        </is>
      </c>
      <c r="AG416" s="74" t="inlineStr">
        <is>
          <t>전라북도 군산시 삼학5길 25</t>
        </is>
      </c>
      <c r="AH416" s="74" t="n">
        <v>0</v>
      </c>
      <c r="AI416" s="74" t="n">
        <v>0</v>
      </c>
      <c r="AJ416" s="74" t="n">
        <v>0</v>
      </c>
      <c r="AK416" s="74" t="n">
        <v>0</v>
      </c>
      <c r="AL416" s="74" t="n">
        <v>0</v>
      </c>
    </row>
    <row r="417">
      <c r="A417" s="74" t="inlineStr">
        <is>
          <t>[삼학동]</t>
        </is>
      </c>
      <c r="B417" s="74" t="n">
        <v>124774</v>
      </c>
      <c r="C417" s="74" t="n">
        <v>2</v>
      </c>
      <c r="D417" s="74" t="inlineStr">
        <is>
          <t>춘광아티움(도시형)</t>
        </is>
      </c>
      <c r="E417" s="74" t="inlineStr">
        <is>
          <t>2014.06.</t>
        </is>
      </c>
      <c r="F417" s="74" t="n">
        <v>54</v>
      </c>
      <c r="G417" s="74" t="n">
        <v>18.64</v>
      </c>
      <c r="H417" s="74" t="n">
        <v>61.63</v>
      </c>
      <c r="I417" s="74" t="n">
        <v>13.99</v>
      </c>
      <c r="J417" s="74" t="n">
        <v>46.25</v>
      </c>
      <c r="K417" s="74" t="n">
        <v>17</v>
      </c>
      <c r="T417" s="74" t="n">
        <v>2</v>
      </c>
      <c r="U417" s="74" t="n">
        <v>1</v>
      </c>
      <c r="V417" s="74" t="inlineStr">
        <is>
          <t>계단식</t>
        </is>
      </c>
      <c r="W417" s="74" t="n">
        <v>61</v>
      </c>
      <c r="X417" s="74" t="n">
        <v>10</v>
      </c>
      <c r="Y417" s="74" t="n">
        <v>9</v>
      </c>
      <c r="Z417" s="74" t="inlineStr">
        <is>
          <t>https://new.land.naver.com/complexes/124774?tab=detail&amp;rf=Y</t>
        </is>
      </c>
      <c r="AA417" s="74" t="inlineStr">
        <is>
          <t>전라북도 군산시 삼학동 287</t>
        </is>
      </c>
      <c r="AB417" s="74" t="inlineStr">
        <is>
          <t>전라북도</t>
        </is>
      </c>
      <c r="AC417" s="74" t="inlineStr">
        <is>
          <t>군산시</t>
        </is>
      </c>
      <c r="AD417" s="74" t="inlineStr">
        <is>
          <t>삼학동</t>
        </is>
      </c>
      <c r="AG417" s="74" t="inlineStr">
        <is>
          <t>전라북도 군산시 삼학5길 25</t>
        </is>
      </c>
      <c r="AH417" s="74" t="n">
        <v>0</v>
      </c>
      <c r="AI417" s="74" t="n">
        <v>0</v>
      </c>
      <c r="AJ417" s="74" t="n">
        <v>0</v>
      </c>
      <c r="AK417" s="74" t="n">
        <v>0</v>
      </c>
      <c r="AL417" s="74" t="n">
        <v>0</v>
      </c>
    </row>
    <row r="418">
      <c r="A418" s="74" t="inlineStr">
        <is>
          <t>[삼학동]</t>
        </is>
      </c>
      <c r="B418" s="74" t="n">
        <v>124774</v>
      </c>
      <c r="C418" s="74" t="n">
        <v>3</v>
      </c>
      <c r="D418" s="74" t="inlineStr">
        <is>
          <t>춘광아티움(도시형)</t>
        </is>
      </c>
      <c r="E418" s="74" t="inlineStr">
        <is>
          <t>2014.06.</t>
        </is>
      </c>
      <c r="F418" s="74" t="n">
        <v>54</v>
      </c>
      <c r="G418" s="74" t="n">
        <v>20.11</v>
      </c>
      <c r="H418" s="74" t="n">
        <v>66.5</v>
      </c>
      <c r="I418" s="74" t="n">
        <v>15.09</v>
      </c>
      <c r="J418" s="74" t="n">
        <v>49.91</v>
      </c>
      <c r="K418" s="74" t="n">
        <v>35</v>
      </c>
      <c r="T418" s="74" t="n">
        <v>3</v>
      </c>
      <c r="U418" s="74" t="n">
        <v>1</v>
      </c>
      <c r="V418" s="74" t="inlineStr">
        <is>
          <t>계단식</t>
        </is>
      </c>
      <c r="W418" s="74" t="n">
        <v>66</v>
      </c>
      <c r="X418" s="74" t="n">
        <v>10</v>
      </c>
      <c r="Y418" s="74" t="n">
        <v>9</v>
      </c>
      <c r="Z418" s="74" t="inlineStr">
        <is>
          <t>https://new.land.naver.com/complexes/124774?tab=detail&amp;rf=Y</t>
        </is>
      </c>
      <c r="AA418" s="74" t="inlineStr">
        <is>
          <t>전라북도 군산시 삼학동 287</t>
        </is>
      </c>
      <c r="AB418" s="74" t="inlineStr">
        <is>
          <t>전라북도</t>
        </is>
      </c>
      <c r="AC418" s="74" t="inlineStr">
        <is>
          <t>군산시</t>
        </is>
      </c>
      <c r="AD418" s="74" t="inlineStr">
        <is>
          <t>삼학동</t>
        </is>
      </c>
      <c r="AG418" s="74" t="inlineStr">
        <is>
          <t>전라북도 군산시 삼학5길 25</t>
        </is>
      </c>
      <c r="AH418" s="74" t="n">
        <v>0</v>
      </c>
      <c r="AI418" s="74" t="n">
        <v>0</v>
      </c>
      <c r="AJ418" s="74" t="n">
        <v>0</v>
      </c>
      <c r="AK418" s="74" t="n">
        <v>0</v>
      </c>
      <c r="AL418" s="74" t="n">
        <v>0</v>
      </c>
    </row>
    <row r="419">
      <c r="A419" s="74" t="inlineStr">
        <is>
          <t>[삼학동]</t>
        </is>
      </c>
      <c r="B419" s="74" t="n">
        <v>122293</v>
      </c>
      <c r="C419" s="74" t="n">
        <v>1</v>
      </c>
      <c r="D419" s="74" t="inlineStr">
        <is>
          <t>수필담(도시형)</t>
        </is>
      </c>
      <c r="E419" s="74" t="inlineStr">
        <is>
          <t>2017.12.</t>
        </is>
      </c>
      <c r="F419" s="74" t="n">
        <v>24</v>
      </c>
      <c r="G419" s="74" t="n">
        <v>21.65</v>
      </c>
      <c r="H419" s="74" t="n">
        <v>71.58</v>
      </c>
      <c r="I419" s="74" t="n">
        <v>14.99</v>
      </c>
      <c r="J419" s="74" t="n">
        <v>49.57</v>
      </c>
      <c r="K419" s="74" t="n">
        <v>23</v>
      </c>
      <c r="T419" s="74" t="n">
        <v>2</v>
      </c>
      <c r="U419" s="74" t="n">
        <v>1</v>
      </c>
      <c r="V419" s="74" t="inlineStr">
        <is>
          <t>계단식</t>
        </is>
      </c>
      <c r="W419" s="74" t="inlineStr">
        <is>
          <t>71B</t>
        </is>
      </c>
      <c r="X419" s="74" t="n">
        <v>13</v>
      </c>
      <c r="Y419" s="74" t="n">
        <v>13</v>
      </c>
      <c r="Z419" s="74" t="inlineStr">
        <is>
          <t>https://new.land.naver.com/complexes/122293?tab=detail&amp;rf=Y</t>
        </is>
      </c>
      <c r="AA419" s="74" t="inlineStr">
        <is>
          <t>전라북도 군산시 삼학동 314-37</t>
        </is>
      </c>
      <c r="AB419" s="74" t="inlineStr">
        <is>
          <t>전라북도</t>
        </is>
      </c>
      <c r="AC419" s="74" t="inlineStr">
        <is>
          <t>군산시</t>
        </is>
      </c>
      <c r="AD419" s="74" t="inlineStr">
        <is>
          <t>삼학동</t>
        </is>
      </c>
      <c r="AG419" s="74" t="inlineStr">
        <is>
          <t>전라북도 군산시 월명로 371</t>
        </is>
      </c>
      <c r="AH419" s="74" t="n">
        <v>0</v>
      </c>
      <c r="AI419" s="74" t="n">
        <v>272</v>
      </c>
      <c r="AJ419" s="74" t="n">
        <v>31</v>
      </c>
      <c r="AK419" s="74" t="n">
        <v>17</v>
      </c>
      <c r="AL419" s="74" t="n">
        <v>0.71</v>
      </c>
    </row>
    <row r="420">
      <c r="A420" s="74" t="inlineStr">
        <is>
          <t>[삼학동]</t>
        </is>
      </c>
      <c r="B420" s="74" t="n">
        <v>122293</v>
      </c>
      <c r="C420" s="74" t="n">
        <v>2</v>
      </c>
      <c r="D420" s="74" t="inlineStr">
        <is>
          <t>수필담(도시형)</t>
        </is>
      </c>
      <c r="E420" s="74" t="inlineStr">
        <is>
          <t>2017.12.</t>
        </is>
      </c>
      <c r="F420" s="74" t="n">
        <v>24</v>
      </c>
      <c r="G420" s="74" t="n">
        <v>21.65</v>
      </c>
      <c r="H420" s="74" t="n">
        <v>71.58</v>
      </c>
      <c r="I420" s="74" t="n">
        <v>14.99</v>
      </c>
      <c r="J420" s="74" t="n">
        <v>49.57</v>
      </c>
      <c r="K420" s="74" t="n">
        <v>1</v>
      </c>
      <c r="T420" s="74" t="n">
        <v>2</v>
      </c>
      <c r="U420" s="74" t="n">
        <v>1</v>
      </c>
      <c r="V420" s="74" t="inlineStr">
        <is>
          <t>계단식</t>
        </is>
      </c>
      <c r="W420" s="74" t="inlineStr">
        <is>
          <t>71A</t>
        </is>
      </c>
      <c r="X420" s="74" t="n">
        <v>13</v>
      </c>
      <c r="Y420" s="74" t="n">
        <v>13</v>
      </c>
      <c r="Z420" s="74" t="inlineStr">
        <is>
          <t>https://new.land.naver.com/complexes/122293?tab=detail&amp;rf=Y</t>
        </is>
      </c>
      <c r="AA420" s="74" t="inlineStr">
        <is>
          <t>전라북도 군산시 삼학동 314-37</t>
        </is>
      </c>
      <c r="AB420" s="74" t="inlineStr">
        <is>
          <t>전라북도</t>
        </is>
      </c>
      <c r="AC420" s="74" t="inlineStr">
        <is>
          <t>군산시</t>
        </is>
      </c>
      <c r="AD420" s="74" t="inlineStr">
        <is>
          <t>삼학동</t>
        </is>
      </c>
      <c r="AG420" s="74" t="inlineStr">
        <is>
          <t>전라북도 군산시 월명로 371</t>
        </is>
      </c>
      <c r="AH420" s="74" t="n">
        <v>0</v>
      </c>
      <c r="AI420" s="74" t="n">
        <v>272</v>
      </c>
      <c r="AJ420" s="74" t="n">
        <v>31</v>
      </c>
      <c r="AK420" s="74" t="n">
        <v>17</v>
      </c>
      <c r="AL420" s="74" t="n">
        <v>0.71</v>
      </c>
    </row>
    <row r="421">
      <c r="A421" s="74" t="inlineStr">
        <is>
          <t>[서흥남동]</t>
        </is>
      </c>
      <c r="B421" s="74" t="n">
        <v>125052</v>
      </c>
      <c r="C421" s="74" t="n">
        <v>1</v>
      </c>
      <c r="D421" s="74" t="inlineStr">
        <is>
          <t>수송파미유(도시형)</t>
        </is>
      </c>
      <c r="E421" s="74" t="inlineStr">
        <is>
          <t>2013.05.</t>
        </is>
      </c>
      <c r="F421" s="74" t="n">
        <v>64</v>
      </c>
      <c r="G421" s="74" t="n">
        <v>16.17</v>
      </c>
      <c r="H421" s="74" t="n">
        <v>53.46</v>
      </c>
      <c r="I421" s="74" t="n">
        <v>11.59</v>
      </c>
      <c r="J421" s="74" t="n">
        <v>38.33</v>
      </c>
      <c r="K421" s="74" t="n">
        <v>1</v>
      </c>
      <c r="T421" s="74" t="n">
        <v>3</v>
      </c>
      <c r="U421" s="74" t="n">
        <v>2</v>
      </c>
      <c r="V421" s="74" t="inlineStr">
        <is>
          <t>계단식</t>
        </is>
      </c>
      <c r="W421" s="74" t="inlineStr">
        <is>
          <t>53A</t>
        </is>
      </c>
      <c r="X421" s="74" t="n">
        <v>6</v>
      </c>
      <c r="Y421" s="74" t="n">
        <v>5</v>
      </c>
      <c r="Z421" s="74" t="inlineStr">
        <is>
          <t>https://new.land.naver.com/complexes/125052?tab=detail&amp;rf=Y</t>
        </is>
      </c>
      <c r="AA421" s="74" t="inlineStr">
        <is>
          <t>전라북도 군산시 서흥남동 855</t>
        </is>
      </c>
      <c r="AB421" s="74" t="inlineStr">
        <is>
          <t>전라북도</t>
        </is>
      </c>
      <c r="AC421" s="74" t="inlineStr">
        <is>
          <t>군산시</t>
        </is>
      </c>
      <c r="AD421" s="74" t="inlineStr">
        <is>
          <t>서흥남동</t>
        </is>
      </c>
      <c r="AG421" s="74" t="inlineStr">
        <is>
          <t>전라북도 군산시 동메2길 8</t>
        </is>
      </c>
      <c r="AH421" s="74" t="n">
        <v>0</v>
      </c>
      <c r="AI421" s="74" t="n">
        <v>242</v>
      </c>
      <c r="AJ421" s="74" t="n">
        <v>55</v>
      </c>
      <c r="AK421" s="74" t="n">
        <v>46</v>
      </c>
      <c r="AL421" s="74" t="n">
        <v>0.72</v>
      </c>
    </row>
    <row r="422">
      <c r="A422" s="74" t="inlineStr">
        <is>
          <t>[서흥남동]</t>
        </is>
      </c>
      <c r="B422" s="74" t="n">
        <v>125052</v>
      </c>
      <c r="C422" s="74" t="n">
        <v>2</v>
      </c>
      <c r="D422" s="74" t="inlineStr">
        <is>
          <t>수송파미유(도시형)</t>
        </is>
      </c>
      <c r="E422" s="74" t="inlineStr">
        <is>
          <t>2013.05.</t>
        </is>
      </c>
      <c r="F422" s="74" t="n">
        <v>64</v>
      </c>
      <c r="G422" s="74" t="n">
        <v>16.39</v>
      </c>
      <c r="H422" s="74" t="n">
        <v>54.21</v>
      </c>
      <c r="I422" s="74" t="n">
        <v>11.75</v>
      </c>
      <c r="J422" s="74" t="n">
        <v>38.87</v>
      </c>
      <c r="K422" s="74" t="n">
        <v>3</v>
      </c>
      <c r="T422" s="74" t="n">
        <v>3</v>
      </c>
      <c r="U422" s="74" t="n">
        <v>2</v>
      </c>
      <c r="V422" s="74" t="inlineStr">
        <is>
          <t>계단식</t>
        </is>
      </c>
      <c r="W422" s="74" t="inlineStr">
        <is>
          <t>54B</t>
        </is>
      </c>
      <c r="X422" s="74" t="n">
        <v>6</v>
      </c>
      <c r="Y422" s="74" t="n">
        <v>5</v>
      </c>
      <c r="Z422" s="74" t="inlineStr">
        <is>
          <t>https://new.land.naver.com/complexes/125052?tab=detail&amp;rf=Y</t>
        </is>
      </c>
      <c r="AA422" s="74" t="inlineStr">
        <is>
          <t>전라북도 군산시 서흥남동 855</t>
        </is>
      </c>
      <c r="AB422" s="74" t="inlineStr">
        <is>
          <t>전라북도</t>
        </is>
      </c>
      <c r="AC422" s="74" t="inlineStr">
        <is>
          <t>군산시</t>
        </is>
      </c>
      <c r="AD422" s="74" t="inlineStr">
        <is>
          <t>서흥남동</t>
        </is>
      </c>
      <c r="AG422" s="74" t="inlineStr">
        <is>
          <t>전라북도 군산시 동메2길 8</t>
        </is>
      </c>
      <c r="AH422" s="74" t="n">
        <v>0</v>
      </c>
      <c r="AI422" s="74" t="n">
        <v>242</v>
      </c>
      <c r="AJ422" s="74" t="n">
        <v>55</v>
      </c>
      <c r="AK422" s="74" t="n">
        <v>46</v>
      </c>
      <c r="AL422" s="74" t="n">
        <v>0.72</v>
      </c>
    </row>
    <row r="423">
      <c r="A423" s="74" t="inlineStr">
        <is>
          <t>[서흥남동]</t>
        </is>
      </c>
      <c r="B423" s="74" t="n">
        <v>125052</v>
      </c>
      <c r="C423" s="74" t="n">
        <v>3</v>
      </c>
      <c r="D423" s="74" t="inlineStr">
        <is>
          <t>수송파미유(도시형)</t>
        </is>
      </c>
      <c r="E423" s="74" t="inlineStr">
        <is>
          <t>2013.05.</t>
        </is>
      </c>
      <c r="F423" s="74" t="n">
        <v>64</v>
      </c>
      <c r="G423" s="74" t="n">
        <v>16.87</v>
      </c>
      <c r="H423" s="74" t="n">
        <v>55.8</v>
      </c>
      <c r="I423" s="74" t="n">
        <v>12.1</v>
      </c>
      <c r="J423" s="74" t="n">
        <v>40.01</v>
      </c>
      <c r="K423" s="74" t="n">
        <v>3</v>
      </c>
      <c r="T423" s="74" t="n">
        <v>3</v>
      </c>
      <c r="U423" s="74" t="n">
        <v>2</v>
      </c>
      <c r="V423" s="74" t="inlineStr">
        <is>
          <t>계단식</t>
        </is>
      </c>
      <c r="W423" s="74" t="inlineStr">
        <is>
          <t>55A</t>
        </is>
      </c>
      <c r="X423" s="74" t="n">
        <v>6</v>
      </c>
      <c r="Y423" s="74" t="n">
        <v>5</v>
      </c>
      <c r="Z423" s="74" t="inlineStr">
        <is>
          <t>https://new.land.naver.com/complexes/125052?tab=detail&amp;rf=Y</t>
        </is>
      </c>
      <c r="AA423" s="74" t="inlineStr">
        <is>
          <t>전라북도 군산시 서흥남동 855</t>
        </is>
      </c>
      <c r="AB423" s="74" t="inlineStr">
        <is>
          <t>전라북도</t>
        </is>
      </c>
      <c r="AC423" s="74" t="inlineStr">
        <is>
          <t>군산시</t>
        </is>
      </c>
      <c r="AD423" s="74" t="inlineStr">
        <is>
          <t>서흥남동</t>
        </is>
      </c>
      <c r="AG423" s="74" t="inlineStr">
        <is>
          <t>전라북도 군산시 동메2길 8</t>
        </is>
      </c>
      <c r="AH423" s="74" t="n">
        <v>0</v>
      </c>
      <c r="AI423" s="74" t="n">
        <v>242</v>
      </c>
      <c r="AJ423" s="74" t="n">
        <v>55</v>
      </c>
      <c r="AK423" s="74" t="n">
        <v>46</v>
      </c>
      <c r="AL423" s="74" t="n">
        <v>0.72</v>
      </c>
    </row>
    <row r="424">
      <c r="A424" s="74" t="inlineStr">
        <is>
          <t>[서흥남동]</t>
        </is>
      </c>
      <c r="B424" s="74" t="n">
        <v>125052</v>
      </c>
      <c r="C424" s="74" t="n">
        <v>4</v>
      </c>
      <c r="D424" s="74" t="inlineStr">
        <is>
          <t>수송파미유(도시형)</t>
        </is>
      </c>
      <c r="E424" s="74" t="inlineStr">
        <is>
          <t>2013.05.</t>
        </is>
      </c>
      <c r="F424" s="74" t="n">
        <v>64</v>
      </c>
      <c r="G424" s="74" t="n">
        <v>17.02</v>
      </c>
      <c r="H424" s="74" t="n">
        <v>56.29</v>
      </c>
      <c r="I424" s="74" t="n">
        <v>12.2</v>
      </c>
      <c r="J424" s="74" t="n">
        <v>40.36</v>
      </c>
      <c r="K424" s="74" t="n">
        <v>2</v>
      </c>
      <c r="T424" s="74" t="n">
        <v>3</v>
      </c>
      <c r="U424" s="74" t="n">
        <v>2</v>
      </c>
      <c r="V424" s="74" t="inlineStr">
        <is>
          <t>계단식</t>
        </is>
      </c>
      <c r="W424" s="74" t="inlineStr">
        <is>
          <t>56B</t>
        </is>
      </c>
      <c r="X424" s="74" t="n">
        <v>6</v>
      </c>
      <c r="Y424" s="74" t="n">
        <v>5</v>
      </c>
      <c r="Z424" s="74" t="inlineStr">
        <is>
          <t>https://new.land.naver.com/complexes/125052?tab=detail&amp;rf=Y</t>
        </is>
      </c>
      <c r="AA424" s="74" t="inlineStr">
        <is>
          <t>전라북도 군산시 서흥남동 855</t>
        </is>
      </c>
      <c r="AB424" s="74" t="inlineStr">
        <is>
          <t>전라북도</t>
        </is>
      </c>
      <c r="AC424" s="74" t="inlineStr">
        <is>
          <t>군산시</t>
        </is>
      </c>
      <c r="AD424" s="74" t="inlineStr">
        <is>
          <t>서흥남동</t>
        </is>
      </c>
      <c r="AG424" s="74" t="inlineStr">
        <is>
          <t>전라북도 군산시 동메2길 8</t>
        </is>
      </c>
      <c r="AH424" s="74" t="n">
        <v>0</v>
      </c>
      <c r="AI424" s="74" t="n">
        <v>242</v>
      </c>
      <c r="AJ424" s="74" t="n">
        <v>55</v>
      </c>
      <c r="AK424" s="74" t="n">
        <v>46</v>
      </c>
      <c r="AL424" s="74" t="n">
        <v>0.72</v>
      </c>
    </row>
    <row r="425">
      <c r="A425" s="74" t="inlineStr">
        <is>
          <t>[서흥남동]</t>
        </is>
      </c>
      <c r="B425" s="74" t="n">
        <v>125052</v>
      </c>
      <c r="C425" s="74" t="n">
        <v>5</v>
      </c>
      <c r="D425" s="74" t="inlineStr">
        <is>
          <t>수송파미유(도시형)</t>
        </is>
      </c>
      <c r="E425" s="74" t="inlineStr">
        <is>
          <t>2013.05.</t>
        </is>
      </c>
      <c r="F425" s="74" t="n">
        <v>64</v>
      </c>
      <c r="G425" s="74" t="n">
        <v>17.04</v>
      </c>
      <c r="H425" s="74" t="n">
        <v>56.36</v>
      </c>
      <c r="I425" s="74" t="n">
        <v>12.22</v>
      </c>
      <c r="J425" s="74" t="n">
        <v>40.41</v>
      </c>
      <c r="K425" s="74" t="n">
        <v>1</v>
      </c>
      <c r="T425" s="74" t="n">
        <v>3</v>
      </c>
      <c r="U425" s="74" t="n">
        <v>2</v>
      </c>
      <c r="V425" s="74" t="inlineStr">
        <is>
          <t>계단식</t>
        </is>
      </c>
      <c r="W425" s="74" t="inlineStr">
        <is>
          <t>56C</t>
        </is>
      </c>
      <c r="X425" s="74" t="n">
        <v>6</v>
      </c>
      <c r="Y425" s="74" t="n">
        <v>5</v>
      </c>
      <c r="Z425" s="74" t="inlineStr">
        <is>
          <t>https://new.land.naver.com/complexes/125052?tab=detail&amp;rf=Y</t>
        </is>
      </c>
      <c r="AA425" s="74" t="inlineStr">
        <is>
          <t>전라북도 군산시 서흥남동 855</t>
        </is>
      </c>
      <c r="AB425" s="74" t="inlineStr">
        <is>
          <t>전라북도</t>
        </is>
      </c>
      <c r="AC425" s="74" t="inlineStr">
        <is>
          <t>군산시</t>
        </is>
      </c>
      <c r="AD425" s="74" t="inlineStr">
        <is>
          <t>서흥남동</t>
        </is>
      </c>
      <c r="AG425" s="74" t="inlineStr">
        <is>
          <t>전라북도 군산시 동메2길 8</t>
        </is>
      </c>
      <c r="AH425" s="74" t="n">
        <v>0</v>
      </c>
      <c r="AI425" s="74" t="n">
        <v>242</v>
      </c>
      <c r="AJ425" s="74" t="n">
        <v>55</v>
      </c>
      <c r="AK425" s="74" t="n">
        <v>46</v>
      </c>
      <c r="AL425" s="74" t="n">
        <v>0.72</v>
      </c>
    </row>
    <row r="426">
      <c r="A426" s="74" t="inlineStr">
        <is>
          <t>[서흥남동]</t>
        </is>
      </c>
      <c r="B426" s="74" t="n">
        <v>125052</v>
      </c>
      <c r="C426" s="74" t="n">
        <v>6</v>
      </c>
      <c r="D426" s="74" t="inlineStr">
        <is>
          <t>수송파미유(도시형)</t>
        </is>
      </c>
      <c r="E426" s="74" t="inlineStr">
        <is>
          <t>2013.05.</t>
        </is>
      </c>
      <c r="F426" s="74" t="n">
        <v>64</v>
      </c>
      <c r="G426" s="74" t="n">
        <v>17.15</v>
      </c>
      <c r="H426" s="74" t="n">
        <v>56.72</v>
      </c>
      <c r="I426" s="74" t="n">
        <v>12.3</v>
      </c>
      <c r="J426" s="74" t="n">
        <v>40.67</v>
      </c>
      <c r="K426" s="74" t="n">
        <v>1</v>
      </c>
      <c r="T426" s="74" t="n">
        <v>3</v>
      </c>
      <c r="U426" s="74" t="n">
        <v>2</v>
      </c>
      <c r="V426" s="74" t="inlineStr">
        <is>
          <t>계단식</t>
        </is>
      </c>
      <c r="W426" s="74" t="inlineStr">
        <is>
          <t>56D</t>
        </is>
      </c>
      <c r="X426" s="74" t="n">
        <v>6</v>
      </c>
      <c r="Y426" s="74" t="n">
        <v>5</v>
      </c>
      <c r="Z426" s="74" t="inlineStr">
        <is>
          <t>https://new.land.naver.com/complexes/125052?tab=detail&amp;rf=Y</t>
        </is>
      </c>
      <c r="AA426" s="74" t="inlineStr">
        <is>
          <t>전라북도 군산시 서흥남동 855</t>
        </is>
      </c>
      <c r="AB426" s="74" t="inlineStr">
        <is>
          <t>전라북도</t>
        </is>
      </c>
      <c r="AC426" s="74" t="inlineStr">
        <is>
          <t>군산시</t>
        </is>
      </c>
      <c r="AD426" s="74" t="inlineStr">
        <is>
          <t>서흥남동</t>
        </is>
      </c>
      <c r="AG426" s="74" t="inlineStr">
        <is>
          <t>전라북도 군산시 동메2길 8</t>
        </is>
      </c>
      <c r="AH426" s="74" t="n">
        <v>0</v>
      </c>
      <c r="AI426" s="74" t="n">
        <v>242</v>
      </c>
      <c r="AJ426" s="74" t="n">
        <v>55</v>
      </c>
      <c r="AK426" s="74" t="n">
        <v>46</v>
      </c>
      <c r="AL426" s="74" t="n">
        <v>0.72</v>
      </c>
    </row>
    <row r="427">
      <c r="A427" s="74" t="inlineStr">
        <is>
          <t>[서흥남동]</t>
        </is>
      </c>
      <c r="B427" s="74" t="n">
        <v>125052</v>
      </c>
      <c r="C427" s="74" t="n">
        <v>7</v>
      </c>
      <c r="D427" s="74" t="inlineStr">
        <is>
          <t>수송파미유(도시형)</t>
        </is>
      </c>
      <c r="E427" s="74" t="inlineStr">
        <is>
          <t>2013.05.</t>
        </is>
      </c>
      <c r="F427" s="74" t="n">
        <v>64</v>
      </c>
      <c r="G427" s="74" t="n">
        <v>17.67</v>
      </c>
      <c r="H427" s="74" t="n">
        <v>58.42</v>
      </c>
      <c r="I427" s="74" t="n">
        <v>12.22</v>
      </c>
      <c r="J427" s="74" t="n">
        <v>40.41</v>
      </c>
      <c r="K427" s="74" t="n">
        <v>2</v>
      </c>
      <c r="T427" s="74" t="n">
        <v>3</v>
      </c>
      <c r="U427" s="74" t="n">
        <v>2</v>
      </c>
      <c r="V427" s="74" t="inlineStr">
        <is>
          <t>계단식</t>
        </is>
      </c>
      <c r="W427" s="74" t="inlineStr">
        <is>
          <t>58A</t>
        </is>
      </c>
      <c r="X427" s="74" t="n">
        <v>6</v>
      </c>
      <c r="Y427" s="74" t="n">
        <v>5</v>
      </c>
      <c r="Z427" s="74" t="inlineStr">
        <is>
          <t>https://new.land.naver.com/complexes/125052?tab=detail&amp;rf=Y</t>
        </is>
      </c>
      <c r="AA427" s="74" t="inlineStr">
        <is>
          <t>전라북도 군산시 서흥남동 855</t>
        </is>
      </c>
      <c r="AB427" s="74" t="inlineStr">
        <is>
          <t>전라북도</t>
        </is>
      </c>
      <c r="AC427" s="74" t="inlineStr">
        <is>
          <t>군산시</t>
        </is>
      </c>
      <c r="AD427" s="74" t="inlineStr">
        <is>
          <t>서흥남동</t>
        </is>
      </c>
      <c r="AG427" s="74" t="inlineStr">
        <is>
          <t>전라북도 군산시 동메2길 8</t>
        </is>
      </c>
      <c r="AH427" s="74" t="n">
        <v>0</v>
      </c>
      <c r="AI427" s="74" t="n">
        <v>242</v>
      </c>
      <c r="AJ427" s="74" t="n">
        <v>55</v>
      </c>
      <c r="AK427" s="74" t="n">
        <v>46</v>
      </c>
      <c r="AL427" s="74" t="n">
        <v>0.72</v>
      </c>
    </row>
    <row r="428">
      <c r="A428" s="74" t="inlineStr">
        <is>
          <t>[서흥남동]</t>
        </is>
      </c>
      <c r="B428" s="74" t="n">
        <v>125052</v>
      </c>
      <c r="C428" s="74" t="n">
        <v>8</v>
      </c>
      <c r="D428" s="74" t="inlineStr">
        <is>
          <t>수송파미유(도시형)</t>
        </is>
      </c>
      <c r="E428" s="74" t="inlineStr">
        <is>
          <t>2013.05.</t>
        </is>
      </c>
      <c r="F428" s="74" t="n">
        <v>64</v>
      </c>
      <c r="G428" s="74" t="n">
        <v>17.64</v>
      </c>
      <c r="H428" s="74" t="n">
        <v>58.34</v>
      </c>
      <c r="I428" s="74" t="n">
        <v>12.2</v>
      </c>
      <c r="J428" s="74" t="n">
        <v>40.36</v>
      </c>
      <c r="K428" s="74" t="n">
        <v>2</v>
      </c>
      <c r="T428" s="74" t="n">
        <v>3</v>
      </c>
      <c r="U428" s="74" t="n">
        <v>2</v>
      </c>
      <c r="V428" s="74" t="inlineStr">
        <is>
          <t>계단식</t>
        </is>
      </c>
      <c r="W428" s="74" t="inlineStr">
        <is>
          <t>58E</t>
        </is>
      </c>
      <c r="X428" s="74" t="n">
        <v>6</v>
      </c>
      <c r="Y428" s="74" t="n">
        <v>5</v>
      </c>
      <c r="Z428" s="74" t="inlineStr">
        <is>
          <t>https://new.land.naver.com/complexes/125052?tab=detail&amp;rf=Y</t>
        </is>
      </c>
      <c r="AA428" s="74" t="inlineStr">
        <is>
          <t>전라북도 군산시 서흥남동 855</t>
        </is>
      </c>
      <c r="AB428" s="74" t="inlineStr">
        <is>
          <t>전라북도</t>
        </is>
      </c>
      <c r="AC428" s="74" t="inlineStr">
        <is>
          <t>군산시</t>
        </is>
      </c>
      <c r="AD428" s="74" t="inlineStr">
        <is>
          <t>서흥남동</t>
        </is>
      </c>
      <c r="AG428" s="74" t="inlineStr">
        <is>
          <t>전라북도 군산시 동메2길 8</t>
        </is>
      </c>
      <c r="AH428" s="74" t="n">
        <v>0</v>
      </c>
      <c r="AI428" s="74" t="n">
        <v>242</v>
      </c>
      <c r="AJ428" s="74" t="n">
        <v>55</v>
      </c>
      <c r="AK428" s="74" t="n">
        <v>46</v>
      </c>
      <c r="AL428" s="74" t="n">
        <v>0.72</v>
      </c>
    </row>
    <row r="429">
      <c r="A429" s="74" t="inlineStr">
        <is>
          <t>[서흥남동]</t>
        </is>
      </c>
      <c r="B429" s="74" t="n">
        <v>125052</v>
      </c>
      <c r="C429" s="74" t="n">
        <v>9</v>
      </c>
      <c r="D429" s="74" t="inlineStr">
        <is>
          <t>수송파미유(도시형)</t>
        </is>
      </c>
      <c r="E429" s="74" t="inlineStr">
        <is>
          <t>2013.05.</t>
        </is>
      </c>
      <c r="F429" s="74" t="n">
        <v>64</v>
      </c>
      <c r="G429" s="74" t="n">
        <v>21.09</v>
      </c>
      <c r="H429" s="74" t="n">
        <v>69.73</v>
      </c>
      <c r="I429" s="74" t="n">
        <v>15.12</v>
      </c>
      <c r="J429" s="74" t="n">
        <v>50</v>
      </c>
      <c r="K429" s="74" t="n">
        <v>3</v>
      </c>
      <c r="T429" s="74" t="n">
        <v>3</v>
      </c>
      <c r="U429" s="74" t="n">
        <v>2</v>
      </c>
      <c r="V429" s="74" t="inlineStr">
        <is>
          <t>계단식</t>
        </is>
      </c>
      <c r="W429" s="74" t="inlineStr">
        <is>
          <t>69D</t>
        </is>
      </c>
      <c r="X429" s="74" t="n">
        <v>6</v>
      </c>
      <c r="Y429" s="74" t="n">
        <v>5</v>
      </c>
      <c r="Z429" s="74" t="inlineStr">
        <is>
          <t>https://new.land.naver.com/complexes/125052?tab=detail&amp;rf=Y</t>
        </is>
      </c>
      <c r="AA429" s="74" t="inlineStr">
        <is>
          <t>전라북도 군산시 서흥남동 855</t>
        </is>
      </c>
      <c r="AB429" s="74" t="inlineStr">
        <is>
          <t>전라북도</t>
        </is>
      </c>
      <c r="AC429" s="74" t="inlineStr">
        <is>
          <t>군산시</t>
        </is>
      </c>
      <c r="AD429" s="74" t="inlineStr">
        <is>
          <t>서흥남동</t>
        </is>
      </c>
      <c r="AG429" s="74" t="inlineStr">
        <is>
          <t>전라북도 군산시 동메2길 8</t>
        </is>
      </c>
      <c r="AH429" s="74" t="n">
        <v>0</v>
      </c>
      <c r="AI429" s="74" t="n">
        <v>242</v>
      </c>
      <c r="AJ429" s="74" t="n">
        <v>55</v>
      </c>
      <c r="AK429" s="74" t="n">
        <v>46</v>
      </c>
      <c r="AL429" s="74" t="n">
        <v>0.72</v>
      </c>
    </row>
    <row r="430">
      <c r="A430" s="74" t="inlineStr">
        <is>
          <t>[서흥남동]</t>
        </is>
      </c>
      <c r="B430" s="74" t="n">
        <v>125052</v>
      </c>
      <c r="C430" s="74" t="n">
        <v>10</v>
      </c>
      <c r="D430" s="74" t="inlineStr">
        <is>
          <t>수송파미유(도시형)</t>
        </is>
      </c>
      <c r="E430" s="74" t="inlineStr">
        <is>
          <t>2013.05.</t>
        </is>
      </c>
      <c r="F430" s="74" t="n">
        <v>64</v>
      </c>
      <c r="G430" s="74" t="n">
        <v>21.25</v>
      </c>
      <c r="H430" s="74" t="n">
        <v>70.26000000000001</v>
      </c>
      <c r="I430" s="74" t="n">
        <v>15.23</v>
      </c>
      <c r="J430" s="74" t="n">
        <v>50.38</v>
      </c>
      <c r="K430" s="74" t="n">
        <v>3</v>
      </c>
      <c r="T430" s="74" t="n">
        <v>3</v>
      </c>
      <c r="U430" s="74" t="n">
        <v>2</v>
      </c>
      <c r="V430" s="74" t="inlineStr">
        <is>
          <t>계단식</t>
        </is>
      </c>
      <c r="W430" s="74" t="inlineStr">
        <is>
          <t>70B</t>
        </is>
      </c>
      <c r="X430" s="74" t="n">
        <v>6</v>
      </c>
      <c r="Y430" s="74" t="n">
        <v>5</v>
      </c>
      <c r="Z430" s="74" t="inlineStr">
        <is>
          <t>https://new.land.naver.com/complexes/125052?tab=detail&amp;rf=Y</t>
        </is>
      </c>
      <c r="AA430" s="74" t="inlineStr">
        <is>
          <t>전라북도 군산시 서흥남동 855</t>
        </is>
      </c>
      <c r="AB430" s="74" t="inlineStr">
        <is>
          <t>전라북도</t>
        </is>
      </c>
      <c r="AC430" s="74" t="inlineStr">
        <is>
          <t>군산시</t>
        </is>
      </c>
      <c r="AD430" s="74" t="inlineStr">
        <is>
          <t>서흥남동</t>
        </is>
      </c>
      <c r="AG430" s="74" t="inlineStr">
        <is>
          <t>전라북도 군산시 동메2길 8</t>
        </is>
      </c>
      <c r="AH430" s="74" t="n">
        <v>0</v>
      </c>
      <c r="AI430" s="74" t="n">
        <v>242</v>
      </c>
      <c r="AJ430" s="74" t="n">
        <v>55</v>
      </c>
      <c r="AK430" s="74" t="n">
        <v>46</v>
      </c>
      <c r="AL430" s="74" t="n">
        <v>0.72</v>
      </c>
    </row>
    <row r="431">
      <c r="A431" s="74" t="inlineStr">
        <is>
          <t>[서흥남동]</t>
        </is>
      </c>
      <c r="B431" s="74" t="n">
        <v>125052</v>
      </c>
      <c r="C431" s="74" t="n">
        <v>11</v>
      </c>
      <c r="D431" s="74" t="inlineStr">
        <is>
          <t>수송파미유(도시형)</t>
        </is>
      </c>
      <c r="E431" s="74" t="inlineStr">
        <is>
          <t>2013.05.</t>
        </is>
      </c>
      <c r="F431" s="74" t="n">
        <v>64</v>
      </c>
      <c r="G431" s="74" t="n">
        <v>21.23</v>
      </c>
      <c r="H431" s="74" t="n">
        <v>70.19</v>
      </c>
      <c r="I431" s="74" t="n">
        <v>15.22</v>
      </c>
      <c r="J431" s="74" t="n">
        <v>50.33</v>
      </c>
      <c r="K431" s="74" t="n">
        <v>1</v>
      </c>
      <c r="T431" s="74" t="n">
        <v>3</v>
      </c>
      <c r="U431" s="74" t="n">
        <v>2</v>
      </c>
      <c r="V431" s="74" t="inlineStr">
        <is>
          <t>계단식</t>
        </is>
      </c>
      <c r="W431" s="74" t="inlineStr">
        <is>
          <t>70A</t>
        </is>
      </c>
      <c r="X431" s="74" t="n">
        <v>6</v>
      </c>
      <c r="Y431" s="74" t="n">
        <v>5</v>
      </c>
      <c r="Z431" s="74" t="inlineStr">
        <is>
          <t>https://new.land.naver.com/complexes/125052?tab=detail&amp;rf=Y</t>
        </is>
      </c>
      <c r="AA431" s="74" t="inlineStr">
        <is>
          <t>전라북도 군산시 서흥남동 855</t>
        </is>
      </c>
      <c r="AB431" s="74" t="inlineStr">
        <is>
          <t>전라북도</t>
        </is>
      </c>
      <c r="AC431" s="74" t="inlineStr">
        <is>
          <t>군산시</t>
        </is>
      </c>
      <c r="AD431" s="74" t="inlineStr">
        <is>
          <t>서흥남동</t>
        </is>
      </c>
      <c r="AG431" s="74" t="inlineStr">
        <is>
          <t>전라북도 군산시 동메2길 8</t>
        </is>
      </c>
      <c r="AH431" s="74" t="n">
        <v>0</v>
      </c>
      <c r="AI431" s="74" t="n">
        <v>242</v>
      </c>
      <c r="AJ431" s="74" t="n">
        <v>55</v>
      </c>
      <c r="AK431" s="74" t="n">
        <v>46</v>
      </c>
      <c r="AL431" s="74" t="n">
        <v>0.72</v>
      </c>
    </row>
    <row r="432">
      <c r="A432" s="74" t="inlineStr">
        <is>
          <t>[서흥남동]</t>
        </is>
      </c>
      <c r="B432" s="74" t="n">
        <v>125052</v>
      </c>
      <c r="C432" s="74" t="n">
        <v>12</v>
      </c>
      <c r="D432" s="74" t="inlineStr">
        <is>
          <t>수송파미유(도시형)</t>
        </is>
      </c>
      <c r="E432" s="74" t="inlineStr">
        <is>
          <t>2013.05.</t>
        </is>
      </c>
      <c r="F432" s="74" t="n">
        <v>64</v>
      </c>
      <c r="G432" s="74" t="n">
        <v>21.39</v>
      </c>
      <c r="H432" s="74" t="n">
        <v>70.72</v>
      </c>
      <c r="I432" s="74" t="n">
        <v>15.33</v>
      </c>
      <c r="J432" s="74" t="n">
        <v>50.71</v>
      </c>
      <c r="K432" s="74" t="n">
        <v>1</v>
      </c>
      <c r="T432" s="74" t="n">
        <v>3</v>
      </c>
      <c r="U432" s="74" t="n">
        <v>2</v>
      </c>
      <c r="V432" s="74" t="inlineStr">
        <is>
          <t>계단식</t>
        </is>
      </c>
      <c r="W432" s="74" t="inlineStr">
        <is>
          <t>70C</t>
        </is>
      </c>
      <c r="X432" s="74" t="n">
        <v>6</v>
      </c>
      <c r="Y432" s="74" t="n">
        <v>5</v>
      </c>
      <c r="Z432" s="74" t="inlineStr">
        <is>
          <t>https://new.land.naver.com/complexes/125052?tab=detail&amp;rf=Y</t>
        </is>
      </c>
      <c r="AA432" s="74" t="inlineStr">
        <is>
          <t>전라북도 군산시 서흥남동 855</t>
        </is>
      </c>
      <c r="AB432" s="74" t="inlineStr">
        <is>
          <t>전라북도</t>
        </is>
      </c>
      <c r="AC432" s="74" t="inlineStr">
        <is>
          <t>군산시</t>
        </is>
      </c>
      <c r="AD432" s="74" t="inlineStr">
        <is>
          <t>서흥남동</t>
        </is>
      </c>
      <c r="AG432" s="74" t="inlineStr">
        <is>
          <t>전라북도 군산시 동메2길 8</t>
        </is>
      </c>
      <c r="AH432" s="74" t="n">
        <v>0</v>
      </c>
      <c r="AI432" s="74" t="n">
        <v>242</v>
      </c>
      <c r="AJ432" s="74" t="n">
        <v>55</v>
      </c>
      <c r="AK432" s="74" t="n">
        <v>46</v>
      </c>
      <c r="AL432" s="74" t="n">
        <v>0.72</v>
      </c>
    </row>
    <row r="433">
      <c r="A433" s="74" t="inlineStr">
        <is>
          <t>[서흥남동]</t>
        </is>
      </c>
      <c r="B433" s="74" t="n">
        <v>125052</v>
      </c>
      <c r="C433" s="74" t="n">
        <v>13</v>
      </c>
      <c r="D433" s="74" t="inlineStr">
        <is>
          <t>수송파미유(도시형)</t>
        </is>
      </c>
      <c r="E433" s="74" t="inlineStr">
        <is>
          <t>2013.05.</t>
        </is>
      </c>
      <c r="F433" s="74" t="n">
        <v>64</v>
      </c>
      <c r="G433" s="74" t="n">
        <v>22</v>
      </c>
      <c r="H433" s="74" t="n">
        <v>72.76000000000001</v>
      </c>
      <c r="I433" s="74" t="n">
        <v>15.22</v>
      </c>
      <c r="J433" s="74" t="n">
        <v>50.33</v>
      </c>
      <c r="K433" s="74" t="n">
        <v>2</v>
      </c>
      <c r="T433" s="74" t="n">
        <v>3</v>
      </c>
      <c r="U433" s="74" t="n">
        <v>2</v>
      </c>
      <c r="V433" s="74" t="inlineStr">
        <is>
          <t>계단식</t>
        </is>
      </c>
      <c r="W433" s="74" t="inlineStr">
        <is>
          <t>72A</t>
        </is>
      </c>
      <c r="X433" s="74" t="n">
        <v>6</v>
      </c>
      <c r="Y433" s="74" t="n">
        <v>5</v>
      </c>
      <c r="Z433" s="74" t="inlineStr">
        <is>
          <t>https://new.land.naver.com/complexes/125052?tab=detail&amp;rf=Y</t>
        </is>
      </c>
      <c r="AA433" s="74" t="inlineStr">
        <is>
          <t>전라북도 군산시 서흥남동 855</t>
        </is>
      </c>
      <c r="AB433" s="74" t="inlineStr">
        <is>
          <t>전라북도</t>
        </is>
      </c>
      <c r="AC433" s="74" t="inlineStr">
        <is>
          <t>군산시</t>
        </is>
      </c>
      <c r="AD433" s="74" t="inlineStr">
        <is>
          <t>서흥남동</t>
        </is>
      </c>
      <c r="AG433" s="74" t="inlineStr">
        <is>
          <t>전라북도 군산시 동메2길 8</t>
        </is>
      </c>
      <c r="AH433" s="74" t="n">
        <v>0</v>
      </c>
      <c r="AI433" s="74" t="n">
        <v>242</v>
      </c>
      <c r="AJ433" s="74" t="n">
        <v>55</v>
      </c>
      <c r="AK433" s="74" t="n">
        <v>46</v>
      </c>
      <c r="AL433" s="74" t="n">
        <v>0.72</v>
      </c>
    </row>
    <row r="434">
      <c r="A434" s="74" t="inlineStr">
        <is>
          <t>[서흥남동]</t>
        </is>
      </c>
      <c r="B434" s="74" t="n">
        <v>125052</v>
      </c>
      <c r="C434" s="74" t="n">
        <v>14</v>
      </c>
      <c r="D434" s="74" t="inlineStr">
        <is>
          <t>수송파미유(도시형)</t>
        </is>
      </c>
      <c r="E434" s="74" t="inlineStr">
        <is>
          <t>2013.05.</t>
        </is>
      </c>
      <c r="F434" s="74" t="n">
        <v>64</v>
      </c>
      <c r="G434" s="74" t="n">
        <v>22.03</v>
      </c>
      <c r="H434" s="74" t="n">
        <v>72.83</v>
      </c>
      <c r="I434" s="74" t="n">
        <v>15.23</v>
      </c>
      <c r="J434" s="74" t="n">
        <v>50.38</v>
      </c>
      <c r="K434" s="74" t="n">
        <v>2</v>
      </c>
      <c r="T434" s="74" t="n">
        <v>3</v>
      </c>
      <c r="U434" s="74" t="n">
        <v>2</v>
      </c>
      <c r="V434" s="74" t="inlineStr">
        <is>
          <t>계단식</t>
        </is>
      </c>
      <c r="W434" s="74" t="inlineStr">
        <is>
          <t>72B</t>
        </is>
      </c>
      <c r="X434" s="74" t="n">
        <v>6</v>
      </c>
      <c r="Y434" s="74" t="n">
        <v>5</v>
      </c>
      <c r="Z434" s="74" t="inlineStr">
        <is>
          <t>https://new.land.naver.com/complexes/125052?tab=detail&amp;rf=Y</t>
        </is>
      </c>
      <c r="AA434" s="74" t="inlineStr">
        <is>
          <t>전라북도 군산시 서흥남동 855</t>
        </is>
      </c>
      <c r="AB434" s="74" t="inlineStr">
        <is>
          <t>전라북도</t>
        </is>
      </c>
      <c r="AC434" s="74" t="inlineStr">
        <is>
          <t>군산시</t>
        </is>
      </c>
      <c r="AD434" s="74" t="inlineStr">
        <is>
          <t>서흥남동</t>
        </is>
      </c>
      <c r="AG434" s="74" t="inlineStr">
        <is>
          <t>전라북도 군산시 동메2길 8</t>
        </is>
      </c>
      <c r="AH434" s="74" t="n">
        <v>0</v>
      </c>
      <c r="AI434" s="74" t="n">
        <v>242</v>
      </c>
      <c r="AJ434" s="74" t="n">
        <v>55</v>
      </c>
      <c r="AK434" s="74" t="n">
        <v>46</v>
      </c>
      <c r="AL434" s="74" t="n">
        <v>0.72</v>
      </c>
    </row>
    <row r="435">
      <c r="A435" s="74" t="inlineStr">
        <is>
          <t>[서흥남동]</t>
        </is>
      </c>
      <c r="B435" s="74" t="n">
        <v>125052</v>
      </c>
      <c r="C435" s="74" t="n">
        <v>15</v>
      </c>
      <c r="D435" s="74" t="inlineStr">
        <is>
          <t>수송파미유(도시형)</t>
        </is>
      </c>
      <c r="E435" s="74" t="inlineStr">
        <is>
          <t>2013.05.</t>
        </is>
      </c>
      <c r="F435" s="74" t="n">
        <v>64</v>
      </c>
      <c r="G435" s="74" t="n">
        <v>22.22</v>
      </c>
      <c r="H435" s="74" t="n">
        <v>73.47</v>
      </c>
      <c r="I435" s="74" t="n">
        <v>15.93</v>
      </c>
      <c r="J435" s="74" t="n">
        <v>52.68</v>
      </c>
      <c r="K435" s="74" t="n">
        <v>9</v>
      </c>
      <c r="T435" s="74" t="n">
        <v>3</v>
      </c>
      <c r="U435" s="74" t="n">
        <v>2</v>
      </c>
      <c r="V435" s="74" t="inlineStr">
        <is>
          <t>계단식</t>
        </is>
      </c>
      <c r="W435" s="74" t="inlineStr">
        <is>
          <t>73C</t>
        </is>
      </c>
      <c r="X435" s="74" t="n">
        <v>6</v>
      </c>
      <c r="Y435" s="74" t="n">
        <v>5</v>
      </c>
      <c r="Z435" s="74" t="inlineStr">
        <is>
          <t>https://new.land.naver.com/complexes/125052?tab=detail&amp;rf=Y</t>
        </is>
      </c>
      <c r="AA435" s="74" t="inlineStr">
        <is>
          <t>전라북도 군산시 서흥남동 855</t>
        </is>
      </c>
      <c r="AB435" s="74" t="inlineStr">
        <is>
          <t>전라북도</t>
        </is>
      </c>
      <c r="AC435" s="74" t="inlineStr">
        <is>
          <t>군산시</t>
        </is>
      </c>
      <c r="AD435" s="74" t="inlineStr">
        <is>
          <t>서흥남동</t>
        </is>
      </c>
      <c r="AG435" s="74" t="inlineStr">
        <is>
          <t>전라북도 군산시 동메2길 8</t>
        </is>
      </c>
      <c r="AH435" s="74" t="n">
        <v>0</v>
      </c>
      <c r="AI435" s="74" t="n">
        <v>242</v>
      </c>
      <c r="AJ435" s="74" t="n">
        <v>55</v>
      </c>
      <c r="AK435" s="74" t="n">
        <v>46</v>
      </c>
      <c r="AL435" s="74" t="n">
        <v>0.72</v>
      </c>
    </row>
    <row r="436">
      <c r="A436" s="74" t="inlineStr">
        <is>
          <t>[서흥남동]</t>
        </is>
      </c>
      <c r="B436" s="74" t="n">
        <v>125052</v>
      </c>
      <c r="C436" s="74" t="n">
        <v>16</v>
      </c>
      <c r="D436" s="74" t="inlineStr">
        <is>
          <t>수송파미유(도시형)</t>
        </is>
      </c>
      <c r="E436" s="74" t="inlineStr">
        <is>
          <t>2013.05.</t>
        </is>
      </c>
      <c r="F436" s="74" t="n">
        <v>64</v>
      </c>
      <c r="G436" s="74" t="n">
        <v>22.38</v>
      </c>
      <c r="H436" s="74" t="n">
        <v>74</v>
      </c>
      <c r="I436" s="74" t="n">
        <v>16.05</v>
      </c>
      <c r="J436" s="74" t="n">
        <v>53.06</v>
      </c>
      <c r="K436" s="74" t="n">
        <v>12</v>
      </c>
      <c r="T436" s="74" t="n">
        <v>3</v>
      </c>
      <c r="U436" s="74" t="n">
        <v>2</v>
      </c>
      <c r="V436" s="74" t="inlineStr">
        <is>
          <t>계단식</t>
        </is>
      </c>
      <c r="W436" s="74" t="inlineStr">
        <is>
          <t>74D</t>
        </is>
      </c>
      <c r="X436" s="74" t="n">
        <v>6</v>
      </c>
      <c r="Y436" s="74" t="n">
        <v>5</v>
      </c>
      <c r="Z436" s="74" t="inlineStr">
        <is>
          <t>https://new.land.naver.com/complexes/125052?tab=detail&amp;rf=Y</t>
        </is>
      </c>
      <c r="AA436" s="74" t="inlineStr">
        <is>
          <t>전라북도 군산시 서흥남동 855</t>
        </is>
      </c>
      <c r="AB436" s="74" t="inlineStr">
        <is>
          <t>전라북도</t>
        </is>
      </c>
      <c r="AC436" s="74" t="inlineStr">
        <is>
          <t>군산시</t>
        </is>
      </c>
      <c r="AD436" s="74" t="inlineStr">
        <is>
          <t>서흥남동</t>
        </is>
      </c>
      <c r="AG436" s="74" t="inlineStr">
        <is>
          <t>전라북도 군산시 동메2길 8</t>
        </is>
      </c>
      <c r="AH436" s="74" t="n">
        <v>0</v>
      </c>
      <c r="AI436" s="74" t="n">
        <v>242</v>
      </c>
      <c r="AJ436" s="74" t="n">
        <v>55</v>
      </c>
      <c r="AK436" s="74" t="n">
        <v>46</v>
      </c>
      <c r="AL436" s="74" t="n">
        <v>0.72</v>
      </c>
    </row>
    <row r="437">
      <c r="A437" s="74" t="inlineStr">
        <is>
          <t>[서흥남동]</t>
        </is>
      </c>
      <c r="B437" s="74" t="n">
        <v>125052</v>
      </c>
      <c r="C437" s="74" t="n">
        <v>17</v>
      </c>
      <c r="D437" s="74" t="inlineStr">
        <is>
          <t>수송파미유(도시형)</t>
        </is>
      </c>
      <c r="E437" s="74" t="inlineStr">
        <is>
          <t>2013.05.</t>
        </is>
      </c>
      <c r="F437" s="74" t="n">
        <v>64</v>
      </c>
      <c r="G437" s="74" t="n">
        <v>22.54</v>
      </c>
      <c r="H437" s="74" t="n">
        <v>74.53</v>
      </c>
      <c r="I437" s="74" t="n">
        <v>16.16</v>
      </c>
      <c r="J437" s="74" t="n">
        <v>53.44</v>
      </c>
      <c r="K437" s="74" t="n">
        <v>3</v>
      </c>
      <c r="T437" s="74" t="n">
        <v>3</v>
      </c>
      <c r="U437" s="74" t="n">
        <v>2</v>
      </c>
      <c r="V437" s="74" t="inlineStr">
        <is>
          <t>계단식</t>
        </is>
      </c>
      <c r="W437" s="74" t="inlineStr">
        <is>
          <t>74B</t>
        </is>
      </c>
      <c r="X437" s="74" t="n">
        <v>6</v>
      </c>
      <c r="Y437" s="74" t="n">
        <v>5</v>
      </c>
      <c r="Z437" s="74" t="inlineStr">
        <is>
          <t>https://new.land.naver.com/complexes/125052?tab=detail&amp;rf=Y</t>
        </is>
      </c>
      <c r="AA437" s="74" t="inlineStr">
        <is>
          <t>전라북도 군산시 서흥남동 855</t>
        </is>
      </c>
      <c r="AB437" s="74" t="inlineStr">
        <is>
          <t>전라북도</t>
        </is>
      </c>
      <c r="AC437" s="74" t="inlineStr">
        <is>
          <t>군산시</t>
        </is>
      </c>
      <c r="AD437" s="74" t="inlineStr">
        <is>
          <t>서흥남동</t>
        </is>
      </c>
      <c r="AG437" s="74" t="inlineStr">
        <is>
          <t>전라북도 군산시 동메2길 8</t>
        </is>
      </c>
      <c r="AH437" s="74" t="n">
        <v>0</v>
      </c>
      <c r="AI437" s="74" t="n">
        <v>242</v>
      </c>
      <c r="AJ437" s="74" t="n">
        <v>55</v>
      </c>
      <c r="AK437" s="74" t="n">
        <v>46</v>
      </c>
      <c r="AL437" s="74" t="n">
        <v>0.72</v>
      </c>
    </row>
    <row r="438">
      <c r="A438" s="74" t="inlineStr">
        <is>
          <t>[서흥남동]</t>
        </is>
      </c>
      <c r="B438" s="74" t="n">
        <v>125052</v>
      </c>
      <c r="C438" s="74" t="n">
        <v>18</v>
      </c>
      <c r="D438" s="74" t="inlineStr">
        <is>
          <t>수송파미유(도시형)</t>
        </is>
      </c>
      <c r="E438" s="74" t="inlineStr">
        <is>
          <t>2013.05.</t>
        </is>
      </c>
      <c r="F438" s="74" t="n">
        <v>64</v>
      </c>
      <c r="G438" s="74" t="n">
        <v>23.2</v>
      </c>
      <c r="H438" s="74" t="n">
        <v>76.7</v>
      </c>
      <c r="I438" s="74" t="n">
        <v>16.05</v>
      </c>
      <c r="J438" s="74" t="n">
        <v>53.06</v>
      </c>
      <c r="K438" s="74" t="n">
        <v>12</v>
      </c>
      <c r="T438" s="74" t="n">
        <v>3</v>
      </c>
      <c r="U438" s="74" t="n">
        <v>2</v>
      </c>
      <c r="V438" s="74" t="inlineStr">
        <is>
          <t>계단식</t>
        </is>
      </c>
      <c r="W438" s="74" t="inlineStr">
        <is>
          <t>76A</t>
        </is>
      </c>
      <c r="X438" s="74" t="n">
        <v>6</v>
      </c>
      <c r="Y438" s="74" t="n">
        <v>5</v>
      </c>
      <c r="Z438" s="74" t="inlineStr">
        <is>
          <t>https://new.land.naver.com/complexes/125052?tab=detail&amp;rf=Y</t>
        </is>
      </c>
      <c r="AA438" s="74" t="inlineStr">
        <is>
          <t>전라북도 군산시 서흥남동 855</t>
        </is>
      </c>
      <c r="AB438" s="74" t="inlineStr">
        <is>
          <t>전라북도</t>
        </is>
      </c>
      <c r="AC438" s="74" t="inlineStr">
        <is>
          <t>군산시</t>
        </is>
      </c>
      <c r="AD438" s="74" t="inlineStr">
        <is>
          <t>서흥남동</t>
        </is>
      </c>
      <c r="AG438" s="74" t="inlineStr">
        <is>
          <t>전라북도 군산시 동메2길 8</t>
        </is>
      </c>
      <c r="AH438" s="74" t="n">
        <v>0</v>
      </c>
      <c r="AI438" s="74" t="n">
        <v>242</v>
      </c>
      <c r="AJ438" s="74" t="n">
        <v>55</v>
      </c>
      <c r="AK438" s="74" t="n">
        <v>46</v>
      </c>
      <c r="AL438" s="74" t="n">
        <v>0.72</v>
      </c>
    </row>
    <row r="439">
      <c r="A439" s="74" t="inlineStr">
        <is>
          <t>[서흥남동]</t>
        </is>
      </c>
      <c r="B439" s="74" t="n">
        <v>125052</v>
      </c>
      <c r="C439" s="74" t="n">
        <v>19</v>
      </c>
      <c r="D439" s="74" t="inlineStr">
        <is>
          <t>수송파미유(도시형)</t>
        </is>
      </c>
      <c r="E439" s="74" t="inlineStr">
        <is>
          <t>2013.05.</t>
        </is>
      </c>
      <c r="F439" s="74" t="n">
        <v>64</v>
      </c>
      <c r="G439" s="74" t="n">
        <v>28.42</v>
      </c>
      <c r="H439" s="74" t="n">
        <v>93.97</v>
      </c>
      <c r="I439" s="74" t="n">
        <v>20.38</v>
      </c>
      <c r="J439" s="74" t="n">
        <v>67.38</v>
      </c>
      <c r="K439" s="74" t="n">
        <v>1</v>
      </c>
      <c r="T439" s="74" t="n">
        <v>3</v>
      </c>
      <c r="U439" s="74" t="n">
        <v>2</v>
      </c>
      <c r="V439" s="74" t="inlineStr">
        <is>
          <t>계단식</t>
        </is>
      </c>
      <c r="W439" s="74" t="n">
        <v>93</v>
      </c>
      <c r="X439" s="74" t="n">
        <v>6</v>
      </c>
      <c r="Y439" s="74" t="n">
        <v>5</v>
      </c>
      <c r="Z439" s="74" t="inlineStr">
        <is>
          <t>https://new.land.naver.com/complexes/125052?tab=detail&amp;rf=Y</t>
        </is>
      </c>
      <c r="AA439" s="74" t="inlineStr">
        <is>
          <t>전라북도 군산시 서흥남동 855</t>
        </is>
      </c>
      <c r="AB439" s="74" t="inlineStr">
        <is>
          <t>전라북도</t>
        </is>
      </c>
      <c r="AC439" s="74" t="inlineStr">
        <is>
          <t>군산시</t>
        </is>
      </c>
      <c r="AD439" s="74" t="inlineStr">
        <is>
          <t>서흥남동</t>
        </is>
      </c>
      <c r="AG439" s="74" t="inlineStr">
        <is>
          <t>전라북도 군산시 동메2길 8</t>
        </is>
      </c>
      <c r="AH439" s="74" t="n">
        <v>0</v>
      </c>
      <c r="AI439" s="74" t="n">
        <v>242</v>
      </c>
      <c r="AJ439" s="74" t="n">
        <v>55</v>
      </c>
      <c r="AK439" s="74" t="n">
        <v>46</v>
      </c>
      <c r="AL439" s="74" t="n">
        <v>0.72</v>
      </c>
    </row>
    <row r="440">
      <c r="A440" s="74" t="inlineStr">
        <is>
          <t>[서흥남동]</t>
        </is>
      </c>
      <c r="B440" s="74" t="n">
        <v>16994</v>
      </c>
      <c r="C440" s="74" t="n">
        <v>1</v>
      </c>
      <c r="D440" s="74" t="inlineStr">
        <is>
          <t>고려타운</t>
        </is>
      </c>
      <c r="E440" s="74" t="inlineStr">
        <is>
          <t>1992.05.</t>
        </is>
      </c>
      <c r="F440" s="74" t="n">
        <v>226</v>
      </c>
      <c r="G440" s="74" t="n">
        <v>17.01</v>
      </c>
      <c r="H440" s="74" t="n">
        <v>56.26</v>
      </c>
      <c r="I440" s="74" t="n">
        <v>13.04</v>
      </c>
      <c r="J440" s="74" t="n">
        <v>43.14</v>
      </c>
      <c r="K440" s="74" t="n">
        <v>12</v>
      </c>
      <c r="T440" s="74" t="n">
        <v>2</v>
      </c>
      <c r="U440" s="74" t="n">
        <v>1</v>
      </c>
      <c r="V440" s="74" t="inlineStr">
        <is>
          <t>계단식</t>
        </is>
      </c>
      <c r="W440" s="74" t="n">
        <v>56</v>
      </c>
      <c r="X440" s="74" t="n">
        <v>6</v>
      </c>
      <c r="Y440" s="74" t="n">
        <v>5</v>
      </c>
      <c r="Z440" s="74" t="inlineStr">
        <is>
          <t>https://new.land.naver.com/complexes/16994?tab=detail&amp;rf=Y</t>
        </is>
      </c>
      <c r="AA440" s="74" t="inlineStr">
        <is>
          <t>전라북도 군산시 서흥남동 818-2</t>
        </is>
      </c>
      <c r="AB440" s="74" t="inlineStr">
        <is>
          <t>전라북도</t>
        </is>
      </c>
      <c r="AC440" s="74" t="inlineStr">
        <is>
          <t>군산시</t>
        </is>
      </c>
      <c r="AD440" s="74" t="inlineStr">
        <is>
          <t>서흥남동</t>
        </is>
      </c>
      <c r="AG440" s="74" t="inlineStr">
        <is>
          <t>전라북도 군산시 서흥2길 56</t>
        </is>
      </c>
      <c r="AH440" s="74" t="n">
        <v>0</v>
      </c>
      <c r="AI440" s="74" t="n">
        <v>0</v>
      </c>
      <c r="AJ440" s="74" t="n">
        <v>0</v>
      </c>
      <c r="AK440" s="74" t="n">
        <v>0</v>
      </c>
      <c r="AL440" s="74" t="n">
        <v>0</v>
      </c>
    </row>
    <row r="441">
      <c r="A441" s="74" t="inlineStr">
        <is>
          <t>[서흥남동]</t>
        </is>
      </c>
      <c r="B441" s="74" t="n">
        <v>16994</v>
      </c>
      <c r="C441" s="74" t="n">
        <v>2</v>
      </c>
      <c r="D441" s="74" t="inlineStr">
        <is>
          <t>고려타운</t>
        </is>
      </c>
      <c r="E441" s="74" t="inlineStr">
        <is>
          <t>1992.05.</t>
        </is>
      </c>
      <c r="F441" s="74" t="n">
        <v>226</v>
      </c>
      <c r="G441" s="74" t="n">
        <v>19.59</v>
      </c>
      <c r="H441" s="74" t="n">
        <v>64.79000000000001</v>
      </c>
      <c r="I441" s="74" t="n">
        <v>14.81</v>
      </c>
      <c r="J441" s="74" t="n">
        <v>48.99</v>
      </c>
      <c r="K441" s="74" t="n">
        <v>20</v>
      </c>
      <c r="T441" s="74" t="n">
        <v>2</v>
      </c>
      <c r="U441" s="74" t="n">
        <v>1</v>
      </c>
      <c r="V441" s="74" t="inlineStr">
        <is>
          <t>계단식</t>
        </is>
      </c>
      <c r="W441" s="74" t="n">
        <v>64</v>
      </c>
      <c r="X441" s="74" t="n">
        <v>6</v>
      </c>
      <c r="Y441" s="74" t="n">
        <v>5</v>
      </c>
      <c r="Z441" s="74" t="inlineStr">
        <is>
          <t>https://new.land.naver.com/complexes/16994?tab=detail&amp;rf=Y</t>
        </is>
      </c>
      <c r="AA441" s="74" t="inlineStr">
        <is>
          <t>전라북도 군산시 서흥남동 818-2</t>
        </is>
      </c>
      <c r="AB441" s="74" t="inlineStr">
        <is>
          <t>전라북도</t>
        </is>
      </c>
      <c r="AC441" s="74" t="inlineStr">
        <is>
          <t>군산시</t>
        </is>
      </c>
      <c r="AD441" s="74" t="inlineStr">
        <is>
          <t>서흥남동</t>
        </is>
      </c>
      <c r="AG441" s="74" t="inlineStr">
        <is>
          <t>전라북도 군산시 서흥2길 56</t>
        </is>
      </c>
      <c r="AH441" s="74" t="n">
        <v>0</v>
      </c>
      <c r="AI441" s="74" t="n">
        <v>0</v>
      </c>
      <c r="AJ441" s="74" t="n">
        <v>0</v>
      </c>
      <c r="AK441" s="74" t="n">
        <v>0</v>
      </c>
      <c r="AL441" s="74" t="n">
        <v>0</v>
      </c>
    </row>
    <row r="442">
      <c r="A442" s="74" t="inlineStr">
        <is>
          <t>[서흥남동]</t>
        </is>
      </c>
      <c r="B442" s="74" t="n">
        <v>16994</v>
      </c>
      <c r="C442" s="74" t="n">
        <v>3</v>
      </c>
      <c r="D442" s="74" t="inlineStr">
        <is>
          <t>고려타운</t>
        </is>
      </c>
      <c r="E442" s="74" t="inlineStr">
        <is>
          <t>1992.05.</t>
        </is>
      </c>
      <c r="F442" s="74" t="n">
        <v>226</v>
      </c>
      <c r="G442" s="74" t="n">
        <v>22.57</v>
      </c>
      <c r="H442" s="74" t="n">
        <v>74.64</v>
      </c>
      <c r="I442" s="74" t="n">
        <v>17.79</v>
      </c>
      <c r="J442" s="74" t="n">
        <v>58.83</v>
      </c>
      <c r="K442" s="74" t="n">
        <v>18</v>
      </c>
      <c r="T442" s="74" t="n">
        <v>3</v>
      </c>
      <c r="U442" s="74" t="n">
        <v>2</v>
      </c>
      <c r="V442" s="74" t="inlineStr">
        <is>
          <t>계단식</t>
        </is>
      </c>
      <c r="W442" s="74" t="inlineStr">
        <is>
          <t>74A</t>
        </is>
      </c>
      <c r="X442" s="74" t="n">
        <v>6</v>
      </c>
      <c r="Y442" s="74" t="n">
        <v>5</v>
      </c>
      <c r="Z442" s="74" t="inlineStr">
        <is>
          <t>https://new.land.naver.com/complexes/16994?tab=detail&amp;rf=Y</t>
        </is>
      </c>
      <c r="AA442" s="74" t="inlineStr">
        <is>
          <t>전라북도 군산시 서흥남동 818-2</t>
        </is>
      </c>
      <c r="AB442" s="74" t="inlineStr">
        <is>
          <t>전라북도</t>
        </is>
      </c>
      <c r="AC442" s="74" t="inlineStr">
        <is>
          <t>군산시</t>
        </is>
      </c>
      <c r="AD442" s="74" t="inlineStr">
        <is>
          <t>서흥남동</t>
        </is>
      </c>
      <c r="AG442" s="74" t="inlineStr">
        <is>
          <t>전라북도 군산시 서흥2길 56</t>
        </is>
      </c>
      <c r="AH442" s="74" t="n">
        <v>0</v>
      </c>
      <c r="AI442" s="74" t="n">
        <v>0</v>
      </c>
      <c r="AJ442" s="74" t="n">
        <v>0</v>
      </c>
      <c r="AK442" s="74" t="n">
        <v>0</v>
      </c>
      <c r="AL442" s="74" t="n">
        <v>0</v>
      </c>
    </row>
    <row r="443">
      <c r="A443" s="74" t="inlineStr">
        <is>
          <t>[서흥남동]</t>
        </is>
      </c>
      <c r="B443" s="74" t="n">
        <v>16994</v>
      </c>
      <c r="C443" s="74" t="n">
        <v>4</v>
      </c>
      <c r="D443" s="74" t="inlineStr">
        <is>
          <t>고려타운</t>
        </is>
      </c>
      <c r="E443" s="74" t="inlineStr">
        <is>
          <t>1992.05.</t>
        </is>
      </c>
      <c r="F443" s="74" t="n">
        <v>226</v>
      </c>
      <c r="G443" s="74" t="n">
        <v>23.25</v>
      </c>
      <c r="H443" s="74" t="n">
        <v>76.87</v>
      </c>
      <c r="I443" s="74" t="n">
        <v>18</v>
      </c>
      <c r="J443" s="74" t="n">
        <v>59.52</v>
      </c>
      <c r="K443" s="74" t="n">
        <v>56</v>
      </c>
      <c r="T443" s="74" t="n">
        <v>3</v>
      </c>
      <c r="U443" s="74" t="n">
        <v>2</v>
      </c>
      <c r="V443" s="74" t="inlineStr">
        <is>
          <t>계단식</t>
        </is>
      </c>
      <c r="W443" s="74" t="inlineStr">
        <is>
          <t>76C</t>
        </is>
      </c>
      <c r="X443" s="74" t="n">
        <v>6</v>
      </c>
      <c r="Y443" s="74" t="n">
        <v>5</v>
      </c>
      <c r="Z443" s="74" t="inlineStr">
        <is>
          <t>https://new.land.naver.com/complexes/16994?tab=detail&amp;rf=Y</t>
        </is>
      </c>
      <c r="AA443" s="74" t="inlineStr">
        <is>
          <t>전라북도 군산시 서흥남동 818-2</t>
        </is>
      </c>
      <c r="AB443" s="74" t="inlineStr">
        <is>
          <t>전라북도</t>
        </is>
      </c>
      <c r="AC443" s="74" t="inlineStr">
        <is>
          <t>군산시</t>
        </is>
      </c>
      <c r="AD443" s="74" t="inlineStr">
        <is>
          <t>서흥남동</t>
        </is>
      </c>
      <c r="AG443" s="74" t="inlineStr">
        <is>
          <t>전라북도 군산시 서흥2길 56</t>
        </is>
      </c>
      <c r="AH443" s="74" t="n">
        <v>0</v>
      </c>
      <c r="AI443" s="74" t="n">
        <v>0</v>
      </c>
      <c r="AJ443" s="74" t="n">
        <v>0</v>
      </c>
      <c r="AK443" s="74" t="n">
        <v>0</v>
      </c>
      <c r="AL443" s="74" t="n">
        <v>0</v>
      </c>
    </row>
    <row r="444">
      <c r="A444" s="74" t="inlineStr">
        <is>
          <t>[서흥남동]</t>
        </is>
      </c>
      <c r="B444" s="74" t="n">
        <v>16994</v>
      </c>
      <c r="C444" s="74" t="n">
        <v>5</v>
      </c>
      <c r="D444" s="74" t="inlineStr">
        <is>
          <t>고려타운</t>
        </is>
      </c>
      <c r="E444" s="74" t="inlineStr">
        <is>
          <t>1992.05.</t>
        </is>
      </c>
      <c r="F444" s="74" t="n">
        <v>226</v>
      </c>
      <c r="G444" s="74" t="n">
        <v>23.44</v>
      </c>
      <c r="H444" s="74" t="n">
        <v>77.52</v>
      </c>
      <c r="I444" s="74" t="n">
        <v>18.06</v>
      </c>
      <c r="J444" s="74" t="n">
        <v>59.73</v>
      </c>
      <c r="K444" s="74" t="n">
        <v>60</v>
      </c>
      <c r="T444" s="74" t="n">
        <v>3</v>
      </c>
      <c r="U444" s="74" t="n">
        <v>2</v>
      </c>
      <c r="V444" s="74" t="inlineStr">
        <is>
          <t>계단식</t>
        </is>
      </c>
      <c r="W444" s="74" t="inlineStr">
        <is>
          <t>77B</t>
        </is>
      </c>
      <c r="X444" s="74" t="n">
        <v>6</v>
      </c>
      <c r="Y444" s="74" t="n">
        <v>5</v>
      </c>
      <c r="Z444" s="74" t="inlineStr">
        <is>
          <t>https://new.land.naver.com/complexes/16994?tab=detail&amp;rf=Y</t>
        </is>
      </c>
      <c r="AA444" s="74" t="inlineStr">
        <is>
          <t>전라북도 군산시 서흥남동 818-2</t>
        </is>
      </c>
      <c r="AB444" s="74" t="inlineStr">
        <is>
          <t>전라북도</t>
        </is>
      </c>
      <c r="AC444" s="74" t="inlineStr">
        <is>
          <t>군산시</t>
        </is>
      </c>
      <c r="AD444" s="74" t="inlineStr">
        <is>
          <t>서흥남동</t>
        </is>
      </c>
      <c r="AG444" s="74" t="inlineStr">
        <is>
          <t>전라북도 군산시 서흥2길 56</t>
        </is>
      </c>
      <c r="AH444" s="74" t="n">
        <v>0</v>
      </c>
      <c r="AI444" s="74" t="n">
        <v>0</v>
      </c>
      <c r="AJ444" s="74" t="n">
        <v>0</v>
      </c>
      <c r="AK444" s="74" t="n">
        <v>0</v>
      </c>
      <c r="AL444" s="74" t="n">
        <v>0</v>
      </c>
    </row>
    <row r="445">
      <c r="A445" s="74" t="inlineStr">
        <is>
          <t>[서흥남동]</t>
        </is>
      </c>
      <c r="B445" s="74" t="n">
        <v>16994</v>
      </c>
      <c r="C445" s="74" t="n">
        <v>6</v>
      </c>
      <c r="D445" s="74" t="inlineStr">
        <is>
          <t>고려타운</t>
        </is>
      </c>
      <c r="E445" s="74" t="inlineStr">
        <is>
          <t>1992.05.</t>
        </is>
      </c>
      <c r="F445" s="74" t="n">
        <v>226</v>
      </c>
      <c r="G445" s="74" t="n">
        <v>23.43</v>
      </c>
      <c r="H445" s="74" t="n">
        <v>77.45999999999999</v>
      </c>
      <c r="I445" s="74" t="n">
        <v>18</v>
      </c>
      <c r="J445" s="74" t="n">
        <v>59.52</v>
      </c>
      <c r="K445" s="74" t="n">
        <v>20</v>
      </c>
      <c r="T445" s="74" t="n">
        <v>3</v>
      </c>
      <c r="U445" s="74" t="n">
        <v>2</v>
      </c>
      <c r="V445" s="74" t="inlineStr">
        <is>
          <t>계단식</t>
        </is>
      </c>
      <c r="W445" s="74" t="inlineStr">
        <is>
          <t>77D</t>
        </is>
      </c>
      <c r="X445" s="74" t="n">
        <v>6</v>
      </c>
      <c r="Y445" s="74" t="n">
        <v>5</v>
      </c>
      <c r="Z445" s="74" t="inlineStr">
        <is>
          <t>https://new.land.naver.com/complexes/16994?tab=detail&amp;rf=Y</t>
        </is>
      </c>
      <c r="AA445" s="74" t="inlineStr">
        <is>
          <t>전라북도 군산시 서흥남동 818-2</t>
        </is>
      </c>
      <c r="AB445" s="74" t="inlineStr">
        <is>
          <t>전라북도</t>
        </is>
      </c>
      <c r="AC445" s="74" t="inlineStr">
        <is>
          <t>군산시</t>
        </is>
      </c>
      <c r="AD445" s="74" t="inlineStr">
        <is>
          <t>서흥남동</t>
        </is>
      </c>
      <c r="AG445" s="74" t="inlineStr">
        <is>
          <t>전라북도 군산시 서흥2길 56</t>
        </is>
      </c>
      <c r="AH445" s="74" t="n">
        <v>0</v>
      </c>
      <c r="AI445" s="74" t="n">
        <v>0</v>
      </c>
      <c r="AJ445" s="74" t="n">
        <v>0</v>
      </c>
      <c r="AK445" s="74" t="n">
        <v>0</v>
      </c>
      <c r="AL445" s="74" t="n">
        <v>0</v>
      </c>
    </row>
    <row r="446">
      <c r="A446" s="74" t="inlineStr">
        <is>
          <t>[서흥남동]</t>
        </is>
      </c>
      <c r="B446" s="74" t="n">
        <v>16994</v>
      </c>
      <c r="C446" s="74" t="n">
        <v>7</v>
      </c>
      <c r="D446" s="74" t="inlineStr">
        <is>
          <t>고려타운</t>
        </is>
      </c>
      <c r="E446" s="74" t="inlineStr">
        <is>
          <t>1992.05.</t>
        </is>
      </c>
      <c r="F446" s="74" t="n">
        <v>226</v>
      </c>
      <c r="G446" s="74" t="n">
        <v>31.71</v>
      </c>
      <c r="H446" s="74" t="n">
        <v>104.85</v>
      </c>
      <c r="I446" s="74" t="n">
        <v>25.63</v>
      </c>
      <c r="J446" s="74" t="n">
        <v>84.75</v>
      </c>
      <c r="K446" s="74" t="n">
        <v>6</v>
      </c>
      <c r="T446" s="74" t="n">
        <v>3</v>
      </c>
      <c r="U446" s="74" t="n">
        <v>2</v>
      </c>
      <c r="V446" s="74" t="inlineStr">
        <is>
          <t>계단식</t>
        </is>
      </c>
      <c r="W446" s="74" t="inlineStr">
        <is>
          <t>104B</t>
        </is>
      </c>
      <c r="X446" s="74" t="n">
        <v>6</v>
      </c>
      <c r="Y446" s="74" t="n">
        <v>5</v>
      </c>
      <c r="Z446" s="74" t="inlineStr">
        <is>
          <t>https://new.land.naver.com/complexes/16994?tab=detail&amp;rf=Y</t>
        </is>
      </c>
      <c r="AA446" s="74" t="inlineStr">
        <is>
          <t>전라북도 군산시 서흥남동 818-2</t>
        </is>
      </c>
      <c r="AB446" s="74" t="inlineStr">
        <is>
          <t>전라북도</t>
        </is>
      </c>
      <c r="AC446" s="74" t="inlineStr">
        <is>
          <t>군산시</t>
        </is>
      </c>
      <c r="AD446" s="74" t="inlineStr">
        <is>
          <t>서흥남동</t>
        </is>
      </c>
      <c r="AG446" s="74" t="inlineStr">
        <is>
          <t>전라북도 군산시 서흥2길 56</t>
        </is>
      </c>
      <c r="AH446" s="74" t="n">
        <v>0</v>
      </c>
      <c r="AI446" s="74" t="n">
        <v>0</v>
      </c>
      <c r="AJ446" s="74" t="n">
        <v>0</v>
      </c>
      <c r="AK446" s="74" t="n">
        <v>0</v>
      </c>
      <c r="AL446" s="74" t="n">
        <v>0</v>
      </c>
    </row>
    <row r="447">
      <c r="A447" s="74" t="inlineStr">
        <is>
          <t>[서흥남동]</t>
        </is>
      </c>
      <c r="B447" s="74" t="n">
        <v>16994</v>
      </c>
      <c r="C447" s="74" t="n">
        <v>8</v>
      </c>
      <c r="D447" s="74" t="inlineStr">
        <is>
          <t>고려타운</t>
        </is>
      </c>
      <c r="E447" s="74" t="inlineStr">
        <is>
          <t>1992.05.</t>
        </is>
      </c>
      <c r="F447" s="74" t="n">
        <v>226</v>
      </c>
      <c r="G447" s="74" t="n">
        <v>31.87</v>
      </c>
      <c r="H447" s="74" t="n">
        <v>105.37</v>
      </c>
      <c r="I447" s="74" t="n">
        <v>25.57</v>
      </c>
      <c r="J447" s="74" t="n">
        <v>84.55</v>
      </c>
      <c r="K447" s="74" t="n">
        <v>24</v>
      </c>
      <c r="T447" s="74" t="n">
        <v>3</v>
      </c>
      <c r="U447" s="74" t="n">
        <v>2</v>
      </c>
      <c r="V447" s="74" t="inlineStr">
        <is>
          <t>계단식</t>
        </is>
      </c>
      <c r="W447" s="74" t="inlineStr">
        <is>
          <t>105A</t>
        </is>
      </c>
      <c r="X447" s="74" t="n">
        <v>6</v>
      </c>
      <c r="Y447" s="74" t="n">
        <v>5</v>
      </c>
      <c r="Z447" s="74" t="inlineStr">
        <is>
          <t>https://new.land.naver.com/complexes/16994?tab=detail&amp;rf=Y</t>
        </is>
      </c>
      <c r="AA447" s="74" t="inlineStr">
        <is>
          <t>전라북도 군산시 서흥남동 818-2</t>
        </is>
      </c>
      <c r="AB447" s="74" t="inlineStr">
        <is>
          <t>전라북도</t>
        </is>
      </c>
      <c r="AC447" s="74" t="inlineStr">
        <is>
          <t>군산시</t>
        </is>
      </c>
      <c r="AD447" s="74" t="inlineStr">
        <is>
          <t>서흥남동</t>
        </is>
      </c>
      <c r="AG447" s="74" t="inlineStr">
        <is>
          <t>전라북도 군산시 서흥2길 56</t>
        </is>
      </c>
      <c r="AH447" s="74" t="n">
        <v>0</v>
      </c>
      <c r="AI447" s="74" t="n">
        <v>0</v>
      </c>
      <c r="AJ447" s="74" t="n">
        <v>0</v>
      </c>
      <c r="AK447" s="74" t="n">
        <v>0</v>
      </c>
      <c r="AL447" s="74" t="n">
        <v>0</v>
      </c>
    </row>
    <row r="448">
      <c r="A448" s="74" t="inlineStr">
        <is>
          <t>[서흥남동]</t>
        </is>
      </c>
      <c r="B448" s="74" t="n">
        <v>16994</v>
      </c>
      <c r="C448" s="74" t="n">
        <v>9</v>
      </c>
      <c r="D448" s="74" t="inlineStr">
        <is>
          <t>고려타운</t>
        </is>
      </c>
      <c r="E448" s="74" t="inlineStr">
        <is>
          <t>1992.05.</t>
        </is>
      </c>
      <c r="F448" s="74" t="n">
        <v>226</v>
      </c>
      <c r="G448" s="74" t="n">
        <v>33.27</v>
      </c>
      <c r="H448" s="74" t="n">
        <v>109.99</v>
      </c>
      <c r="I448" s="74" t="n">
        <v>24.39</v>
      </c>
      <c r="J448" s="74" t="n">
        <v>80.63</v>
      </c>
      <c r="K448" s="74" t="n">
        <v>5</v>
      </c>
      <c r="T448" s="74" t="n">
        <v>3</v>
      </c>
      <c r="U448" s="74" t="n">
        <v>2</v>
      </c>
      <c r="V448" s="74" t="inlineStr">
        <is>
          <t>복도식</t>
        </is>
      </c>
      <c r="W448" s="74" t="n">
        <v>109</v>
      </c>
      <c r="X448" s="74" t="n">
        <v>6</v>
      </c>
      <c r="Y448" s="74" t="n">
        <v>5</v>
      </c>
      <c r="Z448" s="74" t="inlineStr">
        <is>
          <t>https://new.land.naver.com/complexes/16994?tab=detail&amp;rf=Y</t>
        </is>
      </c>
      <c r="AA448" s="74" t="inlineStr">
        <is>
          <t>전라북도 군산시 서흥남동 818-2</t>
        </is>
      </c>
      <c r="AB448" s="74" t="inlineStr">
        <is>
          <t>전라북도</t>
        </is>
      </c>
      <c r="AC448" s="74" t="inlineStr">
        <is>
          <t>군산시</t>
        </is>
      </c>
      <c r="AD448" s="74" t="inlineStr">
        <is>
          <t>서흥남동</t>
        </is>
      </c>
      <c r="AG448" s="74" t="inlineStr">
        <is>
          <t>전라북도 군산시 서흥2길 56</t>
        </is>
      </c>
      <c r="AH448" s="74" t="n">
        <v>0</v>
      </c>
      <c r="AI448" s="74" t="n">
        <v>0</v>
      </c>
      <c r="AJ448" s="74" t="n">
        <v>0</v>
      </c>
      <c r="AK448" s="74" t="n">
        <v>0</v>
      </c>
      <c r="AL448" s="74" t="n">
        <v>0</v>
      </c>
    </row>
    <row r="449">
      <c r="A449" s="74" t="inlineStr">
        <is>
          <t>[서흥남동]</t>
        </is>
      </c>
      <c r="B449" s="74" t="n">
        <v>16994</v>
      </c>
      <c r="C449" s="74" t="n">
        <v>10</v>
      </c>
      <c r="D449" s="74" t="inlineStr">
        <is>
          <t>고려타운</t>
        </is>
      </c>
      <c r="E449" s="74" t="inlineStr">
        <is>
          <t>1992.05.</t>
        </is>
      </c>
      <c r="F449" s="74" t="n">
        <v>226</v>
      </c>
      <c r="G449" s="74" t="n">
        <v>33.51</v>
      </c>
      <c r="H449" s="74" t="n">
        <v>110.8</v>
      </c>
      <c r="I449" s="74" t="n">
        <v>24.58</v>
      </c>
      <c r="J449" s="74" t="n">
        <v>81.28</v>
      </c>
      <c r="K449" s="74" t="n">
        <v>5</v>
      </c>
      <c r="T449" s="74" t="n">
        <v>3</v>
      </c>
      <c r="U449" s="74" t="n">
        <v>2</v>
      </c>
      <c r="V449" s="74" t="inlineStr">
        <is>
          <t>복도식</t>
        </is>
      </c>
      <c r="W449" s="74" t="n">
        <v>110</v>
      </c>
      <c r="X449" s="74" t="n">
        <v>6</v>
      </c>
      <c r="Y449" s="74" t="n">
        <v>5</v>
      </c>
      <c r="Z449" s="74" t="inlineStr">
        <is>
          <t>https://new.land.naver.com/complexes/16994?tab=detail&amp;rf=Y</t>
        </is>
      </c>
      <c r="AA449" s="74" t="inlineStr">
        <is>
          <t>전라북도 군산시 서흥남동 818-2</t>
        </is>
      </c>
      <c r="AB449" s="74" t="inlineStr">
        <is>
          <t>전라북도</t>
        </is>
      </c>
      <c r="AC449" s="74" t="inlineStr">
        <is>
          <t>군산시</t>
        </is>
      </c>
      <c r="AD449" s="74" t="inlineStr">
        <is>
          <t>서흥남동</t>
        </is>
      </c>
      <c r="AG449" s="74" t="inlineStr">
        <is>
          <t>전라북도 군산시 서흥2길 56</t>
        </is>
      </c>
      <c r="AH449" s="74" t="n">
        <v>0</v>
      </c>
      <c r="AI449" s="74" t="n">
        <v>0</v>
      </c>
      <c r="AJ449" s="74" t="n">
        <v>0</v>
      </c>
      <c r="AK449" s="74" t="n">
        <v>0</v>
      </c>
      <c r="AL449" s="74" t="n">
        <v>0</v>
      </c>
    </row>
    <row r="450">
      <c r="A450" s="74" t="inlineStr">
        <is>
          <t>[소룡동]</t>
        </is>
      </c>
      <c r="B450" s="74" t="n">
        <v>11526</v>
      </c>
      <c r="C450" s="74" t="n">
        <v>1</v>
      </c>
      <c r="D450" s="74" t="inlineStr">
        <is>
          <t>군산성원</t>
        </is>
      </c>
      <c r="E450" s="74" t="inlineStr">
        <is>
          <t>2004.07.</t>
        </is>
      </c>
      <c r="F450" s="74" t="n">
        <v>675</v>
      </c>
      <c r="G450" s="74" t="n">
        <v>22.69</v>
      </c>
      <c r="H450" s="74" t="n">
        <v>75.01000000000001</v>
      </c>
      <c r="I450" s="74" t="n">
        <v>18.05</v>
      </c>
      <c r="J450" s="74" t="n">
        <v>59.68</v>
      </c>
      <c r="K450" s="74" t="n">
        <v>270</v>
      </c>
      <c r="T450" s="74" t="n">
        <v>3</v>
      </c>
      <c r="U450" s="74" t="n">
        <v>1</v>
      </c>
      <c r="V450" s="74" t="inlineStr">
        <is>
          <t>계단식</t>
        </is>
      </c>
      <c r="W450" s="74" t="n">
        <v>75</v>
      </c>
      <c r="X450" s="74" t="n">
        <v>15</v>
      </c>
      <c r="Y450" s="74" t="n">
        <v>15</v>
      </c>
      <c r="Z450" s="74" t="inlineStr">
        <is>
          <t>https://new.land.naver.com/complexes/11526?tab=detail&amp;rf=Y</t>
        </is>
      </c>
      <c r="AA450" s="74" t="inlineStr">
        <is>
          <t>전라북도 군산시 소룡동 1010</t>
        </is>
      </c>
      <c r="AB450" s="74" t="inlineStr">
        <is>
          <t>전라북도</t>
        </is>
      </c>
      <c r="AC450" s="74" t="inlineStr">
        <is>
          <t>군산시</t>
        </is>
      </c>
      <c r="AD450" s="74" t="inlineStr">
        <is>
          <t>소룡동</t>
        </is>
      </c>
      <c r="AG450" s="74" t="inlineStr">
        <is>
          <t>전라북도 군산시 해망로 447</t>
        </is>
      </c>
      <c r="AH450" s="74" t="n">
        <v>0</v>
      </c>
      <c r="AI450" s="74" t="n">
        <v>173</v>
      </c>
      <c r="AJ450" s="74" t="n">
        <v>14</v>
      </c>
      <c r="AK450" s="74" t="n">
        <v>714</v>
      </c>
      <c r="AL450" s="74" t="n">
        <v>1.06</v>
      </c>
    </row>
    <row r="451">
      <c r="A451" s="74" t="inlineStr">
        <is>
          <t>[소룡동]</t>
        </is>
      </c>
      <c r="B451" s="74" t="n">
        <v>11526</v>
      </c>
      <c r="C451" s="74" t="n">
        <v>2</v>
      </c>
      <c r="D451" s="74" t="inlineStr">
        <is>
          <t>군산성원</t>
        </is>
      </c>
      <c r="E451" s="74" t="inlineStr">
        <is>
          <t>2004.07.</t>
        </is>
      </c>
      <c r="F451" s="74" t="n">
        <v>675</v>
      </c>
      <c r="G451" s="74" t="n">
        <v>32.29</v>
      </c>
      <c r="H451" s="74" t="n">
        <v>106.76</v>
      </c>
      <c r="I451" s="74" t="n">
        <v>25.69</v>
      </c>
      <c r="J451" s="74" t="n">
        <v>84.95</v>
      </c>
      <c r="K451" s="74" t="n">
        <v>405</v>
      </c>
      <c r="T451" s="74" t="n">
        <v>3</v>
      </c>
      <c r="U451" s="74" t="n">
        <v>2</v>
      </c>
      <c r="V451" s="74" t="inlineStr">
        <is>
          <t>계단식</t>
        </is>
      </c>
      <c r="W451" s="74" t="n">
        <v>106</v>
      </c>
      <c r="X451" s="74" t="n">
        <v>15</v>
      </c>
      <c r="Y451" s="74" t="n">
        <v>15</v>
      </c>
      <c r="Z451" s="74" t="inlineStr">
        <is>
          <t>https://new.land.naver.com/complexes/11526?tab=detail&amp;rf=Y</t>
        </is>
      </c>
      <c r="AA451" s="74" t="inlineStr">
        <is>
          <t>전라북도 군산시 소룡동 1010</t>
        </is>
      </c>
      <c r="AB451" s="74" t="inlineStr">
        <is>
          <t>전라북도</t>
        </is>
      </c>
      <c r="AC451" s="74" t="inlineStr">
        <is>
          <t>군산시</t>
        </is>
      </c>
      <c r="AD451" s="74" t="inlineStr">
        <is>
          <t>소룡동</t>
        </is>
      </c>
      <c r="AG451" s="74" t="inlineStr">
        <is>
          <t>전라북도 군산시 해망로 447</t>
        </is>
      </c>
      <c r="AH451" s="74" t="n">
        <v>0</v>
      </c>
      <c r="AI451" s="74" t="n">
        <v>173</v>
      </c>
      <c r="AJ451" s="74" t="n">
        <v>14</v>
      </c>
      <c r="AK451" s="74" t="n">
        <v>714</v>
      </c>
      <c r="AL451" s="74" t="n">
        <v>1.06</v>
      </c>
    </row>
    <row r="452">
      <c r="A452" s="74" t="inlineStr">
        <is>
          <t>[소룡동]</t>
        </is>
      </c>
      <c r="B452" s="74" t="n">
        <v>104844</v>
      </c>
      <c r="C452" s="74" t="n">
        <v>1</v>
      </c>
      <c r="D452" s="74" t="inlineStr">
        <is>
          <t>나우하이츠</t>
        </is>
      </c>
      <c r="E452" s="74" t="inlineStr">
        <is>
          <t>2001.07.</t>
        </is>
      </c>
      <c r="F452" s="74" t="n">
        <v>118</v>
      </c>
      <c r="G452" s="74" t="n">
        <v>30.21</v>
      </c>
      <c r="H452" s="74" t="n">
        <v>99.90000000000001</v>
      </c>
      <c r="I452" s="74" t="n">
        <v>22.67</v>
      </c>
      <c r="J452" s="74" t="n">
        <v>74.97</v>
      </c>
      <c r="K452" s="74" t="n">
        <v>118</v>
      </c>
      <c r="T452" s="74" t="n">
        <v>3</v>
      </c>
      <c r="U452" s="74" t="n">
        <v>2</v>
      </c>
      <c r="V452" s="74" t="inlineStr">
        <is>
          <t>계단식</t>
        </is>
      </c>
      <c r="W452" s="74" t="n">
        <v>99</v>
      </c>
      <c r="X452" s="74" t="n">
        <v>15</v>
      </c>
      <c r="Y452" s="74" t="n">
        <v>10</v>
      </c>
      <c r="Z452" s="74" t="inlineStr">
        <is>
          <t>https://new.land.naver.com/complexes/104844?tab=detail&amp;rf=Y</t>
        </is>
      </c>
      <c r="AA452" s="74" t="inlineStr">
        <is>
          <t>전라북도 군산시 소룡동 1347-12</t>
        </is>
      </c>
      <c r="AB452" s="74" t="inlineStr">
        <is>
          <t>전라북도</t>
        </is>
      </c>
      <c r="AC452" s="74" t="inlineStr">
        <is>
          <t>군산시</t>
        </is>
      </c>
      <c r="AD452" s="74" t="inlineStr">
        <is>
          <t>소룡동</t>
        </is>
      </c>
      <c r="AG452" s="74" t="inlineStr">
        <is>
          <t>전라북도 군산시 설림길 61</t>
        </is>
      </c>
      <c r="AH452" s="74" t="n">
        <v>0</v>
      </c>
      <c r="AI452" s="74" t="n">
        <v>271</v>
      </c>
      <c r="AJ452" s="74" t="n">
        <v>23</v>
      </c>
      <c r="AK452" s="74" t="n">
        <v>119</v>
      </c>
      <c r="AL452" s="74" t="n">
        <v>1.01</v>
      </c>
    </row>
    <row r="453">
      <c r="A453" s="74" t="inlineStr">
        <is>
          <t>[소룡동]</t>
        </is>
      </c>
      <c r="B453" s="74" t="n">
        <v>101215</v>
      </c>
      <c r="C453" s="74" t="n">
        <v>1</v>
      </c>
      <c r="D453" s="74" t="inlineStr">
        <is>
          <t>금강골드빌</t>
        </is>
      </c>
      <c r="E453" s="74" t="inlineStr">
        <is>
          <t>2003.02.</t>
        </is>
      </c>
      <c r="F453" s="74" t="n">
        <v>294</v>
      </c>
      <c r="G453" s="74" t="n">
        <v>34.36</v>
      </c>
      <c r="H453" s="74" t="n">
        <v>113.61</v>
      </c>
      <c r="I453" s="74" t="n">
        <v>25.63</v>
      </c>
      <c r="J453" s="74" t="n">
        <v>84.73999999999999</v>
      </c>
      <c r="K453" s="74" t="n">
        <v>294</v>
      </c>
      <c r="T453" s="74" t="n">
        <v>3</v>
      </c>
      <c r="U453" s="74" t="n">
        <v>2</v>
      </c>
      <c r="V453" s="74" t="inlineStr">
        <is>
          <t>계단식</t>
        </is>
      </c>
      <c r="W453" s="74" t="n">
        <v>113</v>
      </c>
      <c r="X453" s="74" t="n">
        <v>10</v>
      </c>
      <c r="Y453" s="74" t="n">
        <v>8</v>
      </c>
      <c r="Z453" s="74" t="inlineStr">
        <is>
          <t>https://new.land.naver.com/complexes/101215?tab=detail&amp;rf=Y</t>
        </is>
      </c>
      <c r="AA453" s="74" t="inlineStr">
        <is>
          <t>전라북도 군산시 소룡동 1349</t>
        </is>
      </c>
      <c r="AB453" s="74" t="inlineStr">
        <is>
          <t>전라북도</t>
        </is>
      </c>
      <c r="AC453" s="74" t="inlineStr">
        <is>
          <t>군산시</t>
        </is>
      </c>
      <c r="AD453" s="74" t="inlineStr">
        <is>
          <t>소룡동</t>
        </is>
      </c>
      <c r="AG453" s="74" t="inlineStr">
        <is>
          <t>전라북도 군산시 설림2길 33-1</t>
        </is>
      </c>
      <c r="AH453" s="74" t="n">
        <v>0</v>
      </c>
      <c r="AI453" s="74" t="n">
        <v>142</v>
      </c>
      <c r="AJ453" s="74" t="n">
        <v>21</v>
      </c>
      <c r="AK453" s="74" t="n">
        <v>299</v>
      </c>
      <c r="AL453" s="74" t="n">
        <v>1.02</v>
      </c>
    </row>
    <row r="454">
      <c r="A454" s="74" t="inlineStr">
        <is>
          <t>[소룡동]</t>
        </is>
      </c>
      <c r="B454" s="74" t="n">
        <v>5054</v>
      </c>
      <c r="C454" s="74" t="n">
        <v>1</v>
      </c>
      <c r="D454" s="74" t="inlineStr">
        <is>
          <t>그린서해맨션</t>
        </is>
      </c>
      <c r="E454" s="74" t="inlineStr">
        <is>
          <t>1993.12.</t>
        </is>
      </c>
      <c r="F454" s="74" t="n">
        <v>350</v>
      </c>
      <c r="G454" s="74" t="n">
        <v>23.53</v>
      </c>
      <c r="H454" s="74" t="n">
        <v>77.79000000000001</v>
      </c>
      <c r="I454" s="74" t="n">
        <v>17.96</v>
      </c>
      <c r="J454" s="74" t="n">
        <v>59.4</v>
      </c>
      <c r="K454" s="74" t="n">
        <v>174</v>
      </c>
      <c r="T454" s="74" t="n">
        <v>3</v>
      </c>
      <c r="U454" s="74" t="n">
        <v>1</v>
      </c>
      <c r="V454" s="74" t="inlineStr">
        <is>
          <t>복도식</t>
        </is>
      </c>
      <c r="W454" s="74" t="inlineStr">
        <is>
          <t>77A</t>
        </is>
      </c>
      <c r="X454" s="74" t="n">
        <v>15</v>
      </c>
      <c r="Y454" s="74" t="n">
        <v>10</v>
      </c>
      <c r="Z454" s="74" t="inlineStr">
        <is>
          <t>https://new.land.naver.com/complexes/5054?tab=detail&amp;rf=Y</t>
        </is>
      </c>
      <c r="AA454" s="74" t="inlineStr">
        <is>
          <t>전라북도 군산시 소룡동 857</t>
        </is>
      </c>
      <c r="AB454" s="74" t="inlineStr">
        <is>
          <t>전라북도</t>
        </is>
      </c>
      <c r="AC454" s="74" t="inlineStr">
        <is>
          <t>군산시</t>
        </is>
      </c>
      <c r="AD454" s="74" t="inlineStr">
        <is>
          <t>소룡동</t>
        </is>
      </c>
      <c r="AG454" s="74" t="inlineStr">
        <is>
          <t>전라북도 군산시 풍전3길 30</t>
        </is>
      </c>
      <c r="AH454" s="74" t="n">
        <v>0</v>
      </c>
      <c r="AI454" s="74" t="n">
        <v>247</v>
      </c>
      <c r="AJ454" s="74" t="n">
        <v>21</v>
      </c>
      <c r="AK454" s="74" t="n">
        <v>374</v>
      </c>
      <c r="AL454" s="74" t="n">
        <v>1.07</v>
      </c>
    </row>
    <row r="455">
      <c r="A455" s="74" t="inlineStr">
        <is>
          <t>[소룡동]</t>
        </is>
      </c>
      <c r="B455" s="74" t="n">
        <v>5054</v>
      </c>
      <c r="C455" s="74" t="n">
        <v>2</v>
      </c>
      <c r="D455" s="74" t="inlineStr">
        <is>
          <t>그린서해맨션</t>
        </is>
      </c>
      <c r="E455" s="74" t="inlineStr">
        <is>
          <t>1993.12.</t>
        </is>
      </c>
      <c r="F455" s="74" t="n">
        <v>350</v>
      </c>
      <c r="G455" s="74" t="n">
        <v>23.99</v>
      </c>
      <c r="H455" s="74" t="n">
        <v>79.33</v>
      </c>
      <c r="I455" s="74" t="n">
        <v>17.96</v>
      </c>
      <c r="J455" s="74" t="n">
        <v>59.4</v>
      </c>
      <c r="K455" s="74" t="n">
        <v>60</v>
      </c>
      <c r="T455" s="74" t="n">
        <v>3</v>
      </c>
      <c r="U455" s="74" t="n">
        <v>1</v>
      </c>
      <c r="V455" s="74" t="inlineStr">
        <is>
          <t>복도식</t>
        </is>
      </c>
      <c r="W455" s="74" t="inlineStr">
        <is>
          <t>79B</t>
        </is>
      </c>
      <c r="X455" s="74" t="n">
        <v>15</v>
      </c>
      <c r="Y455" s="74" t="n">
        <v>10</v>
      </c>
      <c r="Z455" s="74" t="inlineStr">
        <is>
          <t>https://new.land.naver.com/complexes/5054?tab=detail&amp;rf=Y</t>
        </is>
      </c>
      <c r="AA455" s="74" t="inlineStr">
        <is>
          <t>전라북도 군산시 소룡동 857</t>
        </is>
      </c>
      <c r="AB455" s="74" t="inlineStr">
        <is>
          <t>전라북도</t>
        </is>
      </c>
      <c r="AC455" s="74" t="inlineStr">
        <is>
          <t>군산시</t>
        </is>
      </c>
      <c r="AD455" s="74" t="inlineStr">
        <is>
          <t>소룡동</t>
        </is>
      </c>
      <c r="AG455" s="74" t="inlineStr">
        <is>
          <t>전라북도 군산시 풍전3길 30</t>
        </is>
      </c>
      <c r="AH455" s="74" t="n">
        <v>0</v>
      </c>
      <c r="AI455" s="74" t="n">
        <v>247</v>
      </c>
      <c r="AJ455" s="74" t="n">
        <v>21</v>
      </c>
      <c r="AK455" s="74" t="n">
        <v>374</v>
      </c>
      <c r="AL455" s="74" t="n">
        <v>1.07</v>
      </c>
    </row>
    <row r="456">
      <c r="A456" s="74" t="inlineStr">
        <is>
          <t>[소룡동]</t>
        </is>
      </c>
      <c r="B456" s="74" t="n">
        <v>5054</v>
      </c>
      <c r="C456" s="74" t="n">
        <v>3</v>
      </c>
      <c r="D456" s="74" t="inlineStr">
        <is>
          <t>그린서해맨션</t>
        </is>
      </c>
      <c r="E456" s="74" t="inlineStr">
        <is>
          <t>1993.12.</t>
        </is>
      </c>
      <c r="F456" s="74" t="n">
        <v>350</v>
      </c>
      <c r="G456" s="74" t="n">
        <v>27.64</v>
      </c>
      <c r="H456" s="74" t="n">
        <v>91.39</v>
      </c>
      <c r="I456" s="74" t="n">
        <v>22.67</v>
      </c>
      <c r="J456" s="74" t="n">
        <v>74.95</v>
      </c>
      <c r="K456" s="74" t="n">
        <v>59</v>
      </c>
      <c r="T456" s="74" t="n">
        <v>3</v>
      </c>
      <c r="U456" s="74" t="n">
        <v>1</v>
      </c>
      <c r="V456" s="74" t="inlineStr">
        <is>
          <t>계단식</t>
        </is>
      </c>
      <c r="W456" s="74" t="n">
        <v>91</v>
      </c>
      <c r="X456" s="74" t="n">
        <v>15</v>
      </c>
      <c r="Y456" s="74" t="n">
        <v>10</v>
      </c>
      <c r="Z456" s="74" t="inlineStr">
        <is>
          <t>https://new.land.naver.com/complexes/5054?tab=detail&amp;rf=Y</t>
        </is>
      </c>
      <c r="AA456" s="74" t="inlineStr">
        <is>
          <t>전라북도 군산시 소룡동 857</t>
        </is>
      </c>
      <c r="AB456" s="74" t="inlineStr">
        <is>
          <t>전라북도</t>
        </is>
      </c>
      <c r="AC456" s="74" t="inlineStr">
        <is>
          <t>군산시</t>
        </is>
      </c>
      <c r="AD456" s="74" t="inlineStr">
        <is>
          <t>소룡동</t>
        </is>
      </c>
      <c r="AG456" s="74" t="inlineStr">
        <is>
          <t>전라북도 군산시 풍전3길 30</t>
        </is>
      </c>
      <c r="AH456" s="74" t="n">
        <v>0</v>
      </c>
      <c r="AI456" s="74" t="n">
        <v>247</v>
      </c>
      <c r="AJ456" s="74" t="n">
        <v>21</v>
      </c>
      <c r="AK456" s="74" t="n">
        <v>374</v>
      </c>
      <c r="AL456" s="74" t="n">
        <v>1.07</v>
      </c>
    </row>
    <row r="457">
      <c r="A457" s="74" t="inlineStr">
        <is>
          <t>[소룡동]</t>
        </is>
      </c>
      <c r="B457" s="74" t="n">
        <v>5054</v>
      </c>
      <c r="C457" s="74" t="n">
        <v>4</v>
      </c>
      <c r="D457" s="74" t="inlineStr">
        <is>
          <t>그린서해맨션</t>
        </is>
      </c>
      <c r="E457" s="74" t="inlineStr">
        <is>
          <t>1993.12.</t>
        </is>
      </c>
      <c r="F457" s="74" t="n">
        <v>350</v>
      </c>
      <c r="G457" s="74" t="n">
        <v>30.64</v>
      </c>
      <c r="H457" s="74" t="n">
        <v>101.29</v>
      </c>
      <c r="I457" s="74" t="n">
        <v>22.67</v>
      </c>
      <c r="J457" s="74" t="n">
        <v>74.95</v>
      </c>
      <c r="K457" s="74" t="n">
        <v>1</v>
      </c>
      <c r="T457" s="74" t="n">
        <v>3</v>
      </c>
      <c r="U457" s="74" t="n">
        <v>2</v>
      </c>
      <c r="V457" s="74" t="inlineStr">
        <is>
          <t>계단식</t>
        </is>
      </c>
      <c r="W457" s="74" t="inlineStr">
        <is>
          <t>101A</t>
        </is>
      </c>
      <c r="X457" s="74" t="n">
        <v>15</v>
      </c>
      <c r="Y457" s="74" t="n">
        <v>10</v>
      </c>
      <c r="Z457" s="74" t="inlineStr">
        <is>
          <t>https://new.land.naver.com/complexes/5054?tab=detail&amp;rf=Y</t>
        </is>
      </c>
      <c r="AA457" s="74" t="inlineStr">
        <is>
          <t>전라북도 군산시 소룡동 857</t>
        </is>
      </c>
      <c r="AB457" s="74" t="inlineStr">
        <is>
          <t>전라북도</t>
        </is>
      </c>
      <c r="AC457" s="74" t="inlineStr">
        <is>
          <t>군산시</t>
        </is>
      </c>
      <c r="AD457" s="74" t="inlineStr">
        <is>
          <t>소룡동</t>
        </is>
      </c>
      <c r="AG457" s="74" t="inlineStr">
        <is>
          <t>전라북도 군산시 풍전3길 30</t>
        </is>
      </c>
      <c r="AH457" s="74" t="n">
        <v>0</v>
      </c>
      <c r="AI457" s="74" t="n">
        <v>247</v>
      </c>
      <c r="AJ457" s="74" t="n">
        <v>21</v>
      </c>
      <c r="AK457" s="74" t="n">
        <v>374</v>
      </c>
      <c r="AL457" s="74" t="n">
        <v>1.07</v>
      </c>
    </row>
    <row r="458">
      <c r="A458" s="74" t="inlineStr">
        <is>
          <t>[소룡동]</t>
        </is>
      </c>
      <c r="B458" s="74" t="n">
        <v>5054</v>
      </c>
      <c r="C458" s="74" t="n">
        <v>5</v>
      </c>
      <c r="D458" s="74" t="inlineStr">
        <is>
          <t>그린서해맨션</t>
        </is>
      </c>
      <c r="E458" s="74" t="inlineStr">
        <is>
          <t>1993.12.</t>
        </is>
      </c>
      <c r="F458" s="74" t="n">
        <v>350</v>
      </c>
      <c r="G458" s="74" t="n">
        <v>31.29</v>
      </c>
      <c r="H458" s="74" t="n">
        <v>103.46</v>
      </c>
      <c r="I458" s="74" t="n">
        <v>25.68</v>
      </c>
      <c r="J458" s="74" t="n">
        <v>84.90000000000001</v>
      </c>
      <c r="K458" s="74" t="n">
        <v>52</v>
      </c>
      <c r="T458" s="74" t="n">
        <v>3</v>
      </c>
      <c r="U458" s="74" t="n">
        <v>2</v>
      </c>
      <c r="V458" s="74" t="inlineStr">
        <is>
          <t>계단식</t>
        </is>
      </c>
      <c r="W458" s="74" t="inlineStr">
        <is>
          <t>103B</t>
        </is>
      </c>
      <c r="X458" s="74" t="n">
        <v>15</v>
      </c>
      <c r="Y458" s="74" t="n">
        <v>10</v>
      </c>
      <c r="Z458" s="74" t="inlineStr">
        <is>
          <t>https://new.land.naver.com/complexes/5054?tab=detail&amp;rf=Y</t>
        </is>
      </c>
      <c r="AA458" s="74" t="inlineStr">
        <is>
          <t>전라북도 군산시 소룡동 857</t>
        </is>
      </c>
      <c r="AB458" s="74" t="inlineStr">
        <is>
          <t>전라북도</t>
        </is>
      </c>
      <c r="AC458" s="74" t="inlineStr">
        <is>
          <t>군산시</t>
        </is>
      </c>
      <c r="AD458" s="74" t="inlineStr">
        <is>
          <t>소룡동</t>
        </is>
      </c>
      <c r="AG458" s="74" t="inlineStr">
        <is>
          <t>전라북도 군산시 풍전3길 30</t>
        </is>
      </c>
      <c r="AH458" s="74" t="n">
        <v>0</v>
      </c>
      <c r="AI458" s="74" t="n">
        <v>247</v>
      </c>
      <c r="AJ458" s="74" t="n">
        <v>21</v>
      </c>
      <c r="AK458" s="74" t="n">
        <v>374</v>
      </c>
      <c r="AL458" s="74" t="n">
        <v>1.07</v>
      </c>
    </row>
    <row r="459">
      <c r="A459" s="74" t="inlineStr">
        <is>
          <t>[소룡동]</t>
        </is>
      </c>
      <c r="B459" s="74" t="n">
        <v>5054</v>
      </c>
      <c r="C459" s="74" t="n">
        <v>6</v>
      </c>
      <c r="D459" s="74" t="inlineStr">
        <is>
          <t>그린서해맨션</t>
        </is>
      </c>
      <c r="E459" s="74" t="inlineStr">
        <is>
          <t>1993.12.</t>
        </is>
      </c>
      <c r="F459" s="74" t="n">
        <v>350</v>
      </c>
      <c r="G459" s="74" t="n">
        <v>34.84</v>
      </c>
      <c r="H459" s="74" t="n">
        <v>115.2</v>
      </c>
      <c r="I459" s="74" t="n">
        <v>25.68</v>
      </c>
      <c r="J459" s="74" t="n">
        <v>84.90000000000001</v>
      </c>
      <c r="K459" s="74" t="n">
        <v>4</v>
      </c>
      <c r="T459" s="74" t="n">
        <v>3</v>
      </c>
      <c r="U459" s="74" t="n">
        <v>2</v>
      </c>
      <c r="V459" s="74" t="inlineStr">
        <is>
          <t>복도식</t>
        </is>
      </c>
      <c r="W459" s="74" t="n">
        <v>115</v>
      </c>
      <c r="X459" s="74" t="n">
        <v>15</v>
      </c>
      <c r="Y459" s="74" t="n">
        <v>10</v>
      </c>
      <c r="Z459" s="74" t="inlineStr">
        <is>
          <t>https://new.land.naver.com/complexes/5054?tab=detail&amp;rf=Y</t>
        </is>
      </c>
      <c r="AA459" s="74" t="inlineStr">
        <is>
          <t>전라북도 군산시 소룡동 857</t>
        </is>
      </c>
      <c r="AB459" s="74" t="inlineStr">
        <is>
          <t>전라북도</t>
        </is>
      </c>
      <c r="AC459" s="74" t="inlineStr">
        <is>
          <t>군산시</t>
        </is>
      </c>
      <c r="AD459" s="74" t="inlineStr">
        <is>
          <t>소룡동</t>
        </is>
      </c>
      <c r="AG459" s="74" t="inlineStr">
        <is>
          <t>전라북도 군산시 풍전3길 30</t>
        </is>
      </c>
      <c r="AH459" s="74" t="n">
        <v>0</v>
      </c>
      <c r="AI459" s="74" t="n">
        <v>247</v>
      </c>
      <c r="AJ459" s="74" t="n">
        <v>21</v>
      </c>
      <c r="AK459" s="74" t="n">
        <v>374</v>
      </c>
      <c r="AL459" s="74" t="n">
        <v>1.07</v>
      </c>
    </row>
    <row r="460">
      <c r="A460" s="74" t="inlineStr">
        <is>
          <t>[소룡동]</t>
        </is>
      </c>
      <c r="B460" s="74" t="n">
        <v>5050</v>
      </c>
      <c r="C460" s="74" t="n">
        <v>1</v>
      </c>
      <c r="D460" s="74" t="inlineStr">
        <is>
          <t>동아</t>
        </is>
      </c>
      <c r="E460" s="74" t="inlineStr">
        <is>
          <t>1990.10.</t>
        </is>
      </c>
      <c r="F460" s="74" t="n">
        <v>702</v>
      </c>
      <c r="G460" s="74" t="n">
        <v>24.04</v>
      </c>
      <c r="H460" s="74" t="n">
        <v>79.48999999999999</v>
      </c>
      <c r="I460" s="74" t="n">
        <v>18.3</v>
      </c>
      <c r="J460" s="74" t="n">
        <v>60.52</v>
      </c>
      <c r="K460" s="74" t="n">
        <v>251</v>
      </c>
      <c r="T460" s="74" t="n">
        <v>3</v>
      </c>
      <c r="U460" s="74" t="n">
        <v>1</v>
      </c>
      <c r="V460" s="74" t="inlineStr">
        <is>
          <t>계단식</t>
        </is>
      </c>
      <c r="W460" s="74" t="inlineStr">
        <is>
          <t>79A</t>
        </is>
      </c>
      <c r="X460" s="74" t="n">
        <v>15</v>
      </c>
      <c r="Y460" s="74" t="n">
        <v>12</v>
      </c>
      <c r="Z460" s="74" t="inlineStr">
        <is>
          <t>https://new.land.naver.com/complexes/5050?tab=detail&amp;rf=Y</t>
        </is>
      </c>
      <c r="AA460" s="74" t="inlineStr">
        <is>
          <t>전라북도 군산시 소룡동 1323-13</t>
        </is>
      </c>
      <c r="AB460" s="74" t="inlineStr">
        <is>
          <t>전라북도</t>
        </is>
      </c>
      <c r="AC460" s="74" t="inlineStr">
        <is>
          <t>군산시</t>
        </is>
      </c>
      <c r="AD460" s="74" t="inlineStr">
        <is>
          <t>소룡동</t>
        </is>
      </c>
      <c r="AG460" s="74" t="inlineStr">
        <is>
          <t>전라북도 군산시 동아로 160</t>
        </is>
      </c>
      <c r="AH460" s="74" t="n">
        <v>0</v>
      </c>
      <c r="AI460" s="74" t="n">
        <v>0</v>
      </c>
      <c r="AJ460" s="74" t="n">
        <v>0</v>
      </c>
      <c r="AK460" s="74" t="n">
        <v>561</v>
      </c>
      <c r="AL460" s="74" t="n">
        <v>0.8</v>
      </c>
    </row>
    <row r="461">
      <c r="A461" s="74" t="inlineStr">
        <is>
          <t>[소룡동]</t>
        </is>
      </c>
      <c r="B461" s="74" t="n">
        <v>5050</v>
      </c>
      <c r="C461" s="74" t="n">
        <v>2</v>
      </c>
      <c r="D461" s="74" t="inlineStr">
        <is>
          <t>동아</t>
        </is>
      </c>
      <c r="E461" s="74" t="inlineStr">
        <is>
          <t>1990.10.</t>
        </is>
      </c>
      <c r="F461" s="74" t="n">
        <v>702</v>
      </c>
      <c r="G461" s="74" t="n">
        <v>23.96</v>
      </c>
      <c r="H461" s="74" t="n">
        <v>79.20999999999999</v>
      </c>
      <c r="I461" s="74" t="n">
        <v>18.36</v>
      </c>
      <c r="J461" s="74" t="n">
        <v>60.72</v>
      </c>
      <c r="K461" s="74" t="n">
        <v>1</v>
      </c>
      <c r="T461" s="74" t="n">
        <v>2</v>
      </c>
      <c r="U461" s="74" t="n">
        <v>1</v>
      </c>
      <c r="V461" s="74" t="inlineStr">
        <is>
          <t>계단식</t>
        </is>
      </c>
      <c r="W461" s="74" t="inlineStr">
        <is>
          <t>79B</t>
        </is>
      </c>
      <c r="X461" s="74" t="n">
        <v>15</v>
      </c>
      <c r="Y461" s="74" t="n">
        <v>12</v>
      </c>
      <c r="Z461" s="74" t="inlineStr">
        <is>
          <t>https://new.land.naver.com/complexes/5050?tab=detail&amp;rf=Y</t>
        </is>
      </c>
      <c r="AA461" s="74" t="inlineStr">
        <is>
          <t>전라북도 군산시 소룡동 1323-13</t>
        </is>
      </c>
      <c r="AB461" s="74" t="inlineStr">
        <is>
          <t>전라북도</t>
        </is>
      </c>
      <c r="AC461" s="74" t="inlineStr">
        <is>
          <t>군산시</t>
        </is>
      </c>
      <c r="AD461" s="74" t="inlineStr">
        <is>
          <t>소룡동</t>
        </is>
      </c>
      <c r="AG461" s="74" t="inlineStr">
        <is>
          <t>전라북도 군산시 동아로 160</t>
        </is>
      </c>
      <c r="AH461" s="74" t="n">
        <v>0</v>
      </c>
      <c r="AI461" s="74" t="n">
        <v>0</v>
      </c>
      <c r="AJ461" s="74" t="n">
        <v>0</v>
      </c>
      <c r="AK461" s="74" t="n">
        <v>561</v>
      </c>
      <c r="AL461" s="74" t="n">
        <v>0.8</v>
      </c>
    </row>
    <row r="462">
      <c r="A462" s="74" t="inlineStr">
        <is>
          <t>[소룡동]</t>
        </is>
      </c>
      <c r="B462" s="74" t="n">
        <v>5050</v>
      </c>
      <c r="C462" s="74" t="n">
        <v>3</v>
      </c>
      <c r="D462" s="74" t="inlineStr">
        <is>
          <t>동아</t>
        </is>
      </c>
      <c r="E462" s="74" t="inlineStr">
        <is>
          <t>1990.10.</t>
        </is>
      </c>
      <c r="F462" s="74" t="n">
        <v>702</v>
      </c>
      <c r="G462" s="74" t="n">
        <v>28.29</v>
      </c>
      <c r="H462" s="74" t="n">
        <v>93.55</v>
      </c>
      <c r="I462" s="74" t="n">
        <v>22.85</v>
      </c>
      <c r="J462" s="74" t="n">
        <v>75.56</v>
      </c>
      <c r="K462" s="74" t="n">
        <v>240</v>
      </c>
      <c r="T462" s="74" t="n">
        <v>3</v>
      </c>
      <c r="U462" s="74" t="n">
        <v>1</v>
      </c>
      <c r="V462" s="74" t="inlineStr">
        <is>
          <t>계단식</t>
        </is>
      </c>
      <c r="W462" s="74" t="n">
        <v>93</v>
      </c>
      <c r="X462" s="74" t="n">
        <v>15</v>
      </c>
      <c r="Y462" s="74" t="n">
        <v>12</v>
      </c>
      <c r="Z462" s="74" t="inlineStr">
        <is>
          <t>https://new.land.naver.com/complexes/5050?tab=detail&amp;rf=Y</t>
        </is>
      </c>
      <c r="AA462" s="74" t="inlineStr">
        <is>
          <t>전라북도 군산시 소룡동 1323-13</t>
        </is>
      </c>
      <c r="AB462" s="74" t="inlineStr">
        <is>
          <t>전라북도</t>
        </is>
      </c>
      <c r="AC462" s="74" t="inlineStr">
        <is>
          <t>군산시</t>
        </is>
      </c>
      <c r="AD462" s="74" t="inlineStr">
        <is>
          <t>소룡동</t>
        </is>
      </c>
      <c r="AG462" s="74" t="inlineStr">
        <is>
          <t>전라북도 군산시 동아로 160</t>
        </is>
      </c>
      <c r="AH462" s="74" t="n">
        <v>0</v>
      </c>
      <c r="AI462" s="74" t="n">
        <v>0</v>
      </c>
      <c r="AJ462" s="74" t="n">
        <v>0</v>
      </c>
      <c r="AK462" s="74" t="n">
        <v>561</v>
      </c>
      <c r="AL462" s="74" t="n">
        <v>0.8</v>
      </c>
    </row>
    <row r="463">
      <c r="A463" s="74" t="inlineStr">
        <is>
          <t>[소룡동]</t>
        </is>
      </c>
      <c r="B463" s="74" t="n">
        <v>5050</v>
      </c>
      <c r="C463" s="74" t="n">
        <v>4</v>
      </c>
      <c r="D463" s="74" t="inlineStr">
        <is>
          <t>동아</t>
        </is>
      </c>
      <c r="E463" s="74" t="inlineStr">
        <is>
          <t>1990.10.</t>
        </is>
      </c>
      <c r="F463" s="74" t="n">
        <v>702</v>
      </c>
      <c r="G463" s="74" t="n">
        <v>31.42</v>
      </c>
      <c r="H463" s="74" t="n">
        <v>103.88</v>
      </c>
      <c r="I463" s="74" t="n">
        <v>25.67</v>
      </c>
      <c r="J463" s="74" t="n">
        <v>84.89</v>
      </c>
      <c r="K463" s="74" t="n">
        <v>210</v>
      </c>
      <c r="T463" s="74" t="n">
        <v>3</v>
      </c>
      <c r="U463" s="74" t="n">
        <v>2</v>
      </c>
      <c r="V463" s="74" t="inlineStr">
        <is>
          <t>계단식</t>
        </is>
      </c>
      <c r="W463" s="74" t="n">
        <v>103</v>
      </c>
      <c r="X463" s="74" t="n">
        <v>15</v>
      </c>
      <c r="Y463" s="74" t="n">
        <v>12</v>
      </c>
      <c r="Z463" s="74" t="inlineStr">
        <is>
          <t>https://new.land.naver.com/complexes/5050?tab=detail&amp;rf=Y</t>
        </is>
      </c>
      <c r="AA463" s="74" t="inlineStr">
        <is>
          <t>전라북도 군산시 소룡동 1323-13</t>
        </is>
      </c>
      <c r="AB463" s="74" t="inlineStr">
        <is>
          <t>전라북도</t>
        </is>
      </c>
      <c r="AC463" s="74" t="inlineStr">
        <is>
          <t>군산시</t>
        </is>
      </c>
      <c r="AD463" s="74" t="inlineStr">
        <is>
          <t>소룡동</t>
        </is>
      </c>
      <c r="AG463" s="74" t="inlineStr">
        <is>
          <t>전라북도 군산시 동아로 160</t>
        </is>
      </c>
      <c r="AH463" s="74" t="n">
        <v>0</v>
      </c>
      <c r="AI463" s="74" t="n">
        <v>0</v>
      </c>
      <c r="AJ463" s="74" t="n">
        <v>0</v>
      </c>
      <c r="AK463" s="74" t="n">
        <v>561</v>
      </c>
      <c r="AL463" s="74" t="n">
        <v>0.8</v>
      </c>
    </row>
    <row r="464">
      <c r="A464" s="74" t="inlineStr">
        <is>
          <t>[소룡동]</t>
        </is>
      </c>
      <c r="B464" s="74" t="n">
        <v>126362</v>
      </c>
      <c r="C464" s="74" t="n">
        <v>1</v>
      </c>
      <c r="D464" s="74" t="inlineStr">
        <is>
          <t>삼성</t>
        </is>
      </c>
      <c r="E464" s="74" t="inlineStr">
        <is>
          <t>1992.08.</t>
        </is>
      </c>
      <c r="F464" s="74" t="n">
        <v>30</v>
      </c>
      <c r="G464" s="74" t="n">
        <v>22.96</v>
      </c>
      <c r="H464" s="74" t="n">
        <v>75.92</v>
      </c>
      <c r="I464" s="74" t="n">
        <v>18.13</v>
      </c>
      <c r="J464" s="74" t="n">
        <v>59.94</v>
      </c>
      <c r="K464" s="74" t="n">
        <v>12</v>
      </c>
      <c r="T464" s="74" t="n">
        <v>3</v>
      </c>
      <c r="U464" s="74" t="n">
        <v>1</v>
      </c>
      <c r="V464" s="74" t="inlineStr">
        <is>
          <t>계단식</t>
        </is>
      </c>
      <c r="W464" s="74" t="n">
        <v>75</v>
      </c>
      <c r="X464" s="74" t="n">
        <v>6</v>
      </c>
      <c r="Y464" s="74" t="n">
        <v>6</v>
      </c>
      <c r="Z464" s="74" t="inlineStr">
        <is>
          <t>https://new.land.naver.com/complexes/126362?tab=detail&amp;rf=Y</t>
        </is>
      </c>
      <c r="AA464" s="74" t="inlineStr">
        <is>
          <t>전라북도 군산시 소룡동 1548-9</t>
        </is>
      </c>
      <c r="AB464" s="74" t="inlineStr">
        <is>
          <t>전라북도</t>
        </is>
      </c>
      <c r="AC464" s="74" t="inlineStr">
        <is>
          <t>군산시</t>
        </is>
      </c>
      <c r="AD464" s="74" t="inlineStr">
        <is>
          <t>소룡동</t>
        </is>
      </c>
      <c r="AG464" s="74" t="inlineStr">
        <is>
          <t>전라북도 군산시 칠성7길 116</t>
        </is>
      </c>
      <c r="AH464" s="74" t="n">
        <v>0</v>
      </c>
      <c r="AI464" s="74" t="n">
        <v>175</v>
      </c>
      <c r="AJ464" s="74" t="n">
        <v>29</v>
      </c>
      <c r="AK464" s="74" t="n">
        <v>0</v>
      </c>
      <c r="AL464" s="74" t="n">
        <v>0</v>
      </c>
    </row>
    <row r="465">
      <c r="A465" s="74" t="inlineStr">
        <is>
          <t>[소룡동]</t>
        </is>
      </c>
      <c r="B465" s="74" t="n">
        <v>126362</v>
      </c>
      <c r="C465" s="74" t="n">
        <v>2</v>
      </c>
      <c r="D465" s="74" t="inlineStr">
        <is>
          <t>삼성</t>
        </is>
      </c>
      <c r="E465" s="74" t="inlineStr">
        <is>
          <t>1992.08.</t>
        </is>
      </c>
      <c r="F465" s="74" t="n">
        <v>30</v>
      </c>
      <c r="G465" s="74" t="n">
        <v>25.93</v>
      </c>
      <c r="H465" s="74" t="n">
        <v>85.72</v>
      </c>
      <c r="I465" s="74" t="n">
        <v>20.69</v>
      </c>
      <c r="J465" s="74" t="n">
        <v>68.40000000000001</v>
      </c>
      <c r="K465" s="74" t="n">
        <v>6</v>
      </c>
      <c r="T465" s="74" t="n">
        <v>3</v>
      </c>
      <c r="U465" s="74" t="n">
        <v>2</v>
      </c>
      <c r="V465" s="74" t="inlineStr">
        <is>
          <t>계단식</t>
        </is>
      </c>
      <c r="W465" s="74" t="n">
        <v>85</v>
      </c>
      <c r="X465" s="74" t="n">
        <v>6</v>
      </c>
      <c r="Y465" s="74" t="n">
        <v>6</v>
      </c>
      <c r="Z465" s="74" t="inlineStr">
        <is>
          <t>https://new.land.naver.com/complexes/126362?tab=detail&amp;rf=Y</t>
        </is>
      </c>
      <c r="AA465" s="74" t="inlineStr">
        <is>
          <t>전라북도 군산시 소룡동 1548-9</t>
        </is>
      </c>
      <c r="AB465" s="74" t="inlineStr">
        <is>
          <t>전라북도</t>
        </is>
      </c>
      <c r="AC465" s="74" t="inlineStr">
        <is>
          <t>군산시</t>
        </is>
      </c>
      <c r="AD465" s="74" t="inlineStr">
        <is>
          <t>소룡동</t>
        </is>
      </c>
      <c r="AG465" s="74" t="inlineStr">
        <is>
          <t>전라북도 군산시 칠성7길 116</t>
        </is>
      </c>
      <c r="AH465" s="74" t="n">
        <v>0</v>
      </c>
      <c r="AI465" s="74" t="n">
        <v>175</v>
      </c>
      <c r="AJ465" s="74" t="n">
        <v>29</v>
      </c>
      <c r="AK465" s="74" t="n">
        <v>0</v>
      </c>
      <c r="AL465" s="74" t="n">
        <v>0</v>
      </c>
    </row>
    <row r="466">
      <c r="A466" s="74" t="inlineStr">
        <is>
          <t>[소룡동]</t>
        </is>
      </c>
      <c r="B466" s="74" t="n">
        <v>126362</v>
      </c>
      <c r="C466" s="74" t="n">
        <v>3</v>
      </c>
      <c r="D466" s="74" t="inlineStr">
        <is>
          <t>삼성</t>
        </is>
      </c>
      <c r="E466" s="74" t="inlineStr">
        <is>
          <t>1992.08.</t>
        </is>
      </c>
      <c r="F466" s="74" t="n">
        <v>30</v>
      </c>
      <c r="G466" s="74" t="n">
        <v>30.36</v>
      </c>
      <c r="H466" s="74" t="n">
        <v>100.39</v>
      </c>
      <c r="I466" s="74" t="n">
        <v>24.52</v>
      </c>
      <c r="J466" s="74" t="n">
        <v>81.06</v>
      </c>
      <c r="K466" s="74" t="n">
        <v>6</v>
      </c>
      <c r="T466" s="74" t="n">
        <v>3</v>
      </c>
      <c r="U466" s="74" t="n">
        <v>2</v>
      </c>
      <c r="V466" s="74" t="inlineStr">
        <is>
          <t>계단식</t>
        </is>
      </c>
      <c r="W466" s="74" t="n">
        <v>100</v>
      </c>
      <c r="X466" s="74" t="n">
        <v>6</v>
      </c>
      <c r="Y466" s="74" t="n">
        <v>6</v>
      </c>
      <c r="Z466" s="74" t="inlineStr">
        <is>
          <t>https://new.land.naver.com/complexes/126362?tab=detail&amp;rf=Y</t>
        </is>
      </c>
      <c r="AA466" s="74" t="inlineStr">
        <is>
          <t>전라북도 군산시 소룡동 1548-9</t>
        </is>
      </c>
      <c r="AB466" s="74" t="inlineStr">
        <is>
          <t>전라북도</t>
        </is>
      </c>
      <c r="AC466" s="74" t="inlineStr">
        <is>
          <t>군산시</t>
        </is>
      </c>
      <c r="AD466" s="74" t="inlineStr">
        <is>
          <t>소룡동</t>
        </is>
      </c>
      <c r="AG466" s="74" t="inlineStr">
        <is>
          <t>전라북도 군산시 칠성7길 116</t>
        </is>
      </c>
      <c r="AH466" s="74" t="n">
        <v>0</v>
      </c>
      <c r="AI466" s="74" t="n">
        <v>175</v>
      </c>
      <c r="AJ466" s="74" t="n">
        <v>29</v>
      </c>
      <c r="AK466" s="74" t="n">
        <v>0</v>
      </c>
      <c r="AL466" s="74" t="n">
        <v>0</v>
      </c>
    </row>
    <row r="467">
      <c r="A467" s="74" t="inlineStr">
        <is>
          <t>[소룡동]</t>
        </is>
      </c>
      <c r="B467" s="74" t="n">
        <v>126362</v>
      </c>
      <c r="C467" s="74" t="n">
        <v>4</v>
      </c>
      <c r="D467" s="74" t="inlineStr">
        <is>
          <t>삼성</t>
        </is>
      </c>
      <c r="E467" s="74" t="inlineStr">
        <is>
          <t>1992.08.</t>
        </is>
      </c>
      <c r="F467" s="74" t="n">
        <v>30</v>
      </c>
      <c r="G467" s="74" t="n">
        <v>31.25</v>
      </c>
      <c r="H467" s="74" t="n">
        <v>103.31</v>
      </c>
      <c r="I467" s="74" t="n">
        <v>23.1</v>
      </c>
      <c r="J467" s="74" t="n">
        <v>76.38</v>
      </c>
      <c r="K467" s="74" t="n">
        <v>6</v>
      </c>
      <c r="T467" s="74" t="n">
        <v>3</v>
      </c>
      <c r="U467" s="74" t="n">
        <v>2</v>
      </c>
      <c r="V467" s="74" t="inlineStr">
        <is>
          <t>계단식</t>
        </is>
      </c>
      <c r="W467" s="74" t="n">
        <v>103</v>
      </c>
      <c r="X467" s="74" t="n">
        <v>6</v>
      </c>
      <c r="Y467" s="74" t="n">
        <v>6</v>
      </c>
      <c r="Z467" s="74" t="inlineStr">
        <is>
          <t>https://new.land.naver.com/complexes/126362?tab=detail&amp;rf=Y</t>
        </is>
      </c>
      <c r="AA467" s="74" t="inlineStr">
        <is>
          <t>전라북도 군산시 소룡동 1548-9</t>
        </is>
      </c>
      <c r="AB467" s="74" t="inlineStr">
        <is>
          <t>전라북도</t>
        </is>
      </c>
      <c r="AC467" s="74" t="inlineStr">
        <is>
          <t>군산시</t>
        </is>
      </c>
      <c r="AD467" s="74" t="inlineStr">
        <is>
          <t>소룡동</t>
        </is>
      </c>
      <c r="AG467" s="74" t="inlineStr">
        <is>
          <t>전라북도 군산시 칠성7길 116</t>
        </is>
      </c>
      <c r="AH467" s="74" t="n">
        <v>0</v>
      </c>
      <c r="AI467" s="74" t="n">
        <v>175</v>
      </c>
      <c r="AJ467" s="74" t="n">
        <v>29</v>
      </c>
      <c r="AK467" s="74" t="n">
        <v>0</v>
      </c>
      <c r="AL467" s="74" t="n">
        <v>0</v>
      </c>
    </row>
    <row r="468">
      <c r="A468" s="74" t="inlineStr">
        <is>
          <t>[소룡동]</t>
        </is>
      </c>
      <c r="B468" s="74" t="n">
        <v>5052</v>
      </c>
      <c r="C468" s="74" t="n">
        <v>1</v>
      </c>
      <c r="D468" s="74" t="inlineStr">
        <is>
          <t>명성타운</t>
        </is>
      </c>
      <c r="E468" s="74" t="inlineStr">
        <is>
          <t>1992.03.</t>
        </is>
      </c>
      <c r="F468" s="74" t="n">
        <v>141</v>
      </c>
      <c r="G468" s="74" t="n">
        <v>20.54</v>
      </c>
      <c r="H468" s="74" t="n">
        <v>67.92</v>
      </c>
      <c r="I468" s="74" t="n">
        <v>15.92</v>
      </c>
      <c r="J468" s="74" t="n">
        <v>52.65</v>
      </c>
      <c r="K468" s="74" t="n">
        <v>36</v>
      </c>
      <c r="T468" s="74" t="n">
        <v>3</v>
      </c>
      <c r="U468" s="74" t="n">
        <v>1</v>
      </c>
      <c r="V468" s="74" t="inlineStr">
        <is>
          <t>계단식</t>
        </is>
      </c>
      <c r="W468" s="74" t="n">
        <v>67</v>
      </c>
      <c r="X468" s="74" t="n">
        <v>10</v>
      </c>
      <c r="Y468" s="74" t="n">
        <v>5</v>
      </c>
      <c r="Z468" s="74" t="inlineStr">
        <is>
          <t>https://new.land.naver.com/complexes/5052?tab=detail&amp;rf=Y</t>
        </is>
      </c>
      <c r="AA468" s="74" t="inlineStr">
        <is>
          <t>전라북도 군산시 소룡동 1552-4</t>
        </is>
      </c>
      <c r="AB468" s="74" t="inlineStr">
        <is>
          <t>전라북도</t>
        </is>
      </c>
      <c r="AC468" s="74" t="inlineStr">
        <is>
          <t>군산시</t>
        </is>
      </c>
      <c r="AD468" s="74" t="inlineStr">
        <is>
          <t>소룡동</t>
        </is>
      </c>
      <c r="AG468" s="74" t="inlineStr">
        <is>
          <t>전라북도 군산시 칠성4길 186</t>
        </is>
      </c>
      <c r="AH468" s="74" t="n">
        <v>0</v>
      </c>
      <c r="AI468" s="74" t="n">
        <v>0</v>
      </c>
      <c r="AJ468" s="74" t="n">
        <v>0</v>
      </c>
      <c r="AK468" s="74" t="n">
        <v>0</v>
      </c>
      <c r="AL468" s="74" t="n">
        <v>0</v>
      </c>
    </row>
    <row r="469">
      <c r="A469" s="74" t="inlineStr">
        <is>
          <t>[소룡동]</t>
        </is>
      </c>
      <c r="B469" s="74" t="n">
        <v>5052</v>
      </c>
      <c r="C469" s="74" t="n">
        <v>2</v>
      </c>
      <c r="D469" s="74" t="inlineStr">
        <is>
          <t>명성타운</t>
        </is>
      </c>
      <c r="E469" s="74" t="inlineStr">
        <is>
          <t>1992.03.</t>
        </is>
      </c>
      <c r="F469" s="74" t="n">
        <v>141</v>
      </c>
      <c r="G469" s="74" t="n">
        <v>23.15</v>
      </c>
      <c r="H469" s="74" t="n">
        <v>76.53</v>
      </c>
      <c r="I469" s="74" t="n">
        <v>18.09</v>
      </c>
      <c r="J469" s="74" t="n">
        <v>59.82</v>
      </c>
      <c r="K469" s="74" t="n">
        <v>47</v>
      </c>
      <c r="T469" s="74" t="n">
        <v>3</v>
      </c>
      <c r="U469" s="74" t="n">
        <v>1</v>
      </c>
      <c r="V469" s="74" t="inlineStr">
        <is>
          <t>계단식</t>
        </is>
      </c>
      <c r="W469" s="74" t="n">
        <v>76</v>
      </c>
      <c r="X469" s="74" t="n">
        <v>10</v>
      </c>
      <c r="Y469" s="74" t="n">
        <v>5</v>
      </c>
      <c r="Z469" s="74" t="inlineStr">
        <is>
          <t>https://new.land.naver.com/complexes/5052?tab=detail&amp;rf=Y</t>
        </is>
      </c>
      <c r="AA469" s="74" t="inlineStr">
        <is>
          <t>전라북도 군산시 소룡동 1552-4</t>
        </is>
      </c>
      <c r="AB469" s="74" t="inlineStr">
        <is>
          <t>전라북도</t>
        </is>
      </c>
      <c r="AC469" s="74" t="inlineStr">
        <is>
          <t>군산시</t>
        </is>
      </c>
      <c r="AD469" s="74" t="inlineStr">
        <is>
          <t>소룡동</t>
        </is>
      </c>
      <c r="AG469" s="74" t="inlineStr">
        <is>
          <t>전라북도 군산시 칠성4길 186</t>
        </is>
      </c>
      <c r="AH469" s="74" t="n">
        <v>0</v>
      </c>
      <c r="AI469" s="74" t="n">
        <v>0</v>
      </c>
      <c r="AJ469" s="74" t="n">
        <v>0</v>
      </c>
      <c r="AK469" s="74" t="n">
        <v>0</v>
      </c>
      <c r="AL469" s="74" t="n">
        <v>0</v>
      </c>
    </row>
    <row r="470">
      <c r="A470" s="74" t="inlineStr">
        <is>
          <t>[소룡동]</t>
        </is>
      </c>
      <c r="B470" s="74" t="n">
        <v>5052</v>
      </c>
      <c r="C470" s="74" t="n">
        <v>3</v>
      </c>
      <c r="D470" s="74" t="inlineStr">
        <is>
          <t>명성타운</t>
        </is>
      </c>
      <c r="E470" s="74" t="inlineStr">
        <is>
          <t>1992.03.</t>
        </is>
      </c>
      <c r="F470" s="74" t="n">
        <v>141</v>
      </c>
      <c r="G470" s="74" t="n">
        <v>28.84</v>
      </c>
      <c r="H470" s="74" t="n">
        <v>95.34999999999999</v>
      </c>
      <c r="I470" s="74" t="n">
        <v>22.96</v>
      </c>
      <c r="J470" s="74" t="n">
        <v>75.93000000000001</v>
      </c>
      <c r="K470" s="74" t="n">
        <v>6</v>
      </c>
      <c r="T470" s="74" t="n">
        <v>3</v>
      </c>
      <c r="U470" s="74" t="n">
        <v>1</v>
      </c>
      <c r="V470" s="74" t="inlineStr">
        <is>
          <t>계단식</t>
        </is>
      </c>
      <c r="W470" s="74" t="n">
        <v>95</v>
      </c>
      <c r="X470" s="74" t="n">
        <v>10</v>
      </c>
      <c r="Y470" s="74" t="n">
        <v>5</v>
      </c>
      <c r="Z470" s="74" t="inlineStr">
        <is>
          <t>https://new.land.naver.com/complexes/5052?tab=detail&amp;rf=Y</t>
        </is>
      </c>
      <c r="AA470" s="74" t="inlineStr">
        <is>
          <t>전라북도 군산시 소룡동 1552-4</t>
        </is>
      </c>
      <c r="AB470" s="74" t="inlineStr">
        <is>
          <t>전라북도</t>
        </is>
      </c>
      <c r="AC470" s="74" t="inlineStr">
        <is>
          <t>군산시</t>
        </is>
      </c>
      <c r="AD470" s="74" t="inlineStr">
        <is>
          <t>소룡동</t>
        </is>
      </c>
      <c r="AG470" s="74" t="inlineStr">
        <is>
          <t>전라북도 군산시 칠성4길 186</t>
        </is>
      </c>
      <c r="AH470" s="74" t="n">
        <v>0</v>
      </c>
      <c r="AI470" s="74" t="n">
        <v>0</v>
      </c>
      <c r="AJ470" s="74" t="n">
        <v>0</v>
      </c>
      <c r="AK470" s="74" t="n">
        <v>0</v>
      </c>
      <c r="AL470" s="74" t="n">
        <v>0</v>
      </c>
    </row>
    <row r="471">
      <c r="A471" s="74" t="inlineStr">
        <is>
          <t>[소룡동]</t>
        </is>
      </c>
      <c r="B471" s="74" t="n">
        <v>5052</v>
      </c>
      <c r="C471" s="74" t="n">
        <v>4</v>
      </c>
      <c r="D471" s="74" t="inlineStr">
        <is>
          <t>명성타운</t>
        </is>
      </c>
      <c r="E471" s="74" t="inlineStr">
        <is>
          <t>1992.03.</t>
        </is>
      </c>
      <c r="F471" s="74" t="n">
        <v>141</v>
      </c>
      <c r="G471" s="74" t="n">
        <v>30.86</v>
      </c>
      <c r="H471" s="74" t="n">
        <v>102.03</v>
      </c>
      <c r="I471" s="74" t="n">
        <v>24.96</v>
      </c>
      <c r="J471" s="74" t="n">
        <v>82.53</v>
      </c>
      <c r="K471" s="74" t="n">
        <v>44</v>
      </c>
      <c r="T471" s="74" t="n">
        <v>3</v>
      </c>
      <c r="U471" s="74" t="n">
        <v>2</v>
      </c>
      <c r="V471" s="74" t="inlineStr">
        <is>
          <t>계단식</t>
        </is>
      </c>
      <c r="W471" s="74" t="n">
        <v>102</v>
      </c>
      <c r="X471" s="74" t="n">
        <v>10</v>
      </c>
      <c r="Y471" s="74" t="n">
        <v>5</v>
      </c>
      <c r="Z471" s="74" t="inlineStr">
        <is>
          <t>https://new.land.naver.com/complexes/5052?tab=detail&amp;rf=Y</t>
        </is>
      </c>
      <c r="AA471" s="74" t="inlineStr">
        <is>
          <t>전라북도 군산시 소룡동 1552-4</t>
        </is>
      </c>
      <c r="AB471" s="74" t="inlineStr">
        <is>
          <t>전라북도</t>
        </is>
      </c>
      <c r="AC471" s="74" t="inlineStr">
        <is>
          <t>군산시</t>
        </is>
      </c>
      <c r="AD471" s="74" t="inlineStr">
        <is>
          <t>소룡동</t>
        </is>
      </c>
      <c r="AG471" s="74" t="inlineStr">
        <is>
          <t>전라북도 군산시 칠성4길 186</t>
        </is>
      </c>
      <c r="AH471" s="74" t="n">
        <v>0</v>
      </c>
      <c r="AI471" s="74" t="n">
        <v>0</v>
      </c>
      <c r="AJ471" s="74" t="n">
        <v>0</v>
      </c>
      <c r="AK471" s="74" t="n">
        <v>0</v>
      </c>
      <c r="AL471" s="74" t="n">
        <v>0</v>
      </c>
    </row>
    <row r="472">
      <c r="A472" s="74" t="inlineStr">
        <is>
          <t>[소룡동]</t>
        </is>
      </c>
      <c r="B472" s="74" t="n">
        <v>5052</v>
      </c>
      <c r="C472" s="74" t="n">
        <v>5</v>
      </c>
      <c r="D472" s="74" t="inlineStr">
        <is>
          <t>명성타운</t>
        </is>
      </c>
      <c r="E472" s="74" t="inlineStr">
        <is>
          <t>1992.03.</t>
        </is>
      </c>
      <c r="F472" s="74" t="n">
        <v>141</v>
      </c>
      <c r="G472" s="74" t="n">
        <v>35.97</v>
      </c>
      <c r="H472" s="74" t="n">
        <v>118.92</v>
      </c>
      <c r="I472" s="74" t="n">
        <v>29.56</v>
      </c>
      <c r="J472" s="74" t="n">
        <v>97.75</v>
      </c>
      <c r="K472" s="74" t="n">
        <v>8</v>
      </c>
      <c r="T472" s="74" t="n">
        <v>4</v>
      </c>
      <c r="U472" s="74" t="n">
        <v>2</v>
      </c>
      <c r="V472" s="74" t="inlineStr">
        <is>
          <t>계단식</t>
        </is>
      </c>
      <c r="W472" s="74" t="n">
        <v>118</v>
      </c>
      <c r="X472" s="74" t="n">
        <v>10</v>
      </c>
      <c r="Y472" s="74" t="n">
        <v>5</v>
      </c>
      <c r="Z472" s="74" t="inlineStr">
        <is>
          <t>https://new.land.naver.com/complexes/5052?tab=detail&amp;rf=Y</t>
        </is>
      </c>
      <c r="AA472" s="74" t="inlineStr">
        <is>
          <t>전라북도 군산시 소룡동 1552-4</t>
        </is>
      </c>
      <c r="AB472" s="74" t="inlineStr">
        <is>
          <t>전라북도</t>
        </is>
      </c>
      <c r="AC472" s="74" t="inlineStr">
        <is>
          <t>군산시</t>
        </is>
      </c>
      <c r="AD472" s="74" t="inlineStr">
        <is>
          <t>소룡동</t>
        </is>
      </c>
      <c r="AG472" s="74" t="inlineStr">
        <is>
          <t>전라북도 군산시 칠성4길 186</t>
        </is>
      </c>
      <c r="AH472" s="74" t="n">
        <v>0</v>
      </c>
      <c r="AI472" s="74" t="n">
        <v>0</v>
      </c>
      <c r="AJ472" s="74" t="n">
        <v>0</v>
      </c>
      <c r="AK472" s="74" t="n">
        <v>0</v>
      </c>
      <c r="AL472" s="74" t="n">
        <v>0</v>
      </c>
    </row>
    <row r="473">
      <c r="A473" s="74" t="inlineStr">
        <is>
          <t>[소룡동]</t>
        </is>
      </c>
      <c r="B473" s="74" t="n">
        <v>5057</v>
      </c>
      <c r="C473" s="74" t="n">
        <v>1</v>
      </c>
      <c r="D473" s="74" t="inlineStr">
        <is>
          <t>소룡진흥</t>
        </is>
      </c>
      <c r="E473" s="74" t="inlineStr">
        <is>
          <t>1991.05.</t>
        </is>
      </c>
      <c r="F473" s="74" t="n">
        <v>499</v>
      </c>
      <c r="G473" s="74" t="n">
        <v>17.4</v>
      </c>
      <c r="H473" s="74" t="n">
        <v>57.53</v>
      </c>
      <c r="I473" s="74" t="n">
        <v>13.22</v>
      </c>
      <c r="J473" s="74" t="n">
        <v>43.72</v>
      </c>
      <c r="K473" s="74" t="n">
        <v>123</v>
      </c>
      <c r="T473" s="74" t="n">
        <v>2</v>
      </c>
      <c r="U473" s="74" t="n">
        <v>1</v>
      </c>
      <c r="V473" s="74" t="inlineStr">
        <is>
          <t>계단식</t>
        </is>
      </c>
      <c r="W473" s="74" t="n">
        <v>57</v>
      </c>
      <c r="X473" s="74" t="n">
        <v>13</v>
      </c>
      <c r="Y473" s="74" t="n">
        <v>5</v>
      </c>
      <c r="Z473" s="74" t="inlineStr">
        <is>
          <t>https://new.land.naver.com/complexes/5057?tab=detail&amp;rf=Y</t>
        </is>
      </c>
      <c r="AA473" s="74" t="inlineStr">
        <is>
          <t>전라북도 군산시 소룡동 1386-10</t>
        </is>
      </c>
      <c r="AB473" s="74" t="inlineStr">
        <is>
          <t>전라북도</t>
        </is>
      </c>
      <c r="AC473" s="74" t="inlineStr">
        <is>
          <t>군산시</t>
        </is>
      </c>
      <c r="AD473" s="74" t="inlineStr">
        <is>
          <t>소룡동</t>
        </is>
      </c>
      <c r="AG473" s="74" t="inlineStr">
        <is>
          <t>전라북도 군산시 설림안3길 32</t>
        </is>
      </c>
      <c r="AH473" s="74" t="n">
        <v>0</v>
      </c>
      <c r="AI473" s="74" t="n">
        <v>0</v>
      </c>
      <c r="AJ473" s="74" t="n">
        <v>0</v>
      </c>
      <c r="AK473" s="74" t="n">
        <v>0</v>
      </c>
      <c r="AL473" s="74" t="n">
        <v>0</v>
      </c>
    </row>
    <row r="474">
      <c r="A474" s="74" t="inlineStr">
        <is>
          <t>[소룡동]</t>
        </is>
      </c>
      <c r="B474" s="74" t="n">
        <v>5057</v>
      </c>
      <c r="C474" s="74" t="n">
        <v>2</v>
      </c>
      <c r="D474" s="74" t="inlineStr">
        <is>
          <t>소룡진흥</t>
        </is>
      </c>
      <c r="E474" s="74" t="inlineStr">
        <is>
          <t>1991.05.</t>
        </is>
      </c>
      <c r="F474" s="74" t="n">
        <v>499</v>
      </c>
      <c r="G474" s="74" t="n">
        <v>19.19</v>
      </c>
      <c r="H474" s="74" t="n">
        <v>63.44</v>
      </c>
      <c r="I474" s="74" t="n">
        <v>14.91</v>
      </c>
      <c r="J474" s="74" t="n">
        <v>49.3</v>
      </c>
      <c r="K474" s="74" t="n">
        <v>50</v>
      </c>
      <c r="T474" s="74" t="n">
        <v>2</v>
      </c>
      <c r="U474" s="74" t="n">
        <v>1</v>
      </c>
      <c r="V474" s="74" t="inlineStr">
        <is>
          <t>계단식</t>
        </is>
      </c>
      <c r="W474" s="74" t="n">
        <v>63</v>
      </c>
      <c r="X474" s="74" t="n">
        <v>13</v>
      </c>
      <c r="Y474" s="74" t="n">
        <v>5</v>
      </c>
      <c r="Z474" s="74" t="inlineStr">
        <is>
          <t>https://new.land.naver.com/complexes/5057?tab=detail&amp;rf=Y</t>
        </is>
      </c>
      <c r="AA474" s="74" t="inlineStr">
        <is>
          <t>전라북도 군산시 소룡동 1386-10</t>
        </is>
      </c>
      <c r="AB474" s="74" t="inlineStr">
        <is>
          <t>전라북도</t>
        </is>
      </c>
      <c r="AC474" s="74" t="inlineStr">
        <is>
          <t>군산시</t>
        </is>
      </c>
      <c r="AD474" s="74" t="inlineStr">
        <is>
          <t>소룡동</t>
        </is>
      </c>
      <c r="AG474" s="74" t="inlineStr">
        <is>
          <t>전라북도 군산시 설림안3길 32</t>
        </is>
      </c>
      <c r="AH474" s="74" t="n">
        <v>0</v>
      </c>
      <c r="AI474" s="74" t="n">
        <v>0</v>
      </c>
      <c r="AJ474" s="74" t="n">
        <v>0</v>
      </c>
      <c r="AK474" s="74" t="n">
        <v>0</v>
      </c>
      <c r="AL474" s="74" t="n">
        <v>0</v>
      </c>
    </row>
    <row r="475">
      <c r="A475" s="74" t="inlineStr">
        <is>
          <t>[소룡동]</t>
        </is>
      </c>
      <c r="B475" s="74" t="n">
        <v>5057</v>
      </c>
      <c r="C475" s="74" t="n">
        <v>3</v>
      </c>
      <c r="D475" s="74" t="inlineStr">
        <is>
          <t>소룡진흥</t>
        </is>
      </c>
      <c r="E475" s="74" t="inlineStr">
        <is>
          <t>1991.05.</t>
        </is>
      </c>
      <c r="F475" s="74" t="n">
        <v>499</v>
      </c>
      <c r="G475" s="74" t="n">
        <v>21.22</v>
      </c>
      <c r="H475" s="74" t="n">
        <v>70.17</v>
      </c>
      <c r="I475" s="74" t="n">
        <v>17.89</v>
      </c>
      <c r="J475" s="74" t="n">
        <v>59.16</v>
      </c>
      <c r="K475" s="74" t="n">
        <v>25</v>
      </c>
      <c r="T475" s="74" t="n">
        <v>2</v>
      </c>
      <c r="U475" s="74" t="n">
        <v>1</v>
      </c>
      <c r="V475" s="74" t="inlineStr">
        <is>
          <t>계단식</t>
        </is>
      </c>
      <c r="W475" s="74" t="n">
        <v>70</v>
      </c>
      <c r="X475" s="74" t="n">
        <v>13</v>
      </c>
      <c r="Y475" s="74" t="n">
        <v>5</v>
      </c>
      <c r="Z475" s="74" t="inlineStr">
        <is>
          <t>https://new.land.naver.com/complexes/5057?tab=detail&amp;rf=Y</t>
        </is>
      </c>
      <c r="AA475" s="74" t="inlineStr">
        <is>
          <t>전라북도 군산시 소룡동 1386-10</t>
        </is>
      </c>
      <c r="AB475" s="74" t="inlineStr">
        <is>
          <t>전라북도</t>
        </is>
      </c>
      <c r="AC475" s="74" t="inlineStr">
        <is>
          <t>군산시</t>
        </is>
      </c>
      <c r="AD475" s="74" t="inlineStr">
        <is>
          <t>소룡동</t>
        </is>
      </c>
      <c r="AG475" s="74" t="inlineStr">
        <is>
          <t>전라북도 군산시 설림안3길 32</t>
        </is>
      </c>
      <c r="AH475" s="74" t="n">
        <v>0</v>
      </c>
      <c r="AI475" s="74" t="n">
        <v>0</v>
      </c>
      <c r="AJ475" s="74" t="n">
        <v>0</v>
      </c>
      <c r="AK475" s="74" t="n">
        <v>0</v>
      </c>
      <c r="AL475" s="74" t="n">
        <v>0</v>
      </c>
    </row>
    <row r="476">
      <c r="A476" s="74" t="inlineStr">
        <is>
          <t>[소룡동]</t>
        </is>
      </c>
      <c r="B476" s="74" t="n">
        <v>5057</v>
      </c>
      <c r="C476" s="74" t="n">
        <v>4</v>
      </c>
      <c r="D476" s="74" t="inlineStr">
        <is>
          <t>소룡진흥</t>
        </is>
      </c>
      <c r="E476" s="74" t="inlineStr">
        <is>
          <t>1991.05.</t>
        </is>
      </c>
      <c r="F476" s="74" t="n">
        <v>499</v>
      </c>
      <c r="G476" s="74" t="n">
        <v>23.72</v>
      </c>
      <c r="H476" s="74" t="n">
        <v>78.42</v>
      </c>
      <c r="I476" s="74" t="n">
        <v>18.09</v>
      </c>
      <c r="J476" s="74" t="n">
        <v>59.82</v>
      </c>
      <c r="K476" s="74" t="n">
        <v>48</v>
      </c>
      <c r="T476" s="74" t="n">
        <v>3</v>
      </c>
      <c r="U476" s="74" t="n">
        <v>1</v>
      </c>
      <c r="V476" s="74" t="inlineStr">
        <is>
          <t>복도식</t>
        </is>
      </c>
      <c r="W476" s="74" t="inlineStr">
        <is>
          <t>78A</t>
        </is>
      </c>
      <c r="X476" s="74" t="n">
        <v>13</v>
      </c>
      <c r="Y476" s="74" t="n">
        <v>5</v>
      </c>
      <c r="Z476" s="74" t="inlineStr">
        <is>
          <t>https://new.land.naver.com/complexes/5057?tab=detail&amp;rf=Y</t>
        </is>
      </c>
      <c r="AA476" s="74" t="inlineStr">
        <is>
          <t>전라북도 군산시 소룡동 1386-10</t>
        </is>
      </c>
      <c r="AB476" s="74" t="inlineStr">
        <is>
          <t>전라북도</t>
        </is>
      </c>
      <c r="AC476" s="74" t="inlineStr">
        <is>
          <t>군산시</t>
        </is>
      </c>
      <c r="AD476" s="74" t="inlineStr">
        <is>
          <t>소룡동</t>
        </is>
      </c>
      <c r="AG476" s="74" t="inlineStr">
        <is>
          <t>전라북도 군산시 설림안3길 32</t>
        </is>
      </c>
      <c r="AH476" s="74" t="n">
        <v>0</v>
      </c>
      <c r="AI476" s="74" t="n">
        <v>0</v>
      </c>
      <c r="AJ476" s="74" t="n">
        <v>0</v>
      </c>
      <c r="AK476" s="74" t="n">
        <v>0</v>
      </c>
      <c r="AL476" s="74" t="n">
        <v>0</v>
      </c>
    </row>
    <row r="477">
      <c r="A477" s="74" t="inlineStr">
        <is>
          <t>[소룡동]</t>
        </is>
      </c>
      <c r="B477" s="74" t="n">
        <v>5057</v>
      </c>
      <c r="C477" s="74" t="n">
        <v>5</v>
      </c>
      <c r="D477" s="74" t="inlineStr">
        <is>
          <t>소룡진흥</t>
        </is>
      </c>
      <c r="E477" s="74" t="inlineStr">
        <is>
          <t>1991.05.</t>
        </is>
      </c>
      <c r="F477" s="74" t="n">
        <v>499</v>
      </c>
      <c r="G477" s="74" t="n">
        <v>24.42</v>
      </c>
      <c r="H477" s="74" t="n">
        <v>80.73999999999999</v>
      </c>
      <c r="I477" s="74" t="n">
        <v>20.59</v>
      </c>
      <c r="J477" s="74" t="n">
        <v>68.06999999999999</v>
      </c>
      <c r="K477" s="74" t="n">
        <v>25</v>
      </c>
      <c r="T477" s="74" t="n">
        <v>3</v>
      </c>
      <c r="U477" s="74" t="n">
        <v>1</v>
      </c>
      <c r="V477" s="74" t="inlineStr">
        <is>
          <t>계단식</t>
        </is>
      </c>
      <c r="W477" s="74" t="inlineStr">
        <is>
          <t>80B</t>
        </is>
      </c>
      <c r="X477" s="74" t="n">
        <v>13</v>
      </c>
      <c r="Y477" s="74" t="n">
        <v>5</v>
      </c>
      <c r="Z477" s="74" t="inlineStr">
        <is>
          <t>https://new.land.naver.com/complexes/5057?tab=detail&amp;rf=Y</t>
        </is>
      </c>
      <c r="AA477" s="74" t="inlineStr">
        <is>
          <t>전라북도 군산시 소룡동 1386-10</t>
        </is>
      </c>
      <c r="AB477" s="74" t="inlineStr">
        <is>
          <t>전라북도</t>
        </is>
      </c>
      <c r="AC477" s="74" t="inlineStr">
        <is>
          <t>군산시</t>
        </is>
      </c>
      <c r="AD477" s="74" t="inlineStr">
        <is>
          <t>소룡동</t>
        </is>
      </c>
      <c r="AG477" s="74" t="inlineStr">
        <is>
          <t>전라북도 군산시 설림안3길 32</t>
        </is>
      </c>
      <c r="AH477" s="74" t="n">
        <v>0</v>
      </c>
      <c r="AI477" s="74" t="n">
        <v>0</v>
      </c>
      <c r="AJ477" s="74" t="n">
        <v>0</v>
      </c>
      <c r="AK477" s="74" t="n">
        <v>0</v>
      </c>
      <c r="AL477" s="74" t="n">
        <v>0</v>
      </c>
    </row>
    <row r="478">
      <c r="A478" s="74" t="inlineStr">
        <is>
          <t>[소룡동]</t>
        </is>
      </c>
      <c r="B478" s="74" t="n">
        <v>5057</v>
      </c>
      <c r="C478" s="74" t="n">
        <v>6</v>
      </c>
      <c r="D478" s="74" t="inlineStr">
        <is>
          <t>소룡진흥</t>
        </is>
      </c>
      <c r="E478" s="74" t="inlineStr">
        <is>
          <t>1991.05.</t>
        </is>
      </c>
      <c r="F478" s="74" t="n">
        <v>499</v>
      </c>
      <c r="G478" s="74" t="n">
        <v>26.71</v>
      </c>
      <c r="H478" s="74" t="n">
        <v>88.31</v>
      </c>
      <c r="I478" s="74" t="n">
        <v>21.77</v>
      </c>
      <c r="J478" s="74" t="n">
        <v>71.98</v>
      </c>
      <c r="K478" s="74" t="n">
        <v>128</v>
      </c>
      <c r="T478" s="74" t="n">
        <v>3</v>
      </c>
      <c r="U478" s="74" t="n">
        <v>2</v>
      </c>
      <c r="V478" s="74" t="inlineStr">
        <is>
          <t>계단식</t>
        </is>
      </c>
      <c r="W478" s="74" t="n">
        <v>88</v>
      </c>
      <c r="X478" s="74" t="n">
        <v>13</v>
      </c>
      <c r="Y478" s="74" t="n">
        <v>5</v>
      </c>
      <c r="Z478" s="74" t="inlineStr">
        <is>
          <t>https://new.land.naver.com/complexes/5057?tab=detail&amp;rf=Y</t>
        </is>
      </c>
      <c r="AA478" s="74" t="inlineStr">
        <is>
          <t>전라북도 군산시 소룡동 1386-10</t>
        </is>
      </c>
      <c r="AB478" s="74" t="inlineStr">
        <is>
          <t>전라북도</t>
        </is>
      </c>
      <c r="AC478" s="74" t="inlineStr">
        <is>
          <t>군산시</t>
        </is>
      </c>
      <c r="AD478" s="74" t="inlineStr">
        <is>
          <t>소룡동</t>
        </is>
      </c>
      <c r="AG478" s="74" t="inlineStr">
        <is>
          <t>전라북도 군산시 설림안3길 32</t>
        </is>
      </c>
      <c r="AH478" s="74" t="n">
        <v>0</v>
      </c>
      <c r="AI478" s="74" t="n">
        <v>0</v>
      </c>
      <c r="AJ478" s="74" t="n">
        <v>0</v>
      </c>
      <c r="AK478" s="74" t="n">
        <v>0</v>
      </c>
      <c r="AL478" s="74" t="n">
        <v>0</v>
      </c>
    </row>
    <row r="479">
      <c r="A479" s="74" t="inlineStr">
        <is>
          <t>[소룡동]</t>
        </is>
      </c>
      <c r="B479" s="74" t="n">
        <v>5057</v>
      </c>
      <c r="C479" s="74" t="n">
        <v>7</v>
      </c>
      <c r="D479" s="74" t="inlineStr">
        <is>
          <t>소룡진흥</t>
        </is>
      </c>
      <c r="E479" s="74" t="inlineStr">
        <is>
          <t>1991.05.</t>
        </is>
      </c>
      <c r="F479" s="74" t="n">
        <v>499</v>
      </c>
      <c r="G479" s="74" t="n">
        <v>31.1</v>
      </c>
      <c r="H479" s="74" t="n">
        <v>102.82</v>
      </c>
      <c r="I479" s="74" t="n">
        <v>25.7</v>
      </c>
      <c r="J479" s="74" t="n">
        <v>84.98</v>
      </c>
      <c r="K479" s="74" t="n">
        <v>100</v>
      </c>
      <c r="T479" s="74" t="n">
        <v>3</v>
      </c>
      <c r="U479" s="74" t="n">
        <v>2</v>
      </c>
      <c r="V479" s="74" t="inlineStr">
        <is>
          <t>계단식</t>
        </is>
      </c>
      <c r="W479" s="74" t="n">
        <v>102</v>
      </c>
      <c r="X479" s="74" t="n">
        <v>13</v>
      </c>
      <c r="Y479" s="74" t="n">
        <v>5</v>
      </c>
      <c r="Z479" s="74" t="inlineStr">
        <is>
          <t>https://new.land.naver.com/complexes/5057?tab=detail&amp;rf=Y</t>
        </is>
      </c>
      <c r="AA479" s="74" t="inlineStr">
        <is>
          <t>전라북도 군산시 소룡동 1386-10</t>
        </is>
      </c>
      <c r="AB479" s="74" t="inlineStr">
        <is>
          <t>전라북도</t>
        </is>
      </c>
      <c r="AC479" s="74" t="inlineStr">
        <is>
          <t>군산시</t>
        </is>
      </c>
      <c r="AD479" s="74" t="inlineStr">
        <is>
          <t>소룡동</t>
        </is>
      </c>
      <c r="AG479" s="74" t="inlineStr">
        <is>
          <t>전라북도 군산시 설림안3길 32</t>
        </is>
      </c>
      <c r="AH479" s="74" t="n">
        <v>0</v>
      </c>
      <c r="AI479" s="74" t="n">
        <v>0</v>
      </c>
      <c r="AJ479" s="74" t="n">
        <v>0</v>
      </c>
      <c r="AK479" s="74" t="n">
        <v>0</v>
      </c>
      <c r="AL479" s="74" t="n">
        <v>0</v>
      </c>
    </row>
    <row r="480">
      <c r="A480" s="74" t="inlineStr">
        <is>
          <t>[소룡동]</t>
        </is>
      </c>
      <c r="B480" s="74" t="n">
        <v>27490</v>
      </c>
      <c r="C480" s="74" t="n">
        <v>1</v>
      </c>
      <c r="D480" s="74" t="inlineStr">
        <is>
          <t>스카이타운</t>
        </is>
      </c>
      <c r="E480" s="74" t="inlineStr">
        <is>
          <t>2008.08.</t>
        </is>
      </c>
      <c r="F480" s="74" t="n">
        <v>398</v>
      </c>
      <c r="G480" s="74" t="n">
        <v>12.49</v>
      </c>
      <c r="H480" s="74" t="n">
        <v>41.29</v>
      </c>
      <c r="I480" s="74" t="n">
        <v>9.609999999999999</v>
      </c>
      <c r="J480" s="74" t="n">
        <v>31.8</v>
      </c>
      <c r="K480" s="74" t="n">
        <v>390</v>
      </c>
      <c r="T480" s="74" t="n">
        <v>1</v>
      </c>
      <c r="U480" s="74" t="n">
        <v>1</v>
      </c>
      <c r="V480" s="74" t="inlineStr">
        <is>
          <t>복도식</t>
        </is>
      </c>
      <c r="W480" s="74" t="n">
        <v>41</v>
      </c>
      <c r="X480" s="74" t="n">
        <v>14</v>
      </c>
      <c r="Y480" s="74" t="n">
        <v>8</v>
      </c>
      <c r="Z480" s="74" t="inlineStr">
        <is>
          <t>https://new.land.naver.com/complexes/27490?tab=detail&amp;rf=Y</t>
        </is>
      </c>
      <c r="AA480" s="74" t="inlineStr">
        <is>
          <t>전라북도 군산시 소룡동 1574</t>
        </is>
      </c>
      <c r="AB480" s="74" t="inlineStr">
        <is>
          <t>전라북도</t>
        </is>
      </c>
      <c r="AC480" s="74" t="inlineStr">
        <is>
          <t>군산시</t>
        </is>
      </c>
      <c r="AD480" s="74" t="inlineStr">
        <is>
          <t>소룡동</t>
        </is>
      </c>
      <c r="AG480" s="74" t="inlineStr">
        <is>
          <t>전라북도 군산시 소룡안3길 34</t>
        </is>
      </c>
      <c r="AH480" s="74" t="n">
        <v>0</v>
      </c>
      <c r="AI480" s="74" t="n">
        <v>312</v>
      </c>
      <c r="AJ480" s="74" t="n">
        <v>37</v>
      </c>
      <c r="AK480" s="74" t="n">
        <v>280</v>
      </c>
      <c r="AL480" s="74" t="n">
        <v>0.7</v>
      </c>
    </row>
    <row r="481">
      <c r="A481" s="74" t="inlineStr">
        <is>
          <t>[소룡동]</t>
        </is>
      </c>
      <c r="B481" s="74" t="n">
        <v>27490</v>
      </c>
      <c r="C481" s="74" t="n">
        <v>2</v>
      </c>
      <c r="D481" s="74" t="inlineStr">
        <is>
          <t>스카이타운</t>
        </is>
      </c>
      <c r="E481" s="74" t="inlineStr">
        <is>
          <t>2008.08.</t>
        </is>
      </c>
      <c r="F481" s="74" t="n">
        <v>398</v>
      </c>
      <c r="G481" s="74" t="n">
        <v>16.28</v>
      </c>
      <c r="H481" s="74" t="n">
        <v>53.83</v>
      </c>
      <c r="I481" s="74" t="n">
        <v>12.54</v>
      </c>
      <c r="J481" s="74" t="n">
        <v>41.46</v>
      </c>
      <c r="K481" s="74" t="n">
        <v>8</v>
      </c>
      <c r="T481" s="74" t="n">
        <v>2</v>
      </c>
      <c r="U481" s="74" t="n">
        <v>1</v>
      </c>
      <c r="V481" s="74" t="inlineStr">
        <is>
          <t>복도식</t>
        </is>
      </c>
      <c r="W481" s="74" t="n">
        <v>53</v>
      </c>
      <c r="X481" s="74" t="n">
        <v>14</v>
      </c>
      <c r="Y481" s="74" t="n">
        <v>8</v>
      </c>
      <c r="Z481" s="74" t="inlineStr">
        <is>
          <t>https://new.land.naver.com/complexes/27490?tab=detail&amp;rf=Y</t>
        </is>
      </c>
      <c r="AA481" s="74" t="inlineStr">
        <is>
          <t>전라북도 군산시 소룡동 1574</t>
        </is>
      </c>
      <c r="AB481" s="74" t="inlineStr">
        <is>
          <t>전라북도</t>
        </is>
      </c>
      <c r="AC481" s="74" t="inlineStr">
        <is>
          <t>군산시</t>
        </is>
      </c>
      <c r="AD481" s="74" t="inlineStr">
        <is>
          <t>소룡동</t>
        </is>
      </c>
      <c r="AG481" s="74" t="inlineStr">
        <is>
          <t>전라북도 군산시 소룡안3길 34</t>
        </is>
      </c>
      <c r="AH481" s="74" t="n">
        <v>0</v>
      </c>
      <c r="AI481" s="74" t="n">
        <v>312</v>
      </c>
      <c r="AJ481" s="74" t="n">
        <v>37</v>
      </c>
      <c r="AK481" s="74" t="n">
        <v>280</v>
      </c>
      <c r="AL481" s="74" t="n">
        <v>0.7</v>
      </c>
    </row>
    <row r="482">
      <c r="A482" s="74" t="inlineStr">
        <is>
          <t>[소룡동]</t>
        </is>
      </c>
      <c r="B482" s="74" t="n">
        <v>125416</v>
      </c>
      <c r="C482" s="74" t="n">
        <v>1</v>
      </c>
      <c r="D482" s="74" t="inlineStr">
        <is>
          <t>예그린</t>
        </is>
      </c>
      <c r="E482" s="74" t="inlineStr">
        <is>
          <t>1991.03.</t>
        </is>
      </c>
      <c r="F482" s="74" t="n">
        <v>60</v>
      </c>
      <c r="G482" s="74" t="n">
        <v>18.44</v>
      </c>
      <c r="H482" s="74" t="n">
        <v>60.98</v>
      </c>
      <c r="I482" s="74" t="n">
        <v>13.93</v>
      </c>
      <c r="J482" s="74" t="n">
        <v>46.05</v>
      </c>
      <c r="K482" s="74" t="n">
        <v>60</v>
      </c>
      <c r="T482" s="74" t="n">
        <v>3</v>
      </c>
      <c r="U482" s="74" t="n">
        <v>1</v>
      </c>
      <c r="V482" s="74" t="inlineStr">
        <is>
          <t>계단식</t>
        </is>
      </c>
      <c r="W482" s="74" t="n">
        <v>60</v>
      </c>
      <c r="X482" s="74" t="n">
        <v>5</v>
      </c>
      <c r="Y482" s="74" t="n">
        <v>5</v>
      </c>
      <c r="Z482" s="74" t="inlineStr">
        <is>
          <t>https://new.land.naver.com/complexes/125416?tab=detail&amp;rf=Y</t>
        </is>
      </c>
      <c r="AA482" s="74" t="inlineStr">
        <is>
          <t>전라북도 군산시 소룡동 1547-4</t>
        </is>
      </c>
      <c r="AB482" s="74" t="inlineStr">
        <is>
          <t>전라북도</t>
        </is>
      </c>
      <c r="AC482" s="74" t="inlineStr">
        <is>
          <t>군산시</t>
        </is>
      </c>
      <c r="AD482" s="74" t="inlineStr">
        <is>
          <t>소룡동</t>
        </is>
      </c>
      <c r="AG482" s="74" t="inlineStr">
        <is>
          <t>전라북도 군산시 소룡안2길 19</t>
        </is>
      </c>
      <c r="AH482" s="74" t="n">
        <v>0</v>
      </c>
      <c r="AI482" s="74" t="n">
        <v>161</v>
      </c>
      <c r="AJ482" s="74" t="n">
        <v>33</v>
      </c>
      <c r="AK482" s="74" t="n">
        <v>0</v>
      </c>
      <c r="AL482" s="74" t="n">
        <v>0</v>
      </c>
    </row>
    <row r="483">
      <c r="A483" s="74" t="inlineStr">
        <is>
          <t>[소룡동]</t>
        </is>
      </c>
      <c r="B483" s="74" t="n">
        <v>122339</v>
      </c>
      <c r="C483" s="74" t="n">
        <v>1</v>
      </c>
      <c r="D483" s="74" t="inlineStr">
        <is>
          <t>평화</t>
        </is>
      </c>
      <c r="E483" s="74" t="inlineStr">
        <is>
          <t>1992.05.</t>
        </is>
      </c>
      <c r="F483" s="74" t="n">
        <v>19</v>
      </c>
      <c r="G483" s="74" t="n">
        <v>21.26</v>
      </c>
      <c r="H483" s="74" t="n">
        <v>70.29000000000001</v>
      </c>
      <c r="I483" s="74" t="n">
        <v>17.59</v>
      </c>
      <c r="J483" s="74" t="n">
        <v>58.15</v>
      </c>
      <c r="K483" s="74" t="n">
        <v>19</v>
      </c>
      <c r="T483" s="74" t="n">
        <v>3</v>
      </c>
      <c r="U483" s="74" t="n">
        <v>1</v>
      </c>
      <c r="V483" s="74" t="inlineStr">
        <is>
          <t>계단식</t>
        </is>
      </c>
      <c r="W483" s="74" t="n">
        <v>70</v>
      </c>
      <c r="X483" s="74" t="n">
        <v>5</v>
      </c>
      <c r="Y483" s="74" t="n">
        <v>4</v>
      </c>
      <c r="Z483" s="74" t="inlineStr">
        <is>
          <t>https://new.land.naver.com/complexes/122339?tab=detail&amp;rf=Y</t>
        </is>
      </c>
      <c r="AA483" s="74" t="inlineStr">
        <is>
          <t>전라북도 군산시 소룡동 1551-3</t>
        </is>
      </c>
      <c r="AB483" s="74" t="inlineStr">
        <is>
          <t>전라북도</t>
        </is>
      </c>
      <c r="AC483" s="74" t="inlineStr">
        <is>
          <t>군산시</t>
        </is>
      </c>
      <c r="AD483" s="74" t="inlineStr">
        <is>
          <t>소룡동</t>
        </is>
      </c>
      <c r="AG483" s="74" t="inlineStr">
        <is>
          <t>전라북도 군산시 칠성6길 185</t>
        </is>
      </c>
      <c r="AH483" s="74" t="n">
        <v>0</v>
      </c>
      <c r="AI483" s="74" t="n">
        <v>123</v>
      </c>
      <c r="AJ483" s="74" t="n">
        <v>25</v>
      </c>
      <c r="AK483" s="74" t="n">
        <v>0</v>
      </c>
      <c r="AL483" s="74" t="n">
        <v>0</v>
      </c>
    </row>
    <row r="484">
      <c r="A484" s="74" t="inlineStr">
        <is>
          <t>[소룡동]</t>
        </is>
      </c>
      <c r="B484" s="74" t="n">
        <v>127515</v>
      </c>
      <c r="C484" s="74" t="n">
        <v>1</v>
      </c>
      <c r="D484" s="74" t="inlineStr">
        <is>
          <t>그린</t>
        </is>
      </c>
      <c r="E484" s="74" t="inlineStr">
        <is>
          <t>1992.06.</t>
        </is>
      </c>
      <c r="F484" s="74" t="n">
        <v>96</v>
      </c>
      <c r="G484" s="74" t="n">
        <v>19.76</v>
      </c>
      <c r="H484" s="74" t="n">
        <v>65.34999999999999</v>
      </c>
      <c r="I484" s="74" t="n">
        <v>15.38</v>
      </c>
      <c r="J484" s="74" t="n">
        <v>50.85</v>
      </c>
      <c r="K484" s="74" t="n">
        <v>96</v>
      </c>
      <c r="T484" s="74" t="n">
        <v>3</v>
      </c>
      <c r="U484" s="74" t="n">
        <v>1</v>
      </c>
      <c r="V484" s="74" t="inlineStr">
        <is>
          <t>계단식</t>
        </is>
      </c>
      <c r="W484" s="74" t="n">
        <v>65</v>
      </c>
      <c r="X484" s="74" t="n">
        <v>6</v>
      </c>
      <c r="Y484" s="74" t="n">
        <v>6</v>
      </c>
      <c r="Z484" s="74" t="inlineStr">
        <is>
          <t>https://new.land.naver.com/complexes/127515?tab=detail&amp;rf=Y</t>
        </is>
      </c>
      <c r="AA484" s="74" t="inlineStr">
        <is>
          <t>전라북도 군산시 소룡동 1561-1</t>
        </is>
      </c>
      <c r="AB484" s="74" t="inlineStr">
        <is>
          <t>전라북도</t>
        </is>
      </c>
      <c r="AC484" s="74" t="inlineStr">
        <is>
          <t>군산시</t>
        </is>
      </c>
      <c r="AD484" s="74" t="inlineStr">
        <is>
          <t>소룡동</t>
        </is>
      </c>
      <c r="AG484" s="74" t="inlineStr">
        <is>
          <t>전라북도 군산시 소룡2길 34</t>
        </is>
      </c>
      <c r="AH484" s="74" t="n">
        <v>0</v>
      </c>
      <c r="AI484" s="74" t="n">
        <v>153</v>
      </c>
      <c r="AJ484" s="74" t="n">
        <v>58</v>
      </c>
      <c r="AK484" s="74" t="n">
        <v>0</v>
      </c>
      <c r="AL484" s="74" t="n">
        <v>0</v>
      </c>
    </row>
    <row r="485">
      <c r="A485" s="74" t="inlineStr">
        <is>
          <t>[소룡동]</t>
        </is>
      </c>
      <c r="B485" s="74" t="n">
        <v>105138</v>
      </c>
      <c r="C485" s="74" t="n">
        <v>1</v>
      </c>
      <c r="D485" s="74" t="inlineStr">
        <is>
          <t>소룡제이파크</t>
        </is>
      </c>
      <c r="E485" s="74" t="inlineStr">
        <is>
          <t>2006.06.</t>
        </is>
      </c>
      <c r="F485" s="74" t="n">
        <v>972</v>
      </c>
      <c r="G485" s="74" t="n">
        <v>23.48</v>
      </c>
      <c r="H485" s="74" t="n">
        <v>77.65000000000001</v>
      </c>
      <c r="I485" s="74" t="n">
        <v>18.01</v>
      </c>
      <c r="J485" s="74" t="n">
        <v>59.55</v>
      </c>
      <c r="K485" s="74" t="n">
        <v>144</v>
      </c>
      <c r="T485" s="74" t="n">
        <v>2</v>
      </c>
      <c r="U485" s="74" t="n">
        <v>1</v>
      </c>
      <c r="V485" s="74" t="inlineStr">
        <is>
          <t>계단식</t>
        </is>
      </c>
      <c r="W485" s="74" t="inlineStr">
        <is>
          <t>77A</t>
        </is>
      </c>
      <c r="X485" s="74" t="n">
        <v>12</v>
      </c>
      <c r="Y485" s="74" t="n">
        <v>12</v>
      </c>
      <c r="Z485" s="74" t="inlineStr">
        <is>
          <t>https://new.land.naver.com/complexes/105138?tab=detail&amp;rf=Y</t>
        </is>
      </c>
      <c r="AA485" s="74" t="inlineStr">
        <is>
          <t>전라북도 군산시 소룡동 663</t>
        </is>
      </c>
      <c r="AB485" s="74" t="inlineStr">
        <is>
          <t>전라북도</t>
        </is>
      </c>
      <c r="AC485" s="74" t="inlineStr">
        <is>
          <t>군산시</t>
        </is>
      </c>
      <c r="AD485" s="74" t="inlineStr">
        <is>
          <t>소룡동</t>
        </is>
      </c>
      <c r="AG485" s="74" t="inlineStr">
        <is>
          <t>전라북도 군산시 해망로 606</t>
        </is>
      </c>
      <c r="AH485" s="74" t="n">
        <v>0</v>
      </c>
      <c r="AI485" s="74" t="n">
        <v>155</v>
      </c>
      <c r="AJ485" s="74" t="n">
        <v>16</v>
      </c>
      <c r="AK485" s="74" t="n">
        <v>985</v>
      </c>
      <c r="AL485" s="74" t="n">
        <v>1.01</v>
      </c>
    </row>
    <row r="486">
      <c r="A486" s="74" t="inlineStr">
        <is>
          <t>[소룡동]</t>
        </is>
      </c>
      <c r="B486" s="74" t="n">
        <v>105138</v>
      </c>
      <c r="C486" s="74" t="n">
        <v>2</v>
      </c>
      <c r="D486" s="74" t="inlineStr">
        <is>
          <t>소룡제이파크</t>
        </is>
      </c>
      <c r="E486" s="74" t="inlineStr">
        <is>
          <t>2006.06.</t>
        </is>
      </c>
      <c r="F486" s="74" t="n">
        <v>972</v>
      </c>
      <c r="G486" s="74" t="n">
        <v>23.82</v>
      </c>
      <c r="H486" s="74" t="n">
        <v>78.76000000000001</v>
      </c>
      <c r="I486" s="74" t="n">
        <v>18.13</v>
      </c>
      <c r="J486" s="74" t="n">
        <v>59.95</v>
      </c>
      <c r="K486" s="74" t="n">
        <v>252</v>
      </c>
      <c r="T486" s="74" t="n">
        <v>2</v>
      </c>
      <c r="U486" s="74" t="n">
        <v>1</v>
      </c>
      <c r="V486" s="74" t="inlineStr">
        <is>
          <t>계단식</t>
        </is>
      </c>
      <c r="W486" s="74" t="inlineStr">
        <is>
          <t>78B</t>
        </is>
      </c>
      <c r="X486" s="74" t="n">
        <v>12</v>
      </c>
      <c r="Y486" s="74" t="n">
        <v>12</v>
      </c>
      <c r="Z486" s="74" t="inlineStr">
        <is>
          <t>https://new.land.naver.com/complexes/105138?tab=detail&amp;rf=Y</t>
        </is>
      </c>
      <c r="AA486" s="74" t="inlineStr">
        <is>
          <t>전라북도 군산시 소룡동 663</t>
        </is>
      </c>
      <c r="AB486" s="74" t="inlineStr">
        <is>
          <t>전라북도</t>
        </is>
      </c>
      <c r="AC486" s="74" t="inlineStr">
        <is>
          <t>군산시</t>
        </is>
      </c>
      <c r="AD486" s="74" t="inlineStr">
        <is>
          <t>소룡동</t>
        </is>
      </c>
      <c r="AG486" s="74" t="inlineStr">
        <is>
          <t>전라북도 군산시 해망로 606</t>
        </is>
      </c>
      <c r="AH486" s="74" t="n">
        <v>0</v>
      </c>
      <c r="AI486" s="74" t="n">
        <v>155</v>
      </c>
      <c r="AJ486" s="74" t="n">
        <v>16</v>
      </c>
      <c r="AK486" s="74" t="n">
        <v>985</v>
      </c>
      <c r="AL486" s="74" t="n">
        <v>1.01</v>
      </c>
    </row>
    <row r="487">
      <c r="A487" s="74" t="inlineStr">
        <is>
          <t>[소룡동]</t>
        </is>
      </c>
      <c r="B487" s="74" t="n">
        <v>105138</v>
      </c>
      <c r="C487" s="74" t="n">
        <v>3</v>
      </c>
      <c r="D487" s="74" t="inlineStr">
        <is>
          <t>소룡제이파크</t>
        </is>
      </c>
      <c r="E487" s="74" t="inlineStr">
        <is>
          <t>2006.06.</t>
        </is>
      </c>
      <c r="F487" s="74" t="n">
        <v>972</v>
      </c>
      <c r="G487" s="74" t="n">
        <v>32.14</v>
      </c>
      <c r="H487" s="74" t="n">
        <v>106.25</v>
      </c>
      <c r="I487" s="74" t="n">
        <v>25.56</v>
      </c>
      <c r="J487" s="74" t="n">
        <v>84.52</v>
      </c>
      <c r="K487" s="74" t="n">
        <v>576</v>
      </c>
      <c r="T487" s="74" t="n">
        <v>3</v>
      </c>
      <c r="U487" s="74" t="n">
        <v>2</v>
      </c>
      <c r="V487" s="74" t="inlineStr">
        <is>
          <t>계단식</t>
        </is>
      </c>
      <c r="W487" s="74" t="n">
        <v>106</v>
      </c>
      <c r="X487" s="74" t="n">
        <v>12</v>
      </c>
      <c r="Y487" s="74" t="n">
        <v>12</v>
      </c>
      <c r="Z487" s="74" t="inlineStr">
        <is>
          <t>https://new.land.naver.com/complexes/105138?tab=detail&amp;rf=Y</t>
        </is>
      </c>
      <c r="AA487" s="74" t="inlineStr">
        <is>
          <t>전라북도 군산시 소룡동 663</t>
        </is>
      </c>
      <c r="AB487" s="74" t="inlineStr">
        <is>
          <t>전라북도</t>
        </is>
      </c>
      <c r="AC487" s="74" t="inlineStr">
        <is>
          <t>군산시</t>
        </is>
      </c>
      <c r="AD487" s="74" t="inlineStr">
        <is>
          <t>소룡동</t>
        </is>
      </c>
      <c r="AG487" s="74" t="inlineStr">
        <is>
          <t>전라북도 군산시 해망로 606</t>
        </is>
      </c>
      <c r="AH487" s="74" t="n">
        <v>0</v>
      </c>
      <c r="AI487" s="74" t="n">
        <v>155</v>
      </c>
      <c r="AJ487" s="74" t="n">
        <v>16</v>
      </c>
      <c r="AK487" s="74" t="n">
        <v>985</v>
      </c>
      <c r="AL487" s="74" t="n">
        <v>1.01</v>
      </c>
    </row>
    <row r="488">
      <c r="A488" s="74" t="inlineStr">
        <is>
          <t>[소룡동]</t>
        </is>
      </c>
      <c r="B488" s="74" t="n">
        <v>106428</v>
      </c>
      <c r="C488" s="74" t="n">
        <v>1</v>
      </c>
      <c r="D488" s="74" t="inlineStr">
        <is>
          <t>신흥무지개타운</t>
        </is>
      </c>
      <c r="E488" s="74" t="inlineStr">
        <is>
          <t>1993.06.</t>
        </is>
      </c>
      <c r="F488" s="74" t="n">
        <v>112</v>
      </c>
      <c r="G488" s="74" t="n">
        <v>21.81</v>
      </c>
      <c r="H488" s="74" t="n">
        <v>72.12</v>
      </c>
      <c r="I488" s="74" t="n">
        <v>16.13</v>
      </c>
      <c r="J488" s="74" t="n">
        <v>53.33</v>
      </c>
      <c r="K488" s="74" t="n">
        <v>106</v>
      </c>
      <c r="T488" s="74" t="n">
        <v>3</v>
      </c>
      <c r="U488" s="74" t="n">
        <v>1</v>
      </c>
      <c r="V488" s="74" t="inlineStr">
        <is>
          <t>복도식</t>
        </is>
      </c>
      <c r="W488" s="74" t="n">
        <v>72</v>
      </c>
      <c r="X488" s="74" t="n">
        <v>10</v>
      </c>
      <c r="Y488" s="74" t="n">
        <v>6</v>
      </c>
      <c r="Z488" s="74" t="inlineStr">
        <is>
          <t>https://new.land.naver.com/complexes/106428?tab=detail&amp;rf=Y</t>
        </is>
      </c>
      <c r="AA488" s="74" t="inlineStr">
        <is>
          <t>전라북도 군산시 소룡동 1560-2</t>
        </is>
      </c>
      <c r="AB488" s="74" t="inlineStr">
        <is>
          <t>전라북도</t>
        </is>
      </c>
      <c r="AC488" s="74" t="inlineStr">
        <is>
          <t>군산시</t>
        </is>
      </c>
      <c r="AD488" s="74" t="inlineStr">
        <is>
          <t>소룡동</t>
        </is>
      </c>
      <c r="AG488" s="74" t="inlineStr">
        <is>
          <t>전라북도 군산시 소룡1길 26</t>
        </is>
      </c>
      <c r="AH488" s="74" t="n">
        <v>0</v>
      </c>
      <c r="AI488" s="74" t="n">
        <v>101</v>
      </c>
      <c r="AJ488" s="74" t="n">
        <v>13</v>
      </c>
      <c r="AK488" s="74" t="n">
        <v>40</v>
      </c>
      <c r="AL488" s="74" t="n">
        <v>0.36</v>
      </c>
    </row>
    <row r="489">
      <c r="A489" s="74" t="inlineStr">
        <is>
          <t>[소룡동]</t>
        </is>
      </c>
      <c r="B489" s="74" t="n">
        <v>106428</v>
      </c>
      <c r="C489" s="74" t="n">
        <v>2</v>
      </c>
      <c r="D489" s="74" t="inlineStr">
        <is>
          <t>신흥무지개타운</t>
        </is>
      </c>
      <c r="E489" s="74" t="inlineStr">
        <is>
          <t>1993.06.</t>
        </is>
      </c>
      <c r="F489" s="74" t="n">
        <v>112</v>
      </c>
      <c r="G489" s="74" t="n">
        <v>23.72</v>
      </c>
      <c r="H489" s="74" t="n">
        <v>78.44</v>
      </c>
      <c r="I489" s="74" t="n">
        <v>17.35</v>
      </c>
      <c r="J489" s="74" t="n">
        <v>57.38</v>
      </c>
      <c r="K489" s="74" t="n">
        <v>6</v>
      </c>
      <c r="T489" s="74" t="n">
        <v>3</v>
      </c>
      <c r="U489" s="74" t="n">
        <v>1</v>
      </c>
      <c r="V489" s="74" t="inlineStr">
        <is>
          <t>복도식</t>
        </is>
      </c>
      <c r="W489" s="74" t="n">
        <v>78</v>
      </c>
      <c r="X489" s="74" t="n">
        <v>10</v>
      </c>
      <c r="Y489" s="74" t="n">
        <v>6</v>
      </c>
      <c r="Z489" s="74" t="inlineStr">
        <is>
          <t>https://new.land.naver.com/complexes/106428?tab=detail&amp;rf=Y</t>
        </is>
      </c>
      <c r="AA489" s="74" t="inlineStr">
        <is>
          <t>전라북도 군산시 소룡동 1560-2</t>
        </is>
      </c>
      <c r="AB489" s="74" t="inlineStr">
        <is>
          <t>전라북도</t>
        </is>
      </c>
      <c r="AC489" s="74" t="inlineStr">
        <is>
          <t>군산시</t>
        </is>
      </c>
      <c r="AD489" s="74" t="inlineStr">
        <is>
          <t>소룡동</t>
        </is>
      </c>
      <c r="AG489" s="74" t="inlineStr">
        <is>
          <t>전라북도 군산시 소룡1길 26</t>
        </is>
      </c>
      <c r="AH489" s="74" t="n">
        <v>0</v>
      </c>
      <c r="AI489" s="74" t="n">
        <v>101</v>
      </c>
      <c r="AJ489" s="74" t="n">
        <v>13</v>
      </c>
      <c r="AK489" s="74" t="n">
        <v>40</v>
      </c>
      <c r="AL489" s="74" t="n">
        <v>0.36</v>
      </c>
    </row>
    <row r="490">
      <c r="A490" s="74" t="inlineStr">
        <is>
          <t>[소룡동]</t>
        </is>
      </c>
      <c r="B490" s="74" t="n">
        <v>27544</v>
      </c>
      <c r="C490" s="74" t="n">
        <v>1</v>
      </c>
      <c r="D490" s="74" t="inlineStr">
        <is>
          <t>신도시</t>
        </is>
      </c>
      <c r="E490" s="74" t="inlineStr">
        <is>
          <t>2001.12.</t>
        </is>
      </c>
      <c r="F490" s="74" t="n">
        <v>720</v>
      </c>
      <c r="G490" s="74" t="n">
        <v>19.05</v>
      </c>
      <c r="H490" s="74" t="n">
        <v>62.98</v>
      </c>
      <c r="I490" s="74" t="n">
        <v>13.72</v>
      </c>
      <c r="J490" s="74" t="n">
        <v>45.36</v>
      </c>
      <c r="K490" s="74" t="n">
        <v>416</v>
      </c>
      <c r="T490" s="74" t="n">
        <v>2</v>
      </c>
      <c r="U490" s="74" t="n">
        <v>1</v>
      </c>
      <c r="V490" s="74" t="inlineStr">
        <is>
          <t>복도식</t>
        </is>
      </c>
      <c r="W490" s="74" t="inlineStr">
        <is>
          <t>62A</t>
        </is>
      </c>
      <c r="X490" s="74" t="n">
        <v>19</v>
      </c>
      <c r="Y490" s="74" t="n">
        <v>18</v>
      </c>
      <c r="Z490" s="74" t="inlineStr">
        <is>
          <t>https://new.land.naver.com/complexes/27544?tab=detail&amp;rf=Y</t>
        </is>
      </c>
      <c r="AA490" s="74" t="inlineStr">
        <is>
          <t>전라북도 군산시 소룡동 755</t>
        </is>
      </c>
      <c r="AB490" s="74" t="inlineStr">
        <is>
          <t>전라북도</t>
        </is>
      </c>
      <c r="AC490" s="74" t="inlineStr">
        <is>
          <t>군산시</t>
        </is>
      </c>
      <c r="AD490" s="74" t="inlineStr">
        <is>
          <t>소룡동</t>
        </is>
      </c>
      <c r="AG490" s="74" t="inlineStr">
        <is>
          <t>전라북도 군산시 풍전6길 16</t>
        </is>
      </c>
      <c r="AH490" s="74" t="n">
        <v>0</v>
      </c>
      <c r="AI490" s="74" t="n">
        <v>281</v>
      </c>
      <c r="AJ490" s="74" t="n">
        <v>18</v>
      </c>
      <c r="AK490" s="74" t="n">
        <v>607</v>
      </c>
      <c r="AL490" s="74" t="n">
        <v>0.84</v>
      </c>
    </row>
    <row r="491">
      <c r="A491" s="74" t="inlineStr">
        <is>
          <t>[소룡동]</t>
        </is>
      </c>
      <c r="B491" s="74" t="n">
        <v>27544</v>
      </c>
      <c r="C491" s="74" t="n">
        <v>2</v>
      </c>
      <c r="D491" s="74" t="inlineStr">
        <is>
          <t>신도시</t>
        </is>
      </c>
      <c r="E491" s="74" t="inlineStr">
        <is>
          <t>2001.12.</t>
        </is>
      </c>
      <c r="F491" s="74" t="n">
        <v>720</v>
      </c>
      <c r="G491" s="74" t="n">
        <v>19.22</v>
      </c>
      <c r="H491" s="74" t="n">
        <v>63.57</v>
      </c>
      <c r="I491" s="74" t="n">
        <v>14.05</v>
      </c>
      <c r="J491" s="74" t="n">
        <v>46.45</v>
      </c>
      <c r="K491" s="74" t="n">
        <v>304</v>
      </c>
      <c r="T491" s="74" t="n">
        <v>2</v>
      </c>
      <c r="U491" s="74" t="n">
        <v>1</v>
      </c>
      <c r="V491" s="74" t="inlineStr">
        <is>
          <t>복도식</t>
        </is>
      </c>
      <c r="W491" s="74" t="inlineStr">
        <is>
          <t>63B</t>
        </is>
      </c>
      <c r="X491" s="74" t="n">
        <v>19</v>
      </c>
      <c r="Y491" s="74" t="n">
        <v>18</v>
      </c>
      <c r="Z491" s="74" t="inlineStr">
        <is>
          <t>https://new.land.naver.com/complexes/27544?tab=detail&amp;rf=Y</t>
        </is>
      </c>
      <c r="AA491" s="74" t="inlineStr">
        <is>
          <t>전라북도 군산시 소룡동 755</t>
        </is>
      </c>
      <c r="AB491" s="74" t="inlineStr">
        <is>
          <t>전라북도</t>
        </is>
      </c>
      <c r="AC491" s="74" t="inlineStr">
        <is>
          <t>군산시</t>
        </is>
      </c>
      <c r="AD491" s="74" t="inlineStr">
        <is>
          <t>소룡동</t>
        </is>
      </c>
      <c r="AG491" s="74" t="inlineStr">
        <is>
          <t>전라북도 군산시 풍전6길 16</t>
        </is>
      </c>
      <c r="AH491" s="74" t="n">
        <v>0</v>
      </c>
      <c r="AI491" s="74" t="n">
        <v>281</v>
      </c>
      <c r="AJ491" s="74" t="n">
        <v>18</v>
      </c>
      <c r="AK491" s="74" t="n">
        <v>607</v>
      </c>
      <c r="AL491" s="74" t="n">
        <v>0.84</v>
      </c>
    </row>
    <row r="492">
      <c r="A492" s="74" t="inlineStr">
        <is>
          <t>[소룡동]</t>
        </is>
      </c>
      <c r="B492" s="74" t="n">
        <v>14975</v>
      </c>
      <c r="C492" s="74" t="n">
        <v>1</v>
      </c>
      <c r="D492" s="74" t="inlineStr">
        <is>
          <t>이화</t>
        </is>
      </c>
      <c r="E492" s="74" t="inlineStr">
        <is>
          <t>1992.02.</t>
        </is>
      </c>
      <c r="F492" s="74" t="n">
        <v>204</v>
      </c>
      <c r="G492" s="74" t="n">
        <v>17.71</v>
      </c>
      <c r="H492" s="74" t="n">
        <v>58.57</v>
      </c>
      <c r="I492" s="74" t="n">
        <v>13.55</v>
      </c>
      <c r="J492" s="74" t="n">
        <v>44.81</v>
      </c>
      <c r="K492" s="74" t="n">
        <v>60</v>
      </c>
      <c r="T492" s="74" t="n">
        <v>2</v>
      </c>
      <c r="U492" s="74" t="n">
        <v>1</v>
      </c>
      <c r="V492" s="74" t="inlineStr">
        <is>
          <t>계단식</t>
        </is>
      </c>
      <c r="W492" s="74" t="n">
        <v>58</v>
      </c>
      <c r="X492" s="74" t="n">
        <v>6</v>
      </c>
      <c r="Y492" s="74" t="n">
        <v>6</v>
      </c>
      <c r="Z492" s="74" t="inlineStr">
        <is>
          <t>https://new.land.naver.com/complexes/14975?tab=detail&amp;rf=Y</t>
        </is>
      </c>
      <c r="AA492" s="74" t="inlineStr">
        <is>
          <t>전라북도 군산시 소룡동 1349-26</t>
        </is>
      </c>
      <c r="AB492" s="74" t="inlineStr">
        <is>
          <t>전라북도</t>
        </is>
      </c>
      <c r="AC492" s="74" t="inlineStr">
        <is>
          <t>군산시</t>
        </is>
      </c>
      <c r="AD492" s="74" t="inlineStr">
        <is>
          <t>소룡동</t>
        </is>
      </c>
      <c r="AG492" s="74" t="inlineStr">
        <is>
          <t>전라북도 군산시 설림2길 22-3</t>
        </is>
      </c>
      <c r="AH492" s="74" t="n">
        <v>0</v>
      </c>
      <c r="AI492" s="74" t="n">
        <v>0</v>
      </c>
      <c r="AJ492" s="74" t="n">
        <v>0</v>
      </c>
      <c r="AK492" s="74" t="n">
        <v>0</v>
      </c>
      <c r="AL492" s="74" t="n">
        <v>0</v>
      </c>
    </row>
    <row r="493">
      <c r="A493" s="74" t="inlineStr">
        <is>
          <t>[소룡동]</t>
        </is>
      </c>
      <c r="B493" s="74" t="n">
        <v>14975</v>
      </c>
      <c r="C493" s="74" t="n">
        <v>2</v>
      </c>
      <c r="D493" s="74" t="inlineStr">
        <is>
          <t>이화</t>
        </is>
      </c>
      <c r="E493" s="74" t="inlineStr">
        <is>
          <t>1992.02.</t>
        </is>
      </c>
      <c r="F493" s="74" t="n">
        <v>204</v>
      </c>
      <c r="G493" s="74" t="n">
        <v>20.94</v>
      </c>
      <c r="H493" s="74" t="n">
        <v>69.25</v>
      </c>
      <c r="I493" s="74" t="n">
        <v>16.29</v>
      </c>
      <c r="J493" s="74" t="n">
        <v>53.88</v>
      </c>
      <c r="K493" s="74" t="n">
        <v>132</v>
      </c>
      <c r="T493" s="74" t="n">
        <v>3</v>
      </c>
      <c r="U493" s="74" t="n">
        <v>1</v>
      </c>
      <c r="V493" s="74" t="inlineStr">
        <is>
          <t>계단식</t>
        </is>
      </c>
      <c r="W493" s="74" t="n">
        <v>69</v>
      </c>
      <c r="X493" s="74" t="n">
        <v>6</v>
      </c>
      <c r="Y493" s="74" t="n">
        <v>6</v>
      </c>
      <c r="Z493" s="74" t="inlineStr">
        <is>
          <t>https://new.land.naver.com/complexes/14975?tab=detail&amp;rf=Y</t>
        </is>
      </c>
      <c r="AA493" s="74" t="inlineStr">
        <is>
          <t>전라북도 군산시 소룡동 1349-26</t>
        </is>
      </c>
      <c r="AB493" s="74" t="inlineStr">
        <is>
          <t>전라북도</t>
        </is>
      </c>
      <c r="AC493" s="74" t="inlineStr">
        <is>
          <t>군산시</t>
        </is>
      </c>
      <c r="AD493" s="74" t="inlineStr">
        <is>
          <t>소룡동</t>
        </is>
      </c>
      <c r="AG493" s="74" t="inlineStr">
        <is>
          <t>전라북도 군산시 설림2길 22-3</t>
        </is>
      </c>
      <c r="AH493" s="74" t="n">
        <v>0</v>
      </c>
      <c r="AI493" s="74" t="n">
        <v>0</v>
      </c>
      <c r="AJ493" s="74" t="n">
        <v>0</v>
      </c>
      <c r="AK493" s="74" t="n">
        <v>0</v>
      </c>
      <c r="AL493" s="74" t="n">
        <v>0</v>
      </c>
    </row>
    <row r="494">
      <c r="A494" s="74" t="inlineStr">
        <is>
          <t>[소룡동]</t>
        </is>
      </c>
      <c r="B494" s="74" t="n">
        <v>14975</v>
      </c>
      <c r="C494" s="74" t="n">
        <v>3</v>
      </c>
      <c r="D494" s="74" t="inlineStr">
        <is>
          <t>이화</t>
        </is>
      </c>
      <c r="E494" s="74" t="inlineStr">
        <is>
          <t>1992.02.</t>
        </is>
      </c>
      <c r="F494" s="74" t="n">
        <v>204</v>
      </c>
      <c r="G494" s="74" t="n">
        <v>22.72</v>
      </c>
      <c r="H494" s="74" t="n">
        <v>75.11</v>
      </c>
      <c r="I494" s="74" t="n">
        <v>17.8</v>
      </c>
      <c r="J494" s="74" t="n">
        <v>58.85</v>
      </c>
      <c r="K494" s="74" t="n">
        <v>12</v>
      </c>
      <c r="T494" s="74" t="n">
        <v>3</v>
      </c>
      <c r="U494" s="74" t="n">
        <v>1</v>
      </c>
      <c r="V494" s="74" t="inlineStr">
        <is>
          <t>계단식</t>
        </is>
      </c>
      <c r="W494" s="74" t="n">
        <v>75</v>
      </c>
      <c r="X494" s="74" t="n">
        <v>6</v>
      </c>
      <c r="Y494" s="74" t="n">
        <v>6</v>
      </c>
      <c r="Z494" s="74" t="inlineStr">
        <is>
          <t>https://new.land.naver.com/complexes/14975?tab=detail&amp;rf=Y</t>
        </is>
      </c>
      <c r="AA494" s="74" t="inlineStr">
        <is>
          <t>전라북도 군산시 소룡동 1349-26</t>
        </is>
      </c>
      <c r="AB494" s="74" t="inlineStr">
        <is>
          <t>전라북도</t>
        </is>
      </c>
      <c r="AC494" s="74" t="inlineStr">
        <is>
          <t>군산시</t>
        </is>
      </c>
      <c r="AD494" s="74" t="inlineStr">
        <is>
          <t>소룡동</t>
        </is>
      </c>
      <c r="AG494" s="74" t="inlineStr">
        <is>
          <t>전라북도 군산시 설림2길 22-3</t>
        </is>
      </c>
      <c r="AH494" s="74" t="n">
        <v>0</v>
      </c>
      <c r="AI494" s="74" t="n">
        <v>0</v>
      </c>
      <c r="AJ494" s="74" t="n">
        <v>0</v>
      </c>
      <c r="AK494" s="74" t="n">
        <v>0</v>
      </c>
      <c r="AL494" s="74" t="n">
        <v>0</v>
      </c>
    </row>
    <row r="495">
      <c r="A495" s="74" t="inlineStr">
        <is>
          <t>[수송동]</t>
        </is>
      </c>
      <c r="B495" s="74" t="n">
        <v>132331</v>
      </c>
      <c r="C495" s="74" t="n">
        <v>1</v>
      </c>
      <c r="D495" s="74" t="inlineStr">
        <is>
          <t>하이스</t>
        </is>
      </c>
      <c r="E495" s="74" t="inlineStr">
        <is>
          <t>2010.04.</t>
        </is>
      </c>
      <c r="F495" s="74" t="n">
        <v>40</v>
      </c>
      <c r="G495" s="74" t="n">
        <v>21.51</v>
      </c>
      <c r="H495" s="74" t="n">
        <v>71.14</v>
      </c>
      <c r="I495" s="74" t="n">
        <v>16.45</v>
      </c>
      <c r="J495" s="74" t="n">
        <v>54.41</v>
      </c>
      <c r="K495" s="74" t="n">
        <v>16</v>
      </c>
      <c r="T495" s="74" t="n">
        <v>3</v>
      </c>
      <c r="U495" s="74" t="n">
        <v>1</v>
      </c>
      <c r="V495" s="74" t="inlineStr">
        <is>
          <t>계단식</t>
        </is>
      </c>
      <c r="W495" s="74" t="n">
        <v>71</v>
      </c>
      <c r="X495" s="74" t="n">
        <v>5</v>
      </c>
      <c r="Y495" s="74" t="n">
        <v>5</v>
      </c>
      <c r="Z495" s="74" t="inlineStr">
        <is>
          <t>https://new.land.naver.com/complexes/132331?tab=detail&amp;rf=Y</t>
        </is>
      </c>
      <c r="AA495" s="74" t="inlineStr">
        <is>
          <t>전라북도 군산시 수송동 404</t>
        </is>
      </c>
      <c r="AB495" s="74" t="inlineStr">
        <is>
          <t>전라북도</t>
        </is>
      </c>
      <c r="AC495" s="74" t="inlineStr">
        <is>
          <t>군산시</t>
        </is>
      </c>
      <c r="AD495" s="74" t="inlineStr">
        <is>
          <t>수송동</t>
        </is>
      </c>
      <c r="AG495" s="74" t="inlineStr">
        <is>
          <t>전라북도 군산시 진포2길 15</t>
        </is>
      </c>
      <c r="AH495" s="74" t="n">
        <v>0</v>
      </c>
      <c r="AI495" s="74" t="n">
        <v>161</v>
      </c>
      <c r="AJ495" s="74" t="n">
        <v>44</v>
      </c>
      <c r="AK495" s="74" t="n">
        <v>43</v>
      </c>
      <c r="AL495" s="74" t="n">
        <v>1.07</v>
      </c>
    </row>
    <row r="496">
      <c r="A496" s="74" t="inlineStr">
        <is>
          <t>[수송동]</t>
        </is>
      </c>
      <c r="B496" s="74" t="n">
        <v>132331</v>
      </c>
      <c r="C496" s="74" t="n">
        <v>2</v>
      </c>
      <c r="D496" s="74" t="inlineStr">
        <is>
          <t>하이스</t>
        </is>
      </c>
      <c r="E496" s="74" t="inlineStr">
        <is>
          <t>2010.04.</t>
        </is>
      </c>
      <c r="F496" s="74" t="n">
        <v>40</v>
      </c>
      <c r="G496" s="74" t="n">
        <v>27.96</v>
      </c>
      <c r="H496" s="74" t="n">
        <v>92.45</v>
      </c>
      <c r="I496" s="74" t="n">
        <v>21.5</v>
      </c>
      <c r="J496" s="74" t="n">
        <v>71.08</v>
      </c>
      <c r="K496" s="74" t="n">
        <v>24</v>
      </c>
      <c r="T496" s="74" t="n">
        <v>3</v>
      </c>
      <c r="U496" s="74" t="n">
        <v>2</v>
      </c>
      <c r="V496" s="74" t="inlineStr">
        <is>
          <t>계단식</t>
        </is>
      </c>
      <c r="W496" s="74" t="n">
        <v>92</v>
      </c>
      <c r="X496" s="74" t="n">
        <v>5</v>
      </c>
      <c r="Y496" s="74" t="n">
        <v>5</v>
      </c>
      <c r="Z496" s="74" t="inlineStr">
        <is>
          <t>https://new.land.naver.com/complexes/132331?tab=detail&amp;rf=Y</t>
        </is>
      </c>
      <c r="AA496" s="74" t="inlineStr">
        <is>
          <t>전라북도 군산시 수송동 404</t>
        </is>
      </c>
      <c r="AB496" s="74" t="inlineStr">
        <is>
          <t>전라북도</t>
        </is>
      </c>
      <c r="AC496" s="74" t="inlineStr">
        <is>
          <t>군산시</t>
        </is>
      </c>
      <c r="AD496" s="74" t="inlineStr">
        <is>
          <t>수송동</t>
        </is>
      </c>
      <c r="AG496" s="74" t="inlineStr">
        <is>
          <t>전라북도 군산시 진포2길 15</t>
        </is>
      </c>
      <c r="AH496" s="74" t="n">
        <v>0</v>
      </c>
      <c r="AI496" s="74" t="n">
        <v>161</v>
      </c>
      <c r="AJ496" s="74" t="n">
        <v>44</v>
      </c>
      <c r="AK496" s="74" t="n">
        <v>43</v>
      </c>
      <c r="AL496" s="74" t="n">
        <v>1.07</v>
      </c>
    </row>
    <row r="497">
      <c r="A497" s="74" t="inlineStr">
        <is>
          <t>[수송동]</t>
        </is>
      </c>
      <c r="B497" s="74" t="n">
        <v>100426</v>
      </c>
      <c r="C497" s="74" t="n">
        <v>1</v>
      </c>
      <c r="D497" s="74" t="inlineStr">
        <is>
          <t>한라비발디2단지</t>
        </is>
      </c>
      <c r="E497" s="74" t="inlineStr">
        <is>
          <t>2008.11.</t>
        </is>
      </c>
      <c r="F497" s="74" t="n">
        <v>782</v>
      </c>
      <c r="G497" s="74" t="n">
        <v>34.28</v>
      </c>
      <c r="H497" s="74" t="n">
        <v>113.34</v>
      </c>
      <c r="I497" s="74" t="n">
        <v>25.7</v>
      </c>
      <c r="J497" s="74" t="n">
        <v>84.95999999999999</v>
      </c>
      <c r="K497" s="74" t="n">
        <v>480</v>
      </c>
      <c r="T497" s="74" t="n">
        <v>3</v>
      </c>
      <c r="U497" s="74" t="n">
        <v>2</v>
      </c>
      <c r="V497" s="74" t="inlineStr">
        <is>
          <t>계단식</t>
        </is>
      </c>
      <c r="W497" s="74" t="n">
        <v>113</v>
      </c>
      <c r="X497" s="74" t="n">
        <v>20</v>
      </c>
      <c r="Y497" s="74" t="n">
        <v>10</v>
      </c>
      <c r="Z497" s="74" t="inlineStr">
        <is>
          <t>https://new.land.naver.com/complexes/100426?tab=detail&amp;rf=Y</t>
        </is>
      </c>
      <c r="AA497" s="74" t="inlineStr">
        <is>
          <t>전라북도 군산시 수송동 885-3</t>
        </is>
      </c>
      <c r="AB497" s="74" t="inlineStr">
        <is>
          <t>전라북도</t>
        </is>
      </c>
      <c r="AC497" s="74" t="inlineStr">
        <is>
          <t>군산시</t>
        </is>
      </c>
      <c r="AD497" s="74" t="inlineStr">
        <is>
          <t>수송동</t>
        </is>
      </c>
      <c r="AG497" s="74" t="inlineStr">
        <is>
          <t>전라북도 군산시 수송동로 20</t>
        </is>
      </c>
      <c r="AH497" s="74" t="n">
        <v>0</v>
      </c>
      <c r="AI497" s="74" t="n">
        <v>208</v>
      </c>
      <c r="AJ497" s="74" t="n">
        <v>15</v>
      </c>
      <c r="AK497" s="74" t="n">
        <v>977</v>
      </c>
      <c r="AL497" s="74" t="n">
        <v>1.25</v>
      </c>
    </row>
    <row r="498">
      <c r="A498" s="74" t="inlineStr">
        <is>
          <t>[수송동]</t>
        </is>
      </c>
      <c r="B498" s="74" t="n">
        <v>100426</v>
      </c>
      <c r="C498" s="74" t="n">
        <v>2</v>
      </c>
      <c r="D498" s="74" t="inlineStr">
        <is>
          <t>한라비발디2단지</t>
        </is>
      </c>
      <c r="E498" s="74" t="inlineStr">
        <is>
          <t>2008.11.</t>
        </is>
      </c>
      <c r="F498" s="74" t="n">
        <v>782</v>
      </c>
      <c r="G498" s="74" t="n">
        <v>34.53</v>
      </c>
      <c r="H498" s="74" t="n">
        <v>114.17</v>
      </c>
      <c r="I498" s="74" t="n">
        <v>25.7</v>
      </c>
      <c r="J498" s="74" t="n">
        <v>84.97</v>
      </c>
      <c r="K498" s="74" t="n">
        <v>160</v>
      </c>
      <c r="T498" s="74" t="n">
        <v>3</v>
      </c>
      <c r="U498" s="74" t="n">
        <v>2</v>
      </c>
      <c r="V498" s="74" t="inlineStr">
        <is>
          <t>계단식</t>
        </is>
      </c>
      <c r="W498" s="74" t="inlineStr">
        <is>
          <t>114A</t>
        </is>
      </c>
      <c r="X498" s="74" t="n">
        <v>20</v>
      </c>
      <c r="Y498" s="74" t="n">
        <v>10</v>
      </c>
      <c r="Z498" s="74" t="inlineStr">
        <is>
          <t>https://new.land.naver.com/complexes/100426?tab=detail&amp;rf=Y</t>
        </is>
      </c>
      <c r="AA498" s="74" t="inlineStr">
        <is>
          <t>전라북도 군산시 수송동 885-3</t>
        </is>
      </c>
      <c r="AB498" s="74" t="inlineStr">
        <is>
          <t>전라북도</t>
        </is>
      </c>
      <c r="AC498" s="74" t="inlineStr">
        <is>
          <t>군산시</t>
        </is>
      </c>
      <c r="AD498" s="74" t="inlineStr">
        <is>
          <t>수송동</t>
        </is>
      </c>
      <c r="AG498" s="74" t="inlineStr">
        <is>
          <t>전라북도 군산시 수송동로 20</t>
        </is>
      </c>
      <c r="AH498" s="74" t="n">
        <v>0</v>
      </c>
      <c r="AI498" s="74" t="n">
        <v>208</v>
      </c>
      <c r="AJ498" s="74" t="n">
        <v>15</v>
      </c>
      <c r="AK498" s="74" t="n">
        <v>977</v>
      </c>
      <c r="AL498" s="74" t="n">
        <v>1.25</v>
      </c>
    </row>
    <row r="499">
      <c r="A499" s="74" t="inlineStr">
        <is>
          <t>[수송동]</t>
        </is>
      </c>
      <c r="B499" s="74" t="n">
        <v>100426</v>
      </c>
      <c r="C499" s="74" t="n">
        <v>3</v>
      </c>
      <c r="D499" s="74" t="inlineStr">
        <is>
          <t>한라비발디2단지</t>
        </is>
      </c>
      <c r="E499" s="74" t="inlineStr">
        <is>
          <t>2008.11.</t>
        </is>
      </c>
      <c r="F499" s="74" t="n">
        <v>782</v>
      </c>
      <c r="G499" s="74" t="n">
        <v>34.83</v>
      </c>
      <c r="H499" s="74" t="n">
        <v>115.17</v>
      </c>
      <c r="I499" s="74" t="n">
        <v>25.7</v>
      </c>
      <c r="J499" s="74" t="n">
        <v>84.97</v>
      </c>
      <c r="K499" s="74" t="n">
        <v>142</v>
      </c>
      <c r="T499" s="74" t="n">
        <v>3</v>
      </c>
      <c r="U499" s="74" t="n">
        <v>2</v>
      </c>
      <c r="V499" s="74" t="inlineStr">
        <is>
          <t>계단식</t>
        </is>
      </c>
      <c r="W499" s="74" t="inlineStr">
        <is>
          <t>115B</t>
        </is>
      </c>
      <c r="X499" s="74" t="n">
        <v>20</v>
      </c>
      <c r="Y499" s="74" t="n">
        <v>10</v>
      </c>
      <c r="Z499" s="74" t="inlineStr">
        <is>
          <t>https://new.land.naver.com/complexes/100426?tab=detail&amp;rf=Y</t>
        </is>
      </c>
      <c r="AA499" s="74" t="inlineStr">
        <is>
          <t>전라북도 군산시 수송동 885-3</t>
        </is>
      </c>
      <c r="AB499" s="74" t="inlineStr">
        <is>
          <t>전라북도</t>
        </is>
      </c>
      <c r="AC499" s="74" t="inlineStr">
        <is>
          <t>군산시</t>
        </is>
      </c>
      <c r="AD499" s="74" t="inlineStr">
        <is>
          <t>수송동</t>
        </is>
      </c>
      <c r="AG499" s="74" t="inlineStr">
        <is>
          <t>전라북도 군산시 수송동로 20</t>
        </is>
      </c>
      <c r="AH499" s="74" t="n">
        <v>0</v>
      </c>
      <c r="AI499" s="74" t="n">
        <v>208</v>
      </c>
      <c r="AJ499" s="74" t="n">
        <v>15</v>
      </c>
      <c r="AK499" s="74" t="n">
        <v>977</v>
      </c>
      <c r="AL499" s="74" t="n">
        <v>1.25</v>
      </c>
    </row>
    <row r="500">
      <c r="A500" s="74" t="inlineStr">
        <is>
          <t>[수송동]</t>
        </is>
      </c>
      <c r="B500" s="74" t="n">
        <v>26635</v>
      </c>
      <c r="C500" s="74" t="n">
        <v>1</v>
      </c>
      <c r="D500" s="74" t="inlineStr">
        <is>
          <t>한라비발디1단지</t>
        </is>
      </c>
      <c r="E500" s="74" t="inlineStr">
        <is>
          <t>2008.11.</t>
        </is>
      </c>
      <c r="F500" s="74" t="n">
        <v>332</v>
      </c>
      <c r="G500" s="74" t="n">
        <v>40.21</v>
      </c>
      <c r="H500" s="74" t="n">
        <v>132.95</v>
      </c>
      <c r="I500" s="74" t="n">
        <v>30.36</v>
      </c>
      <c r="J500" s="74" t="n">
        <v>100.37</v>
      </c>
      <c r="K500" s="74" t="n">
        <v>59</v>
      </c>
      <c r="T500" s="74" t="n">
        <v>3</v>
      </c>
      <c r="U500" s="74" t="n">
        <v>2</v>
      </c>
      <c r="V500" s="74" t="inlineStr">
        <is>
          <t>계단식</t>
        </is>
      </c>
      <c r="W500" s="74" t="inlineStr">
        <is>
          <t>132A</t>
        </is>
      </c>
      <c r="X500" s="74" t="n">
        <v>20</v>
      </c>
      <c r="Y500" s="74" t="n">
        <v>19</v>
      </c>
      <c r="Z500" s="74" t="inlineStr">
        <is>
          <t>https://new.land.naver.com/complexes/26635?tab=detail&amp;rf=Y</t>
        </is>
      </c>
      <c r="AA500" s="74" t="inlineStr">
        <is>
          <t>전라북도 군산시 수송동 885-1</t>
        </is>
      </c>
      <c r="AB500" s="74" t="inlineStr">
        <is>
          <t>전라북도</t>
        </is>
      </c>
      <c r="AC500" s="74" t="inlineStr">
        <is>
          <t>군산시</t>
        </is>
      </c>
      <c r="AD500" s="74" t="inlineStr">
        <is>
          <t>수송동</t>
        </is>
      </c>
      <c r="AG500" s="74" t="inlineStr">
        <is>
          <t>전라북도 군산시 수송동로 36</t>
        </is>
      </c>
      <c r="AH500" s="74" t="n">
        <v>0</v>
      </c>
      <c r="AI500" s="74" t="n">
        <v>217</v>
      </c>
      <c r="AJ500" s="74" t="n">
        <v>15</v>
      </c>
      <c r="AK500" s="74" t="n">
        <v>579</v>
      </c>
      <c r="AL500" s="74" t="n">
        <v>1.74</v>
      </c>
    </row>
    <row r="501">
      <c r="A501" s="74" t="inlineStr">
        <is>
          <t>[수송동]</t>
        </is>
      </c>
      <c r="B501" s="74" t="n">
        <v>26635</v>
      </c>
      <c r="C501" s="74" t="n">
        <v>2</v>
      </c>
      <c r="D501" s="74" t="inlineStr">
        <is>
          <t>한라비발디1단지</t>
        </is>
      </c>
      <c r="E501" s="74" t="inlineStr">
        <is>
          <t>2008.11.</t>
        </is>
      </c>
      <c r="F501" s="74" t="n">
        <v>332</v>
      </c>
      <c r="G501" s="74" t="n">
        <v>40.94</v>
      </c>
      <c r="H501" s="74" t="n">
        <v>135.34</v>
      </c>
      <c r="I501" s="74" t="n">
        <v>31.32</v>
      </c>
      <c r="J501" s="74" t="n">
        <v>103.57</v>
      </c>
      <c r="K501" s="74" t="n">
        <v>39</v>
      </c>
      <c r="T501" s="74" t="n">
        <v>3</v>
      </c>
      <c r="U501" s="74" t="n">
        <v>2</v>
      </c>
      <c r="V501" s="74" t="inlineStr">
        <is>
          <t>계단식</t>
        </is>
      </c>
      <c r="W501" s="74" t="inlineStr">
        <is>
          <t>135B</t>
        </is>
      </c>
      <c r="X501" s="74" t="n">
        <v>20</v>
      </c>
      <c r="Y501" s="74" t="n">
        <v>19</v>
      </c>
      <c r="Z501" s="74" t="inlineStr">
        <is>
          <t>https://new.land.naver.com/complexes/26635?tab=detail&amp;rf=Y</t>
        </is>
      </c>
      <c r="AA501" s="74" t="inlineStr">
        <is>
          <t>전라북도 군산시 수송동 885-1</t>
        </is>
      </c>
      <c r="AB501" s="74" t="inlineStr">
        <is>
          <t>전라북도</t>
        </is>
      </c>
      <c r="AC501" s="74" t="inlineStr">
        <is>
          <t>군산시</t>
        </is>
      </c>
      <c r="AD501" s="74" t="inlineStr">
        <is>
          <t>수송동</t>
        </is>
      </c>
      <c r="AG501" s="74" t="inlineStr">
        <is>
          <t>전라북도 군산시 수송동로 36</t>
        </is>
      </c>
      <c r="AH501" s="74" t="n">
        <v>0</v>
      </c>
      <c r="AI501" s="74" t="n">
        <v>217</v>
      </c>
      <c r="AJ501" s="74" t="n">
        <v>15</v>
      </c>
      <c r="AK501" s="74" t="n">
        <v>579</v>
      </c>
      <c r="AL501" s="74" t="n">
        <v>1.74</v>
      </c>
    </row>
    <row r="502">
      <c r="A502" s="74" t="inlineStr">
        <is>
          <t>[수송동]</t>
        </is>
      </c>
      <c r="B502" s="74" t="n">
        <v>26635</v>
      </c>
      <c r="C502" s="74" t="n">
        <v>3</v>
      </c>
      <c r="D502" s="74" t="inlineStr">
        <is>
          <t>한라비발디1단지</t>
        </is>
      </c>
      <c r="E502" s="74" t="inlineStr">
        <is>
          <t>2008.11.</t>
        </is>
      </c>
      <c r="F502" s="74" t="n">
        <v>332</v>
      </c>
      <c r="G502" s="74" t="n">
        <v>48.16</v>
      </c>
      <c r="H502" s="74" t="n">
        <v>159.21</v>
      </c>
      <c r="I502" s="74" t="n">
        <v>37.22</v>
      </c>
      <c r="J502" s="74" t="n">
        <v>123.05</v>
      </c>
      <c r="K502" s="74" t="n">
        <v>80</v>
      </c>
      <c r="T502" s="74" t="n">
        <v>4</v>
      </c>
      <c r="U502" s="74" t="n">
        <v>2</v>
      </c>
      <c r="V502" s="74" t="inlineStr">
        <is>
          <t>계단식</t>
        </is>
      </c>
      <c r="W502" s="74" t="inlineStr">
        <is>
          <t>159A</t>
        </is>
      </c>
      <c r="X502" s="74" t="n">
        <v>20</v>
      </c>
      <c r="Y502" s="74" t="n">
        <v>19</v>
      </c>
      <c r="Z502" s="74" t="inlineStr">
        <is>
          <t>https://new.land.naver.com/complexes/26635?tab=detail&amp;rf=Y</t>
        </is>
      </c>
      <c r="AA502" s="74" t="inlineStr">
        <is>
          <t>전라북도 군산시 수송동 885-1</t>
        </is>
      </c>
      <c r="AB502" s="74" t="inlineStr">
        <is>
          <t>전라북도</t>
        </is>
      </c>
      <c r="AC502" s="74" t="inlineStr">
        <is>
          <t>군산시</t>
        </is>
      </c>
      <c r="AD502" s="74" t="inlineStr">
        <is>
          <t>수송동</t>
        </is>
      </c>
      <c r="AG502" s="74" t="inlineStr">
        <is>
          <t>전라북도 군산시 수송동로 36</t>
        </is>
      </c>
      <c r="AH502" s="74" t="n">
        <v>0</v>
      </c>
      <c r="AI502" s="74" t="n">
        <v>217</v>
      </c>
      <c r="AJ502" s="74" t="n">
        <v>15</v>
      </c>
      <c r="AK502" s="74" t="n">
        <v>579</v>
      </c>
      <c r="AL502" s="74" t="n">
        <v>1.74</v>
      </c>
    </row>
    <row r="503">
      <c r="A503" s="74" t="inlineStr">
        <is>
          <t>[수송동]</t>
        </is>
      </c>
      <c r="B503" s="74" t="n">
        <v>26635</v>
      </c>
      <c r="C503" s="74" t="n">
        <v>4</v>
      </c>
      <c r="D503" s="74" t="inlineStr">
        <is>
          <t>한라비발디1단지</t>
        </is>
      </c>
      <c r="E503" s="74" t="inlineStr">
        <is>
          <t>2008.11.</t>
        </is>
      </c>
      <c r="F503" s="74" t="n">
        <v>332</v>
      </c>
      <c r="G503" s="74" t="n">
        <v>48.83</v>
      </c>
      <c r="H503" s="74" t="n">
        <v>161.45</v>
      </c>
      <c r="I503" s="74" t="n">
        <v>40.02</v>
      </c>
      <c r="J503" s="74" t="n">
        <v>132.31</v>
      </c>
      <c r="K503" s="74" t="n">
        <v>79</v>
      </c>
      <c r="T503" s="74" t="n">
        <v>4</v>
      </c>
      <c r="U503" s="74" t="n">
        <v>2</v>
      </c>
      <c r="V503" s="74" t="inlineStr">
        <is>
          <t>계단식</t>
        </is>
      </c>
      <c r="W503" s="74" t="inlineStr">
        <is>
          <t>161B</t>
        </is>
      </c>
      <c r="X503" s="74" t="n">
        <v>20</v>
      </c>
      <c r="Y503" s="74" t="n">
        <v>19</v>
      </c>
      <c r="Z503" s="74" t="inlineStr">
        <is>
          <t>https://new.land.naver.com/complexes/26635?tab=detail&amp;rf=Y</t>
        </is>
      </c>
      <c r="AA503" s="74" t="inlineStr">
        <is>
          <t>전라북도 군산시 수송동 885-1</t>
        </is>
      </c>
      <c r="AB503" s="74" t="inlineStr">
        <is>
          <t>전라북도</t>
        </is>
      </c>
      <c r="AC503" s="74" t="inlineStr">
        <is>
          <t>군산시</t>
        </is>
      </c>
      <c r="AD503" s="74" t="inlineStr">
        <is>
          <t>수송동</t>
        </is>
      </c>
      <c r="AG503" s="74" t="inlineStr">
        <is>
          <t>전라북도 군산시 수송동로 36</t>
        </is>
      </c>
      <c r="AH503" s="74" t="n">
        <v>0</v>
      </c>
      <c r="AI503" s="74" t="n">
        <v>217</v>
      </c>
      <c r="AJ503" s="74" t="n">
        <v>15</v>
      </c>
      <c r="AK503" s="74" t="n">
        <v>579</v>
      </c>
      <c r="AL503" s="74" t="n">
        <v>1.74</v>
      </c>
    </row>
    <row r="504">
      <c r="A504" s="74" t="inlineStr">
        <is>
          <t>[수송동]</t>
        </is>
      </c>
      <c r="B504" s="74" t="n">
        <v>26635</v>
      </c>
      <c r="C504" s="74" t="n">
        <v>5</v>
      </c>
      <c r="D504" s="74" t="inlineStr">
        <is>
          <t>한라비발디1단지</t>
        </is>
      </c>
      <c r="E504" s="74" t="inlineStr">
        <is>
          <t>2008.11.</t>
        </is>
      </c>
      <c r="F504" s="74" t="n">
        <v>332</v>
      </c>
      <c r="G504" s="74" t="n">
        <v>57.32</v>
      </c>
      <c r="H504" s="74" t="n">
        <v>189.51</v>
      </c>
      <c r="I504" s="74" t="n">
        <v>47.15</v>
      </c>
      <c r="J504" s="74" t="n">
        <v>155.9</v>
      </c>
      <c r="K504" s="74" t="n">
        <v>71</v>
      </c>
      <c r="T504" s="74" t="n">
        <v>4</v>
      </c>
      <c r="U504" s="74" t="n">
        <v>2</v>
      </c>
      <c r="V504" s="74" t="inlineStr">
        <is>
          <t>계단식</t>
        </is>
      </c>
      <c r="W504" s="74" t="n">
        <v>189</v>
      </c>
      <c r="X504" s="74" t="n">
        <v>20</v>
      </c>
      <c r="Y504" s="74" t="n">
        <v>19</v>
      </c>
      <c r="Z504" s="74" t="inlineStr">
        <is>
          <t>https://new.land.naver.com/complexes/26635?tab=detail&amp;rf=Y</t>
        </is>
      </c>
      <c r="AA504" s="74" t="inlineStr">
        <is>
          <t>전라북도 군산시 수송동 885-1</t>
        </is>
      </c>
      <c r="AB504" s="74" t="inlineStr">
        <is>
          <t>전라북도</t>
        </is>
      </c>
      <c r="AC504" s="74" t="inlineStr">
        <is>
          <t>군산시</t>
        </is>
      </c>
      <c r="AD504" s="74" t="inlineStr">
        <is>
          <t>수송동</t>
        </is>
      </c>
      <c r="AG504" s="74" t="inlineStr">
        <is>
          <t>전라북도 군산시 수송동로 36</t>
        </is>
      </c>
      <c r="AH504" s="74" t="n">
        <v>0</v>
      </c>
      <c r="AI504" s="74" t="n">
        <v>217</v>
      </c>
      <c r="AJ504" s="74" t="n">
        <v>15</v>
      </c>
      <c r="AK504" s="74" t="n">
        <v>579</v>
      </c>
      <c r="AL504" s="74" t="n">
        <v>1.74</v>
      </c>
    </row>
    <row r="505">
      <c r="A505" s="74" t="inlineStr">
        <is>
          <t>[수송동]</t>
        </is>
      </c>
      <c r="B505" s="74" t="n">
        <v>26635</v>
      </c>
      <c r="C505" s="74" t="n">
        <v>6</v>
      </c>
      <c r="D505" s="74" t="inlineStr">
        <is>
          <t>한라비발디1단지</t>
        </is>
      </c>
      <c r="E505" s="74" t="inlineStr">
        <is>
          <t>2008.11.</t>
        </is>
      </c>
      <c r="F505" s="74" t="n">
        <v>332</v>
      </c>
      <c r="G505" s="74" t="n">
        <v>97.06999999999999</v>
      </c>
      <c r="H505" s="74" t="n">
        <v>320.9</v>
      </c>
      <c r="I505" s="74" t="n">
        <v>79</v>
      </c>
      <c r="J505" s="74" t="n">
        <v>261.19</v>
      </c>
      <c r="K505" s="74" t="n">
        <v>4</v>
      </c>
      <c r="T505" s="74" t="n">
        <v>6</v>
      </c>
      <c r="U505" s="74" t="n">
        <v>4</v>
      </c>
      <c r="V505" s="74" t="inlineStr">
        <is>
          <t>계단식</t>
        </is>
      </c>
      <c r="W505" s="74" t="n">
        <v>320</v>
      </c>
      <c r="X505" s="74" t="n">
        <v>20</v>
      </c>
      <c r="Y505" s="74" t="n">
        <v>19</v>
      </c>
      <c r="Z505" s="74" t="inlineStr">
        <is>
          <t>https://new.land.naver.com/complexes/26635?tab=detail&amp;rf=Y</t>
        </is>
      </c>
      <c r="AA505" s="74" t="inlineStr">
        <is>
          <t>전라북도 군산시 수송동 885-1</t>
        </is>
      </c>
      <c r="AB505" s="74" t="inlineStr">
        <is>
          <t>전라북도</t>
        </is>
      </c>
      <c r="AC505" s="74" t="inlineStr">
        <is>
          <t>군산시</t>
        </is>
      </c>
      <c r="AD505" s="74" t="inlineStr">
        <is>
          <t>수송동</t>
        </is>
      </c>
      <c r="AG505" s="74" t="inlineStr">
        <is>
          <t>전라북도 군산시 수송동로 36</t>
        </is>
      </c>
      <c r="AH505" s="74" t="n">
        <v>0</v>
      </c>
      <c r="AI505" s="74" t="n">
        <v>217</v>
      </c>
      <c r="AJ505" s="74" t="n">
        <v>15</v>
      </c>
      <c r="AK505" s="74" t="n">
        <v>579</v>
      </c>
      <c r="AL505" s="74" t="n">
        <v>1.74</v>
      </c>
    </row>
    <row r="506">
      <c r="A506" s="74" t="inlineStr">
        <is>
          <t>[수송동]</t>
        </is>
      </c>
      <c r="B506" s="74" t="n">
        <v>27518</v>
      </c>
      <c r="C506" s="74" t="n">
        <v>1</v>
      </c>
      <c r="D506" s="74" t="inlineStr">
        <is>
          <t>동신</t>
        </is>
      </c>
      <c r="E506" s="74" t="inlineStr">
        <is>
          <t>1991.09.</t>
        </is>
      </c>
      <c r="F506" s="74" t="n">
        <v>660</v>
      </c>
      <c r="G506" s="74" t="n">
        <v>22.24</v>
      </c>
      <c r="H506" s="74" t="n">
        <v>73.55</v>
      </c>
      <c r="I506" s="74" t="n">
        <v>17.99</v>
      </c>
      <c r="J506" s="74" t="n">
        <v>59.49</v>
      </c>
      <c r="K506" s="74" t="n">
        <v>120</v>
      </c>
      <c r="T506" s="74" t="n">
        <v>2</v>
      </c>
      <c r="U506" s="74" t="n">
        <v>1</v>
      </c>
      <c r="V506" s="74" t="inlineStr">
        <is>
          <t>계단식</t>
        </is>
      </c>
      <c r="W506" s="74" t="n">
        <v>73</v>
      </c>
      <c r="X506" s="74" t="n">
        <v>15</v>
      </c>
      <c r="Y506" s="74" t="n">
        <v>15</v>
      </c>
      <c r="Z506" s="74" t="inlineStr">
        <is>
          <t>https://new.land.naver.com/complexes/27518?tab=detail&amp;rf=Y</t>
        </is>
      </c>
      <c r="AA506" s="74" t="inlineStr">
        <is>
          <t>전라북도 군산시 수송동 904</t>
        </is>
      </c>
      <c r="AB506" s="74" t="inlineStr">
        <is>
          <t>전라북도</t>
        </is>
      </c>
      <c r="AC506" s="74" t="inlineStr">
        <is>
          <t>군산시</t>
        </is>
      </c>
      <c r="AD506" s="74" t="inlineStr">
        <is>
          <t>수송동</t>
        </is>
      </c>
      <c r="AG506" s="74" t="inlineStr">
        <is>
          <t>전라북도 군산시 축동로 10</t>
        </is>
      </c>
      <c r="AH506" s="74" t="n">
        <v>0</v>
      </c>
      <c r="AI506" s="74" t="n">
        <v>264</v>
      </c>
      <c r="AJ506" s="74" t="n">
        <v>55</v>
      </c>
      <c r="AK506" s="74" t="n">
        <v>0</v>
      </c>
      <c r="AL506" s="74" t="n">
        <v>0</v>
      </c>
    </row>
    <row r="507">
      <c r="A507" s="74" t="inlineStr">
        <is>
          <t>[수송동]</t>
        </is>
      </c>
      <c r="B507" s="74" t="n">
        <v>27518</v>
      </c>
      <c r="C507" s="74" t="n">
        <v>2</v>
      </c>
      <c r="D507" s="74" t="inlineStr">
        <is>
          <t>동신</t>
        </is>
      </c>
      <c r="E507" s="74" t="inlineStr">
        <is>
          <t>1991.09.</t>
        </is>
      </c>
      <c r="F507" s="74" t="n">
        <v>660</v>
      </c>
      <c r="G507" s="74" t="n">
        <v>25.24</v>
      </c>
      <c r="H507" s="74" t="n">
        <v>83.47</v>
      </c>
      <c r="I507" s="74" t="n">
        <v>20.39</v>
      </c>
      <c r="J507" s="74" t="n">
        <v>67.41</v>
      </c>
      <c r="K507" s="74" t="n">
        <v>120</v>
      </c>
      <c r="T507" s="74" t="n">
        <v>3</v>
      </c>
      <c r="U507" s="74" t="n">
        <v>1</v>
      </c>
      <c r="V507" s="74" t="inlineStr">
        <is>
          <t>복도식</t>
        </is>
      </c>
      <c r="W507" s="74" t="n">
        <v>83</v>
      </c>
      <c r="X507" s="74" t="n">
        <v>15</v>
      </c>
      <c r="Y507" s="74" t="n">
        <v>15</v>
      </c>
      <c r="Z507" s="74" t="inlineStr">
        <is>
          <t>https://new.land.naver.com/complexes/27518?tab=detail&amp;rf=Y</t>
        </is>
      </c>
      <c r="AA507" s="74" t="inlineStr">
        <is>
          <t>전라북도 군산시 수송동 904</t>
        </is>
      </c>
      <c r="AB507" s="74" t="inlineStr">
        <is>
          <t>전라북도</t>
        </is>
      </c>
      <c r="AC507" s="74" t="inlineStr">
        <is>
          <t>군산시</t>
        </is>
      </c>
      <c r="AD507" s="74" t="inlineStr">
        <is>
          <t>수송동</t>
        </is>
      </c>
      <c r="AG507" s="74" t="inlineStr">
        <is>
          <t>전라북도 군산시 축동로 10</t>
        </is>
      </c>
      <c r="AH507" s="74" t="n">
        <v>0</v>
      </c>
      <c r="AI507" s="74" t="n">
        <v>264</v>
      </c>
      <c r="AJ507" s="74" t="n">
        <v>55</v>
      </c>
      <c r="AK507" s="74" t="n">
        <v>0</v>
      </c>
      <c r="AL507" s="74" t="n">
        <v>0</v>
      </c>
    </row>
    <row r="508">
      <c r="A508" s="74" t="inlineStr">
        <is>
          <t>[수송동]</t>
        </is>
      </c>
      <c r="B508" s="74" t="n">
        <v>27518</v>
      </c>
      <c r="C508" s="74" t="n">
        <v>3</v>
      </c>
      <c r="D508" s="74" t="inlineStr">
        <is>
          <t>동신</t>
        </is>
      </c>
      <c r="E508" s="74" t="inlineStr">
        <is>
          <t>1991.09.</t>
        </is>
      </c>
      <c r="F508" s="74" t="n">
        <v>660</v>
      </c>
      <c r="G508" s="74" t="n">
        <v>28.6</v>
      </c>
      <c r="H508" s="74" t="n">
        <v>94.55</v>
      </c>
      <c r="I508" s="74" t="n">
        <v>23.09</v>
      </c>
      <c r="J508" s="74" t="n">
        <v>76.34999999999999</v>
      </c>
      <c r="K508" s="74" t="n">
        <v>60</v>
      </c>
      <c r="T508" s="74" t="n">
        <v>3</v>
      </c>
      <c r="U508" s="74" t="n">
        <v>2</v>
      </c>
      <c r="V508" s="74" t="inlineStr">
        <is>
          <t>복도식</t>
        </is>
      </c>
      <c r="W508" s="74" t="n">
        <v>94</v>
      </c>
      <c r="X508" s="74" t="n">
        <v>15</v>
      </c>
      <c r="Y508" s="74" t="n">
        <v>15</v>
      </c>
      <c r="Z508" s="74" t="inlineStr">
        <is>
          <t>https://new.land.naver.com/complexes/27518?tab=detail&amp;rf=Y</t>
        </is>
      </c>
      <c r="AA508" s="74" t="inlineStr">
        <is>
          <t>전라북도 군산시 수송동 904</t>
        </is>
      </c>
      <c r="AB508" s="74" t="inlineStr">
        <is>
          <t>전라북도</t>
        </is>
      </c>
      <c r="AC508" s="74" t="inlineStr">
        <is>
          <t>군산시</t>
        </is>
      </c>
      <c r="AD508" s="74" t="inlineStr">
        <is>
          <t>수송동</t>
        </is>
      </c>
      <c r="AG508" s="74" t="inlineStr">
        <is>
          <t>전라북도 군산시 축동로 10</t>
        </is>
      </c>
      <c r="AH508" s="74" t="n">
        <v>0</v>
      </c>
      <c r="AI508" s="74" t="n">
        <v>264</v>
      </c>
      <c r="AJ508" s="74" t="n">
        <v>55</v>
      </c>
      <c r="AK508" s="74" t="n">
        <v>0</v>
      </c>
      <c r="AL508" s="74" t="n">
        <v>0</v>
      </c>
    </row>
    <row r="509">
      <c r="A509" s="74" t="inlineStr">
        <is>
          <t>[수송동]</t>
        </is>
      </c>
      <c r="B509" s="74" t="n">
        <v>27518</v>
      </c>
      <c r="C509" s="74" t="n">
        <v>4</v>
      </c>
      <c r="D509" s="74" t="inlineStr">
        <is>
          <t>동신</t>
        </is>
      </c>
      <c r="E509" s="74" t="inlineStr">
        <is>
          <t>1991.09.</t>
        </is>
      </c>
      <c r="F509" s="74" t="n">
        <v>660</v>
      </c>
      <c r="G509" s="74" t="n">
        <v>29.4</v>
      </c>
      <c r="H509" s="74" t="n">
        <v>97.2</v>
      </c>
      <c r="I509" s="74" t="n">
        <v>23.74</v>
      </c>
      <c r="J509" s="74" t="n">
        <v>78.48</v>
      </c>
      <c r="K509" s="74" t="n">
        <v>120</v>
      </c>
      <c r="T509" s="74" t="n">
        <v>3</v>
      </c>
      <c r="U509" s="74" t="n">
        <v>2</v>
      </c>
      <c r="V509" s="74" t="inlineStr">
        <is>
          <t>계단식</t>
        </is>
      </c>
      <c r="W509" s="74" t="n">
        <v>97</v>
      </c>
      <c r="X509" s="74" t="n">
        <v>15</v>
      </c>
      <c r="Y509" s="74" t="n">
        <v>15</v>
      </c>
      <c r="Z509" s="74" t="inlineStr">
        <is>
          <t>https://new.land.naver.com/complexes/27518?tab=detail&amp;rf=Y</t>
        </is>
      </c>
      <c r="AA509" s="74" t="inlineStr">
        <is>
          <t>전라북도 군산시 수송동 904</t>
        </is>
      </c>
      <c r="AB509" s="74" t="inlineStr">
        <is>
          <t>전라북도</t>
        </is>
      </c>
      <c r="AC509" s="74" t="inlineStr">
        <is>
          <t>군산시</t>
        </is>
      </c>
      <c r="AD509" s="74" t="inlineStr">
        <is>
          <t>수송동</t>
        </is>
      </c>
      <c r="AG509" s="74" t="inlineStr">
        <is>
          <t>전라북도 군산시 축동로 10</t>
        </is>
      </c>
      <c r="AH509" s="74" t="n">
        <v>0</v>
      </c>
      <c r="AI509" s="74" t="n">
        <v>264</v>
      </c>
      <c r="AJ509" s="74" t="n">
        <v>55</v>
      </c>
      <c r="AK509" s="74" t="n">
        <v>0</v>
      </c>
      <c r="AL509" s="74" t="n">
        <v>0</v>
      </c>
    </row>
    <row r="510">
      <c r="A510" s="74" t="inlineStr">
        <is>
          <t>[수송동]</t>
        </is>
      </c>
      <c r="B510" s="74" t="n">
        <v>27518</v>
      </c>
      <c r="C510" s="74" t="n">
        <v>5</v>
      </c>
      <c r="D510" s="74" t="inlineStr">
        <is>
          <t>동신</t>
        </is>
      </c>
      <c r="E510" s="74" t="inlineStr">
        <is>
          <t>1991.09.</t>
        </is>
      </c>
      <c r="F510" s="74" t="n">
        <v>660</v>
      </c>
      <c r="G510" s="74" t="n">
        <v>31.77</v>
      </c>
      <c r="H510" s="74" t="n">
        <v>105.03</v>
      </c>
      <c r="I510" s="74" t="n">
        <v>25.66</v>
      </c>
      <c r="J510" s="74" t="n">
        <v>84.84</v>
      </c>
      <c r="K510" s="74" t="n">
        <v>240</v>
      </c>
      <c r="T510" s="74" t="n">
        <v>3</v>
      </c>
      <c r="U510" s="74" t="n">
        <v>2</v>
      </c>
      <c r="V510" s="74" t="inlineStr">
        <is>
          <t>복도식</t>
        </is>
      </c>
      <c r="W510" s="74" t="n">
        <v>105</v>
      </c>
      <c r="X510" s="74" t="n">
        <v>15</v>
      </c>
      <c r="Y510" s="74" t="n">
        <v>15</v>
      </c>
      <c r="Z510" s="74" t="inlineStr">
        <is>
          <t>https://new.land.naver.com/complexes/27518?tab=detail&amp;rf=Y</t>
        </is>
      </c>
      <c r="AA510" s="74" t="inlineStr">
        <is>
          <t>전라북도 군산시 수송동 904</t>
        </is>
      </c>
      <c r="AB510" s="74" t="inlineStr">
        <is>
          <t>전라북도</t>
        </is>
      </c>
      <c r="AC510" s="74" t="inlineStr">
        <is>
          <t>군산시</t>
        </is>
      </c>
      <c r="AD510" s="74" t="inlineStr">
        <is>
          <t>수송동</t>
        </is>
      </c>
      <c r="AG510" s="74" t="inlineStr">
        <is>
          <t>전라북도 군산시 축동로 10</t>
        </is>
      </c>
      <c r="AH510" s="74" t="n">
        <v>0</v>
      </c>
      <c r="AI510" s="74" t="n">
        <v>264</v>
      </c>
      <c r="AJ510" s="74" t="n">
        <v>55</v>
      </c>
      <c r="AK510" s="74" t="n">
        <v>0</v>
      </c>
      <c r="AL510" s="74" t="n">
        <v>0</v>
      </c>
    </row>
    <row r="511">
      <c r="A511" s="74" t="inlineStr">
        <is>
          <t>[수송동]</t>
        </is>
      </c>
      <c r="B511" s="74" t="n">
        <v>26634</v>
      </c>
      <c r="C511" s="74" t="n">
        <v>1</v>
      </c>
      <c r="D511" s="74" t="inlineStr">
        <is>
          <t>수송아이파크(201-2BL)</t>
        </is>
      </c>
      <c r="E511" s="74" t="inlineStr">
        <is>
          <t>2008.09.</t>
        </is>
      </c>
      <c r="F511" s="74" t="n">
        <v>566</v>
      </c>
      <c r="G511" s="74" t="n">
        <v>39.52</v>
      </c>
      <c r="H511" s="74" t="n">
        <v>130.67</v>
      </c>
      <c r="I511" s="74" t="n">
        <v>30.28</v>
      </c>
      <c r="J511" s="74" t="n">
        <v>100.1</v>
      </c>
      <c r="K511" s="74" t="n">
        <v>87</v>
      </c>
      <c r="T511" s="74" t="n">
        <v>3</v>
      </c>
      <c r="U511" s="74" t="n">
        <v>2</v>
      </c>
      <c r="V511" s="74" t="inlineStr">
        <is>
          <t>계단식</t>
        </is>
      </c>
      <c r="W511" s="74" t="n">
        <v>130</v>
      </c>
      <c r="X511" s="74" t="n">
        <v>20</v>
      </c>
      <c r="Y511" s="74" t="n">
        <v>15</v>
      </c>
      <c r="Z511" s="74" t="inlineStr">
        <is>
          <t>https://new.land.naver.com/complexes/26634?tab=detail&amp;rf=Y</t>
        </is>
      </c>
      <c r="AA511" s="74" t="inlineStr">
        <is>
          <t>전라북도 군산시 수송동 829-2</t>
        </is>
      </c>
      <c r="AB511" s="74" t="inlineStr">
        <is>
          <t>전라북도</t>
        </is>
      </c>
      <c r="AC511" s="74" t="inlineStr">
        <is>
          <t>군산시</t>
        </is>
      </c>
      <c r="AD511" s="74" t="inlineStr">
        <is>
          <t>수송동</t>
        </is>
      </c>
      <c r="AG511" s="74" t="inlineStr">
        <is>
          <t>전라북도 군산시 수송동로 91</t>
        </is>
      </c>
      <c r="AH511" s="74" t="n">
        <v>0</v>
      </c>
      <c r="AI511" s="74" t="n">
        <v>218</v>
      </c>
      <c r="AJ511" s="74" t="n">
        <v>18</v>
      </c>
      <c r="AK511" s="74" t="n">
        <v>930</v>
      </c>
      <c r="AL511" s="74" t="n">
        <v>1.64</v>
      </c>
    </row>
    <row r="512">
      <c r="A512" s="74" t="inlineStr">
        <is>
          <t>[수송동]</t>
        </is>
      </c>
      <c r="B512" s="74" t="n">
        <v>26634</v>
      </c>
      <c r="C512" s="74" t="n">
        <v>2</v>
      </c>
      <c r="D512" s="74" t="inlineStr">
        <is>
          <t>수송아이파크(201-2BL)</t>
        </is>
      </c>
      <c r="E512" s="74" t="inlineStr">
        <is>
          <t>2008.09.</t>
        </is>
      </c>
      <c r="F512" s="74" t="n">
        <v>566</v>
      </c>
      <c r="G512" s="74" t="n">
        <v>40.63</v>
      </c>
      <c r="H512" s="74" t="n">
        <v>134.33</v>
      </c>
      <c r="I512" s="74" t="n">
        <v>31.61</v>
      </c>
      <c r="J512" s="74" t="n">
        <v>104.5</v>
      </c>
      <c r="K512" s="74" t="n">
        <v>54</v>
      </c>
      <c r="T512" s="74" t="n">
        <v>3</v>
      </c>
      <c r="U512" s="74" t="n">
        <v>2</v>
      </c>
      <c r="V512" s="74" t="inlineStr">
        <is>
          <t>계단식</t>
        </is>
      </c>
      <c r="W512" s="74" t="n">
        <v>134</v>
      </c>
      <c r="X512" s="74" t="n">
        <v>20</v>
      </c>
      <c r="Y512" s="74" t="n">
        <v>15</v>
      </c>
      <c r="Z512" s="74" t="inlineStr">
        <is>
          <t>https://new.land.naver.com/complexes/26634?tab=detail&amp;rf=Y</t>
        </is>
      </c>
      <c r="AA512" s="74" t="inlineStr">
        <is>
          <t>전라북도 군산시 수송동 829-2</t>
        </is>
      </c>
      <c r="AB512" s="74" t="inlineStr">
        <is>
          <t>전라북도</t>
        </is>
      </c>
      <c r="AC512" s="74" t="inlineStr">
        <is>
          <t>군산시</t>
        </is>
      </c>
      <c r="AD512" s="74" t="inlineStr">
        <is>
          <t>수송동</t>
        </is>
      </c>
      <c r="AG512" s="74" t="inlineStr">
        <is>
          <t>전라북도 군산시 수송동로 91</t>
        </is>
      </c>
      <c r="AH512" s="74" t="n">
        <v>0</v>
      </c>
      <c r="AI512" s="74" t="n">
        <v>218</v>
      </c>
      <c r="AJ512" s="74" t="n">
        <v>18</v>
      </c>
      <c r="AK512" s="74" t="n">
        <v>930</v>
      </c>
      <c r="AL512" s="74" t="n">
        <v>1.64</v>
      </c>
    </row>
    <row r="513">
      <c r="A513" s="74" t="inlineStr">
        <is>
          <t>[수송동]</t>
        </is>
      </c>
      <c r="B513" s="74" t="n">
        <v>26634</v>
      </c>
      <c r="C513" s="74" t="n">
        <v>3</v>
      </c>
      <c r="D513" s="74" t="inlineStr">
        <is>
          <t>수송아이파크(201-2BL)</t>
        </is>
      </c>
      <c r="E513" s="74" t="inlineStr">
        <is>
          <t>2008.09.</t>
        </is>
      </c>
      <c r="F513" s="74" t="n">
        <v>566</v>
      </c>
      <c r="G513" s="74" t="n">
        <v>46.54</v>
      </c>
      <c r="H513" s="74" t="n">
        <v>153.86</v>
      </c>
      <c r="I513" s="74" t="n">
        <v>36.28</v>
      </c>
      <c r="J513" s="74" t="n">
        <v>119.94</v>
      </c>
      <c r="K513" s="74" t="n">
        <v>328</v>
      </c>
      <c r="T513" s="74" t="n">
        <v>4</v>
      </c>
      <c r="U513" s="74" t="n">
        <v>2</v>
      </c>
      <c r="V513" s="74" t="inlineStr">
        <is>
          <t>계단식</t>
        </is>
      </c>
      <c r="W513" s="74" t="n">
        <v>153</v>
      </c>
      <c r="X513" s="74" t="n">
        <v>20</v>
      </c>
      <c r="Y513" s="74" t="n">
        <v>15</v>
      </c>
      <c r="Z513" s="74" t="inlineStr">
        <is>
          <t>https://new.land.naver.com/complexes/26634?tab=detail&amp;rf=Y</t>
        </is>
      </c>
      <c r="AA513" s="74" t="inlineStr">
        <is>
          <t>전라북도 군산시 수송동 829-2</t>
        </is>
      </c>
      <c r="AB513" s="74" t="inlineStr">
        <is>
          <t>전라북도</t>
        </is>
      </c>
      <c r="AC513" s="74" t="inlineStr">
        <is>
          <t>군산시</t>
        </is>
      </c>
      <c r="AD513" s="74" t="inlineStr">
        <is>
          <t>수송동</t>
        </is>
      </c>
      <c r="AG513" s="74" t="inlineStr">
        <is>
          <t>전라북도 군산시 수송동로 91</t>
        </is>
      </c>
      <c r="AH513" s="74" t="n">
        <v>0</v>
      </c>
      <c r="AI513" s="74" t="n">
        <v>218</v>
      </c>
      <c r="AJ513" s="74" t="n">
        <v>18</v>
      </c>
      <c r="AK513" s="74" t="n">
        <v>930</v>
      </c>
      <c r="AL513" s="74" t="n">
        <v>1.64</v>
      </c>
    </row>
    <row r="514">
      <c r="A514" s="74" t="inlineStr">
        <is>
          <t>[수송동]</t>
        </is>
      </c>
      <c r="B514" s="74" t="n">
        <v>26634</v>
      </c>
      <c r="C514" s="74" t="n">
        <v>4</v>
      </c>
      <c r="D514" s="74" t="inlineStr">
        <is>
          <t>수송아이파크(201-2BL)</t>
        </is>
      </c>
      <c r="E514" s="74" t="inlineStr">
        <is>
          <t>2008.09.</t>
        </is>
      </c>
      <c r="F514" s="74" t="n">
        <v>566</v>
      </c>
      <c r="G514" s="74" t="n">
        <v>54.04</v>
      </c>
      <c r="H514" s="74" t="n">
        <v>178.66</v>
      </c>
      <c r="I514" s="74" t="n">
        <v>43.5</v>
      </c>
      <c r="J514" s="74" t="n">
        <v>143.83</v>
      </c>
      <c r="K514" s="74" t="n">
        <v>94</v>
      </c>
      <c r="T514" s="74" t="n">
        <v>4</v>
      </c>
      <c r="U514" s="74" t="n">
        <v>2</v>
      </c>
      <c r="V514" s="74" t="inlineStr">
        <is>
          <t>계단식</t>
        </is>
      </c>
      <c r="W514" s="74" t="n">
        <v>178</v>
      </c>
      <c r="X514" s="74" t="n">
        <v>20</v>
      </c>
      <c r="Y514" s="74" t="n">
        <v>15</v>
      </c>
      <c r="Z514" s="74" t="inlineStr">
        <is>
          <t>https://new.land.naver.com/complexes/26634?tab=detail&amp;rf=Y</t>
        </is>
      </c>
      <c r="AA514" s="74" t="inlineStr">
        <is>
          <t>전라북도 군산시 수송동 829-2</t>
        </is>
      </c>
      <c r="AB514" s="74" t="inlineStr">
        <is>
          <t>전라북도</t>
        </is>
      </c>
      <c r="AC514" s="74" t="inlineStr">
        <is>
          <t>군산시</t>
        </is>
      </c>
      <c r="AD514" s="74" t="inlineStr">
        <is>
          <t>수송동</t>
        </is>
      </c>
      <c r="AG514" s="74" t="inlineStr">
        <is>
          <t>전라북도 군산시 수송동로 91</t>
        </is>
      </c>
      <c r="AH514" s="74" t="n">
        <v>0</v>
      </c>
      <c r="AI514" s="74" t="n">
        <v>218</v>
      </c>
      <c r="AJ514" s="74" t="n">
        <v>18</v>
      </c>
      <c r="AK514" s="74" t="n">
        <v>930</v>
      </c>
      <c r="AL514" s="74" t="n">
        <v>1.64</v>
      </c>
    </row>
    <row r="515">
      <c r="A515" s="74" t="inlineStr">
        <is>
          <t>[수송동]</t>
        </is>
      </c>
      <c r="B515" s="74" t="n">
        <v>26634</v>
      </c>
      <c r="C515" s="74" t="n">
        <v>5</v>
      </c>
      <c r="D515" s="74" t="inlineStr">
        <is>
          <t>수송아이파크(201-2BL)</t>
        </is>
      </c>
      <c r="E515" s="74" t="inlineStr">
        <is>
          <t>2008.09.</t>
        </is>
      </c>
      <c r="F515" s="74" t="n">
        <v>566</v>
      </c>
      <c r="G515" s="74" t="n">
        <v>86.8</v>
      </c>
      <c r="H515" s="74" t="n">
        <v>286.96</v>
      </c>
      <c r="I515" s="74" t="n">
        <v>70.22</v>
      </c>
      <c r="J515" s="74" t="n">
        <v>232.14</v>
      </c>
      <c r="K515" s="74" t="n">
        <v>3</v>
      </c>
      <c r="T515" s="74" t="n">
        <v>5</v>
      </c>
      <c r="U515" s="74" t="n">
        <v>4</v>
      </c>
      <c r="V515" s="74" t="inlineStr">
        <is>
          <t>계단식</t>
        </is>
      </c>
      <c r="W515" s="74" t="n">
        <v>286</v>
      </c>
      <c r="X515" s="74" t="n">
        <v>20</v>
      </c>
      <c r="Y515" s="74" t="n">
        <v>15</v>
      </c>
      <c r="Z515" s="74" t="inlineStr">
        <is>
          <t>https://new.land.naver.com/complexes/26634?tab=detail&amp;rf=Y</t>
        </is>
      </c>
      <c r="AA515" s="74" t="inlineStr">
        <is>
          <t>전라북도 군산시 수송동 829-2</t>
        </is>
      </c>
      <c r="AB515" s="74" t="inlineStr">
        <is>
          <t>전라북도</t>
        </is>
      </c>
      <c r="AC515" s="74" t="inlineStr">
        <is>
          <t>군산시</t>
        </is>
      </c>
      <c r="AD515" s="74" t="inlineStr">
        <is>
          <t>수송동</t>
        </is>
      </c>
      <c r="AG515" s="74" t="inlineStr">
        <is>
          <t>전라북도 군산시 수송동로 91</t>
        </is>
      </c>
      <c r="AH515" s="74" t="n">
        <v>0</v>
      </c>
      <c r="AI515" s="74" t="n">
        <v>218</v>
      </c>
      <c r="AJ515" s="74" t="n">
        <v>18</v>
      </c>
      <c r="AK515" s="74" t="n">
        <v>930</v>
      </c>
      <c r="AL515" s="74" t="n">
        <v>1.64</v>
      </c>
    </row>
    <row r="516">
      <c r="A516" s="74" t="inlineStr">
        <is>
          <t>[수송동]</t>
        </is>
      </c>
      <c r="B516" s="74" t="n">
        <v>101738</v>
      </c>
      <c r="C516" s="74" t="n">
        <v>1</v>
      </c>
      <c r="D516" s="74" t="inlineStr">
        <is>
          <t>군산수송세영리첼</t>
        </is>
      </c>
      <c r="E516" s="74" t="inlineStr">
        <is>
          <t>2010.06.</t>
        </is>
      </c>
      <c r="F516" s="74" t="n">
        <v>1041</v>
      </c>
      <c r="G516" s="74" t="n">
        <v>32.95</v>
      </c>
      <c r="H516" s="74" t="n">
        <v>108.94</v>
      </c>
      <c r="I516" s="74" t="n">
        <v>25.62</v>
      </c>
      <c r="J516" s="74" t="n">
        <v>84.7</v>
      </c>
      <c r="K516" s="74" t="n">
        <v>160</v>
      </c>
      <c r="T516" s="74" t="n">
        <v>3</v>
      </c>
      <c r="U516" s="74" t="n">
        <v>2</v>
      </c>
      <c r="V516" s="74" t="inlineStr">
        <is>
          <t>계단식</t>
        </is>
      </c>
      <c r="W516" s="74" t="n">
        <v>108</v>
      </c>
      <c r="X516" s="74" t="n">
        <v>20</v>
      </c>
      <c r="Y516" s="74" t="n">
        <v>12</v>
      </c>
      <c r="Z516" s="74" t="inlineStr">
        <is>
          <t>https://new.land.naver.com/complexes/101738?tab=detail&amp;rf=Y</t>
        </is>
      </c>
      <c r="AA516" s="74" t="inlineStr">
        <is>
          <t>전라북도 군산시 수송동 830-1</t>
        </is>
      </c>
      <c r="AB516" s="74" t="inlineStr">
        <is>
          <t>전라북도</t>
        </is>
      </c>
      <c r="AC516" s="74" t="inlineStr">
        <is>
          <t>군산시</t>
        </is>
      </c>
      <c r="AD516" s="74" t="inlineStr">
        <is>
          <t>수송동</t>
        </is>
      </c>
      <c r="AG516" s="74" t="inlineStr">
        <is>
          <t>전라북도 군산시 수송동로 100</t>
        </is>
      </c>
      <c r="AH516" s="74" t="n">
        <v>0</v>
      </c>
      <c r="AI516" s="74" t="n">
        <v>219</v>
      </c>
      <c r="AJ516" s="74" t="n">
        <v>17</v>
      </c>
      <c r="AK516" s="74" t="n">
        <v>1323</v>
      </c>
      <c r="AL516" s="74" t="n">
        <v>1.27</v>
      </c>
    </row>
    <row r="517">
      <c r="A517" s="74" t="inlineStr">
        <is>
          <t>[수송동]</t>
        </is>
      </c>
      <c r="B517" s="74" t="n">
        <v>101738</v>
      </c>
      <c r="C517" s="74" t="n">
        <v>2</v>
      </c>
      <c r="D517" s="74" t="inlineStr">
        <is>
          <t>군산수송세영리첼</t>
        </is>
      </c>
      <c r="E517" s="74" t="inlineStr">
        <is>
          <t>2010.06.</t>
        </is>
      </c>
      <c r="F517" s="74" t="n">
        <v>1041</v>
      </c>
      <c r="G517" s="74" t="n">
        <v>34.54</v>
      </c>
      <c r="H517" s="74" t="n">
        <v>114.19</v>
      </c>
      <c r="I517" s="74" t="n">
        <v>25.69</v>
      </c>
      <c r="J517" s="74" t="n">
        <v>84.95</v>
      </c>
      <c r="K517" s="74" t="n">
        <v>466</v>
      </c>
      <c r="T517" s="74" t="n">
        <v>3</v>
      </c>
      <c r="U517" s="74" t="n">
        <v>2</v>
      </c>
      <c r="V517" s="74" t="inlineStr">
        <is>
          <t>계단식</t>
        </is>
      </c>
      <c r="W517" s="74" t="inlineStr">
        <is>
          <t>114A</t>
        </is>
      </c>
      <c r="X517" s="74" t="n">
        <v>20</v>
      </c>
      <c r="Y517" s="74" t="n">
        <v>12</v>
      </c>
      <c r="Z517" s="74" t="inlineStr">
        <is>
          <t>https://new.land.naver.com/complexes/101738?tab=detail&amp;rf=Y</t>
        </is>
      </c>
      <c r="AA517" s="74" t="inlineStr">
        <is>
          <t>전라북도 군산시 수송동 830-1</t>
        </is>
      </c>
      <c r="AB517" s="74" t="inlineStr">
        <is>
          <t>전라북도</t>
        </is>
      </c>
      <c r="AC517" s="74" t="inlineStr">
        <is>
          <t>군산시</t>
        </is>
      </c>
      <c r="AD517" s="74" t="inlineStr">
        <is>
          <t>수송동</t>
        </is>
      </c>
      <c r="AG517" s="74" t="inlineStr">
        <is>
          <t>전라북도 군산시 수송동로 100</t>
        </is>
      </c>
      <c r="AH517" s="74" t="n">
        <v>0</v>
      </c>
      <c r="AI517" s="74" t="n">
        <v>219</v>
      </c>
      <c r="AJ517" s="74" t="n">
        <v>17</v>
      </c>
      <c r="AK517" s="74" t="n">
        <v>1323</v>
      </c>
      <c r="AL517" s="74" t="n">
        <v>1.27</v>
      </c>
    </row>
    <row r="518">
      <c r="A518" s="74" t="inlineStr">
        <is>
          <t>[수송동]</t>
        </is>
      </c>
      <c r="B518" s="74" t="n">
        <v>101738</v>
      </c>
      <c r="C518" s="74" t="n">
        <v>3</v>
      </c>
      <c r="D518" s="74" t="inlineStr">
        <is>
          <t>군산수송세영리첼</t>
        </is>
      </c>
      <c r="E518" s="74" t="inlineStr">
        <is>
          <t>2010.06.</t>
        </is>
      </c>
      <c r="F518" s="74" t="n">
        <v>1041</v>
      </c>
      <c r="G518" s="74" t="n">
        <v>34.59</v>
      </c>
      <c r="H518" s="74" t="n">
        <v>114.38</v>
      </c>
      <c r="I518" s="74" t="n">
        <v>25.69</v>
      </c>
      <c r="J518" s="74" t="n">
        <v>84.94</v>
      </c>
      <c r="K518" s="74" t="n">
        <v>120</v>
      </c>
      <c r="T518" s="74" t="n">
        <v>3</v>
      </c>
      <c r="U518" s="74" t="n">
        <v>2</v>
      </c>
      <c r="V518" s="74" t="inlineStr">
        <is>
          <t>계단식</t>
        </is>
      </c>
      <c r="W518" s="74" t="inlineStr">
        <is>
          <t>114B</t>
        </is>
      </c>
      <c r="X518" s="74" t="n">
        <v>20</v>
      </c>
      <c r="Y518" s="74" t="n">
        <v>12</v>
      </c>
      <c r="Z518" s="74" t="inlineStr">
        <is>
          <t>https://new.land.naver.com/complexes/101738?tab=detail&amp;rf=Y</t>
        </is>
      </c>
      <c r="AA518" s="74" t="inlineStr">
        <is>
          <t>전라북도 군산시 수송동 830-1</t>
        </is>
      </c>
      <c r="AB518" s="74" t="inlineStr">
        <is>
          <t>전라북도</t>
        </is>
      </c>
      <c r="AC518" s="74" t="inlineStr">
        <is>
          <t>군산시</t>
        </is>
      </c>
      <c r="AD518" s="74" t="inlineStr">
        <is>
          <t>수송동</t>
        </is>
      </c>
      <c r="AG518" s="74" t="inlineStr">
        <is>
          <t>전라북도 군산시 수송동로 100</t>
        </is>
      </c>
      <c r="AH518" s="74" t="n">
        <v>0</v>
      </c>
      <c r="AI518" s="74" t="n">
        <v>219</v>
      </c>
      <c r="AJ518" s="74" t="n">
        <v>17</v>
      </c>
      <c r="AK518" s="74" t="n">
        <v>1323</v>
      </c>
      <c r="AL518" s="74" t="n">
        <v>1.27</v>
      </c>
    </row>
    <row r="519">
      <c r="A519" s="74" t="inlineStr">
        <is>
          <t>[수송동]</t>
        </is>
      </c>
      <c r="B519" s="74" t="n">
        <v>101738</v>
      </c>
      <c r="C519" s="74" t="n">
        <v>4</v>
      </c>
      <c r="D519" s="74" t="inlineStr">
        <is>
          <t>군산수송세영리첼</t>
        </is>
      </c>
      <c r="E519" s="74" t="inlineStr">
        <is>
          <t>2010.06.</t>
        </is>
      </c>
      <c r="F519" s="74" t="n">
        <v>1041</v>
      </c>
      <c r="G519" s="74" t="n">
        <v>36.1</v>
      </c>
      <c r="H519" s="74" t="n">
        <v>119.34</v>
      </c>
      <c r="I519" s="74" t="n">
        <v>25.68</v>
      </c>
      <c r="J519" s="74" t="n">
        <v>84.90000000000001</v>
      </c>
      <c r="K519" s="74" t="n">
        <v>295</v>
      </c>
      <c r="T519" s="74" t="n">
        <v>3</v>
      </c>
      <c r="U519" s="74" t="n">
        <v>2</v>
      </c>
      <c r="V519" s="74" t="inlineStr">
        <is>
          <t>계단식</t>
        </is>
      </c>
      <c r="W519" s="74" t="n">
        <v>119</v>
      </c>
      <c r="X519" s="74" t="n">
        <v>20</v>
      </c>
      <c r="Y519" s="74" t="n">
        <v>12</v>
      </c>
      <c r="Z519" s="74" t="inlineStr">
        <is>
          <t>https://new.land.naver.com/complexes/101738?tab=detail&amp;rf=Y</t>
        </is>
      </c>
      <c r="AA519" s="74" t="inlineStr">
        <is>
          <t>전라북도 군산시 수송동 830-1</t>
        </is>
      </c>
      <c r="AB519" s="74" t="inlineStr">
        <is>
          <t>전라북도</t>
        </is>
      </c>
      <c r="AC519" s="74" t="inlineStr">
        <is>
          <t>군산시</t>
        </is>
      </c>
      <c r="AD519" s="74" t="inlineStr">
        <is>
          <t>수송동</t>
        </is>
      </c>
      <c r="AG519" s="74" t="inlineStr">
        <is>
          <t>전라북도 군산시 수송동로 100</t>
        </is>
      </c>
      <c r="AH519" s="74" t="n">
        <v>0</v>
      </c>
      <c r="AI519" s="74" t="n">
        <v>219</v>
      </c>
      <c r="AJ519" s="74" t="n">
        <v>17</v>
      </c>
      <c r="AK519" s="74" t="n">
        <v>1323</v>
      </c>
      <c r="AL519" s="74" t="n">
        <v>1.27</v>
      </c>
    </row>
    <row r="520">
      <c r="A520" s="74" t="inlineStr">
        <is>
          <t>[수송동]</t>
        </is>
      </c>
      <c r="B520" s="74" t="n">
        <v>103002</v>
      </c>
      <c r="C520" s="74" t="n">
        <v>1</v>
      </c>
      <c r="D520" s="74" t="inlineStr">
        <is>
          <t>수송오투그란데2차</t>
        </is>
      </c>
      <c r="E520" s="74" t="inlineStr">
        <is>
          <t>2011.03.</t>
        </is>
      </c>
      <c r="F520" s="74" t="n">
        <v>570</v>
      </c>
      <c r="G520" s="74" t="n">
        <v>21.7</v>
      </c>
      <c r="H520" s="74" t="n">
        <v>71.75</v>
      </c>
      <c r="I520" s="74" t="n">
        <v>15.09</v>
      </c>
      <c r="J520" s="74" t="n">
        <v>49.91</v>
      </c>
      <c r="K520" s="74" t="n">
        <v>104</v>
      </c>
      <c r="T520" s="74" t="n">
        <v>2</v>
      </c>
      <c r="U520" s="74" t="n">
        <v>1</v>
      </c>
      <c r="V520" s="74" t="inlineStr">
        <is>
          <t>계단식</t>
        </is>
      </c>
      <c r="W520" s="74" t="n">
        <v>71</v>
      </c>
      <c r="X520" s="74" t="n">
        <v>20</v>
      </c>
      <c r="Y520" s="74" t="n">
        <v>10</v>
      </c>
      <c r="Z520" s="74" t="inlineStr">
        <is>
          <t>https://new.land.naver.com/complexes/103002?tab=detail&amp;rf=Y</t>
        </is>
      </c>
      <c r="AA520" s="74" t="inlineStr">
        <is>
          <t>전라북도 군산시 수송동 829-1</t>
        </is>
      </c>
      <c r="AB520" s="74" t="inlineStr">
        <is>
          <t>전라북도</t>
        </is>
      </c>
      <c r="AC520" s="74" t="inlineStr">
        <is>
          <t>군산시</t>
        </is>
      </c>
      <c r="AD520" s="74" t="inlineStr">
        <is>
          <t>수송동</t>
        </is>
      </c>
      <c r="AG520" s="74" t="inlineStr">
        <is>
          <t>전라북도 군산시 수송동로 105</t>
        </is>
      </c>
      <c r="AH520" s="74" t="n">
        <v>0</v>
      </c>
      <c r="AI520" s="74" t="n">
        <v>219</v>
      </c>
      <c r="AJ520" s="74" t="n">
        <v>24</v>
      </c>
      <c r="AK520" s="74" t="n">
        <v>636</v>
      </c>
      <c r="AL520" s="74" t="n">
        <v>1.12</v>
      </c>
    </row>
    <row r="521">
      <c r="A521" s="74" t="inlineStr">
        <is>
          <t>[수송동]</t>
        </is>
      </c>
      <c r="B521" s="74" t="n">
        <v>103002</v>
      </c>
      <c r="C521" s="74" t="n">
        <v>2</v>
      </c>
      <c r="D521" s="74" t="inlineStr">
        <is>
          <t>수송오투그란데2차</t>
        </is>
      </c>
      <c r="E521" s="74" t="inlineStr">
        <is>
          <t>2011.03.</t>
        </is>
      </c>
      <c r="F521" s="74" t="n">
        <v>570</v>
      </c>
      <c r="G521" s="74" t="n">
        <v>25.09</v>
      </c>
      <c r="H521" s="74" t="n">
        <v>82.97</v>
      </c>
      <c r="I521" s="74" t="n">
        <v>18.14</v>
      </c>
      <c r="J521" s="74" t="n">
        <v>59.99</v>
      </c>
      <c r="K521" s="74" t="n">
        <v>235</v>
      </c>
      <c r="T521" s="74" t="n">
        <v>3</v>
      </c>
      <c r="U521" s="74" t="n">
        <v>2</v>
      </c>
      <c r="V521" s="74" t="inlineStr">
        <is>
          <t>계단식</t>
        </is>
      </c>
      <c r="W521" s="74" t="inlineStr">
        <is>
          <t>82B</t>
        </is>
      </c>
      <c r="X521" s="74" t="n">
        <v>20</v>
      </c>
      <c r="Y521" s="74" t="n">
        <v>10</v>
      </c>
      <c r="Z521" s="74" t="inlineStr">
        <is>
          <t>https://new.land.naver.com/complexes/103002?tab=detail&amp;rf=Y</t>
        </is>
      </c>
      <c r="AA521" s="74" t="inlineStr">
        <is>
          <t>전라북도 군산시 수송동 829-1</t>
        </is>
      </c>
      <c r="AB521" s="74" t="inlineStr">
        <is>
          <t>전라북도</t>
        </is>
      </c>
      <c r="AC521" s="74" t="inlineStr">
        <is>
          <t>군산시</t>
        </is>
      </c>
      <c r="AD521" s="74" t="inlineStr">
        <is>
          <t>수송동</t>
        </is>
      </c>
      <c r="AG521" s="74" t="inlineStr">
        <is>
          <t>전라북도 군산시 수송동로 105</t>
        </is>
      </c>
      <c r="AH521" s="74" t="n">
        <v>0</v>
      </c>
      <c r="AI521" s="74" t="n">
        <v>219</v>
      </c>
      <c r="AJ521" s="74" t="n">
        <v>24</v>
      </c>
      <c r="AK521" s="74" t="n">
        <v>636</v>
      </c>
      <c r="AL521" s="74" t="n">
        <v>1.12</v>
      </c>
    </row>
    <row r="522">
      <c r="A522" s="74" t="inlineStr">
        <is>
          <t>[수송동]</t>
        </is>
      </c>
      <c r="B522" s="74" t="n">
        <v>103002</v>
      </c>
      <c r="C522" s="74" t="n">
        <v>3</v>
      </c>
      <c r="D522" s="74" t="inlineStr">
        <is>
          <t>수송오투그란데2차</t>
        </is>
      </c>
      <c r="E522" s="74" t="inlineStr">
        <is>
          <t>2011.03.</t>
        </is>
      </c>
      <c r="F522" s="74" t="n">
        <v>570</v>
      </c>
      <c r="G522" s="74" t="n">
        <v>24.97</v>
      </c>
      <c r="H522" s="74" t="n">
        <v>82.55</v>
      </c>
      <c r="I522" s="74" t="n">
        <v>18.04</v>
      </c>
      <c r="J522" s="74" t="n">
        <v>59.66</v>
      </c>
      <c r="K522" s="74" t="n">
        <v>231</v>
      </c>
      <c r="T522" s="74" t="n">
        <v>3</v>
      </c>
      <c r="U522" s="74" t="n">
        <v>2</v>
      </c>
      <c r="V522" s="74" t="inlineStr">
        <is>
          <t>계단식</t>
        </is>
      </c>
      <c r="W522" s="74" t="inlineStr">
        <is>
          <t>82A</t>
        </is>
      </c>
      <c r="X522" s="74" t="n">
        <v>20</v>
      </c>
      <c r="Y522" s="74" t="n">
        <v>10</v>
      </c>
      <c r="Z522" s="74" t="inlineStr">
        <is>
          <t>https://new.land.naver.com/complexes/103002?tab=detail&amp;rf=Y</t>
        </is>
      </c>
      <c r="AA522" s="74" t="inlineStr">
        <is>
          <t>전라북도 군산시 수송동 829-1</t>
        </is>
      </c>
      <c r="AB522" s="74" t="inlineStr">
        <is>
          <t>전라북도</t>
        </is>
      </c>
      <c r="AC522" s="74" t="inlineStr">
        <is>
          <t>군산시</t>
        </is>
      </c>
      <c r="AD522" s="74" t="inlineStr">
        <is>
          <t>수송동</t>
        </is>
      </c>
      <c r="AG522" s="74" t="inlineStr">
        <is>
          <t>전라북도 군산시 수송동로 105</t>
        </is>
      </c>
      <c r="AH522" s="74" t="n">
        <v>0</v>
      </c>
      <c r="AI522" s="74" t="n">
        <v>219</v>
      </c>
      <c r="AJ522" s="74" t="n">
        <v>24</v>
      </c>
      <c r="AK522" s="74" t="n">
        <v>636</v>
      </c>
      <c r="AL522" s="74" t="n">
        <v>1.12</v>
      </c>
    </row>
    <row r="523">
      <c r="A523" s="74" t="inlineStr">
        <is>
          <t>[수송동]</t>
        </is>
      </c>
      <c r="B523" s="74" t="n">
        <v>119546</v>
      </c>
      <c r="C523" s="74" t="n">
        <v>1</v>
      </c>
      <c r="D523" s="74" t="inlineStr">
        <is>
          <t>수송프라임</t>
        </is>
      </c>
      <c r="E523" s="74" t="inlineStr">
        <is>
          <t>2016.10.</t>
        </is>
      </c>
      <c r="F523" s="74" t="n">
        <v>28</v>
      </c>
      <c r="G523" s="74" t="n">
        <v>26.03</v>
      </c>
      <c r="H523" s="74" t="n">
        <v>86.06999999999999</v>
      </c>
      <c r="I523" s="74" t="n">
        <v>18.03</v>
      </c>
      <c r="J523" s="74" t="n">
        <v>59.63</v>
      </c>
      <c r="K523" s="74" t="n">
        <v>28</v>
      </c>
      <c r="T523" s="74" t="n">
        <v>3</v>
      </c>
      <c r="U523" s="74" t="n">
        <v>1</v>
      </c>
      <c r="V523" s="74" t="inlineStr">
        <is>
          <t>계단식</t>
        </is>
      </c>
      <c r="W523" s="74" t="n">
        <v>86</v>
      </c>
      <c r="X523" s="74" t="n">
        <v>14</v>
      </c>
      <c r="Y523" s="74" t="n">
        <v>14</v>
      </c>
      <c r="Z523" s="74" t="inlineStr">
        <is>
          <t>https://new.land.naver.com/complexes/119546?tab=detail&amp;rf=Y</t>
        </is>
      </c>
      <c r="AA523" s="74" t="inlineStr">
        <is>
          <t>전라북도 군산시 수송동 810-6</t>
        </is>
      </c>
      <c r="AB523" s="74" t="inlineStr">
        <is>
          <t>전라북도</t>
        </is>
      </c>
      <c r="AC523" s="74" t="inlineStr">
        <is>
          <t>군산시</t>
        </is>
      </c>
      <c r="AD523" s="74" t="inlineStr">
        <is>
          <t>수송동</t>
        </is>
      </c>
      <c r="AG523" s="74" t="inlineStr">
        <is>
          <t>전라북도 군산시 수송로 171</t>
        </is>
      </c>
      <c r="AH523" s="74" t="n">
        <v>0</v>
      </c>
      <c r="AI523" s="74" t="n">
        <v>598</v>
      </c>
      <c r="AJ523" s="74" t="n">
        <v>69</v>
      </c>
      <c r="AK523" s="74" t="n">
        <v>31</v>
      </c>
      <c r="AL523" s="74" t="n">
        <v>1.11</v>
      </c>
    </row>
    <row r="524">
      <c r="A524" s="74" t="inlineStr">
        <is>
          <t>[수송동]</t>
        </is>
      </c>
      <c r="B524" s="74" t="n">
        <v>5059</v>
      </c>
      <c r="C524" s="74" t="n">
        <v>1</v>
      </c>
      <c r="D524" s="74" t="inlineStr">
        <is>
          <t>현대</t>
        </is>
      </c>
      <c r="E524" s="74" t="inlineStr">
        <is>
          <t>1997.06.</t>
        </is>
      </c>
      <c r="F524" s="74" t="n">
        <v>657</v>
      </c>
      <c r="G524" s="74" t="n">
        <v>23.67</v>
      </c>
      <c r="H524" s="74" t="n">
        <v>78.25</v>
      </c>
      <c r="I524" s="74" t="n">
        <v>18.13</v>
      </c>
      <c r="J524" s="74" t="n">
        <v>59.95</v>
      </c>
      <c r="K524" s="74" t="n">
        <v>272</v>
      </c>
      <c r="T524" s="74" t="n">
        <v>3</v>
      </c>
      <c r="U524" s="74" t="n">
        <v>1</v>
      </c>
      <c r="V524" s="74" t="inlineStr">
        <is>
          <t>계단식</t>
        </is>
      </c>
      <c r="W524" s="74" t="n">
        <v>78</v>
      </c>
      <c r="X524" s="74" t="n">
        <v>20</v>
      </c>
      <c r="Y524" s="74" t="n">
        <v>15</v>
      </c>
      <c r="Z524" s="74" t="inlineStr">
        <is>
          <t>https://new.land.naver.com/complexes/5059?tab=detail&amp;rf=Y</t>
        </is>
      </c>
      <c r="AA524" s="74" t="inlineStr">
        <is>
          <t>전라북도 군산시 수송동 69-2</t>
        </is>
      </c>
      <c r="AB524" s="74" t="inlineStr">
        <is>
          <t>전라북도</t>
        </is>
      </c>
      <c r="AC524" s="74" t="inlineStr">
        <is>
          <t>군산시</t>
        </is>
      </c>
      <c r="AD524" s="74" t="inlineStr">
        <is>
          <t>수송동</t>
        </is>
      </c>
      <c r="AG524" s="74" t="inlineStr">
        <is>
          <t>전라북도 군산시 진포1길 10</t>
        </is>
      </c>
      <c r="AH524" s="74" t="n">
        <v>0</v>
      </c>
      <c r="AI524" s="74" t="n">
        <v>230</v>
      </c>
      <c r="AJ524" s="74" t="n">
        <v>19</v>
      </c>
      <c r="AK524" s="74" t="n">
        <v>657</v>
      </c>
      <c r="AL524" s="74" t="n">
        <v>1</v>
      </c>
    </row>
    <row r="525">
      <c r="A525" s="74" t="inlineStr">
        <is>
          <t>[수송동]</t>
        </is>
      </c>
      <c r="B525" s="74" t="n">
        <v>5059</v>
      </c>
      <c r="C525" s="74" t="n">
        <v>2</v>
      </c>
      <c r="D525" s="74" t="inlineStr">
        <is>
          <t>현대</t>
        </is>
      </c>
      <c r="E525" s="74" t="inlineStr">
        <is>
          <t>1997.06.</t>
        </is>
      </c>
      <c r="F525" s="74" t="n">
        <v>657</v>
      </c>
      <c r="G525" s="74" t="n">
        <v>29.16</v>
      </c>
      <c r="H525" s="74" t="n">
        <v>96.41</v>
      </c>
      <c r="I525" s="74" t="n">
        <v>22.74</v>
      </c>
      <c r="J525" s="74" t="n">
        <v>75.18000000000001</v>
      </c>
      <c r="K525" s="74" t="n">
        <v>136</v>
      </c>
      <c r="T525" s="74" t="n">
        <v>3</v>
      </c>
      <c r="U525" s="74" t="n">
        <v>1</v>
      </c>
      <c r="V525" s="74" t="inlineStr">
        <is>
          <t>계단식</t>
        </is>
      </c>
      <c r="W525" s="74" t="n">
        <v>96</v>
      </c>
      <c r="X525" s="74" t="n">
        <v>20</v>
      </c>
      <c r="Y525" s="74" t="n">
        <v>15</v>
      </c>
      <c r="Z525" s="74" t="inlineStr">
        <is>
          <t>https://new.land.naver.com/complexes/5059?tab=detail&amp;rf=Y</t>
        </is>
      </c>
      <c r="AA525" s="74" t="inlineStr">
        <is>
          <t>전라북도 군산시 수송동 69-2</t>
        </is>
      </c>
      <c r="AB525" s="74" t="inlineStr">
        <is>
          <t>전라북도</t>
        </is>
      </c>
      <c r="AC525" s="74" t="inlineStr">
        <is>
          <t>군산시</t>
        </is>
      </c>
      <c r="AD525" s="74" t="inlineStr">
        <is>
          <t>수송동</t>
        </is>
      </c>
      <c r="AG525" s="74" t="inlineStr">
        <is>
          <t>전라북도 군산시 진포1길 10</t>
        </is>
      </c>
      <c r="AH525" s="74" t="n">
        <v>0</v>
      </c>
      <c r="AI525" s="74" t="n">
        <v>230</v>
      </c>
      <c r="AJ525" s="74" t="n">
        <v>19</v>
      </c>
      <c r="AK525" s="74" t="n">
        <v>657</v>
      </c>
      <c r="AL525" s="74" t="n">
        <v>1</v>
      </c>
    </row>
    <row r="526">
      <c r="A526" s="74" t="inlineStr">
        <is>
          <t>[수송동]</t>
        </is>
      </c>
      <c r="B526" s="74" t="n">
        <v>5059</v>
      </c>
      <c r="C526" s="74" t="n">
        <v>3</v>
      </c>
      <c r="D526" s="74" t="inlineStr">
        <is>
          <t>현대</t>
        </is>
      </c>
      <c r="E526" s="74" t="inlineStr">
        <is>
          <t>1997.06.</t>
        </is>
      </c>
      <c r="F526" s="74" t="n">
        <v>657</v>
      </c>
      <c r="G526" s="74" t="n">
        <v>31.81</v>
      </c>
      <c r="H526" s="74" t="n">
        <v>105.16</v>
      </c>
      <c r="I526" s="74" t="n">
        <v>25.7</v>
      </c>
      <c r="J526" s="74" t="n">
        <v>84.95999999999999</v>
      </c>
      <c r="K526" s="74" t="n">
        <v>249</v>
      </c>
      <c r="T526" s="74" t="n">
        <v>3</v>
      </c>
      <c r="U526" s="74" t="n">
        <v>2</v>
      </c>
      <c r="V526" s="74" t="inlineStr">
        <is>
          <t>계단식</t>
        </is>
      </c>
      <c r="W526" s="74" t="n">
        <v>105</v>
      </c>
      <c r="X526" s="74" t="n">
        <v>20</v>
      </c>
      <c r="Y526" s="74" t="n">
        <v>15</v>
      </c>
      <c r="Z526" s="74" t="inlineStr">
        <is>
          <t>https://new.land.naver.com/complexes/5059?tab=detail&amp;rf=Y</t>
        </is>
      </c>
      <c r="AA526" s="74" t="inlineStr">
        <is>
          <t>전라북도 군산시 수송동 69-2</t>
        </is>
      </c>
      <c r="AB526" s="74" t="inlineStr">
        <is>
          <t>전라북도</t>
        </is>
      </c>
      <c r="AC526" s="74" t="inlineStr">
        <is>
          <t>군산시</t>
        </is>
      </c>
      <c r="AD526" s="74" t="inlineStr">
        <is>
          <t>수송동</t>
        </is>
      </c>
      <c r="AG526" s="74" t="inlineStr">
        <is>
          <t>전라북도 군산시 진포1길 10</t>
        </is>
      </c>
      <c r="AH526" s="74" t="n">
        <v>0</v>
      </c>
      <c r="AI526" s="74" t="n">
        <v>230</v>
      </c>
      <c r="AJ526" s="74" t="n">
        <v>19</v>
      </c>
      <c r="AK526" s="74" t="n">
        <v>657</v>
      </c>
      <c r="AL526" s="74" t="n">
        <v>1</v>
      </c>
    </row>
    <row r="527">
      <c r="A527" s="74" t="inlineStr">
        <is>
          <t>[수송동]</t>
        </is>
      </c>
      <c r="B527" s="74" t="n">
        <v>16996</v>
      </c>
      <c r="C527" s="74" t="n">
        <v>1</v>
      </c>
      <c r="D527" s="74" t="inlineStr">
        <is>
          <t>수송제일</t>
        </is>
      </c>
      <c r="E527" s="74" t="inlineStr">
        <is>
          <t>2002.03.</t>
        </is>
      </c>
      <c r="F527" s="74" t="n">
        <v>941</v>
      </c>
      <c r="G527" s="74" t="n">
        <v>33.73</v>
      </c>
      <c r="H527" s="74" t="n">
        <v>111.53</v>
      </c>
      <c r="I527" s="74" t="n">
        <v>25.62</v>
      </c>
      <c r="J527" s="74" t="n">
        <v>84.7</v>
      </c>
      <c r="K527" s="74" t="n">
        <v>729</v>
      </c>
      <c r="T527" s="74" t="n">
        <v>3</v>
      </c>
      <c r="U527" s="74" t="n">
        <v>2</v>
      </c>
      <c r="V527" s="74" t="inlineStr">
        <is>
          <t>계단식</t>
        </is>
      </c>
      <c r="W527" s="74" t="inlineStr">
        <is>
          <t>111A</t>
        </is>
      </c>
      <c r="X527" s="74" t="n">
        <v>20</v>
      </c>
      <c r="Y527" s="74" t="n">
        <v>7</v>
      </c>
      <c r="Z527" s="74" t="inlineStr">
        <is>
          <t>https://new.land.naver.com/complexes/16996?tab=detail&amp;rf=Y</t>
        </is>
      </c>
      <c r="AA527" s="74" t="inlineStr">
        <is>
          <t>전라북도 군산시 수송동 33-1</t>
        </is>
      </c>
      <c r="AB527" s="74" t="inlineStr">
        <is>
          <t>전라북도</t>
        </is>
      </c>
      <c r="AC527" s="74" t="inlineStr">
        <is>
          <t>군산시</t>
        </is>
      </c>
      <c r="AD527" s="74" t="inlineStr">
        <is>
          <t>수송동</t>
        </is>
      </c>
      <c r="AG527" s="74" t="inlineStr">
        <is>
          <t>전라북도 군산시 축동안길 37</t>
        </is>
      </c>
      <c r="AH527" s="74" t="n">
        <v>0</v>
      </c>
      <c r="AI527" s="74" t="n">
        <v>239</v>
      </c>
      <c r="AJ527" s="74" t="n">
        <v>18</v>
      </c>
      <c r="AK527" s="74" t="n">
        <v>974</v>
      </c>
      <c r="AL527" s="74" t="n">
        <v>1.04</v>
      </c>
    </row>
    <row r="528">
      <c r="A528" s="74" t="inlineStr">
        <is>
          <t>[수송동]</t>
        </is>
      </c>
      <c r="B528" s="74" t="n">
        <v>16996</v>
      </c>
      <c r="C528" s="74" t="n">
        <v>2</v>
      </c>
      <c r="D528" s="74" t="inlineStr">
        <is>
          <t>수송제일</t>
        </is>
      </c>
      <c r="E528" s="74" t="inlineStr">
        <is>
          <t>2002.03.</t>
        </is>
      </c>
      <c r="F528" s="74" t="n">
        <v>941</v>
      </c>
      <c r="G528" s="74" t="n">
        <v>33.58</v>
      </c>
      <c r="H528" s="74" t="n">
        <v>111.02</v>
      </c>
      <c r="I528" s="74" t="n">
        <v>25.65</v>
      </c>
      <c r="J528" s="74" t="n">
        <v>84.81999999999999</v>
      </c>
      <c r="K528" s="74" t="n">
        <v>178</v>
      </c>
      <c r="T528" s="74" t="n">
        <v>3</v>
      </c>
      <c r="U528" s="74" t="n">
        <v>2</v>
      </c>
      <c r="V528" s="74" t="inlineStr">
        <is>
          <t>계단식</t>
        </is>
      </c>
      <c r="W528" s="74" t="inlineStr">
        <is>
          <t>111C</t>
        </is>
      </c>
      <c r="X528" s="74" t="n">
        <v>20</v>
      </c>
      <c r="Y528" s="74" t="n">
        <v>7</v>
      </c>
      <c r="Z528" s="74" t="inlineStr">
        <is>
          <t>https://new.land.naver.com/complexes/16996?tab=detail&amp;rf=Y</t>
        </is>
      </c>
      <c r="AA528" s="74" t="inlineStr">
        <is>
          <t>전라북도 군산시 수송동 33-1</t>
        </is>
      </c>
      <c r="AB528" s="74" t="inlineStr">
        <is>
          <t>전라북도</t>
        </is>
      </c>
      <c r="AC528" s="74" t="inlineStr">
        <is>
          <t>군산시</t>
        </is>
      </c>
      <c r="AD528" s="74" t="inlineStr">
        <is>
          <t>수송동</t>
        </is>
      </c>
      <c r="AG528" s="74" t="inlineStr">
        <is>
          <t>전라북도 군산시 축동안길 37</t>
        </is>
      </c>
      <c r="AH528" s="74" t="n">
        <v>0</v>
      </c>
      <c r="AI528" s="74" t="n">
        <v>239</v>
      </c>
      <c r="AJ528" s="74" t="n">
        <v>18</v>
      </c>
      <c r="AK528" s="74" t="n">
        <v>974</v>
      </c>
      <c r="AL528" s="74" t="n">
        <v>1.04</v>
      </c>
    </row>
    <row r="529">
      <c r="A529" s="74" t="inlineStr">
        <is>
          <t>[수송동]</t>
        </is>
      </c>
      <c r="B529" s="74" t="n">
        <v>16996</v>
      </c>
      <c r="C529" s="74" t="n">
        <v>3</v>
      </c>
      <c r="D529" s="74" t="inlineStr">
        <is>
          <t>수송제일</t>
        </is>
      </c>
      <c r="E529" s="74" t="inlineStr">
        <is>
          <t>2002.03.</t>
        </is>
      </c>
      <c r="F529" s="74" t="n">
        <v>941</v>
      </c>
      <c r="G529" s="74" t="n">
        <v>33.59</v>
      </c>
      <c r="H529" s="74" t="n">
        <v>111.06</v>
      </c>
      <c r="I529" s="74" t="n">
        <v>25.65</v>
      </c>
      <c r="J529" s="74" t="n">
        <v>84.8</v>
      </c>
      <c r="K529" s="74" t="n">
        <v>34</v>
      </c>
      <c r="T529" s="74" t="n">
        <v>3</v>
      </c>
      <c r="U529" s="74" t="n">
        <v>2</v>
      </c>
      <c r="V529" s="74" t="inlineStr">
        <is>
          <t>계단식</t>
        </is>
      </c>
      <c r="W529" s="74" t="inlineStr">
        <is>
          <t>111B</t>
        </is>
      </c>
      <c r="X529" s="74" t="n">
        <v>20</v>
      </c>
      <c r="Y529" s="74" t="n">
        <v>7</v>
      </c>
      <c r="Z529" s="74" t="inlineStr">
        <is>
          <t>https://new.land.naver.com/complexes/16996?tab=detail&amp;rf=Y</t>
        </is>
      </c>
      <c r="AA529" s="74" t="inlineStr">
        <is>
          <t>전라북도 군산시 수송동 33-1</t>
        </is>
      </c>
      <c r="AB529" s="74" t="inlineStr">
        <is>
          <t>전라북도</t>
        </is>
      </c>
      <c r="AC529" s="74" t="inlineStr">
        <is>
          <t>군산시</t>
        </is>
      </c>
      <c r="AD529" s="74" t="inlineStr">
        <is>
          <t>수송동</t>
        </is>
      </c>
      <c r="AG529" s="74" t="inlineStr">
        <is>
          <t>전라북도 군산시 축동안길 37</t>
        </is>
      </c>
      <c r="AH529" s="74" t="n">
        <v>0</v>
      </c>
      <c r="AI529" s="74" t="n">
        <v>239</v>
      </c>
      <c r="AJ529" s="74" t="n">
        <v>18</v>
      </c>
      <c r="AK529" s="74" t="n">
        <v>974</v>
      </c>
      <c r="AL529" s="74" t="n">
        <v>1.04</v>
      </c>
    </row>
    <row r="530">
      <c r="A530" s="74" t="inlineStr">
        <is>
          <t>[수송동]</t>
        </is>
      </c>
      <c r="B530" s="74" t="n">
        <v>109957</v>
      </c>
      <c r="C530" s="74" t="n">
        <v>1</v>
      </c>
      <c r="D530" s="74" t="inlineStr">
        <is>
          <t>스타팰리스(도시형)</t>
        </is>
      </c>
      <c r="E530" s="74" t="inlineStr">
        <is>
          <t>2015.01.</t>
        </is>
      </c>
      <c r="F530" s="74" t="n">
        <v>283</v>
      </c>
      <c r="G530" s="74" t="n">
        <v>11.24</v>
      </c>
      <c r="H530" s="74" t="n">
        <v>37.18</v>
      </c>
      <c r="I530" s="74" t="n">
        <v>7.91</v>
      </c>
      <c r="J530" s="74" t="n">
        <v>26.17</v>
      </c>
      <c r="K530" s="74" t="n">
        <v>2</v>
      </c>
      <c r="T530" s="74" t="n">
        <v>1</v>
      </c>
      <c r="U530" s="74" t="n">
        <v>1</v>
      </c>
      <c r="V530" s="74" t="inlineStr">
        <is>
          <t>복도식</t>
        </is>
      </c>
      <c r="W530" s="74" t="inlineStr">
        <is>
          <t>37B-4</t>
        </is>
      </c>
      <c r="X530" s="74" t="n">
        <v>23</v>
      </c>
      <c r="Y530" s="74" t="n">
        <v>14</v>
      </c>
      <c r="Z530" s="74" t="inlineStr">
        <is>
          <t>https://new.land.naver.com/complexes/109957?tab=detail&amp;rf=Y</t>
        </is>
      </c>
      <c r="AA530" s="74" t="inlineStr">
        <is>
          <t>전라북도 군산시 수송동 416-6</t>
        </is>
      </c>
      <c r="AB530" s="74" t="inlineStr">
        <is>
          <t>전라북도</t>
        </is>
      </c>
      <c r="AC530" s="74" t="inlineStr">
        <is>
          <t>군산시</t>
        </is>
      </c>
      <c r="AD530" s="74" t="inlineStr">
        <is>
          <t>수송동</t>
        </is>
      </c>
      <c r="AG530" s="74" t="inlineStr">
        <is>
          <t>전라북도 군산시 진포2길 8</t>
        </is>
      </c>
      <c r="AH530" s="74" t="n">
        <v>0</v>
      </c>
      <c r="AI530" s="74" t="n">
        <v>533</v>
      </c>
      <c r="AJ530" s="74" t="n">
        <v>75</v>
      </c>
      <c r="AK530" s="74" t="n">
        <v>163</v>
      </c>
      <c r="AL530" s="74" t="n">
        <v>0.58</v>
      </c>
    </row>
    <row r="531">
      <c r="A531" s="74" t="inlineStr">
        <is>
          <t>[수송동]</t>
        </is>
      </c>
      <c r="B531" s="74" t="n">
        <v>109957</v>
      </c>
      <c r="C531" s="74" t="n">
        <v>2</v>
      </c>
      <c r="D531" s="74" t="inlineStr">
        <is>
          <t>스타팰리스(도시형)</t>
        </is>
      </c>
      <c r="E531" s="74" t="inlineStr">
        <is>
          <t>2015.01.</t>
        </is>
      </c>
      <c r="F531" s="74" t="n">
        <v>283</v>
      </c>
      <c r="G531" s="74" t="n">
        <v>12.65</v>
      </c>
      <c r="H531" s="74" t="n">
        <v>41.84</v>
      </c>
      <c r="I531" s="74" t="n">
        <v>8.9</v>
      </c>
      <c r="J531" s="74" t="n">
        <v>29.45</v>
      </c>
      <c r="K531" s="74" t="n">
        <v>94</v>
      </c>
      <c r="T531" s="74" t="n">
        <v>1</v>
      </c>
      <c r="U531" s="74" t="n">
        <v>1</v>
      </c>
      <c r="V531" s="74" t="inlineStr">
        <is>
          <t>복도식</t>
        </is>
      </c>
      <c r="W531" s="74" t="inlineStr">
        <is>
          <t>41B</t>
        </is>
      </c>
      <c r="X531" s="74" t="n">
        <v>23</v>
      </c>
      <c r="Y531" s="74" t="n">
        <v>14</v>
      </c>
      <c r="Z531" s="74" t="inlineStr">
        <is>
          <t>https://new.land.naver.com/complexes/109957?tab=detail&amp;rf=Y</t>
        </is>
      </c>
      <c r="AA531" s="74" t="inlineStr">
        <is>
          <t>전라북도 군산시 수송동 416-6</t>
        </is>
      </c>
      <c r="AB531" s="74" t="inlineStr">
        <is>
          <t>전라북도</t>
        </is>
      </c>
      <c r="AC531" s="74" t="inlineStr">
        <is>
          <t>군산시</t>
        </is>
      </c>
      <c r="AD531" s="74" t="inlineStr">
        <is>
          <t>수송동</t>
        </is>
      </c>
      <c r="AG531" s="74" t="inlineStr">
        <is>
          <t>전라북도 군산시 진포2길 8</t>
        </is>
      </c>
      <c r="AH531" s="74" t="n">
        <v>0</v>
      </c>
      <c r="AI531" s="74" t="n">
        <v>533</v>
      </c>
      <c r="AJ531" s="74" t="n">
        <v>75</v>
      </c>
      <c r="AK531" s="74" t="n">
        <v>163</v>
      </c>
      <c r="AL531" s="74" t="n">
        <v>0.58</v>
      </c>
    </row>
    <row r="532">
      <c r="A532" s="74" t="inlineStr">
        <is>
          <t>[수송동]</t>
        </is>
      </c>
      <c r="B532" s="74" t="n">
        <v>109957</v>
      </c>
      <c r="C532" s="74" t="n">
        <v>3</v>
      </c>
      <c r="D532" s="74" t="inlineStr">
        <is>
          <t>스타팰리스(도시형)</t>
        </is>
      </c>
      <c r="E532" s="74" t="inlineStr">
        <is>
          <t>2015.01.</t>
        </is>
      </c>
      <c r="F532" s="74" t="n">
        <v>283</v>
      </c>
      <c r="G532" s="74" t="n">
        <v>14.8</v>
      </c>
      <c r="H532" s="74" t="n">
        <v>48.95</v>
      </c>
      <c r="I532" s="74" t="n">
        <v>10.42</v>
      </c>
      <c r="J532" s="74" t="n">
        <v>34.46</v>
      </c>
      <c r="K532" s="74" t="n">
        <v>3</v>
      </c>
      <c r="T532" s="74" t="n">
        <v>1</v>
      </c>
      <c r="U532" s="74" t="n">
        <v>1</v>
      </c>
      <c r="V532" s="74" t="inlineStr">
        <is>
          <t>복도식</t>
        </is>
      </c>
      <c r="W532" s="74" t="inlineStr">
        <is>
          <t>48A-4</t>
        </is>
      </c>
      <c r="X532" s="74" t="n">
        <v>23</v>
      </c>
      <c r="Y532" s="74" t="n">
        <v>14</v>
      </c>
      <c r="Z532" s="74" t="inlineStr">
        <is>
          <t>https://new.land.naver.com/complexes/109957?tab=detail&amp;rf=Y</t>
        </is>
      </c>
      <c r="AA532" s="74" t="inlineStr">
        <is>
          <t>전라북도 군산시 수송동 416-6</t>
        </is>
      </c>
      <c r="AB532" s="74" t="inlineStr">
        <is>
          <t>전라북도</t>
        </is>
      </c>
      <c r="AC532" s="74" t="inlineStr">
        <is>
          <t>군산시</t>
        </is>
      </c>
      <c r="AD532" s="74" t="inlineStr">
        <is>
          <t>수송동</t>
        </is>
      </c>
      <c r="AG532" s="74" t="inlineStr">
        <is>
          <t>전라북도 군산시 진포2길 8</t>
        </is>
      </c>
      <c r="AH532" s="74" t="n">
        <v>0</v>
      </c>
      <c r="AI532" s="74" t="n">
        <v>533</v>
      </c>
      <c r="AJ532" s="74" t="n">
        <v>75</v>
      </c>
      <c r="AK532" s="74" t="n">
        <v>163</v>
      </c>
      <c r="AL532" s="74" t="n">
        <v>0.58</v>
      </c>
    </row>
    <row r="533">
      <c r="A533" s="74" t="inlineStr">
        <is>
          <t>[수송동]</t>
        </is>
      </c>
      <c r="B533" s="74" t="n">
        <v>109957</v>
      </c>
      <c r="C533" s="74" t="n">
        <v>4</v>
      </c>
      <c r="D533" s="74" t="inlineStr">
        <is>
          <t>스타팰리스(도시형)</t>
        </is>
      </c>
      <c r="E533" s="74" t="inlineStr">
        <is>
          <t>2015.01.</t>
        </is>
      </c>
      <c r="F533" s="74" t="n">
        <v>283</v>
      </c>
      <c r="G533" s="74" t="n">
        <v>15.3</v>
      </c>
      <c r="H533" s="74" t="n">
        <v>50.61</v>
      </c>
      <c r="I533" s="74" t="n">
        <v>10.77</v>
      </c>
      <c r="J533" s="74" t="n">
        <v>35.63</v>
      </c>
      <c r="K533" s="74" t="n">
        <v>36</v>
      </c>
      <c r="T533" s="74" t="n">
        <v>1</v>
      </c>
      <c r="U533" s="74" t="n">
        <v>1</v>
      </c>
      <c r="V533" s="74" t="inlineStr">
        <is>
          <t>복도식</t>
        </is>
      </c>
      <c r="W533" s="74" t="inlineStr">
        <is>
          <t>50B-1</t>
        </is>
      </c>
      <c r="X533" s="74" t="n">
        <v>23</v>
      </c>
      <c r="Y533" s="74" t="n">
        <v>14</v>
      </c>
      <c r="Z533" s="74" t="inlineStr">
        <is>
          <t>https://new.land.naver.com/complexes/109957?tab=detail&amp;rf=Y</t>
        </is>
      </c>
      <c r="AA533" s="74" t="inlineStr">
        <is>
          <t>전라북도 군산시 수송동 416-6</t>
        </is>
      </c>
      <c r="AB533" s="74" t="inlineStr">
        <is>
          <t>전라북도</t>
        </is>
      </c>
      <c r="AC533" s="74" t="inlineStr">
        <is>
          <t>군산시</t>
        </is>
      </c>
      <c r="AD533" s="74" t="inlineStr">
        <is>
          <t>수송동</t>
        </is>
      </c>
      <c r="AG533" s="74" t="inlineStr">
        <is>
          <t>전라북도 군산시 진포2길 8</t>
        </is>
      </c>
      <c r="AH533" s="74" t="n">
        <v>0</v>
      </c>
      <c r="AI533" s="74" t="n">
        <v>533</v>
      </c>
      <c r="AJ533" s="74" t="n">
        <v>75</v>
      </c>
      <c r="AK533" s="74" t="n">
        <v>163</v>
      </c>
      <c r="AL533" s="74" t="n">
        <v>0.58</v>
      </c>
    </row>
    <row r="534">
      <c r="A534" s="74" t="inlineStr">
        <is>
          <t>[수송동]</t>
        </is>
      </c>
      <c r="B534" s="74" t="n">
        <v>109957</v>
      </c>
      <c r="C534" s="74" t="n">
        <v>5</v>
      </c>
      <c r="D534" s="74" t="inlineStr">
        <is>
          <t>스타팰리스(도시형)</t>
        </is>
      </c>
      <c r="E534" s="74" t="inlineStr">
        <is>
          <t>2015.01.</t>
        </is>
      </c>
      <c r="F534" s="74" t="n">
        <v>283</v>
      </c>
      <c r="G534" s="74" t="n">
        <v>16.05</v>
      </c>
      <c r="H534" s="74" t="n">
        <v>53.06</v>
      </c>
      <c r="I534" s="74" t="n">
        <v>11.29</v>
      </c>
      <c r="J534" s="74" t="n">
        <v>37.35</v>
      </c>
      <c r="K534" s="74" t="n">
        <v>3</v>
      </c>
      <c r="T534" s="74" t="n">
        <v>1</v>
      </c>
      <c r="U534" s="74" t="n">
        <v>1</v>
      </c>
      <c r="V534" s="74" t="inlineStr">
        <is>
          <t>복도식</t>
        </is>
      </c>
      <c r="W534" s="74" t="inlineStr">
        <is>
          <t>53B-2</t>
        </is>
      </c>
      <c r="X534" s="74" t="n">
        <v>23</v>
      </c>
      <c r="Y534" s="74" t="n">
        <v>14</v>
      </c>
      <c r="Z534" s="74" t="inlineStr">
        <is>
          <t>https://new.land.naver.com/complexes/109957?tab=detail&amp;rf=Y</t>
        </is>
      </c>
      <c r="AA534" s="74" t="inlineStr">
        <is>
          <t>전라북도 군산시 수송동 416-6</t>
        </is>
      </c>
      <c r="AB534" s="74" t="inlineStr">
        <is>
          <t>전라북도</t>
        </is>
      </c>
      <c r="AC534" s="74" t="inlineStr">
        <is>
          <t>군산시</t>
        </is>
      </c>
      <c r="AD534" s="74" t="inlineStr">
        <is>
          <t>수송동</t>
        </is>
      </c>
      <c r="AG534" s="74" t="inlineStr">
        <is>
          <t>전라북도 군산시 진포2길 8</t>
        </is>
      </c>
      <c r="AH534" s="74" t="n">
        <v>0</v>
      </c>
      <c r="AI534" s="74" t="n">
        <v>533</v>
      </c>
      <c r="AJ534" s="74" t="n">
        <v>75</v>
      </c>
      <c r="AK534" s="74" t="n">
        <v>163</v>
      </c>
      <c r="AL534" s="74" t="n">
        <v>0.58</v>
      </c>
    </row>
    <row r="535">
      <c r="A535" s="74" t="inlineStr">
        <is>
          <t>[수송동]</t>
        </is>
      </c>
      <c r="B535" s="74" t="n">
        <v>109957</v>
      </c>
      <c r="C535" s="74" t="n">
        <v>6</v>
      </c>
      <c r="D535" s="74" t="inlineStr">
        <is>
          <t>스타팰리스(도시형)</t>
        </is>
      </c>
      <c r="E535" s="74" t="inlineStr">
        <is>
          <t>2015.01.</t>
        </is>
      </c>
      <c r="F535" s="74" t="n">
        <v>283</v>
      </c>
      <c r="G535" s="74" t="n">
        <v>16.38</v>
      </c>
      <c r="H535" s="74" t="n">
        <v>54.18</v>
      </c>
      <c r="I535" s="74" t="n">
        <v>11.53</v>
      </c>
      <c r="J535" s="74" t="n">
        <v>38.14</v>
      </c>
      <c r="K535" s="74" t="n">
        <v>2</v>
      </c>
      <c r="T535" s="74" t="n">
        <v>1</v>
      </c>
      <c r="U535" s="74" t="n">
        <v>1</v>
      </c>
      <c r="V535" s="74" t="inlineStr">
        <is>
          <t>복도식</t>
        </is>
      </c>
      <c r="W535" s="74" t="inlineStr">
        <is>
          <t>54A-2</t>
        </is>
      </c>
      <c r="X535" s="74" t="n">
        <v>23</v>
      </c>
      <c r="Y535" s="74" t="n">
        <v>14</v>
      </c>
      <c r="Z535" s="74" t="inlineStr">
        <is>
          <t>https://new.land.naver.com/complexes/109957?tab=detail&amp;rf=Y</t>
        </is>
      </c>
      <c r="AA535" s="74" t="inlineStr">
        <is>
          <t>전라북도 군산시 수송동 416-6</t>
        </is>
      </c>
      <c r="AB535" s="74" t="inlineStr">
        <is>
          <t>전라북도</t>
        </is>
      </c>
      <c r="AC535" s="74" t="inlineStr">
        <is>
          <t>군산시</t>
        </is>
      </c>
      <c r="AD535" s="74" t="inlineStr">
        <is>
          <t>수송동</t>
        </is>
      </c>
      <c r="AG535" s="74" t="inlineStr">
        <is>
          <t>전라북도 군산시 진포2길 8</t>
        </is>
      </c>
      <c r="AH535" s="74" t="n">
        <v>0</v>
      </c>
      <c r="AI535" s="74" t="n">
        <v>533</v>
      </c>
      <c r="AJ535" s="74" t="n">
        <v>75</v>
      </c>
      <c r="AK535" s="74" t="n">
        <v>163</v>
      </c>
      <c r="AL535" s="74" t="n">
        <v>0.58</v>
      </c>
    </row>
    <row r="536">
      <c r="A536" s="74" t="inlineStr">
        <is>
          <t>[수송동]</t>
        </is>
      </c>
      <c r="B536" s="74" t="n">
        <v>109957</v>
      </c>
      <c r="C536" s="74" t="n">
        <v>7</v>
      </c>
      <c r="D536" s="74" t="inlineStr">
        <is>
          <t>스타팰리스(도시형)</t>
        </is>
      </c>
      <c r="E536" s="74" t="inlineStr">
        <is>
          <t>2015.01.</t>
        </is>
      </c>
      <c r="F536" s="74" t="n">
        <v>283</v>
      </c>
      <c r="G536" s="74" t="n">
        <v>18.02</v>
      </c>
      <c r="H536" s="74" t="n">
        <v>59.59</v>
      </c>
      <c r="I536" s="74" t="n">
        <v>12.68</v>
      </c>
      <c r="J536" s="74" t="n">
        <v>41.95</v>
      </c>
      <c r="K536" s="74" t="n">
        <v>3</v>
      </c>
      <c r="T536" s="74" t="n">
        <v>1</v>
      </c>
      <c r="U536" s="74" t="n">
        <v>1</v>
      </c>
      <c r="V536" s="74" t="inlineStr">
        <is>
          <t>복도식</t>
        </is>
      </c>
      <c r="W536" s="74" t="inlineStr">
        <is>
          <t>59B-3</t>
        </is>
      </c>
      <c r="X536" s="74" t="n">
        <v>23</v>
      </c>
      <c r="Y536" s="74" t="n">
        <v>14</v>
      </c>
      <c r="Z536" s="74" t="inlineStr">
        <is>
          <t>https://new.land.naver.com/complexes/109957?tab=detail&amp;rf=Y</t>
        </is>
      </c>
      <c r="AA536" s="74" t="inlineStr">
        <is>
          <t>전라북도 군산시 수송동 416-6</t>
        </is>
      </c>
      <c r="AB536" s="74" t="inlineStr">
        <is>
          <t>전라북도</t>
        </is>
      </c>
      <c r="AC536" s="74" t="inlineStr">
        <is>
          <t>군산시</t>
        </is>
      </c>
      <c r="AD536" s="74" t="inlineStr">
        <is>
          <t>수송동</t>
        </is>
      </c>
      <c r="AG536" s="74" t="inlineStr">
        <is>
          <t>전라북도 군산시 진포2길 8</t>
        </is>
      </c>
      <c r="AH536" s="74" t="n">
        <v>0</v>
      </c>
      <c r="AI536" s="74" t="n">
        <v>533</v>
      </c>
      <c r="AJ536" s="74" t="n">
        <v>75</v>
      </c>
      <c r="AK536" s="74" t="n">
        <v>163</v>
      </c>
      <c r="AL536" s="74" t="n">
        <v>0.58</v>
      </c>
    </row>
    <row r="537">
      <c r="A537" s="74" t="inlineStr">
        <is>
          <t>[수송동]</t>
        </is>
      </c>
      <c r="B537" s="74" t="n">
        <v>109957</v>
      </c>
      <c r="C537" s="74" t="n">
        <v>8</v>
      </c>
      <c r="D537" s="74" t="inlineStr">
        <is>
          <t>스타팰리스(도시형)</t>
        </is>
      </c>
      <c r="E537" s="74" t="inlineStr">
        <is>
          <t>2015.01.</t>
        </is>
      </c>
      <c r="F537" s="74" t="n">
        <v>283</v>
      </c>
      <c r="G537" s="74" t="n">
        <v>20.28</v>
      </c>
      <c r="H537" s="74" t="n">
        <v>67.05</v>
      </c>
      <c r="I537" s="74" t="n">
        <v>14.27</v>
      </c>
      <c r="J537" s="74" t="n">
        <v>47.2</v>
      </c>
      <c r="K537" s="74" t="n">
        <v>3</v>
      </c>
      <c r="T537" s="74" t="n">
        <v>2</v>
      </c>
      <c r="U537" s="74" t="n">
        <v>1</v>
      </c>
      <c r="V537" s="74" t="inlineStr">
        <is>
          <t>복도식</t>
        </is>
      </c>
      <c r="W537" s="74" t="inlineStr">
        <is>
          <t>67A-3</t>
        </is>
      </c>
      <c r="X537" s="74" t="n">
        <v>23</v>
      </c>
      <c r="Y537" s="74" t="n">
        <v>14</v>
      </c>
      <c r="Z537" s="74" t="inlineStr">
        <is>
          <t>https://new.land.naver.com/complexes/109957?tab=detail&amp;rf=Y</t>
        </is>
      </c>
      <c r="AA537" s="74" t="inlineStr">
        <is>
          <t>전라북도 군산시 수송동 416-6</t>
        </is>
      </c>
      <c r="AB537" s="74" t="inlineStr">
        <is>
          <t>전라북도</t>
        </is>
      </c>
      <c r="AC537" s="74" t="inlineStr">
        <is>
          <t>군산시</t>
        </is>
      </c>
      <c r="AD537" s="74" t="inlineStr">
        <is>
          <t>수송동</t>
        </is>
      </c>
      <c r="AG537" s="74" t="inlineStr">
        <is>
          <t>전라북도 군산시 진포2길 8</t>
        </is>
      </c>
      <c r="AH537" s="74" t="n">
        <v>0</v>
      </c>
      <c r="AI537" s="74" t="n">
        <v>533</v>
      </c>
      <c r="AJ537" s="74" t="n">
        <v>75</v>
      </c>
      <c r="AK537" s="74" t="n">
        <v>163</v>
      </c>
      <c r="AL537" s="74" t="n">
        <v>0.58</v>
      </c>
    </row>
    <row r="538">
      <c r="A538" s="74" t="inlineStr">
        <is>
          <t>[수송동]</t>
        </is>
      </c>
      <c r="B538" s="74" t="n">
        <v>109957</v>
      </c>
      <c r="C538" s="74" t="n">
        <v>9</v>
      </c>
      <c r="D538" s="74" t="inlineStr">
        <is>
          <t>스타팰리스(도시형)</t>
        </is>
      </c>
      <c r="E538" s="74" t="inlineStr">
        <is>
          <t>2015.01.</t>
        </is>
      </c>
      <c r="F538" s="74" t="n">
        <v>283</v>
      </c>
      <c r="G538" s="74" t="n">
        <v>20.96</v>
      </c>
      <c r="H538" s="74" t="n">
        <v>69.3</v>
      </c>
      <c r="I538" s="74" t="n">
        <v>14.75</v>
      </c>
      <c r="J538" s="74" t="n">
        <v>48.79</v>
      </c>
      <c r="K538" s="74" t="n">
        <v>1</v>
      </c>
      <c r="T538" s="74" t="n">
        <v>2</v>
      </c>
      <c r="U538" s="74" t="n">
        <v>1</v>
      </c>
      <c r="V538" s="74" t="inlineStr">
        <is>
          <t>복도식</t>
        </is>
      </c>
      <c r="W538" s="74" t="inlineStr">
        <is>
          <t>69A-6</t>
        </is>
      </c>
      <c r="X538" s="74" t="n">
        <v>23</v>
      </c>
      <c r="Y538" s="74" t="n">
        <v>14</v>
      </c>
      <c r="Z538" s="74" t="inlineStr">
        <is>
          <t>https://new.land.naver.com/complexes/109957?tab=detail&amp;rf=Y</t>
        </is>
      </c>
      <c r="AA538" s="74" t="inlineStr">
        <is>
          <t>전라북도 군산시 수송동 416-6</t>
        </is>
      </c>
      <c r="AB538" s="74" t="inlineStr">
        <is>
          <t>전라북도</t>
        </is>
      </c>
      <c r="AC538" s="74" t="inlineStr">
        <is>
          <t>군산시</t>
        </is>
      </c>
      <c r="AD538" s="74" t="inlineStr">
        <is>
          <t>수송동</t>
        </is>
      </c>
      <c r="AG538" s="74" t="inlineStr">
        <is>
          <t>전라북도 군산시 진포2길 8</t>
        </is>
      </c>
      <c r="AH538" s="74" t="n">
        <v>0</v>
      </c>
      <c r="AI538" s="74" t="n">
        <v>533</v>
      </c>
      <c r="AJ538" s="74" t="n">
        <v>75</v>
      </c>
      <c r="AK538" s="74" t="n">
        <v>163</v>
      </c>
      <c r="AL538" s="74" t="n">
        <v>0.58</v>
      </c>
    </row>
    <row r="539">
      <c r="A539" s="74" t="inlineStr">
        <is>
          <t>[수송동]</t>
        </is>
      </c>
      <c r="B539" s="74" t="n">
        <v>109957</v>
      </c>
      <c r="C539" s="74" t="n">
        <v>10</v>
      </c>
      <c r="D539" s="74" t="inlineStr">
        <is>
          <t>스타팰리스(도시형)</t>
        </is>
      </c>
      <c r="E539" s="74" t="inlineStr">
        <is>
          <t>2015.01.</t>
        </is>
      </c>
      <c r="F539" s="74" t="n">
        <v>283</v>
      </c>
      <c r="G539" s="74" t="n">
        <v>21.42</v>
      </c>
      <c r="H539" s="74" t="n">
        <v>70.81</v>
      </c>
      <c r="I539" s="74" t="n">
        <v>15.07</v>
      </c>
      <c r="J539" s="74" t="n">
        <v>49.85</v>
      </c>
      <c r="K539" s="74" t="n">
        <v>105</v>
      </c>
      <c r="T539" s="74" t="n">
        <v>2</v>
      </c>
      <c r="U539" s="74" t="n">
        <v>1</v>
      </c>
      <c r="V539" s="74" t="inlineStr">
        <is>
          <t>복도식</t>
        </is>
      </c>
      <c r="W539" s="74" t="inlineStr">
        <is>
          <t>70A</t>
        </is>
      </c>
      <c r="X539" s="74" t="n">
        <v>23</v>
      </c>
      <c r="Y539" s="74" t="n">
        <v>14</v>
      </c>
      <c r="Z539" s="74" t="inlineStr">
        <is>
          <t>https://new.land.naver.com/complexes/109957?tab=detail&amp;rf=Y</t>
        </is>
      </c>
      <c r="AA539" s="74" t="inlineStr">
        <is>
          <t>전라북도 군산시 수송동 416-6</t>
        </is>
      </c>
      <c r="AB539" s="74" t="inlineStr">
        <is>
          <t>전라북도</t>
        </is>
      </c>
      <c r="AC539" s="74" t="inlineStr">
        <is>
          <t>군산시</t>
        </is>
      </c>
      <c r="AD539" s="74" t="inlineStr">
        <is>
          <t>수송동</t>
        </is>
      </c>
      <c r="AG539" s="74" t="inlineStr">
        <is>
          <t>전라북도 군산시 진포2길 8</t>
        </is>
      </c>
      <c r="AH539" s="74" t="n">
        <v>0</v>
      </c>
      <c r="AI539" s="74" t="n">
        <v>533</v>
      </c>
      <c r="AJ539" s="74" t="n">
        <v>75</v>
      </c>
      <c r="AK539" s="74" t="n">
        <v>163</v>
      </c>
      <c r="AL539" s="74" t="n">
        <v>0.58</v>
      </c>
    </row>
    <row r="540">
      <c r="A540" s="74" t="inlineStr">
        <is>
          <t>[수송동]</t>
        </is>
      </c>
      <c r="B540" s="74" t="n">
        <v>109957</v>
      </c>
      <c r="C540" s="74" t="n">
        <v>11</v>
      </c>
      <c r="D540" s="74" t="inlineStr">
        <is>
          <t>스타팰리스(도시형)</t>
        </is>
      </c>
      <c r="E540" s="74" t="inlineStr">
        <is>
          <t>2015.01.</t>
        </is>
      </c>
      <c r="F540" s="74" t="n">
        <v>283</v>
      </c>
      <c r="G540" s="74" t="n">
        <v>21.22</v>
      </c>
      <c r="H540" s="74" t="n">
        <v>70.18000000000001</v>
      </c>
      <c r="I540" s="74" t="n">
        <v>14.94</v>
      </c>
      <c r="J540" s="74" t="n">
        <v>49.41</v>
      </c>
      <c r="K540" s="74" t="n">
        <v>28</v>
      </c>
      <c r="T540" s="74" t="n">
        <v>2</v>
      </c>
      <c r="U540" s="74" t="n">
        <v>1</v>
      </c>
      <c r="V540" s="74" t="inlineStr">
        <is>
          <t>복도식</t>
        </is>
      </c>
      <c r="W540" s="74" t="inlineStr">
        <is>
          <t>70A-1</t>
        </is>
      </c>
      <c r="X540" s="74" t="n">
        <v>23</v>
      </c>
      <c r="Y540" s="74" t="n">
        <v>14</v>
      </c>
      <c r="Z540" s="74" t="inlineStr">
        <is>
          <t>https://new.land.naver.com/complexes/109957?tab=detail&amp;rf=Y</t>
        </is>
      </c>
      <c r="AA540" s="74" t="inlineStr">
        <is>
          <t>전라북도 군산시 수송동 416-6</t>
        </is>
      </c>
      <c r="AB540" s="74" t="inlineStr">
        <is>
          <t>전라북도</t>
        </is>
      </c>
      <c r="AC540" s="74" t="inlineStr">
        <is>
          <t>군산시</t>
        </is>
      </c>
      <c r="AD540" s="74" t="inlineStr">
        <is>
          <t>수송동</t>
        </is>
      </c>
      <c r="AG540" s="74" t="inlineStr">
        <is>
          <t>전라북도 군산시 진포2길 8</t>
        </is>
      </c>
      <c r="AH540" s="74" t="n">
        <v>0</v>
      </c>
      <c r="AI540" s="74" t="n">
        <v>533</v>
      </c>
      <c r="AJ540" s="74" t="n">
        <v>75</v>
      </c>
      <c r="AK540" s="74" t="n">
        <v>163</v>
      </c>
      <c r="AL540" s="74" t="n">
        <v>0.58</v>
      </c>
    </row>
    <row r="541">
      <c r="A541" s="74" t="inlineStr">
        <is>
          <t>[수송동]</t>
        </is>
      </c>
      <c r="B541" s="74" t="n">
        <v>109957</v>
      </c>
      <c r="C541" s="74" t="n">
        <v>12</v>
      </c>
      <c r="D541" s="74" t="inlineStr">
        <is>
          <t>스타팰리스(도시형)</t>
        </is>
      </c>
      <c r="E541" s="74" t="inlineStr">
        <is>
          <t>2015.01.</t>
        </is>
      </c>
      <c r="F541" s="74" t="n">
        <v>283</v>
      </c>
      <c r="G541" s="74" t="n">
        <v>21.22</v>
      </c>
      <c r="H541" s="74" t="n">
        <v>70.16</v>
      </c>
      <c r="I541" s="74" t="n">
        <v>14.94</v>
      </c>
      <c r="J541" s="74" t="n">
        <v>49.39</v>
      </c>
      <c r="K541" s="74" t="n">
        <v>2</v>
      </c>
      <c r="T541" s="74" t="n">
        <v>3</v>
      </c>
      <c r="U541" s="74" t="n">
        <v>1</v>
      </c>
      <c r="V541" s="74" t="inlineStr">
        <is>
          <t>복도식</t>
        </is>
      </c>
      <c r="W541" s="74" t="inlineStr">
        <is>
          <t>70A-2</t>
        </is>
      </c>
      <c r="X541" s="74" t="n">
        <v>23</v>
      </c>
      <c r="Y541" s="74" t="n">
        <v>14</v>
      </c>
      <c r="Z541" s="74" t="inlineStr">
        <is>
          <t>https://new.land.naver.com/complexes/109957?tab=detail&amp;rf=Y</t>
        </is>
      </c>
      <c r="AA541" s="74" t="inlineStr">
        <is>
          <t>전라북도 군산시 수송동 416-6</t>
        </is>
      </c>
      <c r="AB541" s="74" t="inlineStr">
        <is>
          <t>전라북도</t>
        </is>
      </c>
      <c r="AC541" s="74" t="inlineStr">
        <is>
          <t>군산시</t>
        </is>
      </c>
      <c r="AD541" s="74" t="inlineStr">
        <is>
          <t>수송동</t>
        </is>
      </c>
      <c r="AG541" s="74" t="inlineStr">
        <is>
          <t>전라북도 군산시 진포2길 8</t>
        </is>
      </c>
      <c r="AH541" s="74" t="n">
        <v>0</v>
      </c>
      <c r="AI541" s="74" t="n">
        <v>533</v>
      </c>
      <c r="AJ541" s="74" t="n">
        <v>75</v>
      </c>
      <c r="AK541" s="74" t="n">
        <v>163</v>
      </c>
      <c r="AL541" s="74" t="n">
        <v>0.58</v>
      </c>
    </row>
    <row r="542">
      <c r="A542" s="74" t="inlineStr">
        <is>
          <t>[수송동]</t>
        </is>
      </c>
      <c r="B542" s="74" t="n">
        <v>109957</v>
      </c>
      <c r="C542" s="74" t="n">
        <v>13</v>
      </c>
      <c r="D542" s="74" t="inlineStr">
        <is>
          <t>스타팰리스(도시형)</t>
        </is>
      </c>
      <c r="E542" s="74" t="inlineStr">
        <is>
          <t>2015.01.</t>
        </is>
      </c>
      <c r="F542" s="74" t="n">
        <v>283</v>
      </c>
      <c r="G542" s="74" t="n">
        <v>21.38</v>
      </c>
      <c r="H542" s="74" t="n">
        <v>70.69</v>
      </c>
      <c r="I542" s="74" t="n">
        <v>15.05</v>
      </c>
      <c r="J542" s="74" t="n">
        <v>49.76</v>
      </c>
      <c r="K542" s="74" t="n">
        <v>1</v>
      </c>
      <c r="T542" s="74" t="n">
        <v>2</v>
      </c>
      <c r="U542" s="74" t="n">
        <v>1</v>
      </c>
      <c r="V542" s="74" t="inlineStr">
        <is>
          <t>복도식</t>
        </is>
      </c>
      <c r="W542" s="74" t="inlineStr">
        <is>
          <t>70A-5</t>
        </is>
      </c>
      <c r="X542" s="74" t="n">
        <v>23</v>
      </c>
      <c r="Y542" s="74" t="n">
        <v>14</v>
      </c>
      <c r="Z542" s="74" t="inlineStr">
        <is>
          <t>https://new.land.naver.com/complexes/109957?tab=detail&amp;rf=Y</t>
        </is>
      </c>
      <c r="AA542" s="74" t="inlineStr">
        <is>
          <t>전라북도 군산시 수송동 416-6</t>
        </is>
      </c>
      <c r="AB542" s="74" t="inlineStr">
        <is>
          <t>전라북도</t>
        </is>
      </c>
      <c r="AC542" s="74" t="inlineStr">
        <is>
          <t>군산시</t>
        </is>
      </c>
      <c r="AD542" s="74" t="inlineStr">
        <is>
          <t>수송동</t>
        </is>
      </c>
      <c r="AG542" s="74" t="inlineStr">
        <is>
          <t>전라북도 군산시 진포2길 8</t>
        </is>
      </c>
      <c r="AH542" s="74" t="n">
        <v>0</v>
      </c>
      <c r="AI542" s="74" t="n">
        <v>533</v>
      </c>
      <c r="AJ542" s="74" t="n">
        <v>75</v>
      </c>
      <c r="AK542" s="74" t="n">
        <v>163</v>
      </c>
      <c r="AL542" s="74" t="n">
        <v>0.58</v>
      </c>
    </row>
    <row r="543">
      <c r="A543" s="74" t="inlineStr">
        <is>
          <t>[수송동]</t>
        </is>
      </c>
      <c r="B543" s="74" t="n">
        <v>123068</v>
      </c>
      <c r="C543" s="74" t="n">
        <v>1</v>
      </c>
      <c r="D543" s="74" t="inlineStr">
        <is>
          <t>동영</t>
        </is>
      </c>
      <c r="E543" s="74" t="inlineStr">
        <is>
          <t>1998.09.</t>
        </is>
      </c>
      <c r="F543" s="74" t="n">
        <v>360</v>
      </c>
      <c r="G543" s="74" t="n">
        <v>14.19</v>
      </c>
      <c r="H543" s="74" t="n">
        <v>46.92</v>
      </c>
      <c r="I543" s="74" t="n">
        <v>11.94</v>
      </c>
      <c r="J543" s="74" t="n">
        <v>39.5</v>
      </c>
      <c r="K543" s="74" t="n">
        <v>205</v>
      </c>
      <c r="T543" s="74" t="n">
        <v>2</v>
      </c>
      <c r="U543" s="74" t="n">
        <v>1</v>
      </c>
      <c r="V543" s="74" t="inlineStr">
        <is>
          <t>계단식</t>
        </is>
      </c>
      <c r="W543" s="74" t="n">
        <v>46</v>
      </c>
      <c r="X543" s="74" t="n">
        <v>15</v>
      </c>
      <c r="Y543" s="74" t="n">
        <v>15</v>
      </c>
      <c r="Z543" s="74" t="inlineStr">
        <is>
          <t>https://new.land.naver.com/complexes/123068?tab=detail&amp;rf=Y</t>
        </is>
      </c>
      <c r="AA543" s="74" t="inlineStr">
        <is>
          <t>전라북도 군산시 수송동 656</t>
        </is>
      </c>
      <c r="AB543" s="74" t="inlineStr">
        <is>
          <t>전라북도</t>
        </is>
      </c>
      <c r="AC543" s="74" t="inlineStr">
        <is>
          <t>군산시</t>
        </is>
      </c>
      <c r="AD543" s="74" t="inlineStr">
        <is>
          <t>수송동</t>
        </is>
      </c>
      <c r="AG543" s="74" t="inlineStr">
        <is>
          <t>전라북도 군산시 신평길 12</t>
        </is>
      </c>
      <c r="AH543" s="74" t="n">
        <v>0</v>
      </c>
      <c r="AI543" s="74" t="n">
        <v>263</v>
      </c>
      <c r="AJ543" s="74" t="n">
        <v>24</v>
      </c>
      <c r="AK543" s="74" t="n">
        <v>0</v>
      </c>
      <c r="AL543" s="74" t="n">
        <v>0</v>
      </c>
    </row>
    <row r="544">
      <c r="A544" s="74" t="inlineStr">
        <is>
          <t>[수송동]</t>
        </is>
      </c>
      <c r="B544" s="74" t="n">
        <v>123068</v>
      </c>
      <c r="C544" s="74" t="n">
        <v>2</v>
      </c>
      <c r="D544" s="74" t="inlineStr">
        <is>
          <t>동영</t>
        </is>
      </c>
      <c r="E544" s="74" t="inlineStr">
        <is>
          <t>1998.09.</t>
        </is>
      </c>
      <c r="F544" s="74" t="n">
        <v>360</v>
      </c>
      <c r="G544" s="74" t="n">
        <v>16.46</v>
      </c>
      <c r="H544" s="74" t="n">
        <v>54.42</v>
      </c>
      <c r="I544" s="74" t="n">
        <v>11.94</v>
      </c>
      <c r="J544" s="74" t="n">
        <v>39.5</v>
      </c>
      <c r="K544" s="74" t="n">
        <v>5</v>
      </c>
      <c r="T544" s="74" t="n">
        <v>2</v>
      </c>
      <c r="U544" s="74" t="n">
        <v>1</v>
      </c>
      <c r="V544" s="74" t="inlineStr">
        <is>
          <t>계단식</t>
        </is>
      </c>
      <c r="W544" s="74" t="n">
        <v>54</v>
      </c>
      <c r="X544" s="74" t="n">
        <v>15</v>
      </c>
      <c r="Y544" s="74" t="n">
        <v>15</v>
      </c>
      <c r="Z544" s="74" t="inlineStr">
        <is>
          <t>https://new.land.naver.com/complexes/123068?tab=detail&amp;rf=Y</t>
        </is>
      </c>
      <c r="AA544" s="74" t="inlineStr">
        <is>
          <t>전라북도 군산시 수송동 656</t>
        </is>
      </c>
      <c r="AB544" s="74" t="inlineStr">
        <is>
          <t>전라북도</t>
        </is>
      </c>
      <c r="AC544" s="74" t="inlineStr">
        <is>
          <t>군산시</t>
        </is>
      </c>
      <c r="AD544" s="74" t="inlineStr">
        <is>
          <t>수송동</t>
        </is>
      </c>
      <c r="AG544" s="74" t="inlineStr">
        <is>
          <t>전라북도 군산시 신평길 12</t>
        </is>
      </c>
      <c r="AH544" s="74" t="n">
        <v>0</v>
      </c>
      <c r="AI544" s="74" t="n">
        <v>263</v>
      </c>
      <c r="AJ544" s="74" t="n">
        <v>24</v>
      </c>
      <c r="AK544" s="74" t="n">
        <v>0</v>
      </c>
      <c r="AL544" s="74" t="n">
        <v>0</v>
      </c>
    </row>
    <row r="545">
      <c r="A545" s="74" t="inlineStr">
        <is>
          <t>[수송동]</t>
        </is>
      </c>
      <c r="B545" s="74" t="n">
        <v>123068</v>
      </c>
      <c r="C545" s="74" t="n">
        <v>3</v>
      </c>
      <c r="D545" s="74" t="inlineStr">
        <is>
          <t>동영</t>
        </is>
      </c>
      <c r="E545" s="74" t="inlineStr">
        <is>
          <t>1998.09.</t>
        </is>
      </c>
      <c r="F545" s="74" t="n">
        <v>360</v>
      </c>
      <c r="G545" s="74" t="n">
        <v>22.98</v>
      </c>
      <c r="H545" s="74" t="n">
        <v>75.97</v>
      </c>
      <c r="I545" s="74" t="n">
        <v>18.12</v>
      </c>
      <c r="J545" s="74" t="n">
        <v>59.91</v>
      </c>
      <c r="K545" s="74" t="n">
        <v>15</v>
      </c>
      <c r="T545" s="74" t="n">
        <v>3</v>
      </c>
      <c r="U545" s="74" t="n">
        <v>1</v>
      </c>
      <c r="V545" s="74" t="inlineStr">
        <is>
          <t>계단식</t>
        </is>
      </c>
      <c r="W545" s="74" t="inlineStr">
        <is>
          <t>75A</t>
        </is>
      </c>
      <c r="X545" s="74" t="n">
        <v>15</v>
      </c>
      <c r="Y545" s="74" t="n">
        <v>15</v>
      </c>
      <c r="Z545" s="74" t="inlineStr">
        <is>
          <t>https://new.land.naver.com/complexes/123068?tab=detail&amp;rf=Y</t>
        </is>
      </c>
      <c r="AA545" s="74" t="inlineStr">
        <is>
          <t>전라북도 군산시 수송동 656</t>
        </is>
      </c>
      <c r="AB545" s="74" t="inlineStr">
        <is>
          <t>전라북도</t>
        </is>
      </c>
      <c r="AC545" s="74" t="inlineStr">
        <is>
          <t>군산시</t>
        </is>
      </c>
      <c r="AD545" s="74" t="inlineStr">
        <is>
          <t>수송동</t>
        </is>
      </c>
      <c r="AG545" s="74" t="inlineStr">
        <is>
          <t>전라북도 군산시 신평길 12</t>
        </is>
      </c>
      <c r="AH545" s="74" t="n">
        <v>0</v>
      </c>
      <c r="AI545" s="74" t="n">
        <v>263</v>
      </c>
      <c r="AJ545" s="74" t="n">
        <v>24</v>
      </c>
      <c r="AK545" s="74" t="n">
        <v>0</v>
      </c>
      <c r="AL545" s="74" t="n">
        <v>0</v>
      </c>
    </row>
    <row r="546">
      <c r="A546" s="74" t="inlineStr">
        <is>
          <t>[수송동]</t>
        </is>
      </c>
      <c r="B546" s="74" t="n">
        <v>123068</v>
      </c>
      <c r="C546" s="74" t="n">
        <v>4</v>
      </c>
      <c r="D546" s="74" t="inlineStr">
        <is>
          <t>동영</t>
        </is>
      </c>
      <c r="E546" s="74" t="inlineStr">
        <is>
          <t>1998.09.</t>
        </is>
      </c>
      <c r="F546" s="74" t="n">
        <v>360</v>
      </c>
      <c r="G546" s="74" t="n">
        <v>22.99</v>
      </c>
      <c r="H546" s="74" t="n">
        <v>76</v>
      </c>
      <c r="I546" s="74" t="n">
        <v>18.13</v>
      </c>
      <c r="J546" s="74" t="n">
        <v>59.94</v>
      </c>
      <c r="K546" s="74" t="n">
        <v>135</v>
      </c>
      <c r="T546" s="74" t="n">
        <v>3</v>
      </c>
      <c r="U546" s="74" t="n">
        <v>1</v>
      </c>
      <c r="V546" s="74" t="inlineStr">
        <is>
          <t>계단식</t>
        </is>
      </c>
      <c r="W546" s="74" t="inlineStr">
        <is>
          <t>76B</t>
        </is>
      </c>
      <c r="X546" s="74" t="n">
        <v>15</v>
      </c>
      <c r="Y546" s="74" t="n">
        <v>15</v>
      </c>
      <c r="Z546" s="74" t="inlineStr">
        <is>
          <t>https://new.land.naver.com/complexes/123068?tab=detail&amp;rf=Y</t>
        </is>
      </c>
      <c r="AA546" s="74" t="inlineStr">
        <is>
          <t>전라북도 군산시 수송동 656</t>
        </is>
      </c>
      <c r="AB546" s="74" t="inlineStr">
        <is>
          <t>전라북도</t>
        </is>
      </c>
      <c r="AC546" s="74" t="inlineStr">
        <is>
          <t>군산시</t>
        </is>
      </c>
      <c r="AD546" s="74" t="inlineStr">
        <is>
          <t>수송동</t>
        </is>
      </c>
      <c r="AG546" s="74" t="inlineStr">
        <is>
          <t>전라북도 군산시 신평길 12</t>
        </is>
      </c>
      <c r="AH546" s="74" t="n">
        <v>0</v>
      </c>
      <c r="AI546" s="74" t="n">
        <v>263</v>
      </c>
      <c r="AJ546" s="74" t="n">
        <v>24</v>
      </c>
      <c r="AK546" s="74" t="n">
        <v>0</v>
      </c>
      <c r="AL546" s="74" t="n">
        <v>0</v>
      </c>
    </row>
    <row r="547">
      <c r="A547" s="74" t="inlineStr">
        <is>
          <t>[수송동]</t>
        </is>
      </c>
      <c r="B547" s="74" t="n">
        <v>100415</v>
      </c>
      <c r="C547" s="74" t="n">
        <v>1</v>
      </c>
      <c r="D547" s="74" t="inlineStr">
        <is>
          <t>군산수송제일오투그란데2단지</t>
        </is>
      </c>
      <c r="E547" s="74" t="inlineStr">
        <is>
          <t>2008.10.</t>
        </is>
      </c>
      <c r="F547" s="74" t="n">
        <v>656</v>
      </c>
      <c r="G547" s="74" t="n">
        <v>35.6</v>
      </c>
      <c r="H547" s="74" t="n">
        <v>117.69</v>
      </c>
      <c r="I547" s="74" t="n">
        <v>27.61</v>
      </c>
      <c r="J547" s="74" t="n">
        <v>91.28</v>
      </c>
      <c r="K547" s="74" t="n">
        <v>114</v>
      </c>
      <c r="T547" s="74" t="n">
        <v>3</v>
      </c>
      <c r="U547" s="74" t="n">
        <v>2</v>
      </c>
      <c r="V547" s="74" t="inlineStr">
        <is>
          <t>계단식</t>
        </is>
      </c>
      <c r="W547" s="74" t="inlineStr">
        <is>
          <t>117A</t>
        </is>
      </c>
      <c r="X547" s="74" t="n">
        <v>20</v>
      </c>
      <c r="Y547" s="74" t="n">
        <v>10</v>
      </c>
      <c r="Z547" s="74" t="inlineStr">
        <is>
          <t>https://new.land.naver.com/complexes/100415?tab=detail&amp;rf=Y</t>
        </is>
      </c>
      <c r="AA547" s="74" t="inlineStr">
        <is>
          <t>전라북도 군산시 수송동 812-1</t>
        </is>
      </c>
      <c r="AB547" s="74" t="inlineStr">
        <is>
          <t>전라북도</t>
        </is>
      </c>
      <c r="AC547" s="74" t="inlineStr">
        <is>
          <t>군산시</t>
        </is>
      </c>
      <c r="AD547" s="74" t="inlineStr">
        <is>
          <t>수송동</t>
        </is>
      </c>
      <c r="AG547" s="74" t="inlineStr">
        <is>
          <t>전라북도 군산시 축동로 32</t>
        </is>
      </c>
      <c r="AH547" s="74" t="n">
        <v>0</v>
      </c>
      <c r="AI547" s="74" t="n">
        <v>198</v>
      </c>
      <c r="AJ547" s="74" t="n">
        <v>20</v>
      </c>
      <c r="AK547" s="74" t="n">
        <v>901</v>
      </c>
      <c r="AL547" s="74" t="n">
        <v>1.37</v>
      </c>
    </row>
    <row r="548">
      <c r="A548" s="74" t="inlineStr">
        <is>
          <t>[수송동]</t>
        </is>
      </c>
      <c r="B548" s="74" t="n">
        <v>100415</v>
      </c>
      <c r="C548" s="74" t="n">
        <v>2</v>
      </c>
      <c r="D548" s="74" t="inlineStr">
        <is>
          <t>군산수송제일오투그란데2단지</t>
        </is>
      </c>
      <c r="E548" s="74" t="inlineStr">
        <is>
          <t>2008.10.</t>
        </is>
      </c>
      <c r="F548" s="74" t="n">
        <v>656</v>
      </c>
      <c r="G548" s="74" t="n">
        <v>35.92</v>
      </c>
      <c r="H548" s="74" t="n">
        <v>118.76</v>
      </c>
      <c r="I548" s="74" t="n">
        <v>27.58</v>
      </c>
      <c r="J548" s="74" t="n">
        <v>91.19</v>
      </c>
      <c r="K548" s="74" t="n">
        <v>136</v>
      </c>
      <c r="T548" s="74" t="n">
        <v>3</v>
      </c>
      <c r="U548" s="74" t="n">
        <v>2</v>
      </c>
      <c r="V548" s="74" t="inlineStr">
        <is>
          <t>계단식</t>
        </is>
      </c>
      <c r="W548" s="74" t="inlineStr">
        <is>
          <t>118B</t>
        </is>
      </c>
      <c r="X548" s="74" t="n">
        <v>20</v>
      </c>
      <c r="Y548" s="74" t="n">
        <v>10</v>
      </c>
      <c r="Z548" s="74" t="inlineStr">
        <is>
          <t>https://new.land.naver.com/complexes/100415?tab=detail&amp;rf=Y</t>
        </is>
      </c>
      <c r="AA548" s="74" t="inlineStr">
        <is>
          <t>전라북도 군산시 수송동 812-1</t>
        </is>
      </c>
      <c r="AB548" s="74" t="inlineStr">
        <is>
          <t>전라북도</t>
        </is>
      </c>
      <c r="AC548" s="74" t="inlineStr">
        <is>
          <t>군산시</t>
        </is>
      </c>
      <c r="AD548" s="74" t="inlineStr">
        <is>
          <t>수송동</t>
        </is>
      </c>
      <c r="AG548" s="74" t="inlineStr">
        <is>
          <t>전라북도 군산시 축동로 32</t>
        </is>
      </c>
      <c r="AH548" s="74" t="n">
        <v>0</v>
      </c>
      <c r="AI548" s="74" t="n">
        <v>198</v>
      </c>
      <c r="AJ548" s="74" t="n">
        <v>20</v>
      </c>
      <c r="AK548" s="74" t="n">
        <v>901</v>
      </c>
      <c r="AL548" s="74" t="n">
        <v>1.37</v>
      </c>
    </row>
    <row r="549">
      <c r="A549" s="74" t="inlineStr">
        <is>
          <t>[수송동]</t>
        </is>
      </c>
      <c r="B549" s="74" t="n">
        <v>100415</v>
      </c>
      <c r="C549" s="74" t="n">
        <v>3</v>
      </c>
      <c r="D549" s="74" t="inlineStr">
        <is>
          <t>군산수송제일오투그란데2단지</t>
        </is>
      </c>
      <c r="E549" s="74" t="inlineStr">
        <is>
          <t>2008.10.</t>
        </is>
      </c>
      <c r="F549" s="74" t="n">
        <v>656</v>
      </c>
      <c r="G549" s="74" t="n">
        <v>37.99</v>
      </c>
      <c r="H549" s="74" t="n">
        <v>125.59</v>
      </c>
      <c r="I549" s="74" t="n">
        <v>28.04</v>
      </c>
      <c r="J549" s="74" t="n">
        <v>92.72</v>
      </c>
      <c r="K549" s="74" t="n">
        <v>274</v>
      </c>
      <c r="T549" s="74" t="n">
        <v>3</v>
      </c>
      <c r="U549" s="74" t="n">
        <v>2</v>
      </c>
      <c r="V549" s="74" t="inlineStr">
        <is>
          <t>계단식</t>
        </is>
      </c>
      <c r="W549" s="74" t="n">
        <v>125</v>
      </c>
      <c r="X549" s="74" t="n">
        <v>20</v>
      </c>
      <c r="Y549" s="74" t="n">
        <v>10</v>
      </c>
      <c r="Z549" s="74" t="inlineStr">
        <is>
          <t>https://new.land.naver.com/complexes/100415?tab=detail&amp;rf=Y</t>
        </is>
      </c>
      <c r="AA549" s="74" t="inlineStr">
        <is>
          <t>전라북도 군산시 수송동 812-1</t>
        </is>
      </c>
      <c r="AB549" s="74" t="inlineStr">
        <is>
          <t>전라북도</t>
        </is>
      </c>
      <c r="AC549" s="74" t="inlineStr">
        <is>
          <t>군산시</t>
        </is>
      </c>
      <c r="AD549" s="74" t="inlineStr">
        <is>
          <t>수송동</t>
        </is>
      </c>
      <c r="AG549" s="74" t="inlineStr">
        <is>
          <t>전라북도 군산시 축동로 32</t>
        </is>
      </c>
      <c r="AH549" s="74" t="n">
        <v>0</v>
      </c>
      <c r="AI549" s="74" t="n">
        <v>198</v>
      </c>
      <c r="AJ549" s="74" t="n">
        <v>20</v>
      </c>
      <c r="AK549" s="74" t="n">
        <v>901</v>
      </c>
      <c r="AL549" s="74" t="n">
        <v>1.37</v>
      </c>
    </row>
    <row r="550">
      <c r="A550" s="74" t="inlineStr">
        <is>
          <t>[수송동]</t>
        </is>
      </c>
      <c r="B550" s="74" t="n">
        <v>100415</v>
      </c>
      <c r="C550" s="74" t="n">
        <v>4</v>
      </c>
      <c r="D550" s="74" t="inlineStr">
        <is>
          <t>군산수송제일오투그란데2단지</t>
        </is>
      </c>
      <c r="E550" s="74" t="inlineStr">
        <is>
          <t>2008.10.</t>
        </is>
      </c>
      <c r="F550" s="74" t="n">
        <v>656</v>
      </c>
      <c r="G550" s="74" t="n">
        <v>42.56</v>
      </c>
      <c r="H550" s="74" t="n">
        <v>140.71</v>
      </c>
      <c r="I550" s="74" t="n">
        <v>33.33</v>
      </c>
      <c r="J550" s="74" t="n">
        <v>110.19</v>
      </c>
      <c r="K550" s="74" t="n">
        <v>132</v>
      </c>
      <c r="T550" s="74" t="n">
        <v>4</v>
      </c>
      <c r="U550" s="74" t="n">
        <v>2</v>
      </c>
      <c r="V550" s="74" t="inlineStr">
        <is>
          <t>계단식</t>
        </is>
      </c>
      <c r="W550" s="74" t="n">
        <v>140</v>
      </c>
      <c r="X550" s="74" t="n">
        <v>20</v>
      </c>
      <c r="Y550" s="74" t="n">
        <v>10</v>
      </c>
      <c r="Z550" s="74" t="inlineStr">
        <is>
          <t>https://new.land.naver.com/complexes/100415?tab=detail&amp;rf=Y</t>
        </is>
      </c>
      <c r="AA550" s="74" t="inlineStr">
        <is>
          <t>전라북도 군산시 수송동 812-1</t>
        </is>
      </c>
      <c r="AB550" s="74" t="inlineStr">
        <is>
          <t>전라북도</t>
        </is>
      </c>
      <c r="AC550" s="74" t="inlineStr">
        <is>
          <t>군산시</t>
        </is>
      </c>
      <c r="AD550" s="74" t="inlineStr">
        <is>
          <t>수송동</t>
        </is>
      </c>
      <c r="AG550" s="74" t="inlineStr">
        <is>
          <t>전라북도 군산시 축동로 32</t>
        </is>
      </c>
      <c r="AH550" s="74" t="n">
        <v>0</v>
      </c>
      <c r="AI550" s="74" t="n">
        <v>198</v>
      </c>
      <c r="AJ550" s="74" t="n">
        <v>20</v>
      </c>
      <c r="AK550" s="74" t="n">
        <v>901</v>
      </c>
      <c r="AL550" s="74" t="n">
        <v>1.37</v>
      </c>
    </row>
    <row r="551">
      <c r="A551" s="74" t="inlineStr">
        <is>
          <t>[수송동]</t>
        </is>
      </c>
      <c r="B551" s="74" t="n">
        <v>26633</v>
      </c>
      <c r="C551" s="74" t="n">
        <v>1</v>
      </c>
      <c r="D551" s="74" t="inlineStr">
        <is>
          <t>군산수송제일오투그란데1단지</t>
        </is>
      </c>
      <c r="E551" s="74" t="inlineStr">
        <is>
          <t>2008.10.</t>
        </is>
      </c>
      <c r="F551" s="74" t="n">
        <v>724</v>
      </c>
      <c r="G551" s="74" t="n">
        <v>29.94</v>
      </c>
      <c r="H551" s="74" t="n">
        <v>99</v>
      </c>
      <c r="I551" s="74" t="n">
        <v>20.86</v>
      </c>
      <c r="J551" s="74" t="n">
        <v>68.97</v>
      </c>
      <c r="K551" s="74" t="n">
        <v>212</v>
      </c>
      <c r="T551" s="74" t="n">
        <v>3</v>
      </c>
      <c r="U551" s="74" t="n">
        <v>2</v>
      </c>
      <c r="V551" s="74" t="inlineStr">
        <is>
          <t>계단식</t>
        </is>
      </c>
      <c r="W551" s="74" t="n">
        <v>99</v>
      </c>
      <c r="X551" s="74" t="n">
        <v>20</v>
      </c>
      <c r="Y551" s="74" t="n">
        <v>17</v>
      </c>
      <c r="Z551" s="74" t="inlineStr">
        <is>
          <t>https://new.land.naver.com/complexes/26633?tab=detail&amp;rf=Y</t>
        </is>
      </c>
      <c r="AA551" s="74" t="inlineStr">
        <is>
          <t>전라북도 군산시 수송동 812</t>
        </is>
      </c>
      <c r="AB551" s="74" t="inlineStr">
        <is>
          <t>전라북도</t>
        </is>
      </c>
      <c r="AC551" s="74" t="inlineStr">
        <is>
          <t>군산시</t>
        </is>
      </c>
      <c r="AD551" s="74" t="inlineStr">
        <is>
          <t>수송동</t>
        </is>
      </c>
      <c r="AG551" s="74" t="inlineStr">
        <is>
          <t>전라북도 군산시 축동로 42</t>
        </is>
      </c>
      <c r="AH551" s="74" t="n">
        <v>0</v>
      </c>
      <c r="AI551" s="74" t="n">
        <v>229</v>
      </c>
      <c r="AJ551" s="74" t="n">
        <v>20</v>
      </c>
      <c r="AK551" s="74" t="n">
        <v>908</v>
      </c>
      <c r="AL551" s="74" t="n">
        <v>1.25</v>
      </c>
    </row>
    <row r="552">
      <c r="A552" s="74" t="inlineStr">
        <is>
          <t>[수송동]</t>
        </is>
      </c>
      <c r="B552" s="74" t="n">
        <v>26633</v>
      </c>
      <c r="C552" s="74" t="n">
        <v>2</v>
      </c>
      <c r="D552" s="74" t="inlineStr">
        <is>
          <t>군산수송제일오투그란데1단지</t>
        </is>
      </c>
      <c r="E552" s="74" t="inlineStr">
        <is>
          <t>2008.10.</t>
        </is>
      </c>
      <c r="F552" s="74" t="n">
        <v>724</v>
      </c>
      <c r="G552" s="74" t="n">
        <v>34.96</v>
      </c>
      <c r="H552" s="74" t="n">
        <v>115.59</v>
      </c>
      <c r="I552" s="74" t="n">
        <v>25.69</v>
      </c>
      <c r="J552" s="74" t="n">
        <v>84.93000000000001</v>
      </c>
      <c r="K552" s="74" t="n">
        <v>206</v>
      </c>
      <c r="T552" s="74" t="n">
        <v>3</v>
      </c>
      <c r="U552" s="74" t="n">
        <v>2</v>
      </c>
      <c r="V552" s="74" t="inlineStr">
        <is>
          <t>계단식</t>
        </is>
      </c>
      <c r="W552" s="74" t="inlineStr">
        <is>
          <t>115A</t>
        </is>
      </c>
      <c r="X552" s="74" t="n">
        <v>20</v>
      </c>
      <c r="Y552" s="74" t="n">
        <v>17</v>
      </c>
      <c r="Z552" s="74" t="inlineStr">
        <is>
          <t>https://new.land.naver.com/complexes/26633?tab=detail&amp;rf=Y</t>
        </is>
      </c>
      <c r="AA552" s="74" t="inlineStr">
        <is>
          <t>전라북도 군산시 수송동 812</t>
        </is>
      </c>
      <c r="AB552" s="74" t="inlineStr">
        <is>
          <t>전라북도</t>
        </is>
      </c>
      <c r="AC552" s="74" t="inlineStr">
        <is>
          <t>군산시</t>
        </is>
      </c>
      <c r="AD552" s="74" t="inlineStr">
        <is>
          <t>수송동</t>
        </is>
      </c>
      <c r="AG552" s="74" t="inlineStr">
        <is>
          <t>전라북도 군산시 축동로 42</t>
        </is>
      </c>
      <c r="AH552" s="74" t="n">
        <v>0</v>
      </c>
      <c r="AI552" s="74" t="n">
        <v>229</v>
      </c>
      <c r="AJ552" s="74" t="n">
        <v>20</v>
      </c>
      <c r="AK552" s="74" t="n">
        <v>908</v>
      </c>
      <c r="AL552" s="74" t="n">
        <v>1.25</v>
      </c>
    </row>
    <row r="553">
      <c r="A553" s="74" t="inlineStr">
        <is>
          <t>[수송동]</t>
        </is>
      </c>
      <c r="B553" s="74" t="n">
        <v>26633</v>
      </c>
      <c r="C553" s="74" t="n">
        <v>3</v>
      </c>
      <c r="D553" s="74" t="inlineStr">
        <is>
          <t>군산수송제일오투그란데1단지</t>
        </is>
      </c>
      <c r="E553" s="74" t="inlineStr">
        <is>
          <t>2008.10.</t>
        </is>
      </c>
      <c r="F553" s="74" t="n">
        <v>724</v>
      </c>
      <c r="G553" s="74" t="n">
        <v>34.99</v>
      </c>
      <c r="H553" s="74" t="n">
        <v>115.69</v>
      </c>
      <c r="I553" s="74" t="n">
        <v>25.66</v>
      </c>
      <c r="J553" s="74" t="n">
        <v>84.84999999999999</v>
      </c>
      <c r="K553" s="74" t="n">
        <v>160</v>
      </c>
      <c r="T553" s="74" t="n">
        <v>3</v>
      </c>
      <c r="U553" s="74" t="n">
        <v>2</v>
      </c>
      <c r="V553" s="74" t="inlineStr">
        <is>
          <t>계단식</t>
        </is>
      </c>
      <c r="W553" s="74" t="inlineStr">
        <is>
          <t>115C</t>
        </is>
      </c>
      <c r="X553" s="74" t="n">
        <v>20</v>
      </c>
      <c r="Y553" s="74" t="n">
        <v>17</v>
      </c>
      <c r="Z553" s="74" t="inlineStr">
        <is>
          <t>https://new.land.naver.com/complexes/26633?tab=detail&amp;rf=Y</t>
        </is>
      </c>
      <c r="AA553" s="74" t="inlineStr">
        <is>
          <t>전라북도 군산시 수송동 812</t>
        </is>
      </c>
      <c r="AB553" s="74" t="inlineStr">
        <is>
          <t>전라북도</t>
        </is>
      </c>
      <c r="AC553" s="74" t="inlineStr">
        <is>
          <t>군산시</t>
        </is>
      </c>
      <c r="AD553" s="74" t="inlineStr">
        <is>
          <t>수송동</t>
        </is>
      </c>
      <c r="AG553" s="74" t="inlineStr">
        <is>
          <t>전라북도 군산시 축동로 42</t>
        </is>
      </c>
      <c r="AH553" s="74" t="n">
        <v>0</v>
      </c>
      <c r="AI553" s="74" t="n">
        <v>229</v>
      </c>
      <c r="AJ553" s="74" t="n">
        <v>20</v>
      </c>
      <c r="AK553" s="74" t="n">
        <v>908</v>
      </c>
      <c r="AL553" s="74" t="n">
        <v>1.25</v>
      </c>
    </row>
    <row r="554">
      <c r="A554" s="74" t="inlineStr">
        <is>
          <t>[수송동]</t>
        </is>
      </c>
      <c r="B554" s="74" t="n">
        <v>26633</v>
      </c>
      <c r="C554" s="74" t="n">
        <v>4</v>
      </c>
      <c r="D554" s="74" t="inlineStr">
        <is>
          <t>군산수송제일오투그란데1단지</t>
        </is>
      </c>
      <c r="E554" s="74" t="inlineStr">
        <is>
          <t>2008.10.</t>
        </is>
      </c>
      <c r="F554" s="74" t="n">
        <v>724</v>
      </c>
      <c r="G554" s="74" t="n">
        <v>34.97</v>
      </c>
      <c r="H554" s="74" t="n">
        <v>115.62</v>
      </c>
      <c r="I554" s="74" t="n">
        <v>25.68</v>
      </c>
      <c r="J554" s="74" t="n">
        <v>84.91</v>
      </c>
      <c r="K554" s="74" t="n">
        <v>146</v>
      </c>
      <c r="T554" s="74" t="n">
        <v>3</v>
      </c>
      <c r="U554" s="74" t="n">
        <v>2</v>
      </c>
      <c r="V554" s="74" t="inlineStr">
        <is>
          <t>계단식</t>
        </is>
      </c>
      <c r="W554" s="74" t="inlineStr">
        <is>
          <t>115B</t>
        </is>
      </c>
      <c r="X554" s="74" t="n">
        <v>20</v>
      </c>
      <c r="Y554" s="74" t="n">
        <v>17</v>
      </c>
      <c r="Z554" s="74" t="inlineStr">
        <is>
          <t>https://new.land.naver.com/complexes/26633?tab=detail&amp;rf=Y</t>
        </is>
      </c>
      <c r="AA554" s="74" t="inlineStr">
        <is>
          <t>전라북도 군산시 수송동 812</t>
        </is>
      </c>
      <c r="AB554" s="74" t="inlineStr">
        <is>
          <t>전라북도</t>
        </is>
      </c>
      <c r="AC554" s="74" t="inlineStr">
        <is>
          <t>군산시</t>
        </is>
      </c>
      <c r="AD554" s="74" t="inlineStr">
        <is>
          <t>수송동</t>
        </is>
      </c>
      <c r="AG554" s="74" t="inlineStr">
        <is>
          <t>전라북도 군산시 축동로 42</t>
        </is>
      </c>
      <c r="AH554" s="74" t="n">
        <v>0</v>
      </c>
      <c r="AI554" s="74" t="n">
        <v>229</v>
      </c>
      <c r="AJ554" s="74" t="n">
        <v>20</v>
      </c>
      <c r="AK554" s="74" t="n">
        <v>908</v>
      </c>
      <c r="AL554" s="74" t="n">
        <v>1.25</v>
      </c>
    </row>
    <row r="555">
      <c r="A555" s="74" t="inlineStr">
        <is>
          <t>[신풍동]</t>
        </is>
      </c>
      <c r="B555" s="74" t="n">
        <v>14976</v>
      </c>
      <c r="C555" s="74" t="n">
        <v>1</v>
      </c>
      <c r="D555" s="74" t="inlineStr">
        <is>
          <t>월명</t>
        </is>
      </c>
      <c r="E555" s="74" t="inlineStr">
        <is>
          <t>1979.05.</t>
        </is>
      </c>
      <c r="F555" s="74" t="n">
        <v>240</v>
      </c>
      <c r="G555" s="74" t="n">
        <v>18.74</v>
      </c>
      <c r="H555" s="74" t="n">
        <v>61.98</v>
      </c>
      <c r="I555" s="74" t="n">
        <v>18.74</v>
      </c>
      <c r="J555" s="74" t="n">
        <v>61.98</v>
      </c>
      <c r="K555" s="74" t="n">
        <v>30</v>
      </c>
      <c r="T555" s="74" t="n">
        <v>2</v>
      </c>
      <c r="U555" s="74" t="n">
        <v>1</v>
      </c>
      <c r="V555" s="74" t="inlineStr">
        <is>
          <t>계단식</t>
        </is>
      </c>
      <c r="W555" s="74" t="n">
        <v>61</v>
      </c>
      <c r="X555" s="74" t="n">
        <v>5</v>
      </c>
      <c r="Y555" s="74" t="n">
        <v>5</v>
      </c>
      <c r="Z555" s="74" t="inlineStr">
        <is>
          <t>https://new.land.naver.com/complexes/14976?tab=detail&amp;rf=Y</t>
        </is>
      </c>
      <c r="AA555" s="74" t="inlineStr">
        <is>
          <t>전라북도 군산시 신풍동 892-8</t>
        </is>
      </c>
      <c r="AB555" s="74" t="inlineStr">
        <is>
          <t>전라북도</t>
        </is>
      </c>
      <c r="AC555" s="74" t="inlineStr">
        <is>
          <t>군산시</t>
        </is>
      </c>
      <c r="AD555" s="74" t="inlineStr">
        <is>
          <t>신풍동</t>
        </is>
      </c>
      <c r="AG555" s="74" t="inlineStr">
        <is>
          <t>전라북도 군산시 신풍길 22</t>
        </is>
      </c>
      <c r="AH555" s="74" t="n">
        <v>0</v>
      </c>
      <c r="AI555" s="74" t="n">
        <v>0</v>
      </c>
      <c r="AJ555" s="74" t="n">
        <v>0</v>
      </c>
      <c r="AK555" s="74" t="n">
        <v>0</v>
      </c>
      <c r="AL555" s="74" t="n">
        <v>0</v>
      </c>
    </row>
    <row r="556">
      <c r="A556" s="74" t="inlineStr">
        <is>
          <t>[신풍동]</t>
        </is>
      </c>
      <c r="B556" s="74" t="n">
        <v>14976</v>
      </c>
      <c r="C556" s="74" t="n">
        <v>2</v>
      </c>
      <c r="D556" s="74" t="inlineStr">
        <is>
          <t>월명</t>
        </is>
      </c>
      <c r="E556" s="74" t="inlineStr">
        <is>
          <t>1979.05.</t>
        </is>
      </c>
      <c r="F556" s="74" t="n">
        <v>240</v>
      </c>
      <c r="G556" s="74" t="n">
        <v>21.39</v>
      </c>
      <c r="H556" s="74" t="n">
        <v>70.73999999999999</v>
      </c>
      <c r="I556" s="74" t="n">
        <v>21.39</v>
      </c>
      <c r="J556" s="74" t="n">
        <v>70.73999999999999</v>
      </c>
      <c r="K556" s="74" t="n">
        <v>30</v>
      </c>
      <c r="T556" s="74" t="n">
        <v>2</v>
      </c>
      <c r="U556" s="74" t="n">
        <v>1</v>
      </c>
      <c r="V556" s="74" t="inlineStr">
        <is>
          <t>계단식</t>
        </is>
      </c>
      <c r="W556" s="74" t="n">
        <v>70</v>
      </c>
      <c r="X556" s="74" t="n">
        <v>5</v>
      </c>
      <c r="Y556" s="74" t="n">
        <v>5</v>
      </c>
      <c r="Z556" s="74" t="inlineStr">
        <is>
          <t>https://new.land.naver.com/complexes/14976?tab=detail&amp;rf=Y</t>
        </is>
      </c>
      <c r="AA556" s="74" t="inlineStr">
        <is>
          <t>전라북도 군산시 신풍동 892-8</t>
        </is>
      </c>
      <c r="AB556" s="74" t="inlineStr">
        <is>
          <t>전라북도</t>
        </is>
      </c>
      <c r="AC556" s="74" t="inlineStr">
        <is>
          <t>군산시</t>
        </is>
      </c>
      <c r="AD556" s="74" t="inlineStr">
        <is>
          <t>신풍동</t>
        </is>
      </c>
      <c r="AG556" s="74" t="inlineStr">
        <is>
          <t>전라북도 군산시 신풍길 22</t>
        </is>
      </c>
      <c r="AH556" s="74" t="n">
        <v>0</v>
      </c>
      <c r="AI556" s="74" t="n">
        <v>0</v>
      </c>
      <c r="AJ556" s="74" t="n">
        <v>0</v>
      </c>
      <c r="AK556" s="74" t="n">
        <v>0</v>
      </c>
      <c r="AL556" s="74" t="n">
        <v>0</v>
      </c>
    </row>
    <row r="557">
      <c r="A557" s="74" t="inlineStr">
        <is>
          <t>[신풍동]</t>
        </is>
      </c>
      <c r="B557" s="74" t="n">
        <v>14976</v>
      </c>
      <c r="C557" s="74" t="n">
        <v>3</v>
      </c>
      <c r="D557" s="74" t="inlineStr">
        <is>
          <t>월명</t>
        </is>
      </c>
      <c r="E557" s="74" t="inlineStr">
        <is>
          <t>1979.05.</t>
        </is>
      </c>
      <c r="F557" s="74" t="n">
        <v>240</v>
      </c>
      <c r="G557" s="74" t="n">
        <v>23.02</v>
      </c>
      <c r="H557" s="74" t="n">
        <v>76.09999999999999</v>
      </c>
      <c r="I557" s="74" t="n">
        <v>23.02</v>
      </c>
      <c r="J557" s="74" t="n">
        <v>76.09999999999999</v>
      </c>
      <c r="K557" s="74" t="n">
        <v>60</v>
      </c>
      <c r="T557" s="74" t="n">
        <v>3</v>
      </c>
      <c r="U557" s="74" t="n">
        <v>1</v>
      </c>
      <c r="V557" s="74" t="inlineStr">
        <is>
          <t>복도식</t>
        </is>
      </c>
      <c r="W557" s="74" t="n">
        <v>76</v>
      </c>
      <c r="X557" s="74" t="n">
        <v>5</v>
      </c>
      <c r="Y557" s="74" t="n">
        <v>5</v>
      </c>
      <c r="Z557" s="74" t="inlineStr">
        <is>
          <t>https://new.land.naver.com/complexes/14976?tab=detail&amp;rf=Y</t>
        </is>
      </c>
      <c r="AA557" s="74" t="inlineStr">
        <is>
          <t>전라북도 군산시 신풍동 892-8</t>
        </is>
      </c>
      <c r="AB557" s="74" t="inlineStr">
        <is>
          <t>전라북도</t>
        </is>
      </c>
      <c r="AC557" s="74" t="inlineStr">
        <is>
          <t>군산시</t>
        </is>
      </c>
      <c r="AD557" s="74" t="inlineStr">
        <is>
          <t>신풍동</t>
        </is>
      </c>
      <c r="AG557" s="74" t="inlineStr">
        <is>
          <t>전라북도 군산시 신풍길 22</t>
        </is>
      </c>
      <c r="AH557" s="74" t="n">
        <v>0</v>
      </c>
      <c r="AI557" s="74" t="n">
        <v>0</v>
      </c>
      <c r="AJ557" s="74" t="n">
        <v>0</v>
      </c>
      <c r="AK557" s="74" t="n">
        <v>0</v>
      </c>
      <c r="AL557" s="74" t="n">
        <v>0</v>
      </c>
    </row>
    <row r="558">
      <c r="A558" s="74" t="inlineStr">
        <is>
          <t>[신풍동]</t>
        </is>
      </c>
      <c r="B558" s="74" t="n">
        <v>14976</v>
      </c>
      <c r="C558" s="74" t="n">
        <v>4</v>
      </c>
      <c r="D558" s="74" t="inlineStr">
        <is>
          <t>월명</t>
        </is>
      </c>
      <c r="E558" s="74" t="inlineStr">
        <is>
          <t>1979.05.</t>
        </is>
      </c>
      <c r="F558" s="74" t="n">
        <v>240</v>
      </c>
      <c r="G558" s="74" t="n">
        <v>23.73</v>
      </c>
      <c r="H558" s="74" t="n">
        <v>78.45</v>
      </c>
      <c r="I558" s="74" t="n">
        <v>23.73</v>
      </c>
      <c r="J558" s="74" t="n">
        <v>78.45</v>
      </c>
      <c r="K558" s="74" t="n">
        <v>60</v>
      </c>
      <c r="T558" s="74" t="n">
        <v>2</v>
      </c>
      <c r="U558" s="74" t="n">
        <v>1</v>
      </c>
      <c r="V558" s="74" t="inlineStr">
        <is>
          <t>계단식</t>
        </is>
      </c>
      <c r="W558" s="74" t="n">
        <v>78</v>
      </c>
      <c r="X558" s="74" t="n">
        <v>5</v>
      </c>
      <c r="Y558" s="74" t="n">
        <v>5</v>
      </c>
      <c r="Z558" s="74" t="inlineStr">
        <is>
          <t>https://new.land.naver.com/complexes/14976?tab=detail&amp;rf=Y</t>
        </is>
      </c>
      <c r="AA558" s="74" t="inlineStr">
        <is>
          <t>전라북도 군산시 신풍동 892-8</t>
        </is>
      </c>
      <c r="AB558" s="74" t="inlineStr">
        <is>
          <t>전라북도</t>
        </is>
      </c>
      <c r="AC558" s="74" t="inlineStr">
        <is>
          <t>군산시</t>
        </is>
      </c>
      <c r="AD558" s="74" t="inlineStr">
        <is>
          <t>신풍동</t>
        </is>
      </c>
      <c r="AG558" s="74" t="inlineStr">
        <is>
          <t>전라북도 군산시 신풍길 22</t>
        </is>
      </c>
      <c r="AH558" s="74" t="n">
        <v>0</v>
      </c>
      <c r="AI558" s="74" t="n">
        <v>0</v>
      </c>
      <c r="AJ558" s="74" t="n">
        <v>0</v>
      </c>
      <c r="AK558" s="74" t="n">
        <v>0</v>
      </c>
      <c r="AL558" s="74" t="n">
        <v>0</v>
      </c>
    </row>
    <row r="559">
      <c r="A559" s="74" t="inlineStr">
        <is>
          <t>[신풍동]</t>
        </is>
      </c>
      <c r="B559" s="74" t="n">
        <v>14976</v>
      </c>
      <c r="C559" s="74" t="n">
        <v>5</v>
      </c>
      <c r="D559" s="74" t="inlineStr">
        <is>
          <t>월명</t>
        </is>
      </c>
      <c r="E559" s="74" t="inlineStr">
        <is>
          <t>1979.05.</t>
        </is>
      </c>
      <c r="F559" s="74" t="n">
        <v>240</v>
      </c>
      <c r="G559" s="74" t="n">
        <v>24.57</v>
      </c>
      <c r="H559" s="74" t="n">
        <v>81.23999999999999</v>
      </c>
      <c r="I559" s="74" t="n">
        <v>24.57</v>
      </c>
      <c r="J559" s="74" t="n">
        <v>81.23999999999999</v>
      </c>
      <c r="K559" s="74" t="n">
        <v>40</v>
      </c>
      <c r="T559" s="74" t="n">
        <v>3</v>
      </c>
      <c r="U559" s="74" t="n">
        <v>1</v>
      </c>
      <c r="V559" s="74" t="inlineStr">
        <is>
          <t>계단식</t>
        </is>
      </c>
      <c r="W559" s="74" t="n">
        <v>81</v>
      </c>
      <c r="X559" s="74" t="n">
        <v>5</v>
      </c>
      <c r="Y559" s="74" t="n">
        <v>5</v>
      </c>
      <c r="Z559" s="74" t="inlineStr">
        <is>
          <t>https://new.land.naver.com/complexes/14976?tab=detail&amp;rf=Y</t>
        </is>
      </c>
      <c r="AA559" s="74" t="inlineStr">
        <is>
          <t>전라북도 군산시 신풍동 892-8</t>
        </is>
      </c>
      <c r="AB559" s="74" t="inlineStr">
        <is>
          <t>전라북도</t>
        </is>
      </c>
      <c r="AC559" s="74" t="inlineStr">
        <is>
          <t>군산시</t>
        </is>
      </c>
      <c r="AD559" s="74" t="inlineStr">
        <is>
          <t>신풍동</t>
        </is>
      </c>
      <c r="AG559" s="74" t="inlineStr">
        <is>
          <t>전라북도 군산시 신풍길 22</t>
        </is>
      </c>
      <c r="AH559" s="74" t="n">
        <v>0</v>
      </c>
      <c r="AI559" s="74" t="n">
        <v>0</v>
      </c>
      <c r="AJ559" s="74" t="n">
        <v>0</v>
      </c>
      <c r="AK559" s="74" t="n">
        <v>0</v>
      </c>
      <c r="AL559" s="74" t="n">
        <v>0</v>
      </c>
    </row>
    <row r="560">
      <c r="A560" s="74" t="inlineStr">
        <is>
          <t>[신풍동]</t>
        </is>
      </c>
      <c r="B560" s="74" t="n">
        <v>14976</v>
      </c>
      <c r="C560" s="74" t="n">
        <v>6</v>
      </c>
      <c r="D560" s="74" t="inlineStr">
        <is>
          <t>월명</t>
        </is>
      </c>
      <c r="E560" s="74" t="inlineStr">
        <is>
          <t>1979.05.</t>
        </is>
      </c>
      <c r="F560" s="74" t="n">
        <v>240</v>
      </c>
      <c r="G560" s="74" t="n">
        <v>25.27</v>
      </c>
      <c r="H560" s="74" t="n">
        <v>83.56999999999999</v>
      </c>
      <c r="I560" s="74" t="n">
        <v>25.27</v>
      </c>
      <c r="J560" s="74" t="n">
        <v>83.56999999999999</v>
      </c>
      <c r="K560" s="74" t="n">
        <v>20</v>
      </c>
      <c r="T560" s="74" t="n">
        <v>3</v>
      </c>
      <c r="U560" s="74" t="n">
        <v>1</v>
      </c>
      <c r="V560" s="74" t="inlineStr">
        <is>
          <t>계단식</t>
        </is>
      </c>
      <c r="W560" s="74" t="n">
        <v>83</v>
      </c>
      <c r="X560" s="74" t="n">
        <v>5</v>
      </c>
      <c r="Y560" s="74" t="n">
        <v>5</v>
      </c>
      <c r="Z560" s="74" t="inlineStr">
        <is>
          <t>https://new.land.naver.com/complexes/14976?tab=detail&amp;rf=Y</t>
        </is>
      </c>
      <c r="AA560" s="74" t="inlineStr">
        <is>
          <t>전라북도 군산시 신풍동 892-8</t>
        </is>
      </c>
      <c r="AB560" s="74" t="inlineStr">
        <is>
          <t>전라북도</t>
        </is>
      </c>
      <c r="AC560" s="74" t="inlineStr">
        <is>
          <t>군산시</t>
        </is>
      </c>
      <c r="AD560" s="74" t="inlineStr">
        <is>
          <t>신풍동</t>
        </is>
      </c>
      <c r="AG560" s="74" t="inlineStr">
        <is>
          <t>전라북도 군산시 신풍길 22</t>
        </is>
      </c>
      <c r="AH560" s="74" t="n">
        <v>0</v>
      </c>
      <c r="AI560" s="74" t="n">
        <v>0</v>
      </c>
      <c r="AJ560" s="74" t="n">
        <v>0</v>
      </c>
      <c r="AK560" s="74" t="n">
        <v>0</v>
      </c>
      <c r="AL560" s="74" t="n">
        <v>0</v>
      </c>
    </row>
    <row r="561">
      <c r="A561" s="74" t="inlineStr">
        <is>
          <t>[오식도동]</t>
        </is>
      </c>
      <c r="B561" s="74" t="n">
        <v>140671</v>
      </c>
      <c r="C561" s="74" t="n">
        <v>1</v>
      </c>
      <c r="D561" s="74" t="inlineStr">
        <is>
          <t>한성필하우스</t>
        </is>
      </c>
      <c r="E561" s="74" t="inlineStr">
        <is>
          <t>2012.08.</t>
        </is>
      </c>
      <c r="F561" s="74" t="n">
        <v>892</v>
      </c>
      <c r="G561" s="74" t="n">
        <v>15.18</v>
      </c>
      <c r="H561" s="74" t="n">
        <v>50.2</v>
      </c>
      <c r="I561" s="74" t="n">
        <v>10.71</v>
      </c>
      <c r="J561" s="74" t="n">
        <v>35.41</v>
      </c>
      <c r="K561" s="74" t="n">
        <v>4</v>
      </c>
      <c r="T561" s="74" t="n">
        <v>2</v>
      </c>
      <c r="U561" s="74" t="n">
        <v>1</v>
      </c>
      <c r="V561" s="74" t="inlineStr">
        <is>
          <t>계단식</t>
        </is>
      </c>
      <c r="W561" s="74" t="n">
        <v>50</v>
      </c>
      <c r="X561" s="74" t="n">
        <v>23</v>
      </c>
      <c r="Y561" s="74" t="n">
        <v>14</v>
      </c>
      <c r="Z561" s="74" t="inlineStr">
        <is>
          <t>https://new.land.naver.com/complexes/140671?tab=detail&amp;rf=Y</t>
        </is>
      </c>
      <c r="AA561" s="74" t="inlineStr">
        <is>
          <t>전라북도 군산시 오식도동 806-3</t>
        </is>
      </c>
      <c r="AB561" s="74" t="inlineStr">
        <is>
          <t>전라북도</t>
        </is>
      </c>
      <c r="AC561" s="74" t="inlineStr">
        <is>
          <t>군산시</t>
        </is>
      </c>
      <c r="AD561" s="74" t="inlineStr">
        <is>
          <t>오식도동</t>
        </is>
      </c>
      <c r="AG561" s="74" t="inlineStr">
        <is>
          <t>전라북도 군산시 요죽길 76</t>
        </is>
      </c>
      <c r="AH561" s="74" t="n">
        <v>355</v>
      </c>
      <c r="AI561" s="74" t="n">
        <v>231</v>
      </c>
      <c r="AJ561" s="74" t="n">
        <v>20</v>
      </c>
      <c r="AK561" s="74" t="n">
        <v>905</v>
      </c>
      <c r="AL561" s="74" t="n">
        <v>1.01</v>
      </c>
    </row>
    <row r="562">
      <c r="A562" s="74" t="inlineStr">
        <is>
          <t>[오식도동]</t>
        </is>
      </c>
      <c r="B562" s="74" t="n">
        <v>140671</v>
      </c>
      <c r="C562" s="74" t="n">
        <v>2</v>
      </c>
      <c r="D562" s="74" t="inlineStr">
        <is>
          <t>한성필하우스</t>
        </is>
      </c>
      <c r="E562" s="74" t="inlineStr">
        <is>
          <t>2012.08.</t>
        </is>
      </c>
      <c r="F562" s="74" t="n">
        <v>892</v>
      </c>
      <c r="G562" s="74" t="n">
        <v>24.99</v>
      </c>
      <c r="H562" s="74" t="n">
        <v>82.62</v>
      </c>
      <c r="I562" s="74" t="n">
        <v>18.13</v>
      </c>
      <c r="J562" s="74" t="n">
        <v>59.95</v>
      </c>
      <c r="K562" s="74" t="n">
        <v>17</v>
      </c>
      <c r="T562" s="74" t="n">
        <v>3</v>
      </c>
      <c r="U562" s="74" t="n">
        <v>2</v>
      </c>
      <c r="V562" s="74" t="inlineStr">
        <is>
          <t>계단식</t>
        </is>
      </c>
      <c r="W562" s="74" t="inlineStr">
        <is>
          <t>82B</t>
        </is>
      </c>
      <c r="X562" s="74" t="n">
        <v>23</v>
      </c>
      <c r="Y562" s="74" t="n">
        <v>14</v>
      </c>
      <c r="Z562" s="74" t="inlineStr">
        <is>
          <t>https://new.land.naver.com/complexes/140671?tab=detail&amp;rf=Y</t>
        </is>
      </c>
      <c r="AA562" s="74" t="inlineStr">
        <is>
          <t>전라북도 군산시 오식도동 806-3</t>
        </is>
      </c>
      <c r="AB562" s="74" t="inlineStr">
        <is>
          <t>전라북도</t>
        </is>
      </c>
      <c r="AC562" s="74" t="inlineStr">
        <is>
          <t>군산시</t>
        </is>
      </c>
      <c r="AD562" s="74" t="inlineStr">
        <is>
          <t>오식도동</t>
        </is>
      </c>
      <c r="AG562" s="74" t="inlineStr">
        <is>
          <t>전라북도 군산시 요죽길 76</t>
        </is>
      </c>
      <c r="AH562" s="74" t="n">
        <v>355</v>
      </c>
      <c r="AI562" s="74" t="n">
        <v>231</v>
      </c>
      <c r="AJ562" s="74" t="n">
        <v>20</v>
      </c>
      <c r="AK562" s="74" t="n">
        <v>905</v>
      </c>
      <c r="AL562" s="74" t="n">
        <v>1.01</v>
      </c>
    </row>
    <row r="563">
      <c r="A563" s="74" t="inlineStr">
        <is>
          <t>[오식도동]</t>
        </is>
      </c>
      <c r="B563" s="74" t="n">
        <v>140671</v>
      </c>
      <c r="C563" s="74" t="n">
        <v>3</v>
      </c>
      <c r="D563" s="74" t="inlineStr">
        <is>
          <t>한성필하우스</t>
        </is>
      </c>
      <c r="E563" s="74" t="inlineStr">
        <is>
          <t>2012.08.</t>
        </is>
      </c>
      <c r="F563" s="74" t="n">
        <v>892</v>
      </c>
      <c r="G563" s="74" t="n">
        <v>25.34</v>
      </c>
      <c r="H563" s="74" t="n">
        <v>83.79000000000001</v>
      </c>
      <c r="I563" s="74" t="n">
        <v>18.13</v>
      </c>
      <c r="J563" s="74" t="n">
        <v>59.95</v>
      </c>
      <c r="K563" s="74" t="n">
        <v>51</v>
      </c>
      <c r="T563" s="74" t="n">
        <v>3</v>
      </c>
      <c r="U563" s="74" t="n">
        <v>2</v>
      </c>
      <c r="V563" s="74" t="inlineStr">
        <is>
          <t>계단식</t>
        </is>
      </c>
      <c r="W563" s="74" t="inlineStr">
        <is>
          <t>83C</t>
        </is>
      </c>
      <c r="X563" s="74" t="n">
        <v>23</v>
      </c>
      <c r="Y563" s="74" t="n">
        <v>14</v>
      </c>
      <c r="Z563" s="74" t="inlineStr">
        <is>
          <t>https://new.land.naver.com/complexes/140671?tab=detail&amp;rf=Y</t>
        </is>
      </c>
      <c r="AA563" s="74" t="inlineStr">
        <is>
          <t>전라북도 군산시 오식도동 806-3</t>
        </is>
      </c>
      <c r="AB563" s="74" t="inlineStr">
        <is>
          <t>전라북도</t>
        </is>
      </c>
      <c r="AC563" s="74" t="inlineStr">
        <is>
          <t>군산시</t>
        </is>
      </c>
      <c r="AD563" s="74" t="inlineStr">
        <is>
          <t>오식도동</t>
        </is>
      </c>
      <c r="AG563" s="74" t="inlineStr">
        <is>
          <t>전라북도 군산시 요죽길 76</t>
        </is>
      </c>
      <c r="AH563" s="74" t="n">
        <v>355</v>
      </c>
      <c r="AI563" s="74" t="n">
        <v>231</v>
      </c>
      <c r="AJ563" s="74" t="n">
        <v>20</v>
      </c>
      <c r="AK563" s="74" t="n">
        <v>905</v>
      </c>
      <c r="AL563" s="74" t="n">
        <v>1.01</v>
      </c>
    </row>
    <row r="564">
      <c r="A564" s="74" t="inlineStr">
        <is>
          <t>[오식도동]</t>
        </is>
      </c>
      <c r="B564" s="74" t="n">
        <v>140671</v>
      </c>
      <c r="C564" s="74" t="n">
        <v>4</v>
      </c>
      <c r="D564" s="74" t="inlineStr">
        <is>
          <t>한성필하우스</t>
        </is>
      </c>
      <c r="E564" s="74" t="inlineStr">
        <is>
          <t>2012.08.</t>
        </is>
      </c>
      <c r="F564" s="74" t="n">
        <v>892</v>
      </c>
      <c r="G564" s="74" t="n">
        <v>25.53</v>
      </c>
      <c r="H564" s="74" t="n">
        <v>84.42</v>
      </c>
      <c r="I564" s="74" t="n">
        <v>18.12</v>
      </c>
      <c r="J564" s="74" t="n">
        <v>59.93</v>
      </c>
      <c r="K564" s="74" t="n">
        <v>465</v>
      </c>
      <c r="T564" s="74" t="n">
        <v>3</v>
      </c>
      <c r="U564" s="74" t="n">
        <v>2</v>
      </c>
      <c r="V564" s="74" t="inlineStr">
        <is>
          <t>계단식</t>
        </is>
      </c>
      <c r="W564" s="74" t="inlineStr">
        <is>
          <t>84A</t>
        </is>
      </c>
      <c r="X564" s="74" t="n">
        <v>23</v>
      </c>
      <c r="Y564" s="74" t="n">
        <v>14</v>
      </c>
      <c r="Z564" s="74" t="inlineStr">
        <is>
          <t>https://new.land.naver.com/complexes/140671?tab=detail&amp;rf=Y</t>
        </is>
      </c>
      <c r="AA564" s="74" t="inlineStr">
        <is>
          <t>전라북도 군산시 오식도동 806-3</t>
        </is>
      </c>
      <c r="AB564" s="74" t="inlineStr">
        <is>
          <t>전라북도</t>
        </is>
      </c>
      <c r="AC564" s="74" t="inlineStr">
        <is>
          <t>군산시</t>
        </is>
      </c>
      <c r="AD564" s="74" t="inlineStr">
        <is>
          <t>오식도동</t>
        </is>
      </c>
      <c r="AG564" s="74" t="inlineStr">
        <is>
          <t>전라북도 군산시 요죽길 76</t>
        </is>
      </c>
      <c r="AH564" s="74" t="n">
        <v>355</v>
      </c>
      <c r="AI564" s="74" t="n">
        <v>231</v>
      </c>
      <c r="AJ564" s="74" t="n">
        <v>20</v>
      </c>
      <c r="AK564" s="74" t="n">
        <v>905</v>
      </c>
      <c r="AL564" s="74" t="n">
        <v>1.01</v>
      </c>
    </row>
    <row r="565">
      <c r="A565" s="74" t="inlineStr">
        <is>
          <t>[옥산면]</t>
        </is>
      </c>
      <c r="B565" s="74" t="n">
        <v>111365</v>
      </c>
      <c r="C565" s="74" t="n">
        <v>1</v>
      </c>
      <c r="D565" s="74" t="inlineStr">
        <is>
          <t>힐스테이트은파</t>
        </is>
      </c>
      <c r="E565" s="74" t="inlineStr">
        <is>
          <t>2015.09.</t>
        </is>
      </c>
      <c r="F565" s="74" t="n">
        <v>449</v>
      </c>
      <c r="G565" s="74" t="n">
        <v>33.54</v>
      </c>
      <c r="H565" s="74" t="n">
        <v>110.89</v>
      </c>
      <c r="I565" s="74" t="n">
        <v>25.7</v>
      </c>
      <c r="J565" s="74" t="n">
        <v>84.98</v>
      </c>
      <c r="K565" s="74" t="n">
        <v>449</v>
      </c>
      <c r="T565" s="74" t="n">
        <v>3</v>
      </c>
      <c r="U565" s="74" t="n">
        <v>2</v>
      </c>
      <c r="V565" s="74" t="inlineStr">
        <is>
          <t>계단식</t>
        </is>
      </c>
      <c r="W565" s="74" t="n">
        <v>110</v>
      </c>
      <c r="X565" s="74" t="n">
        <v>26</v>
      </c>
      <c r="Y565" s="74" t="n">
        <v>19</v>
      </c>
      <c r="Z565" s="74" t="inlineStr">
        <is>
          <t>https://new.land.naver.com/complexes/111365?tab=detail&amp;rf=Y</t>
        </is>
      </c>
      <c r="AA565" s="74" t="inlineStr">
        <is>
          <t>전라북도 군산시 옥산면 당북리 1046</t>
        </is>
      </c>
      <c r="AB565" s="74" t="inlineStr">
        <is>
          <t>전라북도</t>
        </is>
      </c>
      <c r="AC565" s="74" t="inlineStr">
        <is>
          <t>군산시</t>
        </is>
      </c>
      <c r="AD565" s="74" t="inlineStr">
        <is>
          <t>옥산면</t>
        </is>
      </c>
      <c r="AG565" s="74" t="inlineStr">
        <is>
          <t>전라북도 군산시 월명로 45</t>
        </is>
      </c>
      <c r="AH565" s="74" t="n">
        <v>0</v>
      </c>
      <c r="AI565" s="74" t="n">
        <v>242</v>
      </c>
      <c r="AJ565" s="74" t="n">
        <v>16</v>
      </c>
      <c r="AK565" s="74" t="n">
        <v>542</v>
      </c>
      <c r="AL565" s="74" t="n">
        <v>1.21</v>
      </c>
    </row>
    <row r="566">
      <c r="A566" s="74" t="inlineStr">
        <is>
          <t>[옥산면]</t>
        </is>
      </c>
      <c r="B566" s="74" t="n">
        <v>110515</v>
      </c>
      <c r="C566" s="74" t="n">
        <v>1</v>
      </c>
      <c r="D566" s="74" t="inlineStr">
        <is>
          <t>군산대광로제비앙</t>
        </is>
      </c>
      <c r="E566" s="74" t="inlineStr">
        <is>
          <t>2017.12.</t>
        </is>
      </c>
      <c r="F566" s="74" t="n">
        <v>469</v>
      </c>
      <c r="G566" s="74" t="n">
        <v>33.2</v>
      </c>
      <c r="H566" s="74" t="n">
        <v>109.77</v>
      </c>
      <c r="I566" s="74" t="n">
        <v>25.7</v>
      </c>
      <c r="J566" s="74" t="n">
        <v>84.98999999999999</v>
      </c>
      <c r="K566" s="74" t="n">
        <v>380</v>
      </c>
      <c r="T566" s="74" t="n">
        <v>3</v>
      </c>
      <c r="U566" s="74" t="n">
        <v>2</v>
      </c>
      <c r="V566" s="74" t="inlineStr">
        <is>
          <t>계단식</t>
        </is>
      </c>
      <c r="W566" s="74" t="inlineStr">
        <is>
          <t>109A</t>
        </is>
      </c>
      <c r="X566" s="74" t="n">
        <v>29</v>
      </c>
      <c r="Y566" s="74" t="n">
        <v>21</v>
      </c>
      <c r="Z566" s="74" t="inlineStr">
        <is>
          <t>https://new.land.naver.com/complexes/110515?tab=detail&amp;rf=Y</t>
        </is>
      </c>
      <c r="AA566" s="74" t="inlineStr">
        <is>
          <t>전라북도 군산시 옥산면 당북리 1048</t>
        </is>
      </c>
      <c r="AB566" s="74" t="inlineStr">
        <is>
          <t>전라북도</t>
        </is>
      </c>
      <c r="AC566" s="74" t="inlineStr">
        <is>
          <t>군산시</t>
        </is>
      </c>
      <c r="AD566" s="74" t="inlineStr">
        <is>
          <t>옥산면</t>
        </is>
      </c>
      <c r="AG566" s="74" t="inlineStr">
        <is>
          <t>전라북도 군산시 월명로 55</t>
        </is>
      </c>
      <c r="AH566" s="74" t="n">
        <v>0</v>
      </c>
      <c r="AI566" s="74" t="n">
        <v>249</v>
      </c>
      <c r="AJ566" s="74" t="n">
        <v>19</v>
      </c>
      <c r="AK566" s="74" t="n">
        <v>602</v>
      </c>
      <c r="AL566" s="74" t="n">
        <v>1.28</v>
      </c>
    </row>
    <row r="567">
      <c r="A567" s="74" t="inlineStr">
        <is>
          <t>[옥산면]</t>
        </is>
      </c>
      <c r="B567" s="74" t="n">
        <v>110515</v>
      </c>
      <c r="C567" s="74" t="n">
        <v>2</v>
      </c>
      <c r="D567" s="74" t="inlineStr">
        <is>
          <t>군산대광로제비앙</t>
        </is>
      </c>
      <c r="E567" s="74" t="inlineStr">
        <is>
          <t>2017.12.</t>
        </is>
      </c>
      <c r="F567" s="74" t="n">
        <v>469</v>
      </c>
      <c r="G567" s="74" t="n">
        <v>33.68</v>
      </c>
      <c r="H567" s="74" t="n">
        <v>111.36</v>
      </c>
      <c r="I567" s="74" t="n">
        <v>25.7</v>
      </c>
      <c r="J567" s="74" t="n">
        <v>84.98999999999999</v>
      </c>
      <c r="K567" s="74" t="n">
        <v>46</v>
      </c>
      <c r="T567" s="74" t="n">
        <v>3</v>
      </c>
      <c r="U567" s="74" t="n">
        <v>2</v>
      </c>
      <c r="V567" s="74" t="inlineStr">
        <is>
          <t>계단식</t>
        </is>
      </c>
      <c r="W567" s="74" t="inlineStr">
        <is>
          <t>111B</t>
        </is>
      </c>
      <c r="X567" s="74" t="n">
        <v>29</v>
      </c>
      <c r="Y567" s="74" t="n">
        <v>21</v>
      </c>
      <c r="Z567" s="74" t="inlineStr">
        <is>
          <t>https://new.land.naver.com/complexes/110515?tab=detail&amp;rf=Y</t>
        </is>
      </c>
      <c r="AA567" s="74" t="inlineStr">
        <is>
          <t>전라북도 군산시 옥산면 당북리 1048</t>
        </is>
      </c>
      <c r="AB567" s="74" t="inlineStr">
        <is>
          <t>전라북도</t>
        </is>
      </c>
      <c r="AC567" s="74" t="inlineStr">
        <is>
          <t>군산시</t>
        </is>
      </c>
      <c r="AD567" s="74" t="inlineStr">
        <is>
          <t>옥산면</t>
        </is>
      </c>
      <c r="AG567" s="74" t="inlineStr">
        <is>
          <t>전라북도 군산시 월명로 55</t>
        </is>
      </c>
      <c r="AH567" s="74" t="n">
        <v>0</v>
      </c>
      <c r="AI567" s="74" t="n">
        <v>249</v>
      </c>
      <c r="AJ567" s="74" t="n">
        <v>19</v>
      </c>
      <c r="AK567" s="74" t="n">
        <v>602</v>
      </c>
      <c r="AL567" s="74" t="n">
        <v>1.28</v>
      </c>
    </row>
    <row r="568">
      <c r="A568" s="74" t="inlineStr">
        <is>
          <t>[옥산면]</t>
        </is>
      </c>
      <c r="B568" s="74" t="n">
        <v>110515</v>
      </c>
      <c r="C568" s="74" t="n">
        <v>3</v>
      </c>
      <c r="D568" s="74" t="inlineStr">
        <is>
          <t>군산대광로제비앙</t>
        </is>
      </c>
      <c r="E568" s="74" t="inlineStr">
        <is>
          <t>2017.12.</t>
        </is>
      </c>
      <c r="F568" s="74" t="n">
        <v>469</v>
      </c>
      <c r="G568" s="74" t="n">
        <v>33.74</v>
      </c>
      <c r="H568" s="74" t="n">
        <v>111.55</v>
      </c>
      <c r="I568" s="74" t="n">
        <v>25.7</v>
      </c>
      <c r="J568" s="74" t="n">
        <v>84.97</v>
      </c>
      <c r="K568" s="74" t="n">
        <v>43</v>
      </c>
      <c r="T568" s="74" t="n">
        <v>3</v>
      </c>
      <c r="U568" s="74" t="n">
        <v>2</v>
      </c>
      <c r="V568" s="74" t="inlineStr">
        <is>
          <t>계단식</t>
        </is>
      </c>
      <c r="W568" s="74" t="inlineStr">
        <is>
          <t>111C</t>
        </is>
      </c>
      <c r="X568" s="74" t="n">
        <v>29</v>
      </c>
      <c r="Y568" s="74" t="n">
        <v>21</v>
      </c>
      <c r="Z568" s="74" t="inlineStr">
        <is>
          <t>https://new.land.naver.com/complexes/110515?tab=detail&amp;rf=Y</t>
        </is>
      </c>
      <c r="AA568" s="74" t="inlineStr">
        <is>
          <t>전라북도 군산시 옥산면 당북리 1048</t>
        </is>
      </c>
      <c r="AB568" s="74" t="inlineStr">
        <is>
          <t>전라북도</t>
        </is>
      </c>
      <c r="AC568" s="74" t="inlineStr">
        <is>
          <t>군산시</t>
        </is>
      </c>
      <c r="AD568" s="74" t="inlineStr">
        <is>
          <t>옥산면</t>
        </is>
      </c>
      <c r="AG568" s="74" t="inlineStr">
        <is>
          <t>전라북도 군산시 월명로 55</t>
        </is>
      </c>
      <c r="AH568" s="74" t="n">
        <v>0</v>
      </c>
      <c r="AI568" s="74" t="n">
        <v>249</v>
      </c>
      <c r="AJ568" s="74" t="n">
        <v>19</v>
      </c>
      <c r="AK568" s="74" t="n">
        <v>602</v>
      </c>
      <c r="AL568" s="74" t="n">
        <v>1.28</v>
      </c>
    </row>
    <row r="569">
      <c r="A569" s="74" t="inlineStr">
        <is>
          <t>[옥서면]</t>
        </is>
      </c>
      <c r="B569" s="74" t="n">
        <v>137450</v>
      </c>
      <c r="C569" s="74" t="n">
        <v>1</v>
      </c>
      <c r="D569" s="74" t="inlineStr">
        <is>
          <t>드림빌</t>
        </is>
      </c>
      <c r="E569" s="74" t="inlineStr">
        <is>
          <t>2007.02.</t>
        </is>
      </c>
      <c r="F569" s="74" t="n">
        <v>184</v>
      </c>
      <c r="G569" s="74" t="n">
        <v>19.13</v>
      </c>
      <c r="H569" s="74" t="n">
        <v>63.27</v>
      </c>
      <c r="I569" s="74" t="n">
        <v>14.67</v>
      </c>
      <c r="J569" s="74" t="n">
        <v>48.51</v>
      </c>
      <c r="K569" s="74" t="n">
        <v>88</v>
      </c>
      <c r="T569" s="74" t="n">
        <v>2</v>
      </c>
      <c r="U569" s="74" t="n">
        <v>1</v>
      </c>
      <c r="V569" s="74" t="inlineStr">
        <is>
          <t>계단식</t>
        </is>
      </c>
      <c r="W569" s="74" t="n">
        <v>63</v>
      </c>
      <c r="X569" s="74" t="n">
        <v>20</v>
      </c>
      <c r="Y569" s="74" t="n">
        <v>14</v>
      </c>
      <c r="Z569" s="74" t="inlineStr">
        <is>
          <t>https://new.land.naver.com/complexes/137450?tab=detail&amp;rf=Y</t>
        </is>
      </c>
      <c r="AA569" s="74" t="inlineStr">
        <is>
          <t>전라북도 군산시 옥서면 선연리 1562-1</t>
        </is>
      </c>
      <c r="AB569" s="74" t="inlineStr">
        <is>
          <t>전라북도</t>
        </is>
      </c>
      <c r="AC569" s="74" t="inlineStr">
        <is>
          <t>군산시</t>
        </is>
      </c>
      <c r="AD569" s="74" t="inlineStr">
        <is>
          <t>옥서면</t>
        </is>
      </c>
      <c r="AG569" s="74" t="inlineStr">
        <is>
          <t>전라북도 군산시 옥구저수지로 307</t>
        </is>
      </c>
      <c r="AH569" s="74" t="n">
        <v>0</v>
      </c>
      <c r="AI569" s="74" t="n">
        <v>121</v>
      </c>
      <c r="AJ569" s="74" t="n">
        <v>34</v>
      </c>
      <c r="AK569" s="74" t="n">
        <v>180</v>
      </c>
      <c r="AL569" s="74" t="n">
        <v>0.98</v>
      </c>
    </row>
    <row r="570">
      <c r="A570" s="74" t="inlineStr">
        <is>
          <t>[옥서면]</t>
        </is>
      </c>
      <c r="B570" s="74" t="n">
        <v>137450</v>
      </c>
      <c r="C570" s="74" t="n">
        <v>2</v>
      </c>
      <c r="D570" s="74" t="inlineStr">
        <is>
          <t>드림빌</t>
        </is>
      </c>
      <c r="E570" s="74" t="inlineStr">
        <is>
          <t>2007.02.</t>
        </is>
      </c>
      <c r="F570" s="74" t="n">
        <v>184</v>
      </c>
      <c r="G570" s="74" t="n">
        <v>19.6</v>
      </c>
      <c r="H570" s="74" t="n">
        <v>64.8</v>
      </c>
      <c r="I570" s="74" t="n">
        <v>15.03</v>
      </c>
      <c r="J570" s="74" t="n">
        <v>49.69</v>
      </c>
      <c r="K570" s="74" t="n">
        <v>24</v>
      </c>
      <c r="T570" s="74" t="n">
        <v>3</v>
      </c>
      <c r="U570" s="74" t="n">
        <v>1</v>
      </c>
      <c r="V570" s="74" t="inlineStr">
        <is>
          <t>계단식</t>
        </is>
      </c>
      <c r="W570" s="74" t="inlineStr">
        <is>
          <t>64A</t>
        </is>
      </c>
      <c r="X570" s="74" t="n">
        <v>20</v>
      </c>
      <c r="Y570" s="74" t="n">
        <v>14</v>
      </c>
      <c r="Z570" s="74" t="inlineStr">
        <is>
          <t>https://new.land.naver.com/complexes/137450?tab=detail&amp;rf=Y</t>
        </is>
      </c>
      <c r="AA570" s="74" t="inlineStr">
        <is>
          <t>전라북도 군산시 옥서면 선연리 1562-1</t>
        </is>
      </c>
      <c r="AB570" s="74" t="inlineStr">
        <is>
          <t>전라북도</t>
        </is>
      </c>
      <c r="AC570" s="74" t="inlineStr">
        <is>
          <t>군산시</t>
        </is>
      </c>
      <c r="AD570" s="74" t="inlineStr">
        <is>
          <t>옥서면</t>
        </is>
      </c>
      <c r="AG570" s="74" t="inlineStr">
        <is>
          <t>전라북도 군산시 옥구저수지로 307</t>
        </is>
      </c>
      <c r="AH570" s="74" t="n">
        <v>0</v>
      </c>
      <c r="AI570" s="74" t="n">
        <v>121</v>
      </c>
      <c r="AJ570" s="74" t="n">
        <v>34</v>
      </c>
      <c r="AK570" s="74" t="n">
        <v>180</v>
      </c>
      <c r="AL570" s="74" t="n">
        <v>0.98</v>
      </c>
    </row>
    <row r="571">
      <c r="A571" s="74" t="inlineStr">
        <is>
          <t>[옥서면]</t>
        </is>
      </c>
      <c r="B571" s="74" t="n">
        <v>137450</v>
      </c>
      <c r="C571" s="74" t="n">
        <v>3</v>
      </c>
      <c r="D571" s="74" t="inlineStr">
        <is>
          <t>드림빌</t>
        </is>
      </c>
      <c r="E571" s="74" t="inlineStr">
        <is>
          <t>2007.02.</t>
        </is>
      </c>
      <c r="F571" s="74" t="n">
        <v>184</v>
      </c>
      <c r="G571" s="74" t="n">
        <v>21.47</v>
      </c>
      <c r="H571" s="74" t="n">
        <v>70.98</v>
      </c>
      <c r="I571" s="74" t="n">
        <v>16.5</v>
      </c>
      <c r="J571" s="74" t="n">
        <v>54.56</v>
      </c>
      <c r="K571" s="74" t="n">
        <v>16</v>
      </c>
      <c r="T571" s="74" t="n">
        <v>3</v>
      </c>
      <c r="U571" s="74" t="n">
        <v>1</v>
      </c>
      <c r="V571" s="74" t="inlineStr">
        <is>
          <t>계단식</t>
        </is>
      </c>
      <c r="W571" s="74" t="inlineStr">
        <is>
          <t>70B</t>
        </is>
      </c>
      <c r="X571" s="74" t="n">
        <v>20</v>
      </c>
      <c r="Y571" s="74" t="n">
        <v>14</v>
      </c>
      <c r="Z571" s="74" t="inlineStr">
        <is>
          <t>https://new.land.naver.com/complexes/137450?tab=detail&amp;rf=Y</t>
        </is>
      </c>
      <c r="AA571" s="74" t="inlineStr">
        <is>
          <t>전라북도 군산시 옥서면 선연리 1562-1</t>
        </is>
      </c>
      <c r="AB571" s="74" t="inlineStr">
        <is>
          <t>전라북도</t>
        </is>
      </c>
      <c r="AC571" s="74" t="inlineStr">
        <is>
          <t>군산시</t>
        </is>
      </c>
      <c r="AD571" s="74" t="inlineStr">
        <is>
          <t>옥서면</t>
        </is>
      </c>
      <c r="AG571" s="74" t="inlineStr">
        <is>
          <t>전라북도 군산시 옥구저수지로 307</t>
        </is>
      </c>
      <c r="AH571" s="74" t="n">
        <v>0</v>
      </c>
      <c r="AI571" s="74" t="n">
        <v>121</v>
      </c>
      <c r="AJ571" s="74" t="n">
        <v>34</v>
      </c>
      <c r="AK571" s="74" t="n">
        <v>180</v>
      </c>
      <c r="AL571" s="74" t="n">
        <v>0.98</v>
      </c>
    </row>
    <row r="572">
      <c r="A572" s="74" t="inlineStr">
        <is>
          <t>[옥서면]</t>
        </is>
      </c>
      <c r="B572" s="74" t="n">
        <v>137450</v>
      </c>
      <c r="C572" s="74" t="n">
        <v>4</v>
      </c>
      <c r="D572" s="74" t="inlineStr">
        <is>
          <t>드림빌</t>
        </is>
      </c>
      <c r="E572" s="74" t="inlineStr">
        <is>
          <t>2007.02.</t>
        </is>
      </c>
      <c r="F572" s="74" t="n">
        <v>184</v>
      </c>
      <c r="G572" s="74" t="n">
        <v>23.05</v>
      </c>
      <c r="H572" s="74" t="n">
        <v>76.2</v>
      </c>
      <c r="I572" s="74" t="n">
        <v>17.72</v>
      </c>
      <c r="J572" s="74" t="n">
        <v>58.6</v>
      </c>
      <c r="K572" s="74" t="n">
        <v>56</v>
      </c>
      <c r="T572" s="74" t="n">
        <v>3</v>
      </c>
      <c r="U572" s="74" t="n">
        <v>1</v>
      </c>
      <c r="V572" s="74" t="inlineStr">
        <is>
          <t>계단식</t>
        </is>
      </c>
      <c r="W572" s="74" t="inlineStr">
        <is>
          <t>76C</t>
        </is>
      </c>
      <c r="X572" s="74" t="n">
        <v>20</v>
      </c>
      <c r="Y572" s="74" t="n">
        <v>14</v>
      </c>
      <c r="Z572" s="74" t="inlineStr">
        <is>
          <t>https://new.land.naver.com/complexes/137450?tab=detail&amp;rf=Y</t>
        </is>
      </c>
      <c r="AA572" s="74" t="inlineStr">
        <is>
          <t>전라북도 군산시 옥서면 선연리 1562-1</t>
        </is>
      </c>
      <c r="AB572" s="74" t="inlineStr">
        <is>
          <t>전라북도</t>
        </is>
      </c>
      <c r="AC572" s="74" t="inlineStr">
        <is>
          <t>군산시</t>
        </is>
      </c>
      <c r="AD572" s="74" t="inlineStr">
        <is>
          <t>옥서면</t>
        </is>
      </c>
      <c r="AG572" s="74" t="inlineStr">
        <is>
          <t>전라북도 군산시 옥구저수지로 307</t>
        </is>
      </c>
      <c r="AH572" s="74" t="n">
        <v>0</v>
      </c>
      <c r="AI572" s="74" t="n">
        <v>121</v>
      </c>
      <c r="AJ572" s="74" t="n">
        <v>34</v>
      </c>
      <c r="AK572" s="74" t="n">
        <v>180</v>
      </c>
      <c r="AL572" s="74" t="n">
        <v>0.98</v>
      </c>
    </row>
    <row r="573">
      <c r="A573" s="74" t="inlineStr">
        <is>
          <t>[월명동]</t>
        </is>
      </c>
      <c r="B573" s="74" t="n">
        <v>104593</v>
      </c>
      <c r="C573" s="74" t="n">
        <v>1</v>
      </c>
      <c r="D573" s="74" t="inlineStr">
        <is>
          <t>현대오솔</t>
        </is>
      </c>
      <c r="E573" s="74" t="inlineStr">
        <is>
          <t>2003.09.</t>
        </is>
      </c>
      <c r="F573" s="74" t="n">
        <v>198</v>
      </c>
      <c r="G573" s="74" t="n">
        <v>24.94</v>
      </c>
      <c r="H573" s="74" t="n">
        <v>82.45999999999999</v>
      </c>
      <c r="I573" s="74" t="n">
        <v>18.14</v>
      </c>
      <c r="J573" s="74" t="n">
        <v>59.98</v>
      </c>
      <c r="K573" s="74" t="n">
        <v>108</v>
      </c>
      <c r="T573" s="74" t="n">
        <v>3</v>
      </c>
      <c r="U573" s="74" t="n">
        <v>2</v>
      </c>
      <c r="V573" s="74" t="inlineStr">
        <is>
          <t>계단식</t>
        </is>
      </c>
      <c r="W573" s="74" t="n">
        <v>82</v>
      </c>
      <c r="X573" s="74" t="n">
        <v>15</v>
      </c>
      <c r="Y573" s="74" t="n">
        <v>13</v>
      </c>
      <c r="Z573" s="74" t="inlineStr">
        <is>
          <t>https://new.land.naver.com/complexes/104593?tab=detail&amp;rf=Y</t>
        </is>
      </c>
      <c r="AA573" s="74" t="inlineStr">
        <is>
          <t>전라북도 군산시 월명동 15-1</t>
        </is>
      </c>
      <c r="AB573" s="74" t="inlineStr">
        <is>
          <t>전라북도</t>
        </is>
      </c>
      <c r="AC573" s="74" t="inlineStr">
        <is>
          <t>군산시</t>
        </is>
      </c>
      <c r="AD573" s="74" t="inlineStr">
        <is>
          <t>월명동</t>
        </is>
      </c>
      <c r="AG573" s="74" t="inlineStr">
        <is>
          <t>전라북도 군산시 구영5길 21-3</t>
        </is>
      </c>
      <c r="AH573" s="74" t="n">
        <v>0</v>
      </c>
      <c r="AI573" s="74" t="n">
        <v>336</v>
      </c>
      <c r="AJ573" s="74" t="n">
        <v>31</v>
      </c>
      <c r="AK573" s="74" t="n">
        <v>171</v>
      </c>
      <c r="AL573" s="74" t="n">
        <v>0.86</v>
      </c>
    </row>
    <row r="574">
      <c r="A574" s="74" t="inlineStr">
        <is>
          <t>[월명동]</t>
        </is>
      </c>
      <c r="B574" s="74" t="n">
        <v>104593</v>
      </c>
      <c r="C574" s="74" t="n">
        <v>2</v>
      </c>
      <c r="D574" s="74" t="inlineStr">
        <is>
          <t>현대오솔</t>
        </is>
      </c>
      <c r="E574" s="74" t="inlineStr">
        <is>
          <t>2003.09.</t>
        </is>
      </c>
      <c r="F574" s="74" t="n">
        <v>198</v>
      </c>
      <c r="G574" s="74" t="n">
        <v>31.13</v>
      </c>
      <c r="H574" s="74" t="n">
        <v>102.94</v>
      </c>
      <c r="I574" s="74" t="n">
        <v>25.7</v>
      </c>
      <c r="J574" s="74" t="n">
        <v>84.95999999999999</v>
      </c>
      <c r="K574" s="74" t="n">
        <v>90</v>
      </c>
      <c r="T574" s="74" t="n">
        <v>3</v>
      </c>
      <c r="U574" s="74" t="n">
        <v>2</v>
      </c>
      <c r="V574" s="74" t="inlineStr">
        <is>
          <t>계단식</t>
        </is>
      </c>
      <c r="W574" s="74" t="n">
        <v>102</v>
      </c>
      <c r="X574" s="74" t="n">
        <v>15</v>
      </c>
      <c r="Y574" s="74" t="n">
        <v>13</v>
      </c>
      <c r="Z574" s="74" t="inlineStr">
        <is>
          <t>https://new.land.naver.com/complexes/104593?tab=detail&amp;rf=Y</t>
        </is>
      </c>
      <c r="AA574" s="74" t="inlineStr">
        <is>
          <t>전라북도 군산시 월명동 15-1</t>
        </is>
      </c>
      <c r="AB574" s="74" t="inlineStr">
        <is>
          <t>전라북도</t>
        </is>
      </c>
      <c r="AC574" s="74" t="inlineStr">
        <is>
          <t>군산시</t>
        </is>
      </c>
      <c r="AD574" s="74" t="inlineStr">
        <is>
          <t>월명동</t>
        </is>
      </c>
      <c r="AG574" s="74" t="inlineStr">
        <is>
          <t>전라북도 군산시 구영5길 21-3</t>
        </is>
      </c>
      <c r="AH574" s="74" t="n">
        <v>0</v>
      </c>
      <c r="AI574" s="74" t="n">
        <v>336</v>
      </c>
      <c r="AJ574" s="74" t="n">
        <v>31</v>
      </c>
      <c r="AK574" s="74" t="n">
        <v>171</v>
      </c>
      <c r="AL574" s="74" t="n">
        <v>0.86</v>
      </c>
    </row>
    <row r="575">
      <c r="A575" s="74" t="inlineStr">
        <is>
          <t>[월명동]</t>
        </is>
      </c>
      <c r="B575" s="74" t="n">
        <v>22980</v>
      </c>
      <c r="C575" s="74" t="n">
        <v>1</v>
      </c>
      <c r="D575" s="74" t="inlineStr">
        <is>
          <t>클래시움</t>
        </is>
      </c>
      <c r="E575" s="74" t="inlineStr">
        <is>
          <t>2004.05.</t>
        </is>
      </c>
      <c r="F575" s="74" t="n">
        <v>210</v>
      </c>
      <c r="G575" s="74" t="n">
        <v>38.34</v>
      </c>
      <c r="H575" s="74" t="n">
        <v>126.77</v>
      </c>
      <c r="I575" s="74" t="n">
        <v>30.74</v>
      </c>
      <c r="J575" s="74" t="n">
        <v>101.65</v>
      </c>
      <c r="K575" s="74" t="n">
        <v>120</v>
      </c>
      <c r="T575" s="74" t="n">
        <v>3</v>
      </c>
      <c r="U575" s="74" t="n">
        <v>2</v>
      </c>
      <c r="V575" s="74" t="inlineStr">
        <is>
          <t>계단식</t>
        </is>
      </c>
      <c r="W575" s="74" t="n">
        <v>126</v>
      </c>
      <c r="X575" s="74" t="n">
        <v>15</v>
      </c>
      <c r="Y575" s="74" t="n">
        <v>15</v>
      </c>
      <c r="Z575" s="74" t="inlineStr">
        <is>
          <t>https://new.land.naver.com/complexes/22980?tab=detail&amp;rf=Y</t>
        </is>
      </c>
      <c r="AA575" s="74" t="inlineStr">
        <is>
          <t>전라북도 군산시 월명동 23-1</t>
        </is>
      </c>
      <c r="AB575" s="74" t="inlineStr">
        <is>
          <t>전라북도</t>
        </is>
      </c>
      <c r="AC575" s="74" t="inlineStr">
        <is>
          <t>군산시</t>
        </is>
      </c>
      <c r="AD575" s="74" t="inlineStr">
        <is>
          <t>월명동</t>
        </is>
      </c>
      <c r="AG575" s="74" t="inlineStr">
        <is>
          <t>전라북도 군산시 월명1길 3</t>
        </is>
      </c>
      <c r="AH575" s="74" t="n">
        <v>0</v>
      </c>
      <c r="AI575" s="74" t="n">
        <v>188</v>
      </c>
      <c r="AJ575" s="74" t="n">
        <v>16</v>
      </c>
      <c r="AK575" s="74" t="n">
        <v>373</v>
      </c>
      <c r="AL575" s="74" t="n">
        <v>1.78</v>
      </c>
    </row>
    <row r="576">
      <c r="A576" s="74" t="inlineStr">
        <is>
          <t>[월명동]</t>
        </is>
      </c>
      <c r="B576" s="74" t="n">
        <v>22980</v>
      </c>
      <c r="C576" s="74" t="n">
        <v>2</v>
      </c>
      <c r="D576" s="74" t="inlineStr">
        <is>
          <t>클래시움</t>
        </is>
      </c>
      <c r="E576" s="74" t="inlineStr">
        <is>
          <t>2004.05.</t>
        </is>
      </c>
      <c r="F576" s="74" t="n">
        <v>210</v>
      </c>
      <c r="G576" s="74" t="n">
        <v>49.9</v>
      </c>
      <c r="H576" s="74" t="n">
        <v>164.97</v>
      </c>
      <c r="I576" s="74" t="n">
        <v>42.97</v>
      </c>
      <c r="J576" s="74" t="n">
        <v>142.05</v>
      </c>
      <c r="K576" s="74" t="n">
        <v>30</v>
      </c>
      <c r="T576" s="74" t="n">
        <v>4</v>
      </c>
      <c r="U576" s="74" t="n">
        <v>2</v>
      </c>
      <c r="V576" s="74" t="inlineStr">
        <is>
          <t>계단식</t>
        </is>
      </c>
      <c r="W576" s="74" t="n">
        <v>164</v>
      </c>
      <c r="X576" s="74" t="n">
        <v>15</v>
      </c>
      <c r="Y576" s="74" t="n">
        <v>15</v>
      </c>
      <c r="Z576" s="74" t="inlineStr">
        <is>
          <t>https://new.land.naver.com/complexes/22980?tab=detail&amp;rf=Y</t>
        </is>
      </c>
      <c r="AA576" s="74" t="inlineStr">
        <is>
          <t>전라북도 군산시 월명동 23-1</t>
        </is>
      </c>
      <c r="AB576" s="74" t="inlineStr">
        <is>
          <t>전라북도</t>
        </is>
      </c>
      <c r="AC576" s="74" t="inlineStr">
        <is>
          <t>군산시</t>
        </is>
      </c>
      <c r="AD576" s="74" t="inlineStr">
        <is>
          <t>월명동</t>
        </is>
      </c>
      <c r="AG576" s="74" t="inlineStr">
        <is>
          <t>전라북도 군산시 월명1길 3</t>
        </is>
      </c>
      <c r="AH576" s="74" t="n">
        <v>0</v>
      </c>
      <c r="AI576" s="74" t="n">
        <v>188</v>
      </c>
      <c r="AJ576" s="74" t="n">
        <v>16</v>
      </c>
      <c r="AK576" s="74" t="n">
        <v>373</v>
      </c>
      <c r="AL576" s="74" t="n">
        <v>1.78</v>
      </c>
    </row>
    <row r="577">
      <c r="A577" s="74" t="inlineStr">
        <is>
          <t>[월명동]</t>
        </is>
      </c>
      <c r="B577" s="74" t="n">
        <v>22980</v>
      </c>
      <c r="C577" s="74" t="n">
        <v>3</v>
      </c>
      <c r="D577" s="74" t="inlineStr">
        <is>
          <t>클래시움</t>
        </is>
      </c>
      <c r="E577" s="74" t="inlineStr">
        <is>
          <t>2004.05.</t>
        </is>
      </c>
      <c r="F577" s="74" t="n">
        <v>210</v>
      </c>
      <c r="G577" s="74" t="n">
        <v>57.45</v>
      </c>
      <c r="H577" s="74" t="n">
        <v>189.92</v>
      </c>
      <c r="I577" s="74" t="n">
        <v>50.35</v>
      </c>
      <c r="J577" s="74" t="n">
        <v>166.46</v>
      </c>
      <c r="K577" s="74" t="n">
        <v>45</v>
      </c>
      <c r="T577" s="74" t="n">
        <v>4</v>
      </c>
      <c r="U577" s="74" t="n">
        <v>2</v>
      </c>
      <c r="V577" s="74" t="inlineStr">
        <is>
          <t>계단식</t>
        </is>
      </c>
      <c r="W577" s="74" t="n">
        <v>189</v>
      </c>
      <c r="X577" s="74" t="n">
        <v>15</v>
      </c>
      <c r="Y577" s="74" t="n">
        <v>15</v>
      </c>
      <c r="Z577" s="74" t="inlineStr">
        <is>
          <t>https://new.land.naver.com/complexes/22980?tab=detail&amp;rf=Y</t>
        </is>
      </c>
      <c r="AA577" s="74" t="inlineStr">
        <is>
          <t>전라북도 군산시 월명동 23-1</t>
        </is>
      </c>
      <c r="AB577" s="74" t="inlineStr">
        <is>
          <t>전라북도</t>
        </is>
      </c>
      <c r="AC577" s="74" t="inlineStr">
        <is>
          <t>군산시</t>
        </is>
      </c>
      <c r="AD577" s="74" t="inlineStr">
        <is>
          <t>월명동</t>
        </is>
      </c>
      <c r="AG577" s="74" t="inlineStr">
        <is>
          <t>전라북도 군산시 월명1길 3</t>
        </is>
      </c>
      <c r="AH577" s="74" t="n">
        <v>0</v>
      </c>
      <c r="AI577" s="74" t="n">
        <v>188</v>
      </c>
      <c r="AJ577" s="74" t="n">
        <v>16</v>
      </c>
      <c r="AK577" s="74" t="n">
        <v>373</v>
      </c>
      <c r="AL577" s="74" t="n">
        <v>1.78</v>
      </c>
    </row>
    <row r="578">
      <c r="A578" s="74" t="inlineStr">
        <is>
          <t>[월명동]</t>
        </is>
      </c>
      <c r="B578" s="74" t="n">
        <v>22980</v>
      </c>
      <c r="C578" s="74" t="n">
        <v>4</v>
      </c>
      <c r="D578" s="74" t="inlineStr">
        <is>
          <t>클래시움</t>
        </is>
      </c>
      <c r="E578" s="74" t="inlineStr">
        <is>
          <t>2004.05.</t>
        </is>
      </c>
      <c r="F578" s="74" t="n">
        <v>210</v>
      </c>
      <c r="G578" s="74" t="n">
        <v>58.6</v>
      </c>
      <c r="H578" s="74" t="n">
        <v>193.75</v>
      </c>
      <c r="I578" s="74" t="n">
        <v>51.53</v>
      </c>
      <c r="J578" s="74" t="n">
        <v>170.35</v>
      </c>
      <c r="K578" s="74" t="n">
        <v>15</v>
      </c>
      <c r="T578" s="74" t="n">
        <v>4</v>
      </c>
      <c r="U578" s="74" t="n">
        <v>2</v>
      </c>
      <c r="V578" s="74" t="inlineStr">
        <is>
          <t>계단식</t>
        </is>
      </c>
      <c r="W578" s="74" t="n">
        <v>193</v>
      </c>
      <c r="X578" s="74" t="n">
        <v>15</v>
      </c>
      <c r="Y578" s="74" t="n">
        <v>15</v>
      </c>
      <c r="Z578" s="74" t="inlineStr">
        <is>
          <t>https://new.land.naver.com/complexes/22980?tab=detail&amp;rf=Y</t>
        </is>
      </c>
      <c r="AA578" s="74" t="inlineStr">
        <is>
          <t>전라북도 군산시 월명동 23-1</t>
        </is>
      </c>
      <c r="AB578" s="74" t="inlineStr">
        <is>
          <t>전라북도</t>
        </is>
      </c>
      <c r="AC578" s="74" t="inlineStr">
        <is>
          <t>군산시</t>
        </is>
      </c>
      <c r="AD578" s="74" t="inlineStr">
        <is>
          <t>월명동</t>
        </is>
      </c>
      <c r="AG578" s="74" t="inlineStr">
        <is>
          <t>전라북도 군산시 월명1길 3</t>
        </is>
      </c>
      <c r="AH578" s="74" t="n">
        <v>0</v>
      </c>
      <c r="AI578" s="74" t="n">
        <v>188</v>
      </c>
      <c r="AJ578" s="74" t="n">
        <v>16</v>
      </c>
      <c r="AK578" s="74" t="n">
        <v>373</v>
      </c>
      <c r="AL578" s="74" t="n">
        <v>1.78</v>
      </c>
    </row>
    <row r="579">
      <c r="A579" s="74" t="inlineStr">
        <is>
          <t>[월명동]</t>
        </is>
      </c>
      <c r="B579" s="74" t="n">
        <v>23010</v>
      </c>
      <c r="C579" s="74" t="n">
        <v>1</v>
      </c>
      <c r="D579" s="74" t="inlineStr">
        <is>
          <t>다원파크빌</t>
        </is>
      </c>
      <c r="E579" s="74" t="inlineStr">
        <is>
          <t>2002.08.</t>
        </is>
      </c>
      <c r="F579" s="74" t="n">
        <v>90</v>
      </c>
      <c r="G579" s="74" t="n">
        <v>30.93</v>
      </c>
      <c r="H579" s="74" t="n">
        <v>102.26</v>
      </c>
      <c r="I579" s="74" t="n">
        <v>25.65</v>
      </c>
      <c r="J579" s="74" t="n">
        <v>84.81999999999999</v>
      </c>
      <c r="K579" s="74" t="n">
        <v>90</v>
      </c>
      <c r="T579" s="74" t="n">
        <v>3</v>
      </c>
      <c r="U579" s="74" t="n">
        <v>2</v>
      </c>
      <c r="V579" s="74" t="inlineStr">
        <is>
          <t>계단식</t>
        </is>
      </c>
      <c r="W579" s="74" t="n">
        <v>102</v>
      </c>
      <c r="X579" s="74" t="n">
        <v>15</v>
      </c>
      <c r="Y579" s="74" t="n">
        <v>15</v>
      </c>
      <c r="Z579" s="74" t="inlineStr">
        <is>
          <t>https://new.land.naver.com/complexes/23010?tab=detail&amp;rf=Y</t>
        </is>
      </c>
      <c r="AA579" s="74" t="inlineStr">
        <is>
          <t>전라북도 군산시 월명동 7-3</t>
        </is>
      </c>
      <c r="AB579" s="74" t="inlineStr">
        <is>
          <t>전라북도</t>
        </is>
      </c>
      <c r="AC579" s="74" t="inlineStr">
        <is>
          <t>군산시</t>
        </is>
      </c>
      <c r="AD579" s="74" t="inlineStr">
        <is>
          <t>월명동</t>
        </is>
      </c>
      <c r="AG579" s="74" t="inlineStr">
        <is>
          <t>전라북도 군산시 구영6길 31</t>
        </is>
      </c>
      <c r="AH579" s="74" t="n">
        <v>0</v>
      </c>
      <c r="AI579" s="74" t="n">
        <v>234</v>
      </c>
      <c r="AJ579" s="74" t="n">
        <v>18</v>
      </c>
      <c r="AK579" s="74" t="n">
        <v>91</v>
      </c>
      <c r="AL579" s="74" t="n">
        <v>1.01</v>
      </c>
    </row>
    <row r="580">
      <c r="A580" s="74" t="inlineStr">
        <is>
          <t>[임피면]</t>
        </is>
      </c>
      <c r="B580" s="74" t="n">
        <v>116353</v>
      </c>
      <c r="C580" s="74" t="n">
        <v>1</v>
      </c>
      <c r="D580" s="74" t="inlineStr">
        <is>
          <t>무지개</t>
        </is>
      </c>
      <c r="E580" s="74" t="inlineStr">
        <is>
          <t>2001.09.</t>
        </is>
      </c>
      <c r="F580" s="74" t="n">
        <v>40</v>
      </c>
      <c r="G580" s="74" t="n">
        <v>23.13</v>
      </c>
      <c r="H580" s="74" t="n">
        <v>76.48</v>
      </c>
      <c r="I580" s="74" t="n">
        <v>17.75</v>
      </c>
      <c r="J580" s="74" t="n">
        <v>58.7</v>
      </c>
      <c r="K580" s="74" t="n">
        <v>20</v>
      </c>
      <c r="T580" s="74" t="n">
        <v>3</v>
      </c>
      <c r="U580" s="74" t="n">
        <v>1</v>
      </c>
      <c r="V580" s="74" t="inlineStr">
        <is>
          <t>계단식</t>
        </is>
      </c>
      <c r="W580" s="74" t="inlineStr">
        <is>
          <t>76A</t>
        </is>
      </c>
      <c r="X580" s="74" t="n">
        <v>10</v>
      </c>
      <c r="Y580" s="74" t="n">
        <v>10</v>
      </c>
      <c r="Z580" s="74" t="inlineStr">
        <is>
          <t>https://new.land.naver.com/complexes/116353?tab=detail&amp;rf=Y</t>
        </is>
      </c>
      <c r="AA580" s="74" t="inlineStr">
        <is>
          <t>전라북도 군산시 임피면 읍내리 323</t>
        </is>
      </c>
      <c r="AB580" s="74" t="inlineStr">
        <is>
          <t>전라북도</t>
        </is>
      </c>
      <c r="AC580" s="74" t="inlineStr">
        <is>
          <t>군산시</t>
        </is>
      </c>
      <c r="AD580" s="74" t="inlineStr">
        <is>
          <t>임피면</t>
        </is>
      </c>
      <c r="AG580" s="74" t="inlineStr">
        <is>
          <t>전라북도 군산시 임피1길 52</t>
        </is>
      </c>
      <c r="AH580" s="74" t="n">
        <v>0</v>
      </c>
      <c r="AI580" s="74" t="n">
        <v>192</v>
      </c>
      <c r="AJ580" s="74" t="n">
        <v>26</v>
      </c>
      <c r="AK580" s="74" t="n">
        <v>32</v>
      </c>
      <c r="AL580" s="74" t="n">
        <v>0.8</v>
      </c>
    </row>
    <row r="581">
      <c r="A581" s="74" t="inlineStr">
        <is>
          <t>[임피면]</t>
        </is>
      </c>
      <c r="B581" s="74" t="n">
        <v>116353</v>
      </c>
      <c r="C581" s="74" t="n">
        <v>2</v>
      </c>
      <c r="D581" s="74" t="inlineStr">
        <is>
          <t>무지개</t>
        </is>
      </c>
      <c r="E581" s="74" t="inlineStr">
        <is>
          <t>2001.09.</t>
        </is>
      </c>
      <c r="F581" s="74" t="n">
        <v>40</v>
      </c>
      <c r="G581" s="74" t="n">
        <v>23.43</v>
      </c>
      <c r="H581" s="74" t="n">
        <v>77.45999999999999</v>
      </c>
      <c r="I581" s="74" t="n">
        <v>17.98</v>
      </c>
      <c r="J581" s="74" t="n">
        <v>59.46</v>
      </c>
      <c r="K581" s="74" t="n">
        <v>20</v>
      </c>
      <c r="T581" s="74" t="n">
        <v>3</v>
      </c>
      <c r="U581" s="74" t="n">
        <v>1</v>
      </c>
      <c r="V581" s="74" t="inlineStr">
        <is>
          <t>계단식</t>
        </is>
      </c>
      <c r="W581" s="74" t="inlineStr">
        <is>
          <t>77B</t>
        </is>
      </c>
      <c r="X581" s="74" t="n">
        <v>10</v>
      </c>
      <c r="Y581" s="74" t="n">
        <v>10</v>
      </c>
      <c r="Z581" s="74" t="inlineStr">
        <is>
          <t>https://new.land.naver.com/complexes/116353?tab=detail&amp;rf=Y</t>
        </is>
      </c>
      <c r="AA581" s="74" t="inlineStr">
        <is>
          <t>전라북도 군산시 임피면 읍내리 323</t>
        </is>
      </c>
      <c r="AB581" s="74" t="inlineStr">
        <is>
          <t>전라북도</t>
        </is>
      </c>
      <c r="AC581" s="74" t="inlineStr">
        <is>
          <t>군산시</t>
        </is>
      </c>
      <c r="AD581" s="74" t="inlineStr">
        <is>
          <t>임피면</t>
        </is>
      </c>
      <c r="AG581" s="74" t="inlineStr">
        <is>
          <t>전라북도 군산시 임피1길 52</t>
        </is>
      </c>
      <c r="AH581" s="74" t="n">
        <v>0</v>
      </c>
      <c r="AI581" s="74" t="n">
        <v>192</v>
      </c>
      <c r="AJ581" s="74" t="n">
        <v>26</v>
      </c>
      <c r="AK581" s="74" t="n">
        <v>32</v>
      </c>
      <c r="AL581" s="74" t="n">
        <v>0.8</v>
      </c>
    </row>
    <row r="582">
      <c r="A582" s="74" t="inlineStr">
        <is>
          <t>[장재동]</t>
        </is>
      </c>
      <c r="B582" s="74" t="n">
        <v>106424</v>
      </c>
      <c r="C582" s="74" t="n">
        <v>1</v>
      </c>
      <c r="D582" s="74" t="inlineStr">
        <is>
          <t>그린장미</t>
        </is>
      </c>
      <c r="E582" s="74" t="inlineStr">
        <is>
          <t>1992.12.</t>
        </is>
      </c>
      <c r="F582" s="74" t="n">
        <v>158</v>
      </c>
      <c r="G582" s="74" t="n">
        <v>22.42</v>
      </c>
      <c r="H582" s="74" t="n">
        <v>74.13</v>
      </c>
      <c r="I582" s="74" t="n">
        <v>18.07</v>
      </c>
      <c r="J582" s="74" t="n">
        <v>59.76</v>
      </c>
      <c r="K582" s="74" t="n">
        <v>60</v>
      </c>
      <c r="T582" s="74" t="n">
        <v>3</v>
      </c>
      <c r="U582" s="74" t="n">
        <v>1</v>
      </c>
      <c r="V582" s="74" t="inlineStr">
        <is>
          <t>복도식</t>
        </is>
      </c>
      <c r="W582" s="74" t="n">
        <v>74</v>
      </c>
      <c r="X582" s="74" t="n">
        <v>15</v>
      </c>
      <c r="Y582" s="74" t="n">
        <v>13</v>
      </c>
      <c r="Z582" s="74" t="inlineStr">
        <is>
          <t>https://new.land.naver.com/complexes/106424?tab=detail&amp;rf=Y</t>
        </is>
      </c>
      <c r="AA582" s="74" t="inlineStr">
        <is>
          <t>전라북도 군산시 장재동 45-4</t>
        </is>
      </c>
      <c r="AB582" s="74" t="inlineStr">
        <is>
          <t>전라북도</t>
        </is>
      </c>
      <c r="AC582" s="74" t="inlineStr">
        <is>
          <t>군산시</t>
        </is>
      </c>
      <c r="AD582" s="74" t="inlineStr">
        <is>
          <t>장재동</t>
        </is>
      </c>
      <c r="AG582" s="74" t="inlineStr">
        <is>
          <t>전라북도 군산시 풍문2길 30</t>
        </is>
      </c>
      <c r="AH582" s="74" t="n">
        <v>0</v>
      </c>
      <c r="AI582" s="74" t="n">
        <v>223</v>
      </c>
      <c r="AJ582" s="74" t="n">
        <v>15</v>
      </c>
      <c r="AK582" s="74" t="n">
        <v>78</v>
      </c>
      <c r="AL582" s="74" t="n">
        <v>0.49</v>
      </c>
    </row>
    <row r="583">
      <c r="A583" s="74" t="inlineStr">
        <is>
          <t>[장재동]</t>
        </is>
      </c>
      <c r="B583" s="74" t="n">
        <v>106424</v>
      </c>
      <c r="C583" s="74" t="n">
        <v>2</v>
      </c>
      <c r="D583" s="74" t="inlineStr">
        <is>
          <t>그린장미</t>
        </is>
      </c>
      <c r="E583" s="74" t="inlineStr">
        <is>
          <t>1992.12.</t>
        </is>
      </c>
      <c r="F583" s="74" t="n">
        <v>158</v>
      </c>
      <c r="G583" s="74" t="n">
        <v>26.66</v>
      </c>
      <c r="H583" s="74" t="n">
        <v>88.14</v>
      </c>
      <c r="I583" s="74" t="n">
        <v>21.48</v>
      </c>
      <c r="J583" s="74" t="n">
        <v>71.01000000000001</v>
      </c>
      <c r="K583" s="74" t="n">
        <v>84</v>
      </c>
      <c r="T583" s="74" t="n">
        <v>3</v>
      </c>
      <c r="U583" s="74" t="n">
        <v>2</v>
      </c>
      <c r="V583" s="74" t="inlineStr">
        <is>
          <t>복도식</t>
        </is>
      </c>
      <c r="W583" s="74" t="n">
        <v>88</v>
      </c>
      <c r="X583" s="74" t="n">
        <v>15</v>
      </c>
      <c r="Y583" s="74" t="n">
        <v>13</v>
      </c>
      <c r="Z583" s="74" t="inlineStr">
        <is>
          <t>https://new.land.naver.com/complexes/106424?tab=detail&amp;rf=Y</t>
        </is>
      </c>
      <c r="AA583" s="74" t="inlineStr">
        <is>
          <t>전라북도 군산시 장재동 45-4</t>
        </is>
      </c>
      <c r="AB583" s="74" t="inlineStr">
        <is>
          <t>전라북도</t>
        </is>
      </c>
      <c r="AC583" s="74" t="inlineStr">
        <is>
          <t>군산시</t>
        </is>
      </c>
      <c r="AD583" s="74" t="inlineStr">
        <is>
          <t>장재동</t>
        </is>
      </c>
      <c r="AG583" s="74" t="inlineStr">
        <is>
          <t>전라북도 군산시 풍문2길 30</t>
        </is>
      </c>
      <c r="AH583" s="74" t="n">
        <v>0</v>
      </c>
      <c r="AI583" s="74" t="n">
        <v>223</v>
      </c>
      <c r="AJ583" s="74" t="n">
        <v>15</v>
      </c>
      <c r="AK583" s="74" t="n">
        <v>78</v>
      </c>
      <c r="AL583" s="74" t="n">
        <v>0.49</v>
      </c>
    </row>
    <row r="584">
      <c r="A584" s="74" t="inlineStr">
        <is>
          <t>[장재동]</t>
        </is>
      </c>
      <c r="B584" s="74" t="n">
        <v>106424</v>
      </c>
      <c r="C584" s="74" t="n">
        <v>3</v>
      </c>
      <c r="D584" s="74" t="inlineStr">
        <is>
          <t>그린장미</t>
        </is>
      </c>
      <c r="E584" s="74" t="inlineStr">
        <is>
          <t>1992.12.</t>
        </is>
      </c>
      <c r="F584" s="74" t="n">
        <v>158</v>
      </c>
      <c r="G584" s="74" t="n">
        <v>30.21</v>
      </c>
      <c r="H584" s="74" t="n">
        <v>99.88</v>
      </c>
      <c r="I584" s="74" t="n">
        <v>21.87</v>
      </c>
      <c r="J584" s="74" t="n">
        <v>72.33</v>
      </c>
      <c r="K584" s="74" t="n">
        <v>14</v>
      </c>
      <c r="T584" s="74" t="n">
        <v>3</v>
      </c>
      <c r="U584" s="74" t="n">
        <v>2</v>
      </c>
      <c r="V584" s="74" t="inlineStr">
        <is>
          <t>복도식</t>
        </is>
      </c>
      <c r="W584" s="74" t="n">
        <v>99</v>
      </c>
      <c r="X584" s="74" t="n">
        <v>15</v>
      </c>
      <c r="Y584" s="74" t="n">
        <v>13</v>
      </c>
      <c r="Z584" s="74" t="inlineStr">
        <is>
          <t>https://new.land.naver.com/complexes/106424?tab=detail&amp;rf=Y</t>
        </is>
      </c>
      <c r="AA584" s="74" t="inlineStr">
        <is>
          <t>전라북도 군산시 장재동 45-4</t>
        </is>
      </c>
      <c r="AB584" s="74" t="inlineStr">
        <is>
          <t>전라북도</t>
        </is>
      </c>
      <c r="AC584" s="74" t="inlineStr">
        <is>
          <t>군산시</t>
        </is>
      </c>
      <c r="AD584" s="74" t="inlineStr">
        <is>
          <t>장재동</t>
        </is>
      </c>
      <c r="AG584" s="74" t="inlineStr">
        <is>
          <t>전라북도 군산시 풍문2길 30</t>
        </is>
      </c>
      <c r="AH584" s="74" t="n">
        <v>0</v>
      </c>
      <c r="AI584" s="74" t="n">
        <v>223</v>
      </c>
      <c r="AJ584" s="74" t="n">
        <v>15</v>
      </c>
      <c r="AK584" s="74" t="n">
        <v>78</v>
      </c>
      <c r="AL584" s="74" t="n">
        <v>0.49</v>
      </c>
    </row>
    <row r="585">
      <c r="A585" s="74" t="inlineStr">
        <is>
          <t>[장재동]</t>
        </is>
      </c>
      <c r="B585" s="74" t="n">
        <v>14977</v>
      </c>
      <c r="C585" s="74" t="n">
        <v>1</v>
      </c>
      <c r="D585" s="74" t="inlineStr">
        <is>
          <t>한일</t>
        </is>
      </c>
      <c r="E585" s="74" t="inlineStr">
        <is>
          <t>1989.05.</t>
        </is>
      </c>
      <c r="F585" s="74" t="n">
        <v>120</v>
      </c>
      <c r="G585" s="74" t="n">
        <v>23.93</v>
      </c>
      <c r="H585" s="74" t="n">
        <v>79.14</v>
      </c>
      <c r="I585" s="74" t="n">
        <v>22.05</v>
      </c>
      <c r="J585" s="74" t="n">
        <v>72.90000000000001</v>
      </c>
      <c r="K585" s="74" t="n">
        <v>50</v>
      </c>
      <c r="T585" s="74" t="n">
        <v>3</v>
      </c>
      <c r="U585" s="74" t="n">
        <v>1</v>
      </c>
      <c r="V585" s="74" t="inlineStr">
        <is>
          <t>계단식</t>
        </is>
      </c>
      <c r="W585" s="74" t="n">
        <v>79</v>
      </c>
      <c r="X585" s="74" t="n">
        <v>5</v>
      </c>
      <c r="Y585" s="74" t="n">
        <v>5</v>
      </c>
      <c r="Z585" s="74" t="inlineStr">
        <is>
          <t>https://new.land.naver.com/complexes/14977?tab=detail&amp;rf=Y</t>
        </is>
      </c>
      <c r="AA585" s="74" t="inlineStr">
        <is>
          <t>전라북도 군산시 장재동 380-1</t>
        </is>
      </c>
      <c r="AB585" s="74" t="inlineStr">
        <is>
          <t>전라북도</t>
        </is>
      </c>
      <c r="AC585" s="74" t="inlineStr">
        <is>
          <t>군산시</t>
        </is>
      </c>
      <c r="AD585" s="74" t="inlineStr">
        <is>
          <t>장재동</t>
        </is>
      </c>
      <c r="AG585" s="74" t="inlineStr">
        <is>
          <t>전라북도 군산시 동팔마길 39</t>
        </is>
      </c>
      <c r="AH585" s="74" t="n">
        <v>0</v>
      </c>
      <c r="AI585" s="74" t="n">
        <v>0</v>
      </c>
      <c r="AJ585" s="74" t="n">
        <v>0</v>
      </c>
      <c r="AK585" s="74" t="n">
        <v>0</v>
      </c>
      <c r="AL585" s="74" t="n">
        <v>0</v>
      </c>
    </row>
    <row r="586">
      <c r="A586" s="74" t="inlineStr">
        <is>
          <t>[장재동]</t>
        </is>
      </c>
      <c r="B586" s="74" t="n">
        <v>14977</v>
      </c>
      <c r="C586" s="74" t="n">
        <v>2</v>
      </c>
      <c r="D586" s="74" t="inlineStr">
        <is>
          <t>한일</t>
        </is>
      </c>
      <c r="E586" s="74" t="inlineStr">
        <is>
          <t>1989.05.</t>
        </is>
      </c>
      <c r="F586" s="74" t="n">
        <v>120</v>
      </c>
      <c r="G586" s="74" t="n">
        <v>26.4</v>
      </c>
      <c r="H586" s="74" t="n">
        <v>87.3</v>
      </c>
      <c r="I586" s="74" t="n">
        <v>24.66</v>
      </c>
      <c r="J586" s="74" t="n">
        <v>81.54000000000001</v>
      </c>
      <c r="K586" s="74" t="n">
        <v>50</v>
      </c>
      <c r="T586" s="74" t="n">
        <v>3</v>
      </c>
      <c r="U586" s="74" t="n">
        <v>2</v>
      </c>
      <c r="V586" s="74" t="inlineStr">
        <is>
          <t>계단식</t>
        </is>
      </c>
      <c r="W586" s="74" t="n">
        <v>87</v>
      </c>
      <c r="X586" s="74" t="n">
        <v>5</v>
      </c>
      <c r="Y586" s="74" t="n">
        <v>5</v>
      </c>
      <c r="Z586" s="74" t="inlineStr">
        <is>
          <t>https://new.land.naver.com/complexes/14977?tab=detail&amp;rf=Y</t>
        </is>
      </c>
      <c r="AA586" s="74" t="inlineStr">
        <is>
          <t>전라북도 군산시 장재동 380-1</t>
        </is>
      </c>
      <c r="AB586" s="74" t="inlineStr">
        <is>
          <t>전라북도</t>
        </is>
      </c>
      <c r="AC586" s="74" t="inlineStr">
        <is>
          <t>군산시</t>
        </is>
      </c>
      <c r="AD586" s="74" t="inlineStr">
        <is>
          <t>장재동</t>
        </is>
      </c>
      <c r="AG586" s="74" t="inlineStr">
        <is>
          <t>전라북도 군산시 동팔마길 39</t>
        </is>
      </c>
      <c r="AH586" s="74" t="n">
        <v>0</v>
      </c>
      <c r="AI586" s="74" t="n">
        <v>0</v>
      </c>
      <c r="AJ586" s="74" t="n">
        <v>0</v>
      </c>
      <c r="AK586" s="74" t="n">
        <v>0</v>
      </c>
      <c r="AL586" s="74" t="n">
        <v>0</v>
      </c>
    </row>
    <row r="587">
      <c r="A587" s="74" t="inlineStr">
        <is>
          <t>[장재동]</t>
        </is>
      </c>
      <c r="B587" s="74" t="n">
        <v>14977</v>
      </c>
      <c r="C587" s="74" t="n">
        <v>3</v>
      </c>
      <c r="D587" s="74" t="inlineStr">
        <is>
          <t>한일</t>
        </is>
      </c>
      <c r="E587" s="74" t="inlineStr">
        <is>
          <t>1989.05.</t>
        </is>
      </c>
      <c r="F587" s="74" t="n">
        <v>120</v>
      </c>
      <c r="G587" s="74" t="n">
        <v>27.22</v>
      </c>
      <c r="H587" s="74" t="n">
        <v>90</v>
      </c>
      <c r="I587" s="74" t="n">
        <v>25.33</v>
      </c>
      <c r="J587" s="74" t="n">
        <v>83.76000000000001</v>
      </c>
      <c r="K587" s="74" t="n">
        <v>20</v>
      </c>
      <c r="T587" s="74" t="n">
        <v>3</v>
      </c>
      <c r="U587" s="74" t="n">
        <v>2</v>
      </c>
      <c r="V587" s="74" t="inlineStr">
        <is>
          <t>계단식</t>
        </is>
      </c>
      <c r="W587" s="74" t="n">
        <v>90</v>
      </c>
      <c r="X587" s="74" t="n">
        <v>5</v>
      </c>
      <c r="Y587" s="74" t="n">
        <v>5</v>
      </c>
      <c r="Z587" s="74" t="inlineStr">
        <is>
          <t>https://new.land.naver.com/complexes/14977?tab=detail&amp;rf=Y</t>
        </is>
      </c>
      <c r="AA587" s="74" t="inlineStr">
        <is>
          <t>전라북도 군산시 장재동 380-1</t>
        </is>
      </c>
      <c r="AB587" s="74" t="inlineStr">
        <is>
          <t>전라북도</t>
        </is>
      </c>
      <c r="AC587" s="74" t="inlineStr">
        <is>
          <t>군산시</t>
        </is>
      </c>
      <c r="AD587" s="74" t="inlineStr">
        <is>
          <t>장재동</t>
        </is>
      </c>
      <c r="AG587" s="74" t="inlineStr">
        <is>
          <t>전라북도 군산시 동팔마길 39</t>
        </is>
      </c>
      <c r="AH587" s="74" t="n">
        <v>0</v>
      </c>
      <c r="AI587" s="74" t="n">
        <v>0</v>
      </c>
      <c r="AJ587" s="74" t="n">
        <v>0</v>
      </c>
      <c r="AK587" s="74" t="n">
        <v>0</v>
      </c>
      <c r="AL587" s="74" t="n">
        <v>0</v>
      </c>
    </row>
    <row r="588">
      <c r="A588" s="74" t="inlineStr">
        <is>
          <t>[장재동]</t>
        </is>
      </c>
      <c r="B588" s="74" t="n">
        <v>27292</v>
      </c>
      <c r="C588" s="74" t="n">
        <v>1</v>
      </c>
      <c r="D588" s="74" t="inlineStr">
        <is>
          <t>현대세솔</t>
        </is>
      </c>
      <c r="E588" s="74" t="inlineStr">
        <is>
          <t>2002.03.</t>
        </is>
      </c>
      <c r="F588" s="74" t="n">
        <v>547</v>
      </c>
      <c r="G588" s="74" t="n">
        <v>23.13</v>
      </c>
      <c r="H588" s="74" t="n">
        <v>76.48</v>
      </c>
      <c r="I588" s="74" t="n">
        <v>18.06</v>
      </c>
      <c r="J588" s="74" t="n">
        <v>59.71</v>
      </c>
      <c r="K588" s="74" t="n">
        <v>48</v>
      </c>
      <c r="T588" s="74" t="n">
        <v>2</v>
      </c>
      <c r="U588" s="74" t="n">
        <v>1</v>
      </c>
      <c r="V588" s="74" t="inlineStr">
        <is>
          <t>계단식</t>
        </is>
      </c>
      <c r="W588" s="74" t="n">
        <v>76</v>
      </c>
      <c r="X588" s="74" t="n">
        <v>15</v>
      </c>
      <c r="Y588" s="74" t="n">
        <v>8</v>
      </c>
      <c r="Z588" s="74" t="inlineStr">
        <is>
          <t>https://new.land.naver.com/complexes/27292?tab=detail&amp;rf=Y</t>
        </is>
      </c>
      <c r="AA588" s="74" t="inlineStr">
        <is>
          <t>전라북도 군산시 장재동 212</t>
        </is>
      </c>
      <c r="AB588" s="74" t="inlineStr">
        <is>
          <t>전라북도</t>
        </is>
      </c>
      <c r="AC588" s="74" t="inlineStr">
        <is>
          <t>군산시</t>
        </is>
      </c>
      <c r="AD588" s="74" t="inlineStr">
        <is>
          <t>장재동</t>
        </is>
      </c>
      <c r="AG588" s="74" t="inlineStr">
        <is>
          <t>전라북도 군산시 풍문2길 35</t>
        </is>
      </c>
      <c r="AH588" s="74" t="n">
        <v>0</v>
      </c>
      <c r="AI588" s="74" t="n">
        <v>0</v>
      </c>
      <c r="AJ588" s="74" t="n">
        <v>0</v>
      </c>
      <c r="AK588" s="74" t="n">
        <v>452</v>
      </c>
      <c r="AL588" s="74" t="n">
        <v>0.83</v>
      </c>
    </row>
    <row r="589">
      <c r="A589" s="74" t="inlineStr">
        <is>
          <t>[장재동]</t>
        </is>
      </c>
      <c r="B589" s="74" t="n">
        <v>27292</v>
      </c>
      <c r="C589" s="74" t="n">
        <v>2</v>
      </c>
      <c r="D589" s="74" t="inlineStr">
        <is>
          <t>현대세솔</t>
        </is>
      </c>
      <c r="E589" s="74" t="inlineStr">
        <is>
          <t>2002.03.</t>
        </is>
      </c>
      <c r="F589" s="74" t="n">
        <v>547</v>
      </c>
      <c r="G589" s="74" t="n">
        <v>24.95</v>
      </c>
      <c r="H589" s="74" t="n">
        <v>82.48999999999999</v>
      </c>
      <c r="I589" s="74" t="n">
        <v>18.14</v>
      </c>
      <c r="J589" s="74" t="n">
        <v>59.97</v>
      </c>
      <c r="K589" s="74" t="n">
        <v>259</v>
      </c>
      <c r="T589" s="74" t="n">
        <v>2</v>
      </c>
      <c r="U589" s="74" t="n">
        <v>1</v>
      </c>
      <c r="V589" s="74" t="inlineStr">
        <is>
          <t>계단식</t>
        </is>
      </c>
      <c r="W589" s="74" t="n">
        <v>82</v>
      </c>
      <c r="X589" s="74" t="n">
        <v>15</v>
      </c>
      <c r="Y589" s="74" t="n">
        <v>8</v>
      </c>
      <c r="Z589" s="74" t="inlineStr">
        <is>
          <t>https://new.land.naver.com/complexes/27292?tab=detail&amp;rf=Y</t>
        </is>
      </c>
      <c r="AA589" s="74" t="inlineStr">
        <is>
          <t>전라북도 군산시 장재동 212</t>
        </is>
      </c>
      <c r="AB589" s="74" t="inlineStr">
        <is>
          <t>전라북도</t>
        </is>
      </c>
      <c r="AC589" s="74" t="inlineStr">
        <is>
          <t>군산시</t>
        </is>
      </c>
      <c r="AD589" s="74" t="inlineStr">
        <is>
          <t>장재동</t>
        </is>
      </c>
      <c r="AG589" s="74" t="inlineStr">
        <is>
          <t>전라북도 군산시 풍문2길 35</t>
        </is>
      </c>
      <c r="AH589" s="74" t="n">
        <v>0</v>
      </c>
      <c r="AI589" s="74" t="n">
        <v>0</v>
      </c>
      <c r="AJ589" s="74" t="n">
        <v>0</v>
      </c>
      <c r="AK589" s="74" t="n">
        <v>452</v>
      </c>
      <c r="AL589" s="74" t="n">
        <v>0.83</v>
      </c>
    </row>
    <row r="590">
      <c r="A590" s="74" t="inlineStr">
        <is>
          <t>[장재동]</t>
        </is>
      </c>
      <c r="B590" s="74" t="n">
        <v>27292</v>
      </c>
      <c r="C590" s="74" t="n">
        <v>3</v>
      </c>
      <c r="D590" s="74" t="inlineStr">
        <is>
          <t>현대세솔</t>
        </is>
      </c>
      <c r="E590" s="74" t="inlineStr">
        <is>
          <t>2002.03.</t>
        </is>
      </c>
      <c r="F590" s="74" t="n">
        <v>547</v>
      </c>
      <c r="G590" s="74" t="n">
        <v>31.19</v>
      </c>
      <c r="H590" s="74" t="n">
        <v>103.12</v>
      </c>
      <c r="I590" s="74" t="n">
        <v>25.7</v>
      </c>
      <c r="J590" s="74" t="n">
        <v>84.95999999999999</v>
      </c>
      <c r="K590" s="74" t="n">
        <v>210</v>
      </c>
      <c r="T590" s="74" t="n">
        <v>3</v>
      </c>
      <c r="U590" s="74" t="n">
        <v>2</v>
      </c>
      <c r="V590" s="74" t="inlineStr">
        <is>
          <t>복도식</t>
        </is>
      </c>
      <c r="W590" s="74" t="inlineStr">
        <is>
          <t>103A</t>
        </is>
      </c>
      <c r="X590" s="74" t="n">
        <v>15</v>
      </c>
      <c r="Y590" s="74" t="n">
        <v>8</v>
      </c>
      <c r="Z590" s="74" t="inlineStr">
        <is>
          <t>https://new.land.naver.com/complexes/27292?tab=detail&amp;rf=Y</t>
        </is>
      </c>
      <c r="AA590" s="74" t="inlineStr">
        <is>
          <t>전라북도 군산시 장재동 212</t>
        </is>
      </c>
      <c r="AB590" s="74" t="inlineStr">
        <is>
          <t>전라북도</t>
        </is>
      </c>
      <c r="AC590" s="74" t="inlineStr">
        <is>
          <t>군산시</t>
        </is>
      </c>
      <c r="AD590" s="74" t="inlineStr">
        <is>
          <t>장재동</t>
        </is>
      </c>
      <c r="AG590" s="74" t="inlineStr">
        <is>
          <t>전라북도 군산시 풍문2길 35</t>
        </is>
      </c>
      <c r="AH590" s="74" t="n">
        <v>0</v>
      </c>
      <c r="AI590" s="74" t="n">
        <v>0</v>
      </c>
      <c r="AJ590" s="74" t="n">
        <v>0</v>
      </c>
      <c r="AK590" s="74" t="n">
        <v>452</v>
      </c>
      <c r="AL590" s="74" t="n">
        <v>0.83</v>
      </c>
    </row>
    <row r="591">
      <c r="A591" s="74" t="inlineStr">
        <is>
          <t>[장재동]</t>
        </is>
      </c>
      <c r="B591" s="74" t="n">
        <v>27292</v>
      </c>
      <c r="C591" s="74" t="n">
        <v>4</v>
      </c>
      <c r="D591" s="74" t="inlineStr">
        <is>
          <t>현대세솔</t>
        </is>
      </c>
      <c r="E591" s="74" t="inlineStr">
        <is>
          <t>2002.03.</t>
        </is>
      </c>
      <c r="F591" s="74" t="n">
        <v>547</v>
      </c>
      <c r="G591" s="74" t="n">
        <v>31.19</v>
      </c>
      <c r="H591" s="74" t="n">
        <v>103.13</v>
      </c>
      <c r="I591" s="74" t="n">
        <v>25.7</v>
      </c>
      <c r="J591" s="74" t="n">
        <v>84.98999999999999</v>
      </c>
      <c r="K591" s="74" t="n">
        <v>30</v>
      </c>
      <c r="T591" s="74" t="n">
        <v>3</v>
      </c>
      <c r="U591" s="74" t="n">
        <v>2</v>
      </c>
      <c r="V591" s="74" t="inlineStr">
        <is>
          <t>계단식</t>
        </is>
      </c>
      <c r="W591" s="74" t="inlineStr">
        <is>
          <t>103B</t>
        </is>
      </c>
      <c r="X591" s="74" t="n">
        <v>15</v>
      </c>
      <c r="Y591" s="74" t="n">
        <v>8</v>
      </c>
      <c r="Z591" s="74" t="inlineStr">
        <is>
          <t>https://new.land.naver.com/complexes/27292?tab=detail&amp;rf=Y</t>
        </is>
      </c>
      <c r="AA591" s="74" t="inlineStr">
        <is>
          <t>전라북도 군산시 장재동 212</t>
        </is>
      </c>
      <c r="AB591" s="74" t="inlineStr">
        <is>
          <t>전라북도</t>
        </is>
      </c>
      <c r="AC591" s="74" t="inlineStr">
        <is>
          <t>군산시</t>
        </is>
      </c>
      <c r="AD591" s="74" t="inlineStr">
        <is>
          <t>장재동</t>
        </is>
      </c>
      <c r="AG591" s="74" t="inlineStr">
        <is>
          <t>전라북도 군산시 풍문2길 35</t>
        </is>
      </c>
      <c r="AH591" s="74" t="n">
        <v>0</v>
      </c>
      <c r="AI591" s="74" t="n">
        <v>0</v>
      </c>
      <c r="AJ591" s="74" t="n">
        <v>0</v>
      </c>
      <c r="AK591" s="74" t="n">
        <v>452</v>
      </c>
      <c r="AL591" s="74" t="n">
        <v>0.83</v>
      </c>
    </row>
    <row r="592">
      <c r="A592" s="74" t="inlineStr">
        <is>
          <t>[조촌동]</t>
        </is>
      </c>
      <c r="B592" s="74" t="n">
        <v>113152</v>
      </c>
      <c r="C592" s="74" t="n">
        <v>1</v>
      </c>
      <c r="D592" s="74" t="inlineStr">
        <is>
          <t>군산디오션시티푸르지오</t>
        </is>
      </c>
      <c r="E592" s="74" t="inlineStr">
        <is>
          <t>2018.03.</t>
        </is>
      </c>
      <c r="F592" s="74" t="n">
        <v>1400</v>
      </c>
      <c r="G592" s="74" t="n">
        <v>24.79</v>
      </c>
      <c r="H592" s="74" t="n">
        <v>81.98</v>
      </c>
      <c r="I592" s="74" t="n">
        <v>18.14</v>
      </c>
      <c r="J592" s="74" t="n">
        <v>59.98</v>
      </c>
      <c r="K592" s="74" t="n">
        <v>189</v>
      </c>
      <c r="T592" s="74" t="n">
        <v>3</v>
      </c>
      <c r="U592" s="74" t="n">
        <v>2</v>
      </c>
      <c r="V592" s="74" t="inlineStr">
        <is>
          <t>계단식</t>
        </is>
      </c>
      <c r="W592" s="74" t="inlineStr">
        <is>
          <t>81A</t>
        </is>
      </c>
      <c r="X592" s="74" t="n">
        <v>29</v>
      </c>
      <c r="Y592" s="74" t="n">
        <v>24</v>
      </c>
      <c r="Z592" s="74" t="inlineStr">
        <is>
          <t>https://new.land.naver.com/complexes/113152?tab=detail&amp;rf=Y</t>
        </is>
      </c>
      <c r="AA592" s="74" t="inlineStr">
        <is>
          <t>전라북도 군산시 조촌동 3943</t>
        </is>
      </c>
      <c r="AB592" s="74" t="inlineStr">
        <is>
          <t>전라북도</t>
        </is>
      </c>
      <c r="AC592" s="74" t="inlineStr">
        <is>
          <t>군산시</t>
        </is>
      </c>
      <c r="AD592" s="74" t="inlineStr">
        <is>
          <t>조촌동</t>
        </is>
      </c>
      <c r="AG592" s="74" t="inlineStr">
        <is>
          <t>전라북도 군산시 궁포2로 20</t>
        </is>
      </c>
      <c r="AH592" s="74" t="n">
        <v>0</v>
      </c>
      <c r="AI592" s="74" t="n">
        <v>245</v>
      </c>
      <c r="AJ592" s="74" t="n">
        <v>15</v>
      </c>
      <c r="AK592" s="74" t="n">
        <v>1770</v>
      </c>
      <c r="AL592" s="74" t="n">
        <v>1.26</v>
      </c>
    </row>
    <row r="593">
      <c r="A593" s="74" t="inlineStr">
        <is>
          <t>[조촌동]</t>
        </is>
      </c>
      <c r="B593" s="74" t="n">
        <v>113152</v>
      </c>
      <c r="C593" s="74" t="n">
        <v>2</v>
      </c>
      <c r="D593" s="74" t="inlineStr">
        <is>
          <t>군산디오션시티푸르지오</t>
        </is>
      </c>
      <c r="E593" s="74" t="inlineStr">
        <is>
          <t>2018.03.</t>
        </is>
      </c>
      <c r="F593" s="74" t="n">
        <v>1400</v>
      </c>
      <c r="G593" s="74" t="n">
        <v>24.91</v>
      </c>
      <c r="H593" s="74" t="n">
        <v>82.37</v>
      </c>
      <c r="I593" s="74" t="n">
        <v>17.91</v>
      </c>
      <c r="J593" s="74" t="n">
        <v>59.23</v>
      </c>
      <c r="K593" s="74" t="n">
        <v>55</v>
      </c>
      <c r="T593" s="74" t="n">
        <v>3</v>
      </c>
      <c r="U593" s="74" t="n">
        <v>2</v>
      </c>
      <c r="V593" s="74" t="inlineStr">
        <is>
          <t>계단식</t>
        </is>
      </c>
      <c r="W593" s="74" t="inlineStr">
        <is>
          <t>82B</t>
        </is>
      </c>
      <c r="X593" s="74" t="n">
        <v>29</v>
      </c>
      <c r="Y593" s="74" t="n">
        <v>24</v>
      </c>
      <c r="Z593" s="74" t="inlineStr">
        <is>
          <t>https://new.land.naver.com/complexes/113152?tab=detail&amp;rf=Y</t>
        </is>
      </c>
      <c r="AA593" s="74" t="inlineStr">
        <is>
          <t>전라북도 군산시 조촌동 3943</t>
        </is>
      </c>
      <c r="AB593" s="74" t="inlineStr">
        <is>
          <t>전라북도</t>
        </is>
      </c>
      <c r="AC593" s="74" t="inlineStr">
        <is>
          <t>군산시</t>
        </is>
      </c>
      <c r="AD593" s="74" t="inlineStr">
        <is>
          <t>조촌동</t>
        </is>
      </c>
      <c r="AG593" s="74" t="inlineStr">
        <is>
          <t>전라북도 군산시 궁포2로 20</t>
        </is>
      </c>
      <c r="AH593" s="74" t="n">
        <v>0</v>
      </c>
      <c r="AI593" s="74" t="n">
        <v>245</v>
      </c>
      <c r="AJ593" s="74" t="n">
        <v>15</v>
      </c>
      <c r="AK593" s="74" t="n">
        <v>1770</v>
      </c>
      <c r="AL593" s="74" t="n">
        <v>1.26</v>
      </c>
    </row>
    <row r="594">
      <c r="A594" s="74" t="inlineStr">
        <is>
          <t>[조촌동]</t>
        </is>
      </c>
      <c r="B594" s="74" t="n">
        <v>113152</v>
      </c>
      <c r="C594" s="74" t="n">
        <v>3</v>
      </c>
      <c r="D594" s="74" t="inlineStr">
        <is>
          <t>군산디오션시티푸르지오</t>
        </is>
      </c>
      <c r="E594" s="74" t="inlineStr">
        <is>
          <t>2018.03.</t>
        </is>
      </c>
      <c r="F594" s="74" t="n">
        <v>1400</v>
      </c>
      <c r="G594" s="74" t="n">
        <v>30.75</v>
      </c>
      <c r="H594" s="74" t="n">
        <v>101.67</v>
      </c>
      <c r="I594" s="74" t="n">
        <v>22.65</v>
      </c>
      <c r="J594" s="74" t="n">
        <v>74.88</v>
      </c>
      <c r="K594" s="74" t="n">
        <v>279</v>
      </c>
      <c r="T594" s="74" t="n">
        <v>3</v>
      </c>
      <c r="U594" s="74" t="n">
        <v>2</v>
      </c>
      <c r="V594" s="74" t="inlineStr">
        <is>
          <t>계단식</t>
        </is>
      </c>
      <c r="W594" s="74" t="inlineStr">
        <is>
          <t>101A</t>
        </is>
      </c>
      <c r="X594" s="74" t="n">
        <v>29</v>
      </c>
      <c r="Y594" s="74" t="n">
        <v>24</v>
      </c>
      <c r="Z594" s="74" t="inlineStr">
        <is>
          <t>https://new.land.naver.com/complexes/113152?tab=detail&amp;rf=Y</t>
        </is>
      </c>
      <c r="AA594" s="74" t="inlineStr">
        <is>
          <t>전라북도 군산시 조촌동 3943</t>
        </is>
      </c>
      <c r="AB594" s="74" t="inlineStr">
        <is>
          <t>전라북도</t>
        </is>
      </c>
      <c r="AC594" s="74" t="inlineStr">
        <is>
          <t>군산시</t>
        </is>
      </c>
      <c r="AD594" s="74" t="inlineStr">
        <is>
          <t>조촌동</t>
        </is>
      </c>
      <c r="AG594" s="74" t="inlineStr">
        <is>
          <t>전라북도 군산시 궁포2로 20</t>
        </is>
      </c>
      <c r="AH594" s="74" t="n">
        <v>0</v>
      </c>
      <c r="AI594" s="74" t="n">
        <v>245</v>
      </c>
      <c r="AJ594" s="74" t="n">
        <v>15</v>
      </c>
      <c r="AK594" s="74" t="n">
        <v>1770</v>
      </c>
      <c r="AL594" s="74" t="n">
        <v>1.26</v>
      </c>
    </row>
    <row r="595">
      <c r="A595" s="74" t="inlineStr">
        <is>
          <t>[조촌동]</t>
        </is>
      </c>
      <c r="B595" s="74" t="n">
        <v>113152</v>
      </c>
      <c r="C595" s="74" t="n">
        <v>4</v>
      </c>
      <c r="D595" s="74" t="inlineStr">
        <is>
          <t>군산디오션시티푸르지오</t>
        </is>
      </c>
      <c r="E595" s="74" t="inlineStr">
        <is>
          <t>2018.03.</t>
        </is>
      </c>
      <c r="F595" s="74" t="n">
        <v>1400</v>
      </c>
      <c r="G595" s="74" t="n">
        <v>30.93</v>
      </c>
      <c r="H595" s="74" t="n">
        <v>102.28</v>
      </c>
      <c r="I595" s="74" t="n">
        <v>22.62</v>
      </c>
      <c r="J595" s="74" t="n">
        <v>74.79000000000001</v>
      </c>
      <c r="K595" s="74" t="n">
        <v>113</v>
      </c>
      <c r="T595" s="74" t="n">
        <v>3</v>
      </c>
      <c r="U595" s="74" t="n">
        <v>2</v>
      </c>
      <c r="V595" s="74" t="inlineStr">
        <is>
          <t>계단식</t>
        </is>
      </c>
      <c r="W595" s="74" t="inlineStr">
        <is>
          <t>102C</t>
        </is>
      </c>
      <c r="X595" s="74" t="n">
        <v>29</v>
      </c>
      <c r="Y595" s="74" t="n">
        <v>24</v>
      </c>
      <c r="Z595" s="74" t="inlineStr">
        <is>
          <t>https://new.land.naver.com/complexes/113152?tab=detail&amp;rf=Y</t>
        </is>
      </c>
      <c r="AA595" s="74" t="inlineStr">
        <is>
          <t>전라북도 군산시 조촌동 3943</t>
        </is>
      </c>
      <c r="AB595" s="74" t="inlineStr">
        <is>
          <t>전라북도</t>
        </is>
      </c>
      <c r="AC595" s="74" t="inlineStr">
        <is>
          <t>군산시</t>
        </is>
      </c>
      <c r="AD595" s="74" t="inlineStr">
        <is>
          <t>조촌동</t>
        </is>
      </c>
      <c r="AG595" s="74" t="inlineStr">
        <is>
          <t>전라북도 군산시 궁포2로 20</t>
        </is>
      </c>
      <c r="AH595" s="74" t="n">
        <v>0</v>
      </c>
      <c r="AI595" s="74" t="n">
        <v>245</v>
      </c>
      <c r="AJ595" s="74" t="n">
        <v>15</v>
      </c>
      <c r="AK595" s="74" t="n">
        <v>1770</v>
      </c>
      <c r="AL595" s="74" t="n">
        <v>1.26</v>
      </c>
    </row>
    <row r="596">
      <c r="A596" s="74" t="inlineStr">
        <is>
          <t>[조촌동]</t>
        </is>
      </c>
      <c r="B596" s="74" t="n">
        <v>113152</v>
      </c>
      <c r="C596" s="74" t="n">
        <v>5</v>
      </c>
      <c r="D596" s="74" t="inlineStr">
        <is>
          <t>군산디오션시티푸르지오</t>
        </is>
      </c>
      <c r="E596" s="74" t="inlineStr">
        <is>
          <t>2018.03.</t>
        </is>
      </c>
      <c r="F596" s="74" t="n">
        <v>1400</v>
      </c>
      <c r="G596" s="74" t="n">
        <v>30.94</v>
      </c>
      <c r="H596" s="74" t="n">
        <v>102.31</v>
      </c>
      <c r="I596" s="74" t="n">
        <v>22.62</v>
      </c>
      <c r="J596" s="74" t="n">
        <v>74.79000000000001</v>
      </c>
      <c r="K596" s="74" t="n">
        <v>110</v>
      </c>
      <c r="T596" s="74" t="n">
        <v>3</v>
      </c>
      <c r="U596" s="74" t="n">
        <v>2</v>
      </c>
      <c r="V596" s="74" t="inlineStr">
        <is>
          <t>계단식</t>
        </is>
      </c>
      <c r="W596" s="74" t="inlineStr">
        <is>
          <t>102B</t>
        </is>
      </c>
      <c r="X596" s="74" t="n">
        <v>29</v>
      </c>
      <c r="Y596" s="74" t="n">
        <v>24</v>
      </c>
      <c r="Z596" s="74" t="inlineStr">
        <is>
          <t>https://new.land.naver.com/complexes/113152?tab=detail&amp;rf=Y</t>
        </is>
      </c>
      <c r="AA596" s="74" t="inlineStr">
        <is>
          <t>전라북도 군산시 조촌동 3943</t>
        </is>
      </c>
      <c r="AB596" s="74" t="inlineStr">
        <is>
          <t>전라북도</t>
        </is>
      </c>
      <c r="AC596" s="74" t="inlineStr">
        <is>
          <t>군산시</t>
        </is>
      </c>
      <c r="AD596" s="74" t="inlineStr">
        <is>
          <t>조촌동</t>
        </is>
      </c>
      <c r="AG596" s="74" t="inlineStr">
        <is>
          <t>전라북도 군산시 궁포2로 20</t>
        </is>
      </c>
      <c r="AH596" s="74" t="n">
        <v>0</v>
      </c>
      <c r="AI596" s="74" t="n">
        <v>245</v>
      </c>
      <c r="AJ596" s="74" t="n">
        <v>15</v>
      </c>
      <c r="AK596" s="74" t="n">
        <v>1770</v>
      </c>
      <c r="AL596" s="74" t="n">
        <v>1.26</v>
      </c>
    </row>
    <row r="597">
      <c r="A597" s="74" t="inlineStr">
        <is>
          <t>[조촌동]</t>
        </is>
      </c>
      <c r="B597" s="74" t="n">
        <v>113152</v>
      </c>
      <c r="C597" s="74" t="n">
        <v>6</v>
      </c>
      <c r="D597" s="74" t="inlineStr">
        <is>
          <t>군산디오션시티푸르지오</t>
        </is>
      </c>
      <c r="E597" s="74" t="inlineStr">
        <is>
          <t>2018.03.</t>
        </is>
      </c>
      <c r="F597" s="74" t="n">
        <v>1400</v>
      </c>
      <c r="G597" s="74" t="n">
        <v>34.63</v>
      </c>
      <c r="H597" s="74" t="n">
        <v>114.51</v>
      </c>
      <c r="I597" s="74" t="n">
        <v>25.62</v>
      </c>
      <c r="J597" s="74" t="n">
        <v>84.72</v>
      </c>
      <c r="K597" s="74" t="n">
        <v>215</v>
      </c>
      <c r="T597" s="74" t="n">
        <v>3</v>
      </c>
      <c r="U597" s="74" t="n">
        <v>2</v>
      </c>
      <c r="V597" s="74" t="inlineStr">
        <is>
          <t>계단식</t>
        </is>
      </c>
      <c r="W597" s="74" t="inlineStr">
        <is>
          <t>114A</t>
        </is>
      </c>
      <c r="X597" s="74" t="n">
        <v>29</v>
      </c>
      <c r="Y597" s="74" t="n">
        <v>24</v>
      </c>
      <c r="Z597" s="74" t="inlineStr">
        <is>
          <t>https://new.land.naver.com/complexes/113152?tab=detail&amp;rf=Y</t>
        </is>
      </c>
      <c r="AA597" s="74" t="inlineStr">
        <is>
          <t>전라북도 군산시 조촌동 3943</t>
        </is>
      </c>
      <c r="AB597" s="74" t="inlineStr">
        <is>
          <t>전라북도</t>
        </is>
      </c>
      <c r="AC597" s="74" t="inlineStr">
        <is>
          <t>군산시</t>
        </is>
      </c>
      <c r="AD597" s="74" t="inlineStr">
        <is>
          <t>조촌동</t>
        </is>
      </c>
      <c r="AG597" s="74" t="inlineStr">
        <is>
          <t>전라북도 군산시 궁포2로 20</t>
        </is>
      </c>
      <c r="AH597" s="74" t="n">
        <v>0</v>
      </c>
      <c r="AI597" s="74" t="n">
        <v>245</v>
      </c>
      <c r="AJ597" s="74" t="n">
        <v>15</v>
      </c>
      <c r="AK597" s="74" t="n">
        <v>1770</v>
      </c>
      <c r="AL597" s="74" t="n">
        <v>1.26</v>
      </c>
    </row>
    <row r="598">
      <c r="A598" s="74" t="inlineStr">
        <is>
          <t>[조촌동]</t>
        </is>
      </c>
      <c r="B598" s="74" t="n">
        <v>113152</v>
      </c>
      <c r="C598" s="74" t="n">
        <v>7</v>
      </c>
      <c r="D598" s="74" t="inlineStr">
        <is>
          <t>군산디오션시티푸르지오</t>
        </is>
      </c>
      <c r="E598" s="74" t="inlineStr">
        <is>
          <t>2018.03.</t>
        </is>
      </c>
      <c r="F598" s="74" t="n">
        <v>1400</v>
      </c>
      <c r="G598" s="74" t="n">
        <v>34.58</v>
      </c>
      <c r="H598" s="74" t="n">
        <v>114.33</v>
      </c>
      <c r="I598" s="74" t="n">
        <v>25.58</v>
      </c>
      <c r="J598" s="74" t="n">
        <v>84.58</v>
      </c>
      <c r="K598" s="74" t="n">
        <v>128</v>
      </c>
      <c r="T598" s="74" t="n">
        <v>3</v>
      </c>
      <c r="U598" s="74" t="n">
        <v>2</v>
      </c>
      <c r="V598" s="74" t="inlineStr">
        <is>
          <t>계단식</t>
        </is>
      </c>
      <c r="W598" s="74" t="n">
        <v>114</v>
      </c>
      <c r="X598" s="74" t="n">
        <v>29</v>
      </c>
      <c r="Y598" s="74" t="n">
        <v>24</v>
      </c>
      <c r="Z598" s="74" t="inlineStr">
        <is>
          <t>https://new.land.naver.com/complexes/113152?tab=detail&amp;rf=Y</t>
        </is>
      </c>
      <c r="AA598" s="74" t="inlineStr">
        <is>
          <t>전라북도 군산시 조촌동 3943</t>
        </is>
      </c>
      <c r="AB598" s="74" t="inlineStr">
        <is>
          <t>전라북도</t>
        </is>
      </c>
      <c r="AC598" s="74" t="inlineStr">
        <is>
          <t>군산시</t>
        </is>
      </c>
      <c r="AD598" s="74" t="inlineStr">
        <is>
          <t>조촌동</t>
        </is>
      </c>
      <c r="AG598" s="74" t="inlineStr">
        <is>
          <t>전라북도 군산시 궁포2로 20</t>
        </is>
      </c>
      <c r="AH598" s="74" t="n">
        <v>0</v>
      </c>
      <c r="AI598" s="74" t="n">
        <v>245</v>
      </c>
      <c r="AJ598" s="74" t="n">
        <v>15</v>
      </c>
      <c r="AK598" s="74" t="n">
        <v>1770</v>
      </c>
      <c r="AL598" s="74" t="n">
        <v>1.26</v>
      </c>
    </row>
    <row r="599">
      <c r="A599" s="74" t="inlineStr">
        <is>
          <t>[조촌동]</t>
        </is>
      </c>
      <c r="B599" s="74" t="n">
        <v>113152</v>
      </c>
      <c r="C599" s="74" t="n">
        <v>8</v>
      </c>
      <c r="D599" s="74" t="inlineStr">
        <is>
          <t>군산디오션시티푸르지오</t>
        </is>
      </c>
      <c r="E599" s="74" t="inlineStr">
        <is>
          <t>2018.03.</t>
        </is>
      </c>
      <c r="F599" s="74" t="n">
        <v>1400</v>
      </c>
      <c r="G599" s="74" t="n">
        <v>34.91</v>
      </c>
      <c r="H599" s="74" t="n">
        <v>115.43</v>
      </c>
      <c r="I599" s="74" t="n">
        <v>25.57</v>
      </c>
      <c r="J599" s="74" t="n">
        <v>84.55</v>
      </c>
      <c r="K599" s="74" t="n">
        <v>135</v>
      </c>
      <c r="T599" s="74" t="n">
        <v>3</v>
      </c>
      <c r="U599" s="74" t="n">
        <v>2</v>
      </c>
      <c r="V599" s="74" t="inlineStr">
        <is>
          <t>계단식</t>
        </is>
      </c>
      <c r="W599" s="74" t="inlineStr">
        <is>
          <t>115B</t>
        </is>
      </c>
      <c r="X599" s="74" t="n">
        <v>29</v>
      </c>
      <c r="Y599" s="74" t="n">
        <v>24</v>
      </c>
      <c r="Z599" s="74" t="inlineStr">
        <is>
          <t>https://new.land.naver.com/complexes/113152?tab=detail&amp;rf=Y</t>
        </is>
      </c>
      <c r="AA599" s="74" t="inlineStr">
        <is>
          <t>전라북도 군산시 조촌동 3943</t>
        </is>
      </c>
      <c r="AB599" s="74" t="inlineStr">
        <is>
          <t>전라북도</t>
        </is>
      </c>
      <c r="AC599" s="74" t="inlineStr">
        <is>
          <t>군산시</t>
        </is>
      </c>
      <c r="AD599" s="74" t="inlineStr">
        <is>
          <t>조촌동</t>
        </is>
      </c>
      <c r="AG599" s="74" t="inlineStr">
        <is>
          <t>전라북도 군산시 궁포2로 20</t>
        </is>
      </c>
      <c r="AH599" s="74" t="n">
        <v>0</v>
      </c>
      <c r="AI599" s="74" t="n">
        <v>245</v>
      </c>
      <c r="AJ599" s="74" t="n">
        <v>15</v>
      </c>
      <c r="AK599" s="74" t="n">
        <v>1770</v>
      </c>
      <c r="AL599" s="74" t="n">
        <v>1.26</v>
      </c>
    </row>
    <row r="600">
      <c r="A600" s="74" t="inlineStr">
        <is>
          <t>[조촌동]</t>
        </is>
      </c>
      <c r="B600" s="74" t="n">
        <v>113152</v>
      </c>
      <c r="C600" s="74" t="n">
        <v>9</v>
      </c>
      <c r="D600" s="74" t="inlineStr">
        <is>
          <t>군산디오션시티푸르지오</t>
        </is>
      </c>
      <c r="E600" s="74" t="inlineStr">
        <is>
          <t>2018.03.</t>
        </is>
      </c>
      <c r="F600" s="74" t="n">
        <v>1400</v>
      </c>
      <c r="G600" s="74" t="n">
        <v>34.98</v>
      </c>
      <c r="H600" s="74" t="n">
        <v>115.64</v>
      </c>
      <c r="I600" s="74" t="n">
        <v>25.42</v>
      </c>
      <c r="J600" s="74" t="n">
        <v>84.04000000000001</v>
      </c>
      <c r="K600" s="74" t="n">
        <v>127</v>
      </c>
      <c r="T600" s="74" t="n">
        <v>3</v>
      </c>
      <c r="U600" s="74" t="n">
        <v>2</v>
      </c>
      <c r="V600" s="74" t="inlineStr">
        <is>
          <t>계단식</t>
        </is>
      </c>
      <c r="W600" s="74" t="inlineStr">
        <is>
          <t>115C</t>
        </is>
      </c>
      <c r="X600" s="74" t="n">
        <v>29</v>
      </c>
      <c r="Y600" s="74" t="n">
        <v>24</v>
      </c>
      <c r="Z600" s="74" t="inlineStr">
        <is>
          <t>https://new.land.naver.com/complexes/113152?tab=detail&amp;rf=Y</t>
        </is>
      </c>
      <c r="AA600" s="74" t="inlineStr">
        <is>
          <t>전라북도 군산시 조촌동 3943</t>
        </is>
      </c>
      <c r="AB600" s="74" t="inlineStr">
        <is>
          <t>전라북도</t>
        </is>
      </c>
      <c r="AC600" s="74" t="inlineStr">
        <is>
          <t>군산시</t>
        </is>
      </c>
      <c r="AD600" s="74" t="inlineStr">
        <is>
          <t>조촌동</t>
        </is>
      </c>
      <c r="AG600" s="74" t="inlineStr">
        <is>
          <t>전라북도 군산시 궁포2로 20</t>
        </is>
      </c>
      <c r="AH600" s="74" t="n">
        <v>0</v>
      </c>
      <c r="AI600" s="74" t="n">
        <v>245</v>
      </c>
      <c r="AJ600" s="74" t="n">
        <v>15</v>
      </c>
      <c r="AK600" s="74" t="n">
        <v>1770</v>
      </c>
      <c r="AL600" s="74" t="n">
        <v>1.26</v>
      </c>
    </row>
    <row r="601">
      <c r="A601" s="74" t="inlineStr">
        <is>
          <t>[조촌동]</t>
        </is>
      </c>
      <c r="B601" s="74" t="n">
        <v>113152</v>
      </c>
      <c r="C601" s="74" t="n">
        <v>10</v>
      </c>
      <c r="D601" s="74" t="inlineStr">
        <is>
          <t>군산디오션시티푸르지오</t>
        </is>
      </c>
      <c r="E601" s="74" t="inlineStr">
        <is>
          <t>2018.03.</t>
        </is>
      </c>
      <c r="F601" s="74" t="n">
        <v>1400</v>
      </c>
      <c r="G601" s="74" t="n">
        <v>40.74</v>
      </c>
      <c r="H601" s="74" t="n">
        <v>134.68</v>
      </c>
      <c r="I601" s="74" t="n">
        <v>30.08</v>
      </c>
      <c r="J601" s="74" t="n">
        <v>99.45999999999999</v>
      </c>
      <c r="K601" s="74" t="n">
        <v>49</v>
      </c>
      <c r="T601" s="74" t="n">
        <v>4</v>
      </c>
      <c r="U601" s="74" t="n">
        <v>2</v>
      </c>
      <c r="V601" s="74" t="inlineStr">
        <is>
          <t>계단식</t>
        </is>
      </c>
      <c r="W601" s="74" t="n">
        <v>134</v>
      </c>
      <c r="X601" s="74" t="n">
        <v>29</v>
      </c>
      <c r="Y601" s="74" t="n">
        <v>24</v>
      </c>
      <c r="Z601" s="74" t="inlineStr">
        <is>
          <t>https://new.land.naver.com/complexes/113152?tab=detail&amp;rf=Y</t>
        </is>
      </c>
      <c r="AA601" s="74" t="inlineStr">
        <is>
          <t>전라북도 군산시 조촌동 3943</t>
        </is>
      </c>
      <c r="AB601" s="74" t="inlineStr">
        <is>
          <t>전라북도</t>
        </is>
      </c>
      <c r="AC601" s="74" t="inlineStr">
        <is>
          <t>군산시</t>
        </is>
      </c>
      <c r="AD601" s="74" t="inlineStr">
        <is>
          <t>조촌동</t>
        </is>
      </c>
      <c r="AG601" s="74" t="inlineStr">
        <is>
          <t>전라북도 군산시 궁포2로 20</t>
        </is>
      </c>
      <c r="AH601" s="74" t="n">
        <v>0</v>
      </c>
      <c r="AI601" s="74" t="n">
        <v>245</v>
      </c>
      <c r="AJ601" s="74" t="n">
        <v>15</v>
      </c>
      <c r="AK601" s="74" t="n">
        <v>1770</v>
      </c>
      <c r="AL601" s="74" t="n">
        <v>1.26</v>
      </c>
    </row>
    <row r="602">
      <c r="A602" s="74" t="inlineStr">
        <is>
          <t>[조촌동]</t>
        </is>
      </c>
      <c r="B602" s="74" t="n">
        <v>126738</v>
      </c>
      <c r="C602" s="74" t="n">
        <v>1</v>
      </c>
      <c r="D602" s="74" t="inlineStr">
        <is>
          <t>타워써미트</t>
        </is>
      </c>
      <c r="E602" s="74" t="inlineStr">
        <is>
          <t>2012.06.</t>
        </is>
      </c>
      <c r="F602" s="74" t="n">
        <v>770</v>
      </c>
      <c r="G602" s="74" t="n">
        <v>23.92</v>
      </c>
      <c r="H602" s="74" t="n">
        <v>79.08</v>
      </c>
      <c r="I602" s="74" t="n">
        <v>18.13</v>
      </c>
      <c r="J602" s="74" t="n">
        <v>59.94</v>
      </c>
      <c r="K602" s="74" t="n">
        <v>129</v>
      </c>
      <c r="T602" s="74" t="n">
        <v>3</v>
      </c>
      <c r="U602" s="74" t="n">
        <v>1</v>
      </c>
      <c r="V602" s="74" t="inlineStr">
        <is>
          <t>계단식</t>
        </is>
      </c>
      <c r="W602" s="74" t="n">
        <v>79</v>
      </c>
      <c r="X602" s="74" t="n">
        <v>25</v>
      </c>
      <c r="Y602" s="74" t="n">
        <v>14</v>
      </c>
      <c r="Z602" s="74" t="inlineStr">
        <is>
          <t>https://new.land.naver.com/complexes/126738?tab=detail&amp;rf=Y</t>
        </is>
      </c>
      <c r="AA602" s="74" t="inlineStr">
        <is>
          <t>전라북도 군산시 조촌동 3931</t>
        </is>
      </c>
      <c r="AB602" s="74" t="inlineStr">
        <is>
          <t>전라북도</t>
        </is>
      </c>
      <c r="AC602" s="74" t="inlineStr">
        <is>
          <t>군산시</t>
        </is>
      </c>
      <c r="AD602" s="74" t="inlineStr">
        <is>
          <t>조촌동</t>
        </is>
      </c>
      <c r="AG602" s="74" t="inlineStr">
        <is>
          <t>전라북도 군산시 공단대로 54</t>
        </is>
      </c>
      <c r="AH602" s="74" t="n">
        <v>0</v>
      </c>
      <c r="AI602" s="74" t="n">
        <v>244</v>
      </c>
      <c r="AJ602" s="74" t="n">
        <v>15</v>
      </c>
      <c r="AK602" s="74" t="n">
        <v>837</v>
      </c>
      <c r="AL602" s="74" t="n">
        <v>1.09</v>
      </c>
    </row>
    <row r="603">
      <c r="A603" s="74" t="inlineStr">
        <is>
          <t>[조촌동]</t>
        </is>
      </c>
      <c r="B603" s="74" t="n">
        <v>126738</v>
      </c>
      <c r="C603" s="74" t="n">
        <v>2</v>
      </c>
      <c r="D603" s="74" t="inlineStr">
        <is>
          <t>타워써미트</t>
        </is>
      </c>
      <c r="E603" s="74" t="inlineStr">
        <is>
          <t>2012.06.</t>
        </is>
      </c>
      <c r="F603" s="74" t="n">
        <v>770</v>
      </c>
      <c r="G603" s="74" t="n">
        <v>33.9</v>
      </c>
      <c r="H603" s="74" t="n">
        <v>112.09</v>
      </c>
      <c r="I603" s="74" t="n">
        <v>25.7</v>
      </c>
      <c r="J603" s="74" t="n">
        <v>84.95999999999999</v>
      </c>
      <c r="K603" s="74" t="n">
        <v>277</v>
      </c>
      <c r="T603" s="74" t="n">
        <v>3</v>
      </c>
      <c r="U603" s="74" t="n">
        <v>2</v>
      </c>
      <c r="V603" s="74" t="inlineStr">
        <is>
          <t>계단식</t>
        </is>
      </c>
      <c r="W603" s="74" t="inlineStr">
        <is>
          <t>112B</t>
        </is>
      </c>
      <c r="X603" s="74" t="n">
        <v>25</v>
      </c>
      <c r="Y603" s="74" t="n">
        <v>14</v>
      </c>
      <c r="Z603" s="74" t="inlineStr">
        <is>
          <t>https://new.land.naver.com/complexes/126738?tab=detail&amp;rf=Y</t>
        </is>
      </c>
      <c r="AA603" s="74" t="inlineStr">
        <is>
          <t>전라북도 군산시 조촌동 3931</t>
        </is>
      </c>
      <c r="AB603" s="74" t="inlineStr">
        <is>
          <t>전라북도</t>
        </is>
      </c>
      <c r="AC603" s="74" t="inlineStr">
        <is>
          <t>군산시</t>
        </is>
      </c>
      <c r="AD603" s="74" t="inlineStr">
        <is>
          <t>조촌동</t>
        </is>
      </c>
      <c r="AG603" s="74" t="inlineStr">
        <is>
          <t>전라북도 군산시 공단대로 54</t>
        </is>
      </c>
      <c r="AH603" s="74" t="n">
        <v>0</v>
      </c>
      <c r="AI603" s="74" t="n">
        <v>244</v>
      </c>
      <c r="AJ603" s="74" t="n">
        <v>15</v>
      </c>
      <c r="AK603" s="74" t="n">
        <v>837</v>
      </c>
      <c r="AL603" s="74" t="n">
        <v>1.09</v>
      </c>
    </row>
    <row r="604">
      <c r="A604" s="74" t="inlineStr">
        <is>
          <t>[조촌동]</t>
        </is>
      </c>
      <c r="B604" s="74" t="n">
        <v>126738</v>
      </c>
      <c r="C604" s="74" t="n">
        <v>3</v>
      </c>
      <c r="D604" s="74" t="inlineStr">
        <is>
          <t>타워써미트</t>
        </is>
      </c>
      <c r="E604" s="74" t="inlineStr">
        <is>
          <t>2012.06.</t>
        </is>
      </c>
      <c r="F604" s="74" t="n">
        <v>770</v>
      </c>
      <c r="G604" s="74" t="n">
        <v>33.88</v>
      </c>
      <c r="H604" s="74" t="n">
        <v>112.02</v>
      </c>
      <c r="I604" s="74" t="n">
        <v>25.68</v>
      </c>
      <c r="J604" s="74" t="n">
        <v>84.91</v>
      </c>
      <c r="K604" s="74" t="n">
        <v>191</v>
      </c>
      <c r="T604" s="74" t="n">
        <v>3</v>
      </c>
      <c r="U604" s="74" t="n">
        <v>2</v>
      </c>
      <c r="V604" s="74" t="inlineStr">
        <is>
          <t>계단식</t>
        </is>
      </c>
      <c r="W604" s="74" t="inlineStr">
        <is>
          <t>112A</t>
        </is>
      </c>
      <c r="X604" s="74" t="n">
        <v>25</v>
      </c>
      <c r="Y604" s="74" t="n">
        <v>14</v>
      </c>
      <c r="Z604" s="74" t="inlineStr">
        <is>
          <t>https://new.land.naver.com/complexes/126738?tab=detail&amp;rf=Y</t>
        </is>
      </c>
      <c r="AA604" s="74" t="inlineStr">
        <is>
          <t>전라북도 군산시 조촌동 3931</t>
        </is>
      </c>
      <c r="AB604" s="74" t="inlineStr">
        <is>
          <t>전라북도</t>
        </is>
      </c>
      <c r="AC604" s="74" t="inlineStr">
        <is>
          <t>군산시</t>
        </is>
      </c>
      <c r="AD604" s="74" t="inlineStr">
        <is>
          <t>조촌동</t>
        </is>
      </c>
      <c r="AG604" s="74" t="inlineStr">
        <is>
          <t>전라북도 군산시 공단대로 54</t>
        </is>
      </c>
      <c r="AH604" s="74" t="n">
        <v>0</v>
      </c>
      <c r="AI604" s="74" t="n">
        <v>244</v>
      </c>
      <c r="AJ604" s="74" t="n">
        <v>15</v>
      </c>
      <c r="AK604" s="74" t="n">
        <v>837</v>
      </c>
      <c r="AL604" s="74" t="n">
        <v>1.09</v>
      </c>
    </row>
    <row r="605">
      <c r="A605" s="74" t="inlineStr">
        <is>
          <t>[조촌동]</t>
        </is>
      </c>
      <c r="B605" s="74" t="n">
        <v>126738</v>
      </c>
      <c r="C605" s="74" t="n">
        <v>4</v>
      </c>
      <c r="D605" s="74" t="inlineStr">
        <is>
          <t>타워써미트</t>
        </is>
      </c>
      <c r="E605" s="74" t="inlineStr">
        <is>
          <t>2012.06.</t>
        </is>
      </c>
      <c r="F605" s="74" t="n">
        <v>770</v>
      </c>
      <c r="G605" s="74" t="n">
        <v>33.91</v>
      </c>
      <c r="H605" s="74" t="n">
        <v>112.13</v>
      </c>
      <c r="I605" s="74" t="n">
        <v>25.7</v>
      </c>
      <c r="J605" s="74" t="n">
        <v>84.98999999999999</v>
      </c>
      <c r="K605" s="74" t="n">
        <v>173</v>
      </c>
      <c r="T605" s="74" t="n">
        <v>3</v>
      </c>
      <c r="U605" s="74" t="n">
        <v>2</v>
      </c>
      <c r="V605" s="74" t="inlineStr">
        <is>
          <t>계단식</t>
        </is>
      </c>
      <c r="W605" s="74" t="inlineStr">
        <is>
          <t>112C</t>
        </is>
      </c>
      <c r="X605" s="74" t="n">
        <v>25</v>
      </c>
      <c r="Y605" s="74" t="n">
        <v>14</v>
      </c>
      <c r="Z605" s="74" t="inlineStr">
        <is>
          <t>https://new.land.naver.com/complexes/126738?tab=detail&amp;rf=Y</t>
        </is>
      </c>
      <c r="AA605" s="74" t="inlineStr">
        <is>
          <t>전라북도 군산시 조촌동 3931</t>
        </is>
      </c>
      <c r="AB605" s="74" t="inlineStr">
        <is>
          <t>전라북도</t>
        </is>
      </c>
      <c r="AC605" s="74" t="inlineStr">
        <is>
          <t>군산시</t>
        </is>
      </c>
      <c r="AD605" s="74" t="inlineStr">
        <is>
          <t>조촌동</t>
        </is>
      </c>
      <c r="AG605" s="74" t="inlineStr">
        <is>
          <t>전라북도 군산시 공단대로 54</t>
        </is>
      </c>
      <c r="AH605" s="74" t="n">
        <v>0</v>
      </c>
      <c r="AI605" s="74" t="n">
        <v>244</v>
      </c>
      <c r="AJ605" s="74" t="n">
        <v>15</v>
      </c>
      <c r="AK605" s="74" t="n">
        <v>837</v>
      </c>
      <c r="AL605" s="74" t="n">
        <v>1.09</v>
      </c>
    </row>
    <row r="606">
      <c r="A606" s="74" t="inlineStr">
        <is>
          <t>[조촌동]</t>
        </is>
      </c>
      <c r="B606" s="74" t="n">
        <v>106468</v>
      </c>
      <c r="C606" s="74" t="n">
        <v>1</v>
      </c>
      <c r="D606" s="74" t="inlineStr">
        <is>
          <t>현대한솔</t>
        </is>
      </c>
      <c r="E606" s="74" t="inlineStr">
        <is>
          <t>2001.02.</t>
        </is>
      </c>
      <c r="F606" s="74" t="n">
        <v>154</v>
      </c>
      <c r="G606" s="74" t="n">
        <v>18.17</v>
      </c>
      <c r="H606" s="74" t="n">
        <v>60.09</v>
      </c>
      <c r="I606" s="74" t="n">
        <v>13.44</v>
      </c>
      <c r="J606" s="74" t="n">
        <v>44.46</v>
      </c>
      <c r="K606" s="74" t="n">
        <v>28</v>
      </c>
      <c r="T606" s="74" t="n">
        <v>2</v>
      </c>
      <c r="U606" s="74" t="n">
        <v>1</v>
      </c>
      <c r="V606" s="74" t="inlineStr">
        <is>
          <t>복도식</t>
        </is>
      </c>
      <c r="W606" s="74" t="n">
        <v>60</v>
      </c>
      <c r="X606" s="74" t="n">
        <v>15</v>
      </c>
      <c r="Y606" s="74" t="n">
        <v>15</v>
      </c>
      <c r="Z606" s="74" t="inlineStr">
        <is>
          <t>https://new.land.naver.com/complexes/106468?tab=detail&amp;rf=Y</t>
        </is>
      </c>
      <c r="AA606" s="74" t="inlineStr">
        <is>
          <t>전라북도 군산시 조촌동 895-16</t>
        </is>
      </c>
      <c r="AB606" s="74" t="inlineStr">
        <is>
          <t>전라북도</t>
        </is>
      </c>
      <c r="AC606" s="74" t="inlineStr">
        <is>
          <t>군산시</t>
        </is>
      </c>
      <c r="AD606" s="74" t="inlineStr">
        <is>
          <t>조촌동</t>
        </is>
      </c>
      <c r="AG606" s="74" t="inlineStr">
        <is>
          <t>전라북도 군산시 번영로 159</t>
        </is>
      </c>
      <c r="AH606" s="74" t="n">
        <v>3</v>
      </c>
      <c r="AI606" s="74" t="n">
        <v>580</v>
      </c>
      <c r="AJ606" s="74" t="n">
        <v>56</v>
      </c>
      <c r="AK606" s="74" t="n">
        <v>151</v>
      </c>
      <c r="AL606" s="74" t="n">
        <v>0.98</v>
      </c>
    </row>
    <row r="607">
      <c r="A607" s="74" t="inlineStr">
        <is>
          <t>[조촌동]</t>
        </is>
      </c>
      <c r="B607" s="74" t="n">
        <v>106468</v>
      </c>
      <c r="C607" s="74" t="n">
        <v>2</v>
      </c>
      <c r="D607" s="74" t="inlineStr">
        <is>
          <t>현대한솔</t>
        </is>
      </c>
      <c r="E607" s="74" t="inlineStr">
        <is>
          <t>2001.02.</t>
        </is>
      </c>
      <c r="F607" s="74" t="n">
        <v>154</v>
      </c>
      <c r="G607" s="74" t="n">
        <v>27.05</v>
      </c>
      <c r="H607" s="74" t="n">
        <v>89.43000000000001</v>
      </c>
      <c r="I607" s="74" t="n">
        <v>20.06</v>
      </c>
      <c r="J607" s="74" t="n">
        <v>66.31999999999999</v>
      </c>
      <c r="K607" s="74" t="n">
        <v>27</v>
      </c>
      <c r="T607" s="74" t="n">
        <v>3</v>
      </c>
      <c r="U607" s="74" t="n">
        <v>1</v>
      </c>
      <c r="V607" s="74" t="inlineStr">
        <is>
          <t>계단식</t>
        </is>
      </c>
      <c r="W607" s="74" t="n">
        <v>89</v>
      </c>
      <c r="X607" s="74" t="n">
        <v>15</v>
      </c>
      <c r="Y607" s="74" t="n">
        <v>15</v>
      </c>
      <c r="Z607" s="74" t="inlineStr">
        <is>
          <t>https://new.land.naver.com/complexes/106468?tab=detail&amp;rf=Y</t>
        </is>
      </c>
      <c r="AA607" s="74" t="inlineStr">
        <is>
          <t>전라북도 군산시 조촌동 895-16</t>
        </is>
      </c>
      <c r="AB607" s="74" t="inlineStr">
        <is>
          <t>전라북도</t>
        </is>
      </c>
      <c r="AC607" s="74" t="inlineStr">
        <is>
          <t>군산시</t>
        </is>
      </c>
      <c r="AD607" s="74" t="inlineStr">
        <is>
          <t>조촌동</t>
        </is>
      </c>
      <c r="AG607" s="74" t="inlineStr">
        <is>
          <t>전라북도 군산시 번영로 159</t>
        </is>
      </c>
      <c r="AH607" s="74" t="n">
        <v>3</v>
      </c>
      <c r="AI607" s="74" t="n">
        <v>580</v>
      </c>
      <c r="AJ607" s="74" t="n">
        <v>56</v>
      </c>
      <c r="AK607" s="74" t="n">
        <v>151</v>
      </c>
      <c r="AL607" s="74" t="n">
        <v>0.98</v>
      </c>
    </row>
    <row r="608">
      <c r="A608" s="74" t="inlineStr">
        <is>
          <t>[조촌동]</t>
        </is>
      </c>
      <c r="B608" s="74" t="n">
        <v>106468</v>
      </c>
      <c r="C608" s="74" t="n">
        <v>3</v>
      </c>
      <c r="D608" s="74" t="inlineStr">
        <is>
          <t>현대한솔</t>
        </is>
      </c>
      <c r="E608" s="74" t="inlineStr">
        <is>
          <t>2001.02.</t>
        </is>
      </c>
      <c r="F608" s="74" t="n">
        <v>154</v>
      </c>
      <c r="G608" s="74" t="n">
        <v>34.56</v>
      </c>
      <c r="H608" s="74" t="n">
        <v>114.26</v>
      </c>
      <c r="I608" s="74" t="n">
        <v>25.6</v>
      </c>
      <c r="J608" s="74" t="n">
        <v>84.63</v>
      </c>
      <c r="K608" s="74" t="n">
        <v>96</v>
      </c>
      <c r="T608" s="74" t="n">
        <v>3</v>
      </c>
      <c r="U608" s="74" t="n">
        <v>2</v>
      </c>
      <c r="V608" s="74" t="inlineStr">
        <is>
          <t>계단식</t>
        </is>
      </c>
      <c r="W608" s="74" t="n">
        <v>114</v>
      </c>
      <c r="X608" s="74" t="n">
        <v>15</v>
      </c>
      <c r="Y608" s="74" t="n">
        <v>15</v>
      </c>
      <c r="Z608" s="74" t="inlineStr">
        <is>
          <t>https://new.land.naver.com/complexes/106468?tab=detail&amp;rf=Y</t>
        </is>
      </c>
      <c r="AA608" s="74" t="inlineStr">
        <is>
          <t>전라북도 군산시 조촌동 895-16</t>
        </is>
      </c>
      <c r="AB608" s="74" t="inlineStr">
        <is>
          <t>전라북도</t>
        </is>
      </c>
      <c r="AC608" s="74" t="inlineStr">
        <is>
          <t>군산시</t>
        </is>
      </c>
      <c r="AD608" s="74" t="inlineStr">
        <is>
          <t>조촌동</t>
        </is>
      </c>
      <c r="AG608" s="74" t="inlineStr">
        <is>
          <t>전라북도 군산시 번영로 159</t>
        </is>
      </c>
      <c r="AH608" s="74" t="n">
        <v>3</v>
      </c>
      <c r="AI608" s="74" t="n">
        <v>580</v>
      </c>
      <c r="AJ608" s="74" t="n">
        <v>56</v>
      </c>
      <c r="AK608" s="74" t="n">
        <v>151</v>
      </c>
      <c r="AL608" s="74" t="n">
        <v>0.98</v>
      </c>
    </row>
    <row r="609">
      <c r="A609" s="74" t="inlineStr">
        <is>
          <t>[조촌동]</t>
        </is>
      </c>
      <c r="B609" s="74" t="n">
        <v>5067</v>
      </c>
      <c r="C609" s="74" t="n">
        <v>1</v>
      </c>
      <c r="D609" s="74" t="inlineStr">
        <is>
          <t>삼성</t>
        </is>
      </c>
      <c r="E609" s="74" t="inlineStr">
        <is>
          <t>1992.10.</t>
        </is>
      </c>
      <c r="F609" s="74" t="n">
        <v>306</v>
      </c>
      <c r="G609" s="74" t="n">
        <v>27.91</v>
      </c>
      <c r="H609" s="74" t="n">
        <v>92.27</v>
      </c>
      <c r="I609" s="74" t="n">
        <v>22.33</v>
      </c>
      <c r="J609" s="74" t="n">
        <v>73.83</v>
      </c>
      <c r="K609" s="74" t="n">
        <v>72</v>
      </c>
      <c r="T609" s="74" t="n">
        <v>3</v>
      </c>
      <c r="U609" s="74" t="n">
        <v>1</v>
      </c>
      <c r="V609" s="74" t="inlineStr">
        <is>
          <t>계단식</t>
        </is>
      </c>
      <c r="W609" s="74" t="n">
        <v>92</v>
      </c>
      <c r="X609" s="74" t="n">
        <v>15</v>
      </c>
      <c r="Y609" s="74" t="n">
        <v>12</v>
      </c>
      <c r="Z609" s="74" t="inlineStr">
        <is>
          <t>https://new.land.naver.com/complexes/5067?tab=detail&amp;rf=Y</t>
        </is>
      </c>
      <c r="AA609" s="74" t="inlineStr">
        <is>
          <t>전라북도 군산시 조촌동 491</t>
        </is>
      </c>
      <c r="AB609" s="74" t="inlineStr">
        <is>
          <t>전라북도</t>
        </is>
      </c>
      <c r="AC609" s="74" t="inlineStr">
        <is>
          <t>군산시</t>
        </is>
      </c>
      <c r="AD609" s="74" t="inlineStr">
        <is>
          <t>조촌동</t>
        </is>
      </c>
      <c r="AG609" s="74" t="inlineStr">
        <is>
          <t>전라북도 군산시 백릉로 162</t>
        </is>
      </c>
      <c r="AH609" s="74" t="n">
        <v>0</v>
      </c>
      <c r="AI609" s="74" t="n">
        <v>226</v>
      </c>
      <c r="AJ609" s="74" t="n">
        <v>19</v>
      </c>
      <c r="AK609" s="74" t="n">
        <v>306</v>
      </c>
      <c r="AL609" s="74" t="n">
        <v>1</v>
      </c>
    </row>
    <row r="610">
      <c r="A610" s="74" t="inlineStr">
        <is>
          <t>[조촌동]</t>
        </is>
      </c>
      <c r="B610" s="74" t="n">
        <v>5067</v>
      </c>
      <c r="C610" s="74" t="n">
        <v>2</v>
      </c>
      <c r="D610" s="74" t="inlineStr">
        <is>
          <t>삼성</t>
        </is>
      </c>
      <c r="E610" s="74" t="inlineStr">
        <is>
          <t>1992.10.</t>
        </is>
      </c>
      <c r="F610" s="74" t="n">
        <v>306</v>
      </c>
      <c r="G610" s="74" t="n">
        <v>27.9</v>
      </c>
      <c r="H610" s="74" t="n">
        <v>92.23999999999999</v>
      </c>
      <c r="I610" s="74" t="n">
        <v>22.22</v>
      </c>
      <c r="J610" s="74" t="n">
        <v>73.47</v>
      </c>
      <c r="K610" s="74" t="n">
        <v>72</v>
      </c>
      <c r="T610" s="74" t="n">
        <v>3</v>
      </c>
      <c r="U610" s="74" t="n">
        <v>1</v>
      </c>
      <c r="V610" s="74" t="inlineStr">
        <is>
          <t>계단식</t>
        </is>
      </c>
      <c r="W610" s="74" t="inlineStr">
        <is>
          <t>92S</t>
        </is>
      </c>
      <c r="X610" s="74" t="n">
        <v>15</v>
      </c>
      <c r="Y610" s="74" t="n">
        <v>12</v>
      </c>
      <c r="Z610" s="74" t="inlineStr">
        <is>
          <t>https://new.land.naver.com/complexes/5067?tab=detail&amp;rf=Y</t>
        </is>
      </c>
      <c r="AA610" s="74" t="inlineStr">
        <is>
          <t>전라북도 군산시 조촌동 491</t>
        </is>
      </c>
      <c r="AB610" s="74" t="inlineStr">
        <is>
          <t>전라북도</t>
        </is>
      </c>
      <c r="AC610" s="74" t="inlineStr">
        <is>
          <t>군산시</t>
        </is>
      </c>
      <c r="AD610" s="74" t="inlineStr">
        <is>
          <t>조촌동</t>
        </is>
      </c>
      <c r="AG610" s="74" t="inlineStr">
        <is>
          <t>전라북도 군산시 백릉로 162</t>
        </is>
      </c>
      <c r="AH610" s="74" t="n">
        <v>0</v>
      </c>
      <c r="AI610" s="74" t="n">
        <v>226</v>
      </c>
      <c r="AJ610" s="74" t="n">
        <v>19</v>
      </c>
      <c r="AK610" s="74" t="n">
        <v>306</v>
      </c>
      <c r="AL610" s="74" t="n">
        <v>1</v>
      </c>
    </row>
    <row r="611">
      <c r="A611" s="74" t="inlineStr">
        <is>
          <t>[조촌동]</t>
        </is>
      </c>
      <c r="B611" s="74" t="n">
        <v>5067</v>
      </c>
      <c r="C611" s="74" t="n">
        <v>3</v>
      </c>
      <c r="D611" s="74" t="inlineStr">
        <is>
          <t>삼성</t>
        </is>
      </c>
      <c r="E611" s="74" t="inlineStr">
        <is>
          <t>1992.10.</t>
        </is>
      </c>
      <c r="F611" s="74" t="n">
        <v>306</v>
      </c>
      <c r="G611" s="74" t="n">
        <v>31.65</v>
      </c>
      <c r="H611" s="74" t="n">
        <v>104.63</v>
      </c>
      <c r="I611" s="74" t="n">
        <v>25.7</v>
      </c>
      <c r="J611" s="74" t="n">
        <v>84.98999999999999</v>
      </c>
      <c r="K611" s="74" t="n">
        <v>132</v>
      </c>
      <c r="T611" s="74" t="n">
        <v>3</v>
      </c>
      <c r="U611" s="74" t="n">
        <v>2</v>
      </c>
      <c r="V611" s="74" t="inlineStr">
        <is>
          <t>계단식</t>
        </is>
      </c>
      <c r="W611" s="74" t="n">
        <v>104</v>
      </c>
      <c r="X611" s="74" t="n">
        <v>15</v>
      </c>
      <c r="Y611" s="74" t="n">
        <v>12</v>
      </c>
      <c r="Z611" s="74" t="inlineStr">
        <is>
          <t>https://new.land.naver.com/complexes/5067?tab=detail&amp;rf=Y</t>
        </is>
      </c>
      <c r="AA611" s="74" t="inlineStr">
        <is>
          <t>전라북도 군산시 조촌동 491</t>
        </is>
      </c>
      <c r="AB611" s="74" t="inlineStr">
        <is>
          <t>전라북도</t>
        </is>
      </c>
      <c r="AC611" s="74" t="inlineStr">
        <is>
          <t>군산시</t>
        </is>
      </c>
      <c r="AD611" s="74" t="inlineStr">
        <is>
          <t>조촌동</t>
        </is>
      </c>
      <c r="AG611" s="74" t="inlineStr">
        <is>
          <t>전라북도 군산시 백릉로 162</t>
        </is>
      </c>
      <c r="AH611" s="74" t="n">
        <v>0</v>
      </c>
      <c r="AI611" s="74" t="n">
        <v>226</v>
      </c>
      <c r="AJ611" s="74" t="n">
        <v>19</v>
      </c>
      <c r="AK611" s="74" t="n">
        <v>306</v>
      </c>
      <c r="AL611" s="74" t="n">
        <v>1</v>
      </c>
    </row>
    <row r="612">
      <c r="A612" s="74" t="inlineStr">
        <is>
          <t>[조촌동]</t>
        </is>
      </c>
      <c r="B612" s="74" t="n">
        <v>5067</v>
      </c>
      <c r="C612" s="74" t="n">
        <v>4</v>
      </c>
      <c r="D612" s="74" t="inlineStr">
        <is>
          <t>삼성</t>
        </is>
      </c>
      <c r="E612" s="74" t="inlineStr">
        <is>
          <t>1992.10.</t>
        </is>
      </c>
      <c r="F612" s="74" t="n">
        <v>306</v>
      </c>
      <c r="G612" s="74" t="n">
        <v>31.6</v>
      </c>
      <c r="H612" s="74" t="n">
        <v>104.47</v>
      </c>
      <c r="I612" s="74" t="n">
        <v>25.68</v>
      </c>
      <c r="J612" s="74" t="n">
        <v>84.90000000000001</v>
      </c>
      <c r="K612" s="74" t="n">
        <v>30</v>
      </c>
      <c r="T612" s="74" t="n">
        <v>3</v>
      </c>
      <c r="U612" s="74" t="n">
        <v>2</v>
      </c>
      <c r="V612" s="74" t="inlineStr">
        <is>
          <t>계단식</t>
        </is>
      </c>
      <c r="W612" s="74" t="inlineStr">
        <is>
          <t>104S</t>
        </is>
      </c>
      <c r="X612" s="74" t="n">
        <v>15</v>
      </c>
      <c r="Y612" s="74" t="n">
        <v>12</v>
      </c>
      <c r="Z612" s="74" t="inlineStr">
        <is>
          <t>https://new.land.naver.com/complexes/5067?tab=detail&amp;rf=Y</t>
        </is>
      </c>
      <c r="AA612" s="74" t="inlineStr">
        <is>
          <t>전라북도 군산시 조촌동 491</t>
        </is>
      </c>
      <c r="AB612" s="74" t="inlineStr">
        <is>
          <t>전라북도</t>
        </is>
      </c>
      <c r="AC612" s="74" t="inlineStr">
        <is>
          <t>군산시</t>
        </is>
      </c>
      <c r="AD612" s="74" t="inlineStr">
        <is>
          <t>조촌동</t>
        </is>
      </c>
      <c r="AG612" s="74" t="inlineStr">
        <is>
          <t>전라북도 군산시 백릉로 162</t>
        </is>
      </c>
      <c r="AH612" s="74" t="n">
        <v>0</v>
      </c>
      <c r="AI612" s="74" t="n">
        <v>226</v>
      </c>
      <c r="AJ612" s="74" t="n">
        <v>19</v>
      </c>
      <c r="AK612" s="74" t="n">
        <v>306</v>
      </c>
      <c r="AL612" s="74" t="n">
        <v>1</v>
      </c>
    </row>
    <row r="613">
      <c r="A613" s="74" t="inlineStr">
        <is>
          <t>[조촌동]</t>
        </is>
      </c>
      <c r="B613" s="74" t="n">
        <v>128224</v>
      </c>
      <c r="C613" s="74" t="n">
        <v>1</v>
      </c>
      <c r="D613" s="74" t="inlineStr">
        <is>
          <t>부향하나로</t>
        </is>
      </c>
      <c r="E613" s="74" t="inlineStr">
        <is>
          <t>1996.09.</t>
        </is>
      </c>
      <c r="F613" s="74" t="n">
        <v>402</v>
      </c>
      <c r="G613" s="74" t="n">
        <v>16.24</v>
      </c>
      <c r="H613" s="74" t="n">
        <v>53.69</v>
      </c>
      <c r="I613" s="74" t="n">
        <v>12.08</v>
      </c>
      <c r="J613" s="74" t="n">
        <v>39.96</v>
      </c>
      <c r="K613" s="74" t="n">
        <v>402</v>
      </c>
      <c r="T613" s="74" t="n">
        <v>2</v>
      </c>
      <c r="U613" s="74" t="n">
        <v>1</v>
      </c>
      <c r="V613" s="74" t="inlineStr">
        <is>
          <t>계단식</t>
        </is>
      </c>
      <c r="W613" s="74" t="n">
        <v>53</v>
      </c>
      <c r="X613" s="74" t="n">
        <v>18</v>
      </c>
      <c r="Y613" s="74" t="n">
        <v>15</v>
      </c>
      <c r="Z613" s="74" t="inlineStr">
        <is>
          <t>https://new.land.naver.com/complexes/128224?tab=detail&amp;rf=Y</t>
        </is>
      </c>
      <c r="AA613" s="74" t="inlineStr">
        <is>
          <t>전라북도 군산시 조촌동 771</t>
        </is>
      </c>
      <c r="AB613" s="74" t="inlineStr">
        <is>
          <t>전라북도</t>
        </is>
      </c>
      <c r="AC613" s="74" t="inlineStr">
        <is>
          <t>군산시</t>
        </is>
      </c>
      <c r="AD613" s="74" t="inlineStr">
        <is>
          <t>조촌동</t>
        </is>
      </c>
      <c r="AG613" s="74" t="inlineStr">
        <is>
          <t>전라북도 군산시 번영로 188-22</t>
        </is>
      </c>
      <c r="AH613" s="74" t="n">
        <v>0</v>
      </c>
      <c r="AI613" s="74" t="n">
        <v>418</v>
      </c>
      <c r="AJ613" s="74" t="n">
        <v>33</v>
      </c>
      <c r="AK613" s="74" t="n">
        <v>245</v>
      </c>
      <c r="AL613" s="74" t="n">
        <v>0.61</v>
      </c>
    </row>
    <row r="614">
      <c r="A614" s="74" t="inlineStr">
        <is>
          <t>[조촌동]</t>
        </is>
      </c>
      <c r="B614" s="74" t="n">
        <v>112707</v>
      </c>
      <c r="C614" s="74" t="n">
        <v>1</v>
      </c>
      <c r="D614" s="74" t="inlineStr">
        <is>
          <t>e편한세상군산디오션시티</t>
        </is>
      </c>
      <c r="E614" s="74" t="inlineStr">
        <is>
          <t>2018.11.</t>
        </is>
      </c>
      <c r="F614" s="74" t="n">
        <v>854</v>
      </c>
      <c r="G614" s="74" t="n">
        <v>24.35</v>
      </c>
      <c r="H614" s="74" t="n">
        <v>80.5</v>
      </c>
      <c r="I614" s="74" t="n">
        <v>18.11</v>
      </c>
      <c r="J614" s="74" t="n">
        <v>59.88</v>
      </c>
      <c r="K614" s="74" t="n">
        <v>174</v>
      </c>
      <c r="T614" s="74" t="n">
        <v>3</v>
      </c>
      <c r="U614" s="74" t="n">
        <v>2</v>
      </c>
      <c r="V614" s="74" t="inlineStr">
        <is>
          <t>계단식</t>
        </is>
      </c>
      <c r="W614" s="74" t="n">
        <v>80</v>
      </c>
      <c r="X614" s="74" t="n">
        <v>29</v>
      </c>
      <c r="Y614" s="74" t="n">
        <v>29</v>
      </c>
      <c r="Z614" s="74" t="inlineStr">
        <is>
          <t>https://new.land.naver.com/complexes/112707?tab=detail&amp;rf=Y</t>
        </is>
      </c>
      <c r="AA614" s="74" t="inlineStr">
        <is>
          <t>전라북도 군산시 조촌동 3963</t>
        </is>
      </c>
      <c r="AB614" s="74" t="inlineStr">
        <is>
          <t>전라북도</t>
        </is>
      </c>
      <c r="AC614" s="74" t="inlineStr">
        <is>
          <t>군산시</t>
        </is>
      </c>
      <c r="AD614" s="74" t="inlineStr">
        <is>
          <t>조촌동</t>
        </is>
      </c>
      <c r="AG614" s="74" t="inlineStr">
        <is>
          <t>전라북도 군산시 궁포2로 25</t>
        </is>
      </c>
      <c r="AH614" s="74" t="n">
        <v>0</v>
      </c>
      <c r="AI614" s="74" t="n">
        <v>0</v>
      </c>
      <c r="AJ614" s="74" t="n">
        <v>0</v>
      </c>
      <c r="AK614" s="74" t="n">
        <v>1100</v>
      </c>
      <c r="AL614" s="74" t="n">
        <v>1.29</v>
      </c>
    </row>
    <row r="615">
      <c r="A615" s="74" t="inlineStr">
        <is>
          <t>[조촌동]</t>
        </is>
      </c>
      <c r="B615" s="74" t="n">
        <v>112707</v>
      </c>
      <c r="C615" s="74" t="n">
        <v>2</v>
      </c>
      <c r="D615" s="74" t="inlineStr">
        <is>
          <t>e편한세상군산디오션시티</t>
        </is>
      </c>
      <c r="E615" s="74" t="inlineStr">
        <is>
          <t>2018.11.</t>
        </is>
      </c>
      <c r="F615" s="74" t="n">
        <v>854</v>
      </c>
      <c r="G615" s="74" t="n">
        <v>30.38</v>
      </c>
      <c r="H615" s="74" t="n">
        <v>100.43</v>
      </c>
      <c r="I615" s="74" t="n">
        <v>22.67</v>
      </c>
      <c r="J615" s="74" t="n">
        <v>74.95999999999999</v>
      </c>
      <c r="K615" s="74" t="n">
        <v>174</v>
      </c>
      <c r="T615" s="74" t="n">
        <v>3</v>
      </c>
      <c r="U615" s="74" t="n">
        <v>2</v>
      </c>
      <c r="V615" s="74" t="inlineStr">
        <is>
          <t>계단식</t>
        </is>
      </c>
      <c r="W615" s="74" t="inlineStr">
        <is>
          <t>100B</t>
        </is>
      </c>
      <c r="X615" s="74" t="n">
        <v>29</v>
      </c>
      <c r="Y615" s="74" t="n">
        <v>29</v>
      </c>
      <c r="Z615" s="74" t="inlineStr">
        <is>
          <t>https://new.land.naver.com/complexes/112707?tab=detail&amp;rf=Y</t>
        </is>
      </c>
      <c r="AA615" s="74" t="inlineStr">
        <is>
          <t>전라북도 군산시 조촌동 3963</t>
        </is>
      </c>
      <c r="AB615" s="74" t="inlineStr">
        <is>
          <t>전라북도</t>
        </is>
      </c>
      <c r="AC615" s="74" t="inlineStr">
        <is>
          <t>군산시</t>
        </is>
      </c>
      <c r="AD615" s="74" t="inlineStr">
        <is>
          <t>조촌동</t>
        </is>
      </c>
      <c r="AG615" s="74" t="inlineStr">
        <is>
          <t>전라북도 군산시 궁포2로 25</t>
        </is>
      </c>
      <c r="AH615" s="74" t="n">
        <v>0</v>
      </c>
      <c r="AI615" s="74" t="n">
        <v>0</v>
      </c>
      <c r="AJ615" s="74" t="n">
        <v>0</v>
      </c>
      <c r="AK615" s="74" t="n">
        <v>1100</v>
      </c>
      <c r="AL615" s="74" t="n">
        <v>1.29</v>
      </c>
    </row>
    <row r="616">
      <c r="A616" s="74" t="inlineStr">
        <is>
          <t>[조촌동]</t>
        </is>
      </c>
      <c r="B616" s="74" t="n">
        <v>112707</v>
      </c>
      <c r="C616" s="74" t="n">
        <v>3</v>
      </c>
      <c r="D616" s="74" t="inlineStr">
        <is>
          <t>e편한세상군산디오션시티</t>
        </is>
      </c>
      <c r="E616" s="74" t="inlineStr">
        <is>
          <t>2018.11.</t>
        </is>
      </c>
      <c r="F616" s="74" t="n">
        <v>854</v>
      </c>
      <c r="G616" s="74" t="n">
        <v>30.27</v>
      </c>
      <c r="H616" s="74" t="n">
        <v>100.08</v>
      </c>
      <c r="I616" s="74" t="n">
        <v>22.67</v>
      </c>
      <c r="J616" s="74" t="n">
        <v>74.95999999999999</v>
      </c>
      <c r="K616" s="74" t="n">
        <v>84</v>
      </c>
      <c r="T616" s="74" t="n">
        <v>3</v>
      </c>
      <c r="U616" s="74" t="n">
        <v>2</v>
      </c>
      <c r="V616" s="74" t="inlineStr">
        <is>
          <t>계단식</t>
        </is>
      </c>
      <c r="W616" s="74" t="inlineStr">
        <is>
          <t>100A</t>
        </is>
      </c>
      <c r="X616" s="74" t="n">
        <v>29</v>
      </c>
      <c r="Y616" s="74" t="n">
        <v>29</v>
      </c>
      <c r="Z616" s="74" t="inlineStr">
        <is>
          <t>https://new.land.naver.com/complexes/112707?tab=detail&amp;rf=Y</t>
        </is>
      </c>
      <c r="AA616" s="74" t="inlineStr">
        <is>
          <t>전라북도 군산시 조촌동 3963</t>
        </is>
      </c>
      <c r="AB616" s="74" t="inlineStr">
        <is>
          <t>전라북도</t>
        </is>
      </c>
      <c r="AC616" s="74" t="inlineStr">
        <is>
          <t>군산시</t>
        </is>
      </c>
      <c r="AD616" s="74" t="inlineStr">
        <is>
          <t>조촌동</t>
        </is>
      </c>
      <c r="AG616" s="74" t="inlineStr">
        <is>
          <t>전라북도 군산시 궁포2로 25</t>
        </is>
      </c>
      <c r="AH616" s="74" t="n">
        <v>0</v>
      </c>
      <c r="AI616" s="74" t="n">
        <v>0</v>
      </c>
      <c r="AJ616" s="74" t="n">
        <v>0</v>
      </c>
      <c r="AK616" s="74" t="n">
        <v>1100</v>
      </c>
      <c r="AL616" s="74" t="n">
        <v>1.29</v>
      </c>
    </row>
    <row r="617">
      <c r="A617" s="74" t="inlineStr">
        <is>
          <t>[조촌동]</t>
        </is>
      </c>
      <c r="B617" s="74" t="n">
        <v>112707</v>
      </c>
      <c r="C617" s="74" t="n">
        <v>4</v>
      </c>
      <c r="D617" s="74" t="inlineStr">
        <is>
          <t>e편한세상군산디오션시티</t>
        </is>
      </c>
      <c r="E617" s="74" t="inlineStr">
        <is>
          <t>2018.11.</t>
        </is>
      </c>
      <c r="F617" s="74" t="n">
        <v>854</v>
      </c>
      <c r="G617" s="74" t="n">
        <v>34.23</v>
      </c>
      <c r="H617" s="74" t="n">
        <v>113.18</v>
      </c>
      <c r="I617" s="74" t="n">
        <v>25.7</v>
      </c>
      <c r="J617" s="74" t="n">
        <v>84.98999999999999</v>
      </c>
      <c r="K617" s="74" t="n">
        <v>253</v>
      </c>
      <c r="T617" s="74" t="n">
        <v>3</v>
      </c>
      <c r="U617" s="74" t="n">
        <v>2</v>
      </c>
      <c r="V617" s="74" t="inlineStr">
        <is>
          <t>계단식</t>
        </is>
      </c>
      <c r="W617" s="74" t="inlineStr">
        <is>
          <t>113A</t>
        </is>
      </c>
      <c r="X617" s="74" t="n">
        <v>29</v>
      </c>
      <c r="Y617" s="74" t="n">
        <v>29</v>
      </c>
      <c r="Z617" s="74" t="inlineStr">
        <is>
          <t>https://new.land.naver.com/complexes/112707?tab=detail&amp;rf=Y</t>
        </is>
      </c>
      <c r="AA617" s="74" t="inlineStr">
        <is>
          <t>전라북도 군산시 조촌동 3963</t>
        </is>
      </c>
      <c r="AB617" s="74" t="inlineStr">
        <is>
          <t>전라북도</t>
        </is>
      </c>
      <c r="AC617" s="74" t="inlineStr">
        <is>
          <t>군산시</t>
        </is>
      </c>
      <c r="AD617" s="74" t="inlineStr">
        <is>
          <t>조촌동</t>
        </is>
      </c>
      <c r="AG617" s="74" t="inlineStr">
        <is>
          <t>전라북도 군산시 궁포2로 25</t>
        </is>
      </c>
      <c r="AH617" s="74" t="n">
        <v>0</v>
      </c>
      <c r="AI617" s="74" t="n">
        <v>0</v>
      </c>
      <c r="AJ617" s="74" t="n">
        <v>0</v>
      </c>
      <c r="AK617" s="74" t="n">
        <v>1100</v>
      </c>
      <c r="AL617" s="74" t="n">
        <v>1.29</v>
      </c>
    </row>
    <row r="618">
      <c r="A618" s="74" t="inlineStr">
        <is>
          <t>[조촌동]</t>
        </is>
      </c>
      <c r="B618" s="74" t="n">
        <v>112707</v>
      </c>
      <c r="C618" s="74" t="n">
        <v>5</v>
      </c>
      <c r="D618" s="74" t="inlineStr">
        <is>
          <t>e편한세상군산디오션시티</t>
        </is>
      </c>
      <c r="E618" s="74" t="inlineStr">
        <is>
          <t>2018.11.</t>
        </is>
      </c>
      <c r="F618" s="74" t="n">
        <v>854</v>
      </c>
      <c r="G618" s="74" t="n">
        <v>34.46</v>
      </c>
      <c r="H618" s="74" t="n">
        <v>113.93</v>
      </c>
      <c r="I618" s="74" t="n">
        <v>25.64</v>
      </c>
      <c r="J618" s="74" t="n">
        <v>84.78</v>
      </c>
      <c r="K618" s="74" t="n">
        <v>82</v>
      </c>
      <c r="T618" s="74" t="n">
        <v>3</v>
      </c>
      <c r="U618" s="74" t="n">
        <v>2</v>
      </c>
      <c r="V618" s="74" t="inlineStr">
        <is>
          <t>계단식</t>
        </is>
      </c>
      <c r="W618" s="74" t="inlineStr">
        <is>
          <t>113B</t>
        </is>
      </c>
      <c r="X618" s="74" t="n">
        <v>29</v>
      </c>
      <c r="Y618" s="74" t="n">
        <v>29</v>
      </c>
      <c r="Z618" s="74" t="inlineStr">
        <is>
          <t>https://new.land.naver.com/complexes/112707?tab=detail&amp;rf=Y</t>
        </is>
      </c>
      <c r="AA618" s="74" t="inlineStr">
        <is>
          <t>전라북도 군산시 조촌동 3963</t>
        </is>
      </c>
      <c r="AB618" s="74" t="inlineStr">
        <is>
          <t>전라북도</t>
        </is>
      </c>
      <c r="AC618" s="74" t="inlineStr">
        <is>
          <t>군산시</t>
        </is>
      </c>
      <c r="AD618" s="74" t="inlineStr">
        <is>
          <t>조촌동</t>
        </is>
      </c>
      <c r="AG618" s="74" t="inlineStr">
        <is>
          <t>전라북도 군산시 궁포2로 25</t>
        </is>
      </c>
      <c r="AH618" s="74" t="n">
        <v>0</v>
      </c>
      <c r="AI618" s="74" t="n">
        <v>0</v>
      </c>
      <c r="AJ618" s="74" t="n">
        <v>0</v>
      </c>
      <c r="AK618" s="74" t="n">
        <v>1100</v>
      </c>
      <c r="AL618" s="74" t="n">
        <v>1.29</v>
      </c>
    </row>
    <row r="619">
      <c r="A619" s="74" t="inlineStr">
        <is>
          <t>[조촌동]</t>
        </is>
      </c>
      <c r="B619" s="74" t="n">
        <v>112707</v>
      </c>
      <c r="C619" s="74" t="n">
        <v>6</v>
      </c>
      <c r="D619" s="74" t="inlineStr">
        <is>
          <t>e편한세상군산디오션시티</t>
        </is>
      </c>
      <c r="E619" s="74" t="inlineStr">
        <is>
          <t>2018.11.</t>
        </is>
      </c>
      <c r="F619" s="74" t="n">
        <v>854</v>
      </c>
      <c r="G619" s="74" t="n">
        <v>42.42</v>
      </c>
      <c r="H619" s="74" t="n">
        <v>140.25</v>
      </c>
      <c r="I619" s="74" t="n">
        <v>32.17</v>
      </c>
      <c r="J619" s="74" t="n">
        <v>106.35</v>
      </c>
      <c r="K619" s="74" t="n">
        <v>87</v>
      </c>
      <c r="T619" s="74" t="n">
        <v>4</v>
      </c>
      <c r="U619" s="74" t="n">
        <v>2</v>
      </c>
      <c r="V619" s="74" t="inlineStr">
        <is>
          <t>계단식</t>
        </is>
      </c>
      <c r="W619" s="74" t="n">
        <v>140</v>
      </c>
      <c r="X619" s="74" t="n">
        <v>29</v>
      </c>
      <c r="Y619" s="74" t="n">
        <v>29</v>
      </c>
      <c r="Z619" s="74" t="inlineStr">
        <is>
          <t>https://new.land.naver.com/complexes/112707?tab=detail&amp;rf=Y</t>
        </is>
      </c>
      <c r="AA619" s="74" t="inlineStr">
        <is>
          <t>전라북도 군산시 조촌동 3963</t>
        </is>
      </c>
      <c r="AB619" s="74" t="inlineStr">
        <is>
          <t>전라북도</t>
        </is>
      </c>
      <c r="AC619" s="74" t="inlineStr">
        <is>
          <t>군산시</t>
        </is>
      </c>
      <c r="AD619" s="74" t="inlineStr">
        <is>
          <t>조촌동</t>
        </is>
      </c>
      <c r="AG619" s="74" t="inlineStr">
        <is>
          <t>전라북도 군산시 궁포2로 25</t>
        </is>
      </c>
      <c r="AH619" s="74" t="n">
        <v>0</v>
      </c>
      <c r="AI619" s="74" t="n">
        <v>0</v>
      </c>
      <c r="AJ619" s="74" t="n">
        <v>0</v>
      </c>
      <c r="AK619" s="74" t="n">
        <v>1100</v>
      </c>
      <c r="AL619" s="74" t="n">
        <v>1.29</v>
      </c>
    </row>
    <row r="620">
      <c r="A620" s="74" t="inlineStr">
        <is>
          <t>[조촌동]</t>
        </is>
      </c>
      <c r="B620" s="74" t="n">
        <v>5069</v>
      </c>
      <c r="C620" s="74" t="n">
        <v>1</v>
      </c>
      <c r="D620" s="74" t="inlineStr">
        <is>
          <t>시영</t>
        </is>
      </c>
      <c r="E620" s="74" t="inlineStr">
        <is>
          <t>1993.12.</t>
        </is>
      </c>
      <c r="F620" s="74" t="n">
        <v>270</v>
      </c>
      <c r="G620" s="74" t="n">
        <v>20.13</v>
      </c>
      <c r="H620" s="74" t="n">
        <v>66.55</v>
      </c>
      <c r="I620" s="74" t="n">
        <v>14.86</v>
      </c>
      <c r="J620" s="74" t="n">
        <v>49.14</v>
      </c>
      <c r="K620" s="74" t="n">
        <v>150</v>
      </c>
      <c r="T620" s="74" t="n">
        <v>2</v>
      </c>
      <c r="U620" s="74" t="n">
        <v>1</v>
      </c>
      <c r="V620" s="74" t="inlineStr">
        <is>
          <t>복도식</t>
        </is>
      </c>
      <c r="W620" s="74" t="n">
        <v>66</v>
      </c>
      <c r="X620" s="74" t="n">
        <v>15</v>
      </c>
      <c r="Y620" s="74" t="n">
        <v>15</v>
      </c>
      <c r="Z620" s="74" t="inlineStr">
        <is>
          <t>https://new.land.naver.com/complexes/5069?tab=detail&amp;rf=Y</t>
        </is>
      </c>
      <c r="AA620" s="74" t="inlineStr">
        <is>
          <t>전라북도 군산시 조촌동 903-1</t>
        </is>
      </c>
      <c r="AB620" s="74" t="inlineStr">
        <is>
          <t>전라북도</t>
        </is>
      </c>
      <c r="AC620" s="74" t="inlineStr">
        <is>
          <t>군산시</t>
        </is>
      </c>
      <c r="AD620" s="74" t="inlineStr">
        <is>
          <t>조촌동</t>
        </is>
      </c>
      <c r="AG620" s="74" t="inlineStr">
        <is>
          <t>전라북도 군산시 양안로 130</t>
        </is>
      </c>
      <c r="AH620" s="74" t="n">
        <v>0</v>
      </c>
      <c r="AI620" s="74" t="n">
        <v>189</v>
      </c>
      <c r="AJ620" s="74" t="n">
        <v>15</v>
      </c>
      <c r="AK620" s="74" t="n">
        <v>122</v>
      </c>
      <c r="AL620" s="74" t="n">
        <v>0.45</v>
      </c>
    </row>
    <row r="621">
      <c r="A621" s="74" t="inlineStr">
        <is>
          <t>[조촌동]</t>
        </is>
      </c>
      <c r="B621" s="74" t="n">
        <v>5069</v>
      </c>
      <c r="C621" s="74" t="n">
        <v>2</v>
      </c>
      <c r="D621" s="74" t="inlineStr">
        <is>
          <t>시영</t>
        </is>
      </c>
      <c r="E621" s="74" t="inlineStr">
        <is>
          <t>1993.12.</t>
        </is>
      </c>
      <c r="F621" s="74" t="n">
        <v>270</v>
      </c>
      <c r="G621" s="74" t="n">
        <v>24.02</v>
      </c>
      <c r="H621" s="74" t="n">
        <v>79.42</v>
      </c>
      <c r="I621" s="74" t="n">
        <v>17.96</v>
      </c>
      <c r="J621" s="74" t="n">
        <v>59.4</v>
      </c>
      <c r="K621" s="74" t="n">
        <v>120</v>
      </c>
      <c r="T621" s="74" t="n">
        <v>3</v>
      </c>
      <c r="U621" s="74" t="n">
        <v>1</v>
      </c>
      <c r="V621" s="74" t="inlineStr">
        <is>
          <t>복도식</t>
        </is>
      </c>
      <c r="W621" s="74" t="n">
        <v>79</v>
      </c>
      <c r="X621" s="74" t="n">
        <v>15</v>
      </c>
      <c r="Y621" s="74" t="n">
        <v>15</v>
      </c>
      <c r="Z621" s="74" t="inlineStr">
        <is>
          <t>https://new.land.naver.com/complexes/5069?tab=detail&amp;rf=Y</t>
        </is>
      </c>
      <c r="AA621" s="74" t="inlineStr">
        <is>
          <t>전라북도 군산시 조촌동 903-1</t>
        </is>
      </c>
      <c r="AB621" s="74" t="inlineStr">
        <is>
          <t>전라북도</t>
        </is>
      </c>
      <c r="AC621" s="74" t="inlineStr">
        <is>
          <t>군산시</t>
        </is>
      </c>
      <c r="AD621" s="74" t="inlineStr">
        <is>
          <t>조촌동</t>
        </is>
      </c>
      <c r="AG621" s="74" t="inlineStr">
        <is>
          <t>전라북도 군산시 양안로 130</t>
        </is>
      </c>
      <c r="AH621" s="74" t="n">
        <v>0</v>
      </c>
      <c r="AI621" s="74" t="n">
        <v>189</v>
      </c>
      <c r="AJ621" s="74" t="n">
        <v>15</v>
      </c>
      <c r="AK621" s="74" t="n">
        <v>122</v>
      </c>
      <c r="AL621" s="74" t="n">
        <v>0.45</v>
      </c>
    </row>
    <row r="622">
      <c r="A622" s="74" t="inlineStr">
        <is>
          <t>[조촌동]</t>
        </is>
      </c>
      <c r="B622" s="74" t="n">
        <v>139928</v>
      </c>
      <c r="C622" s="74" t="n">
        <v>1</v>
      </c>
      <c r="D622" s="74" t="inlineStr">
        <is>
          <t>더샵디오션시티2차</t>
        </is>
      </c>
      <c r="E622" s="74" t="inlineStr">
        <is>
          <t>2023.07.</t>
        </is>
      </c>
      <c r="F622" s="74" t="n">
        <v>771</v>
      </c>
      <c r="G622" s="74" t="n">
        <v>33.16</v>
      </c>
      <c r="H622" s="74" t="n">
        <v>109.63</v>
      </c>
      <c r="I622" s="74" t="n">
        <v>25.7</v>
      </c>
      <c r="J622" s="74" t="n">
        <v>84.98999999999999</v>
      </c>
      <c r="K622" s="74" t="n">
        <v>442</v>
      </c>
      <c r="T622" s="74" t="n">
        <v>3</v>
      </c>
      <c r="U622" s="74" t="n">
        <v>2</v>
      </c>
      <c r="V622" s="74" t="inlineStr">
        <is>
          <t>계단식</t>
        </is>
      </c>
      <c r="W622" s="74" t="inlineStr">
        <is>
          <t>109A</t>
        </is>
      </c>
      <c r="X622" s="74" t="n">
        <v>29</v>
      </c>
      <c r="Y622" s="74" t="n">
        <v>19</v>
      </c>
      <c r="Z622" s="74" t="inlineStr">
        <is>
          <t>https://new.land.naver.com/complexes/139928?tab=detail&amp;rf=Y</t>
        </is>
      </c>
      <c r="AA622" s="74" t="inlineStr">
        <is>
          <t>전라북도 군산시 조촌동 2-28번지 일원 (군산디오션시티 A5BL)</t>
        </is>
      </c>
      <c r="AB622" s="74" t="inlineStr">
        <is>
          <t>전라북도</t>
        </is>
      </c>
      <c r="AC622" s="74" t="inlineStr">
        <is>
          <t>군산시</t>
        </is>
      </c>
      <c r="AD622" s="74" t="inlineStr">
        <is>
          <t>조촌동</t>
        </is>
      </c>
      <c r="AG622" s="74" t="inlineStr">
        <is>
          <t>전라북도 군산시</t>
        </is>
      </c>
      <c r="AH622" s="74" t="n">
        <v>0</v>
      </c>
      <c r="AI622" s="74" t="n">
        <v>249</v>
      </c>
      <c r="AJ622" s="74" t="n">
        <v>17</v>
      </c>
      <c r="AK622" s="74" t="n">
        <v>1094</v>
      </c>
      <c r="AL622" s="74" t="n">
        <v>1.42</v>
      </c>
    </row>
    <row r="623">
      <c r="A623" s="74" t="inlineStr">
        <is>
          <t>[조촌동]</t>
        </is>
      </c>
      <c r="B623" s="74" t="n">
        <v>139928</v>
      </c>
      <c r="C623" s="74" t="n">
        <v>2</v>
      </c>
      <c r="D623" s="74" t="inlineStr">
        <is>
          <t>더샵디오션시티2차</t>
        </is>
      </c>
      <c r="E623" s="74" t="inlineStr">
        <is>
          <t>2023.07.</t>
        </is>
      </c>
      <c r="F623" s="74" t="n">
        <v>771</v>
      </c>
      <c r="G623" s="74" t="n">
        <v>33.16</v>
      </c>
      <c r="H623" s="74" t="n">
        <v>109.65</v>
      </c>
      <c r="I623" s="74" t="n">
        <v>25.7</v>
      </c>
      <c r="J623" s="74" t="n">
        <v>84.98999999999999</v>
      </c>
      <c r="K623" s="74" t="n">
        <v>111</v>
      </c>
      <c r="T623" s="74" t="n">
        <v>3</v>
      </c>
      <c r="U623" s="74" t="n">
        <v>2</v>
      </c>
      <c r="V623" s="74" t="inlineStr">
        <is>
          <t>계단식</t>
        </is>
      </c>
      <c r="W623" s="74" t="inlineStr">
        <is>
          <t>109B</t>
        </is>
      </c>
      <c r="X623" s="74" t="n">
        <v>29</v>
      </c>
      <c r="Y623" s="74" t="n">
        <v>19</v>
      </c>
      <c r="Z623" s="74" t="inlineStr">
        <is>
          <t>https://new.land.naver.com/complexes/139928?tab=detail&amp;rf=Y</t>
        </is>
      </c>
      <c r="AA623" s="74" t="inlineStr">
        <is>
          <t>전라북도 군산시 조촌동 2-28번지 일원 (군산디오션시티 A5BL)</t>
        </is>
      </c>
      <c r="AB623" s="74" t="inlineStr">
        <is>
          <t>전라북도</t>
        </is>
      </c>
      <c r="AC623" s="74" t="inlineStr">
        <is>
          <t>군산시</t>
        </is>
      </c>
      <c r="AD623" s="74" t="inlineStr">
        <is>
          <t>조촌동</t>
        </is>
      </c>
      <c r="AG623" s="74" t="inlineStr">
        <is>
          <t>전라북도 군산시</t>
        </is>
      </c>
      <c r="AH623" s="74" t="n">
        <v>0</v>
      </c>
      <c r="AI623" s="74" t="n">
        <v>249</v>
      </c>
      <c r="AJ623" s="74" t="n">
        <v>17</v>
      </c>
      <c r="AK623" s="74" t="n">
        <v>1094</v>
      </c>
      <c r="AL623" s="74" t="n">
        <v>1.42</v>
      </c>
    </row>
    <row r="624">
      <c r="A624" s="74" t="inlineStr">
        <is>
          <t>[조촌동]</t>
        </is>
      </c>
      <c r="B624" s="74" t="n">
        <v>139928</v>
      </c>
      <c r="C624" s="74" t="n">
        <v>3</v>
      </c>
      <c r="D624" s="74" t="inlineStr">
        <is>
          <t>더샵디오션시티2차</t>
        </is>
      </c>
      <c r="E624" s="74" t="inlineStr">
        <is>
          <t>2023.07.</t>
        </is>
      </c>
      <c r="F624" s="74" t="n">
        <v>771</v>
      </c>
      <c r="G624" s="74" t="n">
        <v>33.18</v>
      </c>
      <c r="H624" s="74" t="n">
        <v>109.7</v>
      </c>
      <c r="I624" s="74" t="n">
        <v>25.7</v>
      </c>
      <c r="J624" s="74" t="n">
        <v>84.97</v>
      </c>
      <c r="K624" s="74" t="n">
        <v>36</v>
      </c>
      <c r="T624" s="74" t="n">
        <v>3</v>
      </c>
      <c r="U624" s="74" t="n">
        <v>2</v>
      </c>
      <c r="V624" s="74" t="inlineStr">
        <is>
          <t>계단식</t>
        </is>
      </c>
      <c r="W624" s="74" t="inlineStr">
        <is>
          <t>109C</t>
        </is>
      </c>
      <c r="X624" s="74" t="n">
        <v>29</v>
      </c>
      <c r="Y624" s="74" t="n">
        <v>19</v>
      </c>
      <c r="Z624" s="74" t="inlineStr">
        <is>
          <t>https://new.land.naver.com/complexes/139928?tab=detail&amp;rf=Y</t>
        </is>
      </c>
      <c r="AA624" s="74" t="inlineStr">
        <is>
          <t>전라북도 군산시 조촌동 2-28번지 일원 (군산디오션시티 A5BL)</t>
        </is>
      </c>
      <c r="AB624" s="74" t="inlineStr">
        <is>
          <t>전라북도</t>
        </is>
      </c>
      <c r="AC624" s="74" t="inlineStr">
        <is>
          <t>군산시</t>
        </is>
      </c>
      <c r="AD624" s="74" t="inlineStr">
        <is>
          <t>조촌동</t>
        </is>
      </c>
      <c r="AG624" s="74" t="inlineStr">
        <is>
          <t>전라북도 군산시</t>
        </is>
      </c>
      <c r="AH624" s="74" t="n">
        <v>0</v>
      </c>
      <c r="AI624" s="74" t="n">
        <v>249</v>
      </c>
      <c r="AJ624" s="74" t="n">
        <v>17</v>
      </c>
      <c r="AK624" s="74" t="n">
        <v>1094</v>
      </c>
      <c r="AL624" s="74" t="n">
        <v>1.42</v>
      </c>
    </row>
    <row r="625">
      <c r="A625" s="74" t="inlineStr">
        <is>
          <t>[조촌동]</t>
        </is>
      </c>
      <c r="B625" s="74" t="n">
        <v>139928</v>
      </c>
      <c r="C625" s="74" t="n">
        <v>4</v>
      </c>
      <c r="D625" s="74" t="inlineStr">
        <is>
          <t>더샵디오션시티2차</t>
        </is>
      </c>
      <c r="E625" s="74" t="inlineStr">
        <is>
          <t>2023.07.</t>
        </is>
      </c>
      <c r="F625" s="74" t="n">
        <v>771</v>
      </c>
      <c r="G625" s="74" t="n">
        <v>40.94</v>
      </c>
      <c r="H625" s="74" t="n">
        <v>135.35</v>
      </c>
      <c r="I625" s="74" t="n">
        <v>32.35</v>
      </c>
      <c r="J625" s="74" t="n">
        <v>106.95</v>
      </c>
      <c r="K625" s="74" t="n">
        <v>125</v>
      </c>
      <c r="T625" s="74" t="n">
        <v>4</v>
      </c>
      <c r="U625" s="74" t="n">
        <v>2</v>
      </c>
      <c r="V625" s="74" t="inlineStr">
        <is>
          <t>계단식</t>
        </is>
      </c>
      <c r="W625" s="74" t="n">
        <v>135</v>
      </c>
      <c r="X625" s="74" t="n">
        <v>29</v>
      </c>
      <c r="Y625" s="74" t="n">
        <v>19</v>
      </c>
      <c r="Z625" s="74" t="inlineStr">
        <is>
          <t>https://new.land.naver.com/complexes/139928?tab=detail&amp;rf=Y</t>
        </is>
      </c>
      <c r="AA625" s="74" t="inlineStr">
        <is>
          <t>전라북도 군산시 조촌동 2-28번지 일원 (군산디오션시티 A5BL)</t>
        </is>
      </c>
      <c r="AB625" s="74" t="inlineStr">
        <is>
          <t>전라북도</t>
        </is>
      </c>
      <c r="AC625" s="74" t="inlineStr">
        <is>
          <t>군산시</t>
        </is>
      </c>
      <c r="AD625" s="74" t="inlineStr">
        <is>
          <t>조촌동</t>
        </is>
      </c>
      <c r="AG625" s="74" t="inlineStr">
        <is>
          <t>전라북도 군산시</t>
        </is>
      </c>
      <c r="AH625" s="74" t="n">
        <v>0</v>
      </c>
      <c r="AI625" s="74" t="n">
        <v>249</v>
      </c>
      <c r="AJ625" s="74" t="n">
        <v>17</v>
      </c>
      <c r="AK625" s="74" t="n">
        <v>1094</v>
      </c>
      <c r="AL625" s="74" t="n">
        <v>1.42</v>
      </c>
    </row>
    <row r="626">
      <c r="A626" s="74" t="inlineStr">
        <is>
          <t>[조촌동]</t>
        </is>
      </c>
      <c r="B626" s="74" t="n">
        <v>139928</v>
      </c>
      <c r="C626" s="74" t="n">
        <v>5</v>
      </c>
      <c r="D626" s="74" t="inlineStr">
        <is>
          <t>더샵디오션시티2차</t>
        </is>
      </c>
      <c r="E626" s="74" t="inlineStr">
        <is>
          <t>2023.07.</t>
        </is>
      </c>
      <c r="F626" s="74" t="n">
        <v>771</v>
      </c>
      <c r="G626" s="74" t="n">
        <v>47.8</v>
      </c>
      <c r="H626" s="74" t="n">
        <v>158.02</v>
      </c>
      <c r="I626" s="74" t="n">
        <v>37.79</v>
      </c>
      <c r="J626" s="74" t="n">
        <v>124.93</v>
      </c>
      <c r="K626" s="74" t="n">
        <v>54</v>
      </c>
      <c r="T626" s="74" t="n">
        <v>4</v>
      </c>
      <c r="U626" s="74" t="n">
        <v>2</v>
      </c>
      <c r="V626" s="74" t="inlineStr">
        <is>
          <t>계단식</t>
        </is>
      </c>
      <c r="W626" s="74" t="n">
        <v>158</v>
      </c>
      <c r="X626" s="74" t="n">
        <v>29</v>
      </c>
      <c r="Y626" s="74" t="n">
        <v>19</v>
      </c>
      <c r="Z626" s="74" t="inlineStr">
        <is>
          <t>https://new.land.naver.com/complexes/139928?tab=detail&amp;rf=Y</t>
        </is>
      </c>
      <c r="AA626" s="74" t="inlineStr">
        <is>
          <t>전라북도 군산시 조촌동 2-28번지 일원 (군산디오션시티 A5BL)</t>
        </is>
      </c>
      <c r="AB626" s="74" t="inlineStr">
        <is>
          <t>전라북도</t>
        </is>
      </c>
      <c r="AC626" s="74" t="inlineStr">
        <is>
          <t>군산시</t>
        </is>
      </c>
      <c r="AD626" s="74" t="inlineStr">
        <is>
          <t>조촌동</t>
        </is>
      </c>
      <c r="AG626" s="74" t="inlineStr">
        <is>
          <t>전라북도 군산시</t>
        </is>
      </c>
      <c r="AH626" s="74" t="n">
        <v>0</v>
      </c>
      <c r="AI626" s="74" t="n">
        <v>249</v>
      </c>
      <c r="AJ626" s="74" t="n">
        <v>17</v>
      </c>
      <c r="AK626" s="74" t="n">
        <v>1094</v>
      </c>
      <c r="AL626" s="74" t="n">
        <v>1.42</v>
      </c>
    </row>
    <row r="627">
      <c r="A627" s="74" t="inlineStr">
        <is>
          <t>[조촌동]</t>
        </is>
      </c>
      <c r="B627" s="74" t="n">
        <v>139928</v>
      </c>
      <c r="C627" s="74" t="n">
        <v>6</v>
      </c>
      <c r="D627" s="74" t="inlineStr">
        <is>
          <t>더샵디오션시티2차</t>
        </is>
      </c>
      <c r="E627" s="74" t="inlineStr">
        <is>
          <t>2023.07.</t>
        </is>
      </c>
      <c r="F627" s="74" t="n">
        <v>771</v>
      </c>
      <c r="G627" s="74" t="n">
        <v>55.76</v>
      </c>
      <c r="H627" s="74" t="n">
        <v>184.36</v>
      </c>
      <c r="I627" s="74" t="n">
        <v>43.28</v>
      </c>
      <c r="J627" s="74" t="n">
        <v>143.08</v>
      </c>
      <c r="K627" s="74" t="n">
        <v>1</v>
      </c>
      <c r="T627" s="74" t="n">
        <v>4</v>
      </c>
      <c r="U627" s="74" t="n">
        <v>3</v>
      </c>
      <c r="V627" s="74" t="inlineStr">
        <is>
          <t>계단식</t>
        </is>
      </c>
      <c r="W627" s="74" t="n">
        <v>184</v>
      </c>
      <c r="X627" s="74" t="n">
        <v>29</v>
      </c>
      <c r="Y627" s="74" t="n">
        <v>19</v>
      </c>
      <c r="Z627" s="74" t="inlineStr">
        <is>
          <t>https://new.land.naver.com/complexes/139928?tab=detail&amp;rf=Y</t>
        </is>
      </c>
      <c r="AA627" s="74" t="inlineStr">
        <is>
          <t>전라북도 군산시 조촌동 2-28번지 일원 (군산디오션시티 A5BL)</t>
        </is>
      </c>
      <c r="AB627" s="74" t="inlineStr">
        <is>
          <t>전라북도</t>
        </is>
      </c>
      <c r="AC627" s="74" t="inlineStr">
        <is>
          <t>군산시</t>
        </is>
      </c>
      <c r="AD627" s="74" t="inlineStr">
        <is>
          <t>조촌동</t>
        </is>
      </c>
      <c r="AG627" s="74" t="inlineStr">
        <is>
          <t>전라북도 군산시</t>
        </is>
      </c>
      <c r="AH627" s="74" t="n">
        <v>0</v>
      </c>
      <c r="AI627" s="74" t="n">
        <v>249</v>
      </c>
      <c r="AJ627" s="74" t="n">
        <v>17</v>
      </c>
      <c r="AK627" s="74" t="n">
        <v>1094</v>
      </c>
      <c r="AL627" s="74" t="n">
        <v>1.42</v>
      </c>
    </row>
    <row r="628">
      <c r="A628" s="74" t="inlineStr">
        <is>
          <t>[조촌동]</t>
        </is>
      </c>
      <c r="B628" s="74" t="n">
        <v>139928</v>
      </c>
      <c r="C628" s="74" t="n">
        <v>7</v>
      </c>
      <c r="D628" s="74" t="inlineStr">
        <is>
          <t>더샵디오션시티2차</t>
        </is>
      </c>
      <c r="E628" s="74" t="inlineStr">
        <is>
          <t>2023.07.</t>
        </is>
      </c>
      <c r="F628" s="74" t="n">
        <v>771</v>
      </c>
      <c r="G628" s="74" t="n">
        <v>59.74</v>
      </c>
      <c r="H628" s="74" t="n">
        <v>197.51</v>
      </c>
      <c r="I628" s="74" t="n">
        <v>46.88</v>
      </c>
      <c r="J628" s="74" t="n">
        <v>154.98</v>
      </c>
      <c r="K628" s="74" t="n">
        <v>2</v>
      </c>
      <c r="T628" s="74" t="n">
        <v>5</v>
      </c>
      <c r="U628" s="74" t="n">
        <v>3</v>
      </c>
      <c r="V628" s="74" t="inlineStr">
        <is>
          <t>계단식</t>
        </is>
      </c>
      <c r="W628" s="74" t="n">
        <v>197</v>
      </c>
      <c r="X628" s="74" t="n">
        <v>29</v>
      </c>
      <c r="Y628" s="74" t="n">
        <v>19</v>
      </c>
      <c r="Z628" s="74" t="inlineStr">
        <is>
          <t>https://new.land.naver.com/complexes/139928?tab=detail&amp;rf=Y</t>
        </is>
      </c>
      <c r="AA628" s="74" t="inlineStr">
        <is>
          <t>전라북도 군산시 조촌동 2-28번지 일원 (군산디오션시티 A5BL)</t>
        </is>
      </c>
      <c r="AB628" s="74" t="inlineStr">
        <is>
          <t>전라북도</t>
        </is>
      </c>
      <c r="AC628" s="74" t="inlineStr">
        <is>
          <t>군산시</t>
        </is>
      </c>
      <c r="AD628" s="74" t="inlineStr">
        <is>
          <t>조촌동</t>
        </is>
      </c>
      <c r="AG628" s="74" t="inlineStr">
        <is>
          <t>전라북도 군산시</t>
        </is>
      </c>
      <c r="AH628" s="74" t="n">
        <v>0</v>
      </c>
      <c r="AI628" s="74" t="n">
        <v>249</v>
      </c>
      <c r="AJ628" s="74" t="n">
        <v>17</v>
      </c>
      <c r="AK628" s="74" t="n">
        <v>1094</v>
      </c>
      <c r="AL628" s="74" t="n">
        <v>1.42</v>
      </c>
    </row>
    <row r="629">
      <c r="A629" s="74" t="inlineStr">
        <is>
          <t>[조촌동]</t>
        </is>
      </c>
      <c r="B629" s="74" t="n">
        <v>5065</v>
      </c>
      <c r="C629" s="74" t="n">
        <v>1</v>
      </c>
      <c r="D629" s="74" t="inlineStr">
        <is>
          <t>동신개나리</t>
        </is>
      </c>
      <c r="E629" s="74" t="inlineStr">
        <is>
          <t>1995.12.</t>
        </is>
      </c>
      <c r="F629" s="74" t="n">
        <v>383</v>
      </c>
      <c r="G629" s="74" t="n">
        <v>18.3</v>
      </c>
      <c r="H629" s="74" t="n">
        <v>60.51</v>
      </c>
      <c r="I629" s="74" t="n">
        <v>14.4</v>
      </c>
      <c r="J629" s="74" t="n">
        <v>47.62</v>
      </c>
      <c r="K629" s="74" t="n">
        <v>120</v>
      </c>
      <c r="T629" s="74" t="n">
        <v>3</v>
      </c>
      <c r="U629" s="74" t="n">
        <v>1</v>
      </c>
      <c r="V629" s="74" t="inlineStr">
        <is>
          <t>계단식</t>
        </is>
      </c>
      <c r="W629" s="74" t="n">
        <v>60</v>
      </c>
      <c r="X629" s="74" t="n">
        <v>15</v>
      </c>
      <c r="Y629" s="74" t="n">
        <v>12</v>
      </c>
      <c r="Z629" s="74" t="inlineStr">
        <is>
          <t>https://new.land.naver.com/complexes/5065?tab=detail&amp;rf=Y</t>
        </is>
      </c>
      <c r="AA629" s="74" t="inlineStr">
        <is>
          <t>전라북도 군산시 조촌동 907-2</t>
        </is>
      </c>
      <c r="AB629" s="74" t="inlineStr">
        <is>
          <t>전라북도</t>
        </is>
      </c>
      <c r="AC629" s="74" t="inlineStr">
        <is>
          <t>군산시</t>
        </is>
      </c>
      <c r="AD629" s="74" t="inlineStr">
        <is>
          <t>조촌동</t>
        </is>
      </c>
      <c r="AG629" s="74" t="inlineStr">
        <is>
          <t>전라북도 군산시 양안로 119</t>
        </is>
      </c>
      <c r="AH629" s="74" t="n">
        <v>0</v>
      </c>
      <c r="AI629" s="74" t="n">
        <v>197</v>
      </c>
      <c r="AJ629" s="74" t="n">
        <v>18</v>
      </c>
      <c r="AK629" s="74" t="n">
        <v>346</v>
      </c>
      <c r="AL629" s="74" t="n">
        <v>0.9</v>
      </c>
    </row>
    <row r="630">
      <c r="A630" s="74" t="inlineStr">
        <is>
          <t>[조촌동]</t>
        </is>
      </c>
      <c r="B630" s="74" t="n">
        <v>5065</v>
      </c>
      <c r="C630" s="74" t="n">
        <v>2</v>
      </c>
      <c r="D630" s="74" t="inlineStr">
        <is>
          <t>동신개나리</t>
        </is>
      </c>
      <c r="E630" s="74" t="inlineStr">
        <is>
          <t>1995.12.</t>
        </is>
      </c>
      <c r="F630" s="74" t="n">
        <v>383</v>
      </c>
      <c r="G630" s="74" t="n">
        <v>22.99</v>
      </c>
      <c r="H630" s="74" t="n">
        <v>76.03</v>
      </c>
      <c r="I630" s="74" t="n">
        <v>18.1</v>
      </c>
      <c r="J630" s="74" t="n">
        <v>59.84</v>
      </c>
      <c r="K630" s="74" t="n">
        <v>263</v>
      </c>
      <c r="T630" s="74" t="n">
        <v>3</v>
      </c>
      <c r="U630" s="74" t="n">
        <v>1</v>
      </c>
      <c r="V630" s="74" t="inlineStr">
        <is>
          <t>계단식</t>
        </is>
      </c>
      <c r="W630" s="74" t="n">
        <v>76</v>
      </c>
      <c r="X630" s="74" t="n">
        <v>15</v>
      </c>
      <c r="Y630" s="74" t="n">
        <v>12</v>
      </c>
      <c r="Z630" s="74" t="inlineStr">
        <is>
          <t>https://new.land.naver.com/complexes/5065?tab=detail&amp;rf=Y</t>
        </is>
      </c>
      <c r="AA630" s="74" t="inlineStr">
        <is>
          <t>전라북도 군산시 조촌동 907-2</t>
        </is>
      </c>
      <c r="AB630" s="74" t="inlineStr">
        <is>
          <t>전라북도</t>
        </is>
      </c>
      <c r="AC630" s="74" t="inlineStr">
        <is>
          <t>군산시</t>
        </is>
      </c>
      <c r="AD630" s="74" t="inlineStr">
        <is>
          <t>조촌동</t>
        </is>
      </c>
      <c r="AG630" s="74" t="inlineStr">
        <is>
          <t>전라북도 군산시 양안로 119</t>
        </is>
      </c>
      <c r="AH630" s="74" t="n">
        <v>0</v>
      </c>
      <c r="AI630" s="74" t="n">
        <v>197</v>
      </c>
      <c r="AJ630" s="74" t="n">
        <v>18</v>
      </c>
      <c r="AK630" s="74" t="n">
        <v>346</v>
      </c>
      <c r="AL630" s="74" t="n">
        <v>0.9</v>
      </c>
    </row>
    <row r="631">
      <c r="A631" s="74" t="inlineStr">
        <is>
          <t>[조촌동]</t>
        </is>
      </c>
      <c r="B631" s="74" t="n">
        <v>111158</v>
      </c>
      <c r="C631" s="74" t="n">
        <v>1</v>
      </c>
      <c r="D631" s="74" t="inlineStr">
        <is>
          <t>센트럴파크</t>
        </is>
      </c>
      <c r="E631" s="74" t="inlineStr">
        <is>
          <t>2017.10.</t>
        </is>
      </c>
      <c r="F631" s="74" t="n">
        <v>480</v>
      </c>
      <c r="G631" s="74" t="n">
        <v>33.47</v>
      </c>
      <c r="H631" s="74" t="n">
        <v>110.66</v>
      </c>
      <c r="I631" s="74" t="n">
        <v>25.67</v>
      </c>
      <c r="J631" s="74" t="n">
        <v>84.88</v>
      </c>
      <c r="K631" s="74" t="n">
        <v>251</v>
      </c>
      <c r="T631" s="74" t="n">
        <v>3</v>
      </c>
      <c r="U631" s="74" t="n">
        <v>2</v>
      </c>
      <c r="V631" s="74" t="inlineStr">
        <is>
          <t>계단식</t>
        </is>
      </c>
      <c r="W631" s="74" t="inlineStr">
        <is>
          <t>110A</t>
        </is>
      </c>
      <c r="X631" s="74" t="n">
        <v>36</v>
      </c>
      <c r="Y631" s="74" t="n">
        <v>27</v>
      </c>
      <c r="Z631" s="74" t="inlineStr">
        <is>
          <t>https://new.land.naver.com/complexes/111158?tab=detail&amp;rf=Y</t>
        </is>
      </c>
      <c r="AA631" s="74" t="inlineStr">
        <is>
          <t>전라북도 군산시 조촌동 769-4</t>
        </is>
      </c>
      <c r="AB631" s="74" t="inlineStr">
        <is>
          <t>전라북도</t>
        </is>
      </c>
      <c r="AC631" s="74" t="inlineStr">
        <is>
          <t>군산시</t>
        </is>
      </c>
      <c r="AD631" s="74" t="inlineStr">
        <is>
          <t>조촌동</t>
        </is>
      </c>
      <c r="AG631" s="74" t="inlineStr">
        <is>
          <t>전라북도 군산시 번영로 190</t>
        </is>
      </c>
      <c r="AH631" s="74" t="n">
        <v>0</v>
      </c>
      <c r="AI631" s="74" t="n">
        <v>598</v>
      </c>
      <c r="AJ631" s="74" t="n">
        <v>69</v>
      </c>
      <c r="AK631" s="74" t="n">
        <v>652</v>
      </c>
      <c r="AL631" s="74" t="n">
        <v>1.36</v>
      </c>
    </row>
    <row r="632">
      <c r="A632" s="74" t="inlineStr">
        <is>
          <t>[조촌동]</t>
        </is>
      </c>
      <c r="B632" s="74" t="n">
        <v>111158</v>
      </c>
      <c r="C632" s="74" t="n">
        <v>2</v>
      </c>
      <c r="D632" s="74" t="inlineStr">
        <is>
          <t>센트럴파크</t>
        </is>
      </c>
      <c r="E632" s="74" t="inlineStr">
        <is>
          <t>2017.10.</t>
        </is>
      </c>
      <c r="F632" s="74" t="n">
        <v>480</v>
      </c>
      <c r="G632" s="74" t="n">
        <v>33.33</v>
      </c>
      <c r="H632" s="74" t="n">
        <v>110.21</v>
      </c>
      <c r="I632" s="74" t="n">
        <v>25.7</v>
      </c>
      <c r="J632" s="74" t="n">
        <v>84.98999999999999</v>
      </c>
      <c r="K632" s="74" t="n">
        <v>229</v>
      </c>
      <c r="T632" s="74" t="n">
        <v>3</v>
      </c>
      <c r="U632" s="74" t="n">
        <v>2</v>
      </c>
      <c r="V632" s="74" t="inlineStr">
        <is>
          <t>계단식</t>
        </is>
      </c>
      <c r="W632" s="74" t="inlineStr">
        <is>
          <t>110B</t>
        </is>
      </c>
      <c r="X632" s="74" t="n">
        <v>36</v>
      </c>
      <c r="Y632" s="74" t="n">
        <v>27</v>
      </c>
      <c r="Z632" s="74" t="inlineStr">
        <is>
          <t>https://new.land.naver.com/complexes/111158?tab=detail&amp;rf=Y</t>
        </is>
      </c>
      <c r="AA632" s="74" t="inlineStr">
        <is>
          <t>전라북도 군산시 조촌동 769-4</t>
        </is>
      </c>
      <c r="AB632" s="74" t="inlineStr">
        <is>
          <t>전라북도</t>
        </is>
      </c>
      <c r="AC632" s="74" t="inlineStr">
        <is>
          <t>군산시</t>
        </is>
      </c>
      <c r="AD632" s="74" t="inlineStr">
        <is>
          <t>조촌동</t>
        </is>
      </c>
      <c r="AG632" s="74" t="inlineStr">
        <is>
          <t>전라북도 군산시 번영로 190</t>
        </is>
      </c>
      <c r="AH632" s="74" t="n">
        <v>0</v>
      </c>
      <c r="AI632" s="74" t="n">
        <v>598</v>
      </c>
      <c r="AJ632" s="74" t="n">
        <v>69</v>
      </c>
      <c r="AK632" s="74" t="n">
        <v>652</v>
      </c>
      <c r="AL632" s="74" t="n">
        <v>1.36</v>
      </c>
    </row>
    <row r="633">
      <c r="A633" s="74" t="inlineStr">
        <is>
          <t>[조촌동]</t>
        </is>
      </c>
      <c r="B633" s="74" t="n">
        <v>5073</v>
      </c>
      <c r="C633" s="74" t="n">
        <v>1</v>
      </c>
      <c r="D633" s="74" t="inlineStr">
        <is>
          <t>현대</t>
        </is>
      </c>
      <c r="E633" s="74" t="inlineStr">
        <is>
          <t>1995.09.</t>
        </is>
      </c>
      <c r="F633" s="74" t="n">
        <v>560</v>
      </c>
      <c r="G633" s="74" t="n">
        <v>27.78</v>
      </c>
      <c r="H633" s="74" t="n">
        <v>91.86</v>
      </c>
      <c r="I633" s="74" t="n">
        <v>22.72</v>
      </c>
      <c r="J633" s="74" t="n">
        <v>75.12</v>
      </c>
      <c r="K633" s="74" t="n">
        <v>112</v>
      </c>
      <c r="T633" s="74" t="n">
        <v>3</v>
      </c>
      <c r="U633" s="74" t="n">
        <v>1</v>
      </c>
      <c r="V633" s="74" t="inlineStr">
        <is>
          <t>계단식</t>
        </is>
      </c>
      <c r="W633" s="74" t="n">
        <v>91</v>
      </c>
      <c r="X633" s="74" t="n">
        <v>15</v>
      </c>
      <c r="Y633" s="74" t="n">
        <v>14</v>
      </c>
      <c r="Z633" s="74" t="inlineStr">
        <is>
          <t>https://new.land.naver.com/complexes/5073?tab=detail&amp;rf=Y</t>
        </is>
      </c>
      <c r="AA633" s="74" t="inlineStr">
        <is>
          <t>전라북도 군산시 조촌동 903-2</t>
        </is>
      </c>
      <c r="AB633" s="74" t="inlineStr">
        <is>
          <t>전라북도</t>
        </is>
      </c>
      <c r="AC633" s="74" t="inlineStr">
        <is>
          <t>군산시</t>
        </is>
      </c>
      <c r="AD633" s="74" t="inlineStr">
        <is>
          <t>조촌동</t>
        </is>
      </c>
      <c r="AG633" s="74" t="inlineStr">
        <is>
          <t>전라북도 군산시 양안로 120</t>
        </is>
      </c>
      <c r="AH633" s="74" t="n">
        <v>0</v>
      </c>
      <c r="AI633" s="74" t="n">
        <v>199</v>
      </c>
      <c r="AJ633" s="74" t="n">
        <v>18</v>
      </c>
      <c r="AK633" s="74" t="n">
        <v>560</v>
      </c>
      <c r="AL633" s="74" t="n">
        <v>1</v>
      </c>
    </row>
    <row r="634">
      <c r="A634" s="74" t="inlineStr">
        <is>
          <t>[조촌동]</t>
        </is>
      </c>
      <c r="B634" s="74" t="n">
        <v>5073</v>
      </c>
      <c r="C634" s="74" t="n">
        <v>2</v>
      </c>
      <c r="D634" s="74" t="inlineStr">
        <is>
          <t>현대</t>
        </is>
      </c>
      <c r="E634" s="74" t="inlineStr">
        <is>
          <t>1995.09.</t>
        </is>
      </c>
      <c r="F634" s="74" t="n">
        <v>560</v>
      </c>
      <c r="G634" s="74" t="n">
        <v>27.75</v>
      </c>
      <c r="H634" s="74" t="n">
        <v>91.75</v>
      </c>
      <c r="I634" s="74" t="n">
        <v>22.69</v>
      </c>
      <c r="J634" s="74" t="n">
        <v>75.03</v>
      </c>
      <c r="K634" s="74" t="n">
        <v>28</v>
      </c>
      <c r="T634" s="74" t="n">
        <v>3</v>
      </c>
      <c r="U634" s="74" t="n">
        <v>1</v>
      </c>
      <c r="V634" s="74" t="inlineStr">
        <is>
          <t>계단식</t>
        </is>
      </c>
      <c r="W634" s="74" t="n">
        <v>91</v>
      </c>
      <c r="X634" s="74" t="n">
        <v>15</v>
      </c>
      <c r="Y634" s="74" t="n">
        <v>14</v>
      </c>
      <c r="Z634" s="74" t="inlineStr">
        <is>
          <t>https://new.land.naver.com/complexes/5073?tab=detail&amp;rf=Y</t>
        </is>
      </c>
      <c r="AA634" s="74" t="inlineStr">
        <is>
          <t>전라북도 군산시 조촌동 903-2</t>
        </is>
      </c>
      <c r="AB634" s="74" t="inlineStr">
        <is>
          <t>전라북도</t>
        </is>
      </c>
      <c r="AC634" s="74" t="inlineStr">
        <is>
          <t>군산시</t>
        </is>
      </c>
      <c r="AD634" s="74" t="inlineStr">
        <is>
          <t>조촌동</t>
        </is>
      </c>
      <c r="AG634" s="74" t="inlineStr">
        <is>
          <t>전라북도 군산시 양안로 120</t>
        </is>
      </c>
      <c r="AH634" s="74" t="n">
        <v>0</v>
      </c>
      <c r="AI634" s="74" t="n">
        <v>199</v>
      </c>
      <c r="AJ634" s="74" t="n">
        <v>18</v>
      </c>
      <c r="AK634" s="74" t="n">
        <v>560</v>
      </c>
      <c r="AL634" s="74" t="n">
        <v>1</v>
      </c>
    </row>
    <row r="635">
      <c r="A635" s="74" t="inlineStr">
        <is>
          <t>[조촌동]</t>
        </is>
      </c>
      <c r="B635" s="74" t="n">
        <v>5073</v>
      </c>
      <c r="C635" s="74" t="n">
        <v>3</v>
      </c>
      <c r="D635" s="74" t="inlineStr">
        <is>
          <t>현대</t>
        </is>
      </c>
      <c r="E635" s="74" t="inlineStr">
        <is>
          <t>1995.09.</t>
        </is>
      </c>
      <c r="F635" s="74" t="n">
        <v>560</v>
      </c>
      <c r="G635" s="74" t="n">
        <v>31.42</v>
      </c>
      <c r="H635" s="74" t="n">
        <v>103.89</v>
      </c>
      <c r="I635" s="74" t="n">
        <v>25.7</v>
      </c>
      <c r="J635" s="74" t="n">
        <v>84.95999999999999</v>
      </c>
      <c r="K635" s="74" t="n">
        <v>420</v>
      </c>
      <c r="T635" s="74" t="n">
        <v>3</v>
      </c>
      <c r="U635" s="74" t="n">
        <v>2</v>
      </c>
      <c r="V635" s="74" t="inlineStr">
        <is>
          <t>계단식</t>
        </is>
      </c>
      <c r="W635" s="74" t="n">
        <v>103</v>
      </c>
      <c r="X635" s="74" t="n">
        <v>15</v>
      </c>
      <c r="Y635" s="74" t="n">
        <v>14</v>
      </c>
      <c r="Z635" s="74" t="inlineStr">
        <is>
          <t>https://new.land.naver.com/complexes/5073?tab=detail&amp;rf=Y</t>
        </is>
      </c>
      <c r="AA635" s="74" t="inlineStr">
        <is>
          <t>전라북도 군산시 조촌동 903-2</t>
        </is>
      </c>
      <c r="AB635" s="74" t="inlineStr">
        <is>
          <t>전라북도</t>
        </is>
      </c>
      <c r="AC635" s="74" t="inlineStr">
        <is>
          <t>군산시</t>
        </is>
      </c>
      <c r="AD635" s="74" t="inlineStr">
        <is>
          <t>조촌동</t>
        </is>
      </c>
      <c r="AG635" s="74" t="inlineStr">
        <is>
          <t>전라북도 군산시 양안로 120</t>
        </is>
      </c>
      <c r="AH635" s="74" t="n">
        <v>0</v>
      </c>
      <c r="AI635" s="74" t="n">
        <v>199</v>
      </c>
      <c r="AJ635" s="74" t="n">
        <v>18</v>
      </c>
      <c r="AK635" s="74" t="n">
        <v>560</v>
      </c>
      <c r="AL635" s="74" t="n">
        <v>1</v>
      </c>
    </row>
    <row r="636">
      <c r="A636" s="74" t="inlineStr">
        <is>
          <t>[조촌동]</t>
        </is>
      </c>
      <c r="B636" s="74" t="n">
        <v>126017</v>
      </c>
      <c r="C636" s="74" t="n">
        <v>1</v>
      </c>
      <c r="D636" s="74" t="inlineStr">
        <is>
          <t>미르에코리버</t>
        </is>
      </c>
      <c r="E636" s="74" t="inlineStr">
        <is>
          <t>2015.02.</t>
        </is>
      </c>
      <c r="F636" s="74" t="n">
        <v>64</v>
      </c>
      <c r="G636" s="74" t="n">
        <v>28.53</v>
      </c>
      <c r="H636" s="74" t="n">
        <v>94.34</v>
      </c>
      <c r="I636" s="74" t="n">
        <v>21.47</v>
      </c>
      <c r="J636" s="74" t="n">
        <v>70.98999999999999</v>
      </c>
      <c r="K636" s="74" t="n">
        <v>64</v>
      </c>
      <c r="T636" s="74" t="n">
        <v>3</v>
      </c>
      <c r="U636" s="74" t="n">
        <v>2</v>
      </c>
      <c r="V636" s="74" t="inlineStr">
        <is>
          <t>계단식</t>
        </is>
      </c>
      <c r="W636" s="74" t="n">
        <v>94</v>
      </c>
      <c r="X636" s="74" t="n">
        <v>12</v>
      </c>
      <c r="Y636" s="74" t="n">
        <v>11</v>
      </c>
      <c r="Z636" s="74" t="inlineStr">
        <is>
          <t>https://new.land.naver.com/complexes/126017?tab=detail&amp;rf=Y</t>
        </is>
      </c>
      <c r="AA636" s="74" t="inlineStr">
        <is>
          <t>전라북도 군산시 조촌동 952-1</t>
        </is>
      </c>
      <c r="AB636" s="74" t="inlineStr">
        <is>
          <t>전라북도</t>
        </is>
      </c>
      <c r="AC636" s="74" t="inlineStr">
        <is>
          <t>군산시</t>
        </is>
      </c>
      <c r="AD636" s="74" t="inlineStr">
        <is>
          <t>조촌동</t>
        </is>
      </c>
      <c r="AG636" s="74" t="inlineStr">
        <is>
          <t>전라북도 군산시 부골3길 20-5</t>
        </is>
      </c>
      <c r="AH636" s="74" t="n">
        <v>0</v>
      </c>
      <c r="AI636" s="74" t="n">
        <v>195</v>
      </c>
      <c r="AJ636" s="74" t="n">
        <v>24</v>
      </c>
      <c r="AK636" s="74" t="n">
        <v>64</v>
      </c>
      <c r="AL636" s="74" t="n">
        <v>1</v>
      </c>
    </row>
    <row r="637">
      <c r="A637" s="74" t="inlineStr">
        <is>
          <t>[조촌동]</t>
        </is>
      </c>
      <c r="B637" s="74" t="n">
        <v>127340</v>
      </c>
      <c r="C637" s="74" t="n">
        <v>1</v>
      </c>
      <c r="D637" s="74" t="inlineStr">
        <is>
          <t>대명3차</t>
        </is>
      </c>
      <c r="E637" s="74" t="inlineStr">
        <is>
          <t>1989.05.</t>
        </is>
      </c>
      <c r="F637" s="74" t="n">
        <v>60</v>
      </c>
      <c r="G637" s="74" t="n">
        <v>26.88</v>
      </c>
      <c r="H637" s="74" t="n">
        <v>88.86</v>
      </c>
      <c r="I637" s="74" t="n">
        <v>21.58</v>
      </c>
      <c r="J637" s="74" t="n">
        <v>71.37</v>
      </c>
      <c r="K637" s="74" t="n">
        <v>40</v>
      </c>
      <c r="T637" s="74" t="n">
        <v>3</v>
      </c>
      <c r="U637" s="74" t="n">
        <v>2</v>
      </c>
      <c r="V637" s="74" t="inlineStr">
        <is>
          <t>계단식</t>
        </is>
      </c>
      <c r="W637" s="74" t="n">
        <v>88</v>
      </c>
      <c r="X637" s="74" t="n">
        <v>10</v>
      </c>
      <c r="Y637" s="74" t="n">
        <v>10</v>
      </c>
      <c r="Z637" s="74" t="inlineStr">
        <is>
          <t>https://new.land.naver.com/complexes/127340?tab=detail&amp;rf=Y</t>
        </is>
      </c>
      <c r="AA637" s="74" t="inlineStr">
        <is>
          <t>전라북도 군산시 조촌동 759-1</t>
        </is>
      </c>
      <c r="AB637" s="74" t="inlineStr">
        <is>
          <t>전라북도</t>
        </is>
      </c>
      <c r="AC637" s="74" t="inlineStr">
        <is>
          <t>군산시</t>
        </is>
      </c>
      <c r="AD637" s="74" t="inlineStr">
        <is>
          <t>조촌동</t>
        </is>
      </c>
      <c r="AG637" s="74" t="inlineStr">
        <is>
          <t>전라북도 군산시 신촌1길 36</t>
        </is>
      </c>
      <c r="AH637" s="74" t="n">
        <v>0</v>
      </c>
      <c r="AI637" s="74" t="n">
        <v>248</v>
      </c>
      <c r="AJ637" s="74" t="n">
        <v>28</v>
      </c>
      <c r="AK637" s="74" t="n">
        <v>0</v>
      </c>
      <c r="AL637" s="74" t="n">
        <v>0</v>
      </c>
    </row>
    <row r="638">
      <c r="A638" s="74" t="inlineStr">
        <is>
          <t>[조촌동]</t>
        </is>
      </c>
      <c r="B638" s="74" t="n">
        <v>127340</v>
      </c>
      <c r="C638" s="74" t="n">
        <v>2</v>
      </c>
      <c r="D638" s="74" t="inlineStr">
        <is>
          <t>대명3차</t>
        </is>
      </c>
      <c r="E638" s="74" t="inlineStr">
        <is>
          <t>1989.05.</t>
        </is>
      </c>
      <c r="F638" s="74" t="n">
        <v>60</v>
      </c>
      <c r="G638" s="74" t="n">
        <v>28.33</v>
      </c>
      <c r="H638" s="74" t="n">
        <v>93.68000000000001</v>
      </c>
      <c r="I638" s="74" t="n">
        <v>22.76</v>
      </c>
      <c r="J638" s="74" t="n">
        <v>75.23999999999999</v>
      </c>
      <c r="K638" s="74" t="n">
        <v>20</v>
      </c>
      <c r="T638" s="74" t="n">
        <v>3</v>
      </c>
      <c r="U638" s="74" t="n">
        <v>2</v>
      </c>
      <c r="V638" s="74" t="inlineStr">
        <is>
          <t>계단식</t>
        </is>
      </c>
      <c r="W638" s="74" t="n">
        <v>93</v>
      </c>
      <c r="X638" s="74" t="n">
        <v>10</v>
      </c>
      <c r="Y638" s="74" t="n">
        <v>10</v>
      </c>
      <c r="Z638" s="74" t="inlineStr">
        <is>
          <t>https://new.land.naver.com/complexes/127340?tab=detail&amp;rf=Y</t>
        </is>
      </c>
      <c r="AA638" s="74" t="inlineStr">
        <is>
          <t>전라북도 군산시 조촌동 759-1</t>
        </is>
      </c>
      <c r="AB638" s="74" t="inlineStr">
        <is>
          <t>전라북도</t>
        </is>
      </c>
      <c r="AC638" s="74" t="inlineStr">
        <is>
          <t>군산시</t>
        </is>
      </c>
      <c r="AD638" s="74" t="inlineStr">
        <is>
          <t>조촌동</t>
        </is>
      </c>
      <c r="AG638" s="74" t="inlineStr">
        <is>
          <t>전라북도 군산시 신촌1길 36</t>
        </is>
      </c>
      <c r="AH638" s="74" t="n">
        <v>0</v>
      </c>
      <c r="AI638" s="74" t="n">
        <v>248</v>
      </c>
      <c r="AJ638" s="74" t="n">
        <v>28</v>
      </c>
      <c r="AK638" s="74" t="n">
        <v>0</v>
      </c>
      <c r="AL638" s="74" t="n">
        <v>0</v>
      </c>
    </row>
    <row r="639">
      <c r="A639" s="74" t="inlineStr">
        <is>
          <t>[조촌동]</t>
        </is>
      </c>
      <c r="B639" s="74" t="n">
        <v>125752</v>
      </c>
      <c r="C639" s="74" t="n">
        <v>1</v>
      </c>
      <c r="D639" s="74" t="inlineStr">
        <is>
          <t>더샵디오션시티</t>
        </is>
      </c>
      <c r="E639" s="74" t="inlineStr">
        <is>
          <t>2021.10.</t>
        </is>
      </c>
      <c r="F639" s="74" t="n">
        <v>973</v>
      </c>
      <c r="G639" s="74" t="n">
        <v>24.05</v>
      </c>
      <c r="H639" s="74" t="n">
        <v>79.51000000000001</v>
      </c>
      <c r="I639" s="74" t="n">
        <v>18.14</v>
      </c>
      <c r="J639" s="74" t="n">
        <v>59.99</v>
      </c>
      <c r="K639" s="74" t="n">
        <v>171</v>
      </c>
      <c r="T639" s="74" t="n">
        <v>3</v>
      </c>
      <c r="U639" s="74" t="n">
        <v>2</v>
      </c>
      <c r="V639" s="74" t="inlineStr">
        <is>
          <t>계단식</t>
        </is>
      </c>
      <c r="W639" s="74" t="inlineStr">
        <is>
          <t>79A</t>
        </is>
      </c>
      <c r="X639" s="74" t="n">
        <v>29</v>
      </c>
      <c r="Y639" s="74" t="n">
        <v>24</v>
      </c>
      <c r="Z639" s="74" t="inlineStr">
        <is>
          <t>https://new.land.naver.com/complexes/125752?tab=detail&amp;rf=Y</t>
        </is>
      </c>
      <c r="AA639" s="74" t="inlineStr">
        <is>
          <t>전라북도 군산시 조촌동 2-31</t>
        </is>
      </c>
      <c r="AB639" s="74" t="inlineStr">
        <is>
          <t>전라북도</t>
        </is>
      </c>
      <c r="AC639" s="74" t="inlineStr">
        <is>
          <t>군산시</t>
        </is>
      </c>
      <c r="AD639" s="74" t="inlineStr">
        <is>
          <t>조촌동</t>
        </is>
      </c>
      <c r="AG639" s="74" t="inlineStr">
        <is>
          <t>전라북도 군산시 궁포1로 79</t>
        </is>
      </c>
      <c r="AH639" s="74" t="n">
        <v>0</v>
      </c>
      <c r="AI639" s="74" t="n">
        <v>249</v>
      </c>
      <c r="AJ639" s="74" t="n">
        <v>17</v>
      </c>
      <c r="AK639" s="74" t="n">
        <v>1289</v>
      </c>
      <c r="AL639" s="74" t="n">
        <v>1.32</v>
      </c>
    </row>
    <row r="640">
      <c r="A640" s="74" t="inlineStr">
        <is>
          <t>[조촌동]</t>
        </is>
      </c>
      <c r="B640" s="74" t="n">
        <v>125752</v>
      </c>
      <c r="C640" s="74" t="n">
        <v>2</v>
      </c>
      <c r="D640" s="74" t="inlineStr">
        <is>
          <t>더샵디오션시티</t>
        </is>
      </c>
      <c r="E640" s="74" t="inlineStr">
        <is>
          <t>2021.10.</t>
        </is>
      </c>
      <c r="F640" s="74" t="n">
        <v>973</v>
      </c>
      <c r="G640" s="74" t="n">
        <v>24.03</v>
      </c>
      <c r="H640" s="74" t="n">
        <v>79.45999999999999</v>
      </c>
      <c r="I640" s="74" t="n">
        <v>18.14</v>
      </c>
      <c r="J640" s="74" t="n">
        <v>59.98</v>
      </c>
      <c r="K640" s="74" t="n">
        <v>58</v>
      </c>
      <c r="T640" s="74" t="n">
        <v>3</v>
      </c>
      <c r="U640" s="74" t="n">
        <v>2</v>
      </c>
      <c r="V640" s="74" t="inlineStr">
        <is>
          <t>계단식</t>
        </is>
      </c>
      <c r="W640" s="74" t="inlineStr">
        <is>
          <t>79B</t>
        </is>
      </c>
      <c r="X640" s="74" t="n">
        <v>29</v>
      </c>
      <c r="Y640" s="74" t="n">
        <v>24</v>
      </c>
      <c r="Z640" s="74" t="inlineStr">
        <is>
          <t>https://new.land.naver.com/complexes/125752?tab=detail&amp;rf=Y</t>
        </is>
      </c>
      <c r="AA640" s="74" t="inlineStr">
        <is>
          <t>전라북도 군산시 조촌동 2-31</t>
        </is>
      </c>
      <c r="AB640" s="74" t="inlineStr">
        <is>
          <t>전라북도</t>
        </is>
      </c>
      <c r="AC640" s="74" t="inlineStr">
        <is>
          <t>군산시</t>
        </is>
      </c>
      <c r="AD640" s="74" t="inlineStr">
        <is>
          <t>조촌동</t>
        </is>
      </c>
      <c r="AG640" s="74" t="inlineStr">
        <is>
          <t>전라북도 군산시 궁포1로 79</t>
        </is>
      </c>
      <c r="AH640" s="74" t="n">
        <v>0</v>
      </c>
      <c r="AI640" s="74" t="n">
        <v>249</v>
      </c>
      <c r="AJ640" s="74" t="n">
        <v>17</v>
      </c>
      <c r="AK640" s="74" t="n">
        <v>1289</v>
      </c>
      <c r="AL640" s="74" t="n">
        <v>1.32</v>
      </c>
    </row>
    <row r="641">
      <c r="A641" s="74" t="inlineStr">
        <is>
          <t>[조촌동]</t>
        </is>
      </c>
      <c r="B641" s="74" t="n">
        <v>125752</v>
      </c>
      <c r="C641" s="74" t="n">
        <v>3</v>
      </c>
      <c r="D641" s="74" t="inlineStr">
        <is>
          <t>더샵디오션시티</t>
        </is>
      </c>
      <c r="E641" s="74" t="inlineStr">
        <is>
          <t>2021.10.</t>
        </is>
      </c>
      <c r="F641" s="74" t="n">
        <v>973</v>
      </c>
      <c r="G641" s="74" t="n">
        <v>33.48</v>
      </c>
      <c r="H641" s="74" t="n">
        <v>110.68</v>
      </c>
      <c r="I641" s="74" t="n">
        <v>25.7</v>
      </c>
      <c r="J641" s="74" t="n">
        <v>84.98999999999999</v>
      </c>
      <c r="K641" s="74" t="n">
        <v>492</v>
      </c>
      <c r="T641" s="74" t="n">
        <v>3</v>
      </c>
      <c r="U641" s="74" t="n">
        <v>2</v>
      </c>
      <c r="V641" s="74" t="inlineStr">
        <is>
          <t>계단식</t>
        </is>
      </c>
      <c r="W641" s="74" t="inlineStr">
        <is>
          <t>110A</t>
        </is>
      </c>
      <c r="X641" s="74" t="n">
        <v>29</v>
      </c>
      <c r="Y641" s="74" t="n">
        <v>24</v>
      </c>
      <c r="Z641" s="74" t="inlineStr">
        <is>
          <t>https://new.land.naver.com/complexes/125752?tab=detail&amp;rf=Y</t>
        </is>
      </c>
      <c r="AA641" s="74" t="inlineStr">
        <is>
          <t>전라북도 군산시 조촌동 2-31</t>
        </is>
      </c>
      <c r="AB641" s="74" t="inlineStr">
        <is>
          <t>전라북도</t>
        </is>
      </c>
      <c r="AC641" s="74" t="inlineStr">
        <is>
          <t>군산시</t>
        </is>
      </c>
      <c r="AD641" s="74" t="inlineStr">
        <is>
          <t>조촌동</t>
        </is>
      </c>
      <c r="AG641" s="74" t="inlineStr">
        <is>
          <t>전라북도 군산시 궁포1로 79</t>
        </is>
      </c>
      <c r="AH641" s="74" t="n">
        <v>0</v>
      </c>
      <c r="AI641" s="74" t="n">
        <v>249</v>
      </c>
      <c r="AJ641" s="74" t="n">
        <v>17</v>
      </c>
      <c r="AK641" s="74" t="n">
        <v>1289</v>
      </c>
      <c r="AL641" s="74" t="n">
        <v>1.32</v>
      </c>
    </row>
    <row r="642">
      <c r="A642" s="74" t="inlineStr">
        <is>
          <t>[조촌동]</t>
        </is>
      </c>
      <c r="B642" s="74" t="n">
        <v>125752</v>
      </c>
      <c r="C642" s="74" t="n">
        <v>4</v>
      </c>
      <c r="D642" s="74" t="inlineStr">
        <is>
          <t>더샵디오션시티</t>
        </is>
      </c>
      <c r="E642" s="74" t="inlineStr">
        <is>
          <t>2021.10.</t>
        </is>
      </c>
      <c r="F642" s="74" t="n">
        <v>973</v>
      </c>
      <c r="G642" s="74" t="n">
        <v>33.57</v>
      </c>
      <c r="H642" s="74" t="n">
        <v>110.99</v>
      </c>
      <c r="I642" s="74" t="n">
        <v>25.7</v>
      </c>
      <c r="J642" s="74" t="n">
        <v>84.98999999999999</v>
      </c>
      <c r="K642" s="74" t="n">
        <v>81</v>
      </c>
      <c r="T642" s="74" t="n">
        <v>3</v>
      </c>
      <c r="U642" s="74" t="n">
        <v>2</v>
      </c>
      <c r="V642" s="74" t="inlineStr">
        <is>
          <t>계단식</t>
        </is>
      </c>
      <c r="W642" s="74" t="inlineStr">
        <is>
          <t>110B</t>
        </is>
      </c>
      <c r="X642" s="74" t="n">
        <v>29</v>
      </c>
      <c r="Y642" s="74" t="n">
        <v>24</v>
      </c>
      <c r="Z642" s="74" t="inlineStr">
        <is>
          <t>https://new.land.naver.com/complexes/125752?tab=detail&amp;rf=Y</t>
        </is>
      </c>
      <c r="AA642" s="74" t="inlineStr">
        <is>
          <t>전라북도 군산시 조촌동 2-31</t>
        </is>
      </c>
      <c r="AB642" s="74" t="inlineStr">
        <is>
          <t>전라북도</t>
        </is>
      </c>
      <c r="AC642" s="74" t="inlineStr">
        <is>
          <t>군산시</t>
        </is>
      </c>
      <c r="AD642" s="74" t="inlineStr">
        <is>
          <t>조촌동</t>
        </is>
      </c>
      <c r="AG642" s="74" t="inlineStr">
        <is>
          <t>전라북도 군산시 궁포1로 79</t>
        </is>
      </c>
      <c r="AH642" s="74" t="n">
        <v>0</v>
      </c>
      <c r="AI642" s="74" t="n">
        <v>249</v>
      </c>
      <c r="AJ642" s="74" t="n">
        <v>17</v>
      </c>
      <c r="AK642" s="74" t="n">
        <v>1289</v>
      </c>
      <c r="AL642" s="74" t="n">
        <v>1.32</v>
      </c>
    </row>
    <row r="643">
      <c r="A643" s="74" t="inlineStr">
        <is>
          <t>[조촌동]</t>
        </is>
      </c>
      <c r="B643" s="74" t="n">
        <v>125752</v>
      </c>
      <c r="C643" s="74" t="n">
        <v>5</v>
      </c>
      <c r="D643" s="74" t="inlineStr">
        <is>
          <t>더샵디오션시티</t>
        </is>
      </c>
      <c r="E643" s="74" t="inlineStr">
        <is>
          <t>2021.10.</t>
        </is>
      </c>
      <c r="F643" s="74" t="n">
        <v>973</v>
      </c>
      <c r="G643" s="74" t="n">
        <v>40.6</v>
      </c>
      <c r="H643" s="74" t="n">
        <v>134.22</v>
      </c>
      <c r="I643" s="74" t="n">
        <v>31.45</v>
      </c>
      <c r="J643" s="74" t="n">
        <v>103.97</v>
      </c>
      <c r="K643" s="74" t="n">
        <v>112</v>
      </c>
      <c r="T643" s="74" t="n">
        <v>4</v>
      </c>
      <c r="U643" s="74" t="n">
        <v>2</v>
      </c>
      <c r="V643" s="74" t="inlineStr">
        <is>
          <t>계단식</t>
        </is>
      </c>
      <c r="W643" s="74" t="n">
        <v>134</v>
      </c>
      <c r="X643" s="74" t="n">
        <v>29</v>
      </c>
      <c r="Y643" s="74" t="n">
        <v>24</v>
      </c>
      <c r="Z643" s="74" t="inlineStr">
        <is>
          <t>https://new.land.naver.com/complexes/125752?tab=detail&amp;rf=Y</t>
        </is>
      </c>
      <c r="AA643" s="74" t="inlineStr">
        <is>
          <t>전라북도 군산시 조촌동 2-31</t>
        </is>
      </c>
      <c r="AB643" s="74" t="inlineStr">
        <is>
          <t>전라북도</t>
        </is>
      </c>
      <c r="AC643" s="74" t="inlineStr">
        <is>
          <t>군산시</t>
        </is>
      </c>
      <c r="AD643" s="74" t="inlineStr">
        <is>
          <t>조촌동</t>
        </is>
      </c>
      <c r="AG643" s="74" t="inlineStr">
        <is>
          <t>전라북도 군산시 궁포1로 79</t>
        </is>
      </c>
      <c r="AH643" s="74" t="n">
        <v>0</v>
      </c>
      <c r="AI643" s="74" t="n">
        <v>249</v>
      </c>
      <c r="AJ643" s="74" t="n">
        <v>17</v>
      </c>
      <c r="AK643" s="74" t="n">
        <v>1289</v>
      </c>
      <c r="AL643" s="74" t="n">
        <v>1.32</v>
      </c>
    </row>
    <row r="644">
      <c r="A644" s="74" t="inlineStr">
        <is>
          <t>[조촌동]</t>
        </is>
      </c>
      <c r="B644" s="74" t="n">
        <v>125752</v>
      </c>
      <c r="C644" s="74" t="n">
        <v>6</v>
      </c>
      <c r="D644" s="74" t="inlineStr">
        <is>
          <t>더샵디오션시티</t>
        </is>
      </c>
      <c r="E644" s="74" t="inlineStr">
        <is>
          <t>2021.10.</t>
        </is>
      </c>
      <c r="F644" s="74" t="n">
        <v>973</v>
      </c>
      <c r="G644" s="74" t="n">
        <v>46.32</v>
      </c>
      <c r="H644" s="74" t="n">
        <v>153.15</v>
      </c>
      <c r="I644" s="74" t="n">
        <v>35.99</v>
      </c>
      <c r="J644" s="74" t="n">
        <v>118.99</v>
      </c>
      <c r="K644" s="74" t="n">
        <v>56</v>
      </c>
      <c r="T644" s="74" t="n">
        <v>4</v>
      </c>
      <c r="U644" s="74" t="n">
        <v>2</v>
      </c>
      <c r="V644" s="74" t="inlineStr">
        <is>
          <t>계단식</t>
        </is>
      </c>
      <c r="W644" s="74" t="n">
        <v>153</v>
      </c>
      <c r="X644" s="74" t="n">
        <v>29</v>
      </c>
      <c r="Y644" s="74" t="n">
        <v>24</v>
      </c>
      <c r="Z644" s="74" t="inlineStr">
        <is>
          <t>https://new.land.naver.com/complexes/125752?tab=detail&amp;rf=Y</t>
        </is>
      </c>
      <c r="AA644" s="74" t="inlineStr">
        <is>
          <t>전라북도 군산시 조촌동 2-31</t>
        </is>
      </c>
      <c r="AB644" s="74" t="inlineStr">
        <is>
          <t>전라북도</t>
        </is>
      </c>
      <c r="AC644" s="74" t="inlineStr">
        <is>
          <t>군산시</t>
        </is>
      </c>
      <c r="AD644" s="74" t="inlineStr">
        <is>
          <t>조촌동</t>
        </is>
      </c>
      <c r="AG644" s="74" t="inlineStr">
        <is>
          <t>전라북도 군산시 궁포1로 79</t>
        </is>
      </c>
      <c r="AH644" s="74" t="n">
        <v>0</v>
      </c>
      <c r="AI644" s="74" t="n">
        <v>249</v>
      </c>
      <c r="AJ644" s="74" t="n">
        <v>17</v>
      </c>
      <c r="AK644" s="74" t="n">
        <v>1289</v>
      </c>
      <c r="AL644" s="74" t="n">
        <v>1.32</v>
      </c>
    </row>
    <row r="645">
      <c r="A645" s="74" t="inlineStr">
        <is>
          <t>[조촌동]</t>
        </is>
      </c>
      <c r="B645" s="74" t="n">
        <v>125752</v>
      </c>
      <c r="C645" s="74" t="n">
        <v>7</v>
      </c>
      <c r="D645" s="74" t="inlineStr">
        <is>
          <t>더샵디오션시티</t>
        </is>
      </c>
      <c r="E645" s="74" t="inlineStr">
        <is>
          <t>2021.10.</t>
        </is>
      </c>
      <c r="F645" s="74" t="n">
        <v>973</v>
      </c>
      <c r="G645" s="74" t="n">
        <v>58.14</v>
      </c>
      <c r="H645" s="74" t="n">
        <v>192.23</v>
      </c>
      <c r="I645" s="74" t="n">
        <v>44.15</v>
      </c>
      <c r="J645" s="74" t="n">
        <v>145.96</v>
      </c>
      <c r="K645" s="74" t="n">
        <v>3</v>
      </c>
      <c r="T645" s="74" t="n">
        <v>4</v>
      </c>
      <c r="U645" s="74" t="n">
        <v>3</v>
      </c>
      <c r="V645" s="74" t="inlineStr">
        <is>
          <t>계단식</t>
        </is>
      </c>
      <c r="W645" s="74" t="n">
        <v>192</v>
      </c>
      <c r="X645" s="74" t="n">
        <v>29</v>
      </c>
      <c r="Y645" s="74" t="n">
        <v>24</v>
      </c>
      <c r="Z645" s="74" t="inlineStr">
        <is>
          <t>https://new.land.naver.com/complexes/125752?tab=detail&amp;rf=Y</t>
        </is>
      </c>
      <c r="AA645" s="74" t="inlineStr">
        <is>
          <t>전라북도 군산시 조촌동 2-31</t>
        </is>
      </c>
      <c r="AB645" s="74" t="inlineStr">
        <is>
          <t>전라북도</t>
        </is>
      </c>
      <c r="AC645" s="74" t="inlineStr">
        <is>
          <t>군산시</t>
        </is>
      </c>
      <c r="AD645" s="74" t="inlineStr">
        <is>
          <t>조촌동</t>
        </is>
      </c>
      <c r="AG645" s="74" t="inlineStr">
        <is>
          <t>전라북도 군산시 궁포1로 79</t>
        </is>
      </c>
      <c r="AH645" s="74" t="n">
        <v>0</v>
      </c>
      <c r="AI645" s="74" t="n">
        <v>249</v>
      </c>
      <c r="AJ645" s="74" t="n">
        <v>17</v>
      </c>
      <c r="AK645" s="74" t="n">
        <v>1289</v>
      </c>
      <c r="AL645" s="74" t="n">
        <v>1.32</v>
      </c>
    </row>
    <row r="646">
      <c r="A646" s="74" t="inlineStr">
        <is>
          <t>[조촌동]</t>
        </is>
      </c>
      <c r="B646" s="74" t="n">
        <v>135799</v>
      </c>
      <c r="C646" s="74" t="n">
        <v>1</v>
      </c>
      <c r="D646" s="74" t="inlineStr">
        <is>
          <t>세경</t>
        </is>
      </c>
      <c r="F646" s="74" t="n">
        <v>204</v>
      </c>
      <c r="G646" s="74" t="n">
        <v>25.37</v>
      </c>
      <c r="H646" s="74" t="n">
        <v>83.87</v>
      </c>
      <c r="I646" s="74" t="n">
        <v>18.1</v>
      </c>
      <c r="J646" s="74" t="n">
        <v>59.86</v>
      </c>
      <c r="K646" s="74" t="n">
        <v>204</v>
      </c>
      <c r="T646" s="74" t="n">
        <v>3</v>
      </c>
      <c r="U646" s="74" t="n">
        <v>2</v>
      </c>
      <c r="V646" s="74" t="inlineStr">
        <is>
          <t>계단식</t>
        </is>
      </c>
      <c r="W646" s="74" t="n">
        <v>83</v>
      </c>
      <c r="X646" s="74" t="n">
        <v>15</v>
      </c>
      <c r="Y646" s="74" t="n">
        <v>15</v>
      </c>
      <c r="Z646" s="74" t="inlineStr">
        <is>
          <t>https://new.land.naver.com/complexes/135799?tab=detail&amp;rf=Y</t>
        </is>
      </c>
      <c r="AA646" s="74" t="inlineStr">
        <is>
          <t>전라북도 군산시 조촌동 907-1</t>
        </is>
      </c>
      <c r="AB646" s="74" t="inlineStr">
        <is>
          <t>전라북도</t>
        </is>
      </c>
      <c r="AC646" s="74" t="inlineStr">
        <is>
          <t>군산시</t>
        </is>
      </c>
      <c r="AD646" s="74" t="inlineStr">
        <is>
          <t>조촌동</t>
        </is>
      </c>
      <c r="AG646" s="74" t="inlineStr">
        <is>
          <t>전라북도 군산시 양안로 123</t>
        </is>
      </c>
      <c r="AH646" s="74" t="n">
        <v>0</v>
      </c>
      <c r="AI646" s="74" t="n">
        <v>202</v>
      </c>
      <c r="AJ646" s="74" t="n">
        <v>20</v>
      </c>
      <c r="AK646" s="74" t="n">
        <v>180</v>
      </c>
      <c r="AL646" s="74" t="n">
        <v>0.88</v>
      </c>
    </row>
    <row r="647">
      <c r="A647" s="74" t="inlineStr">
        <is>
          <t>[조촌동]</t>
        </is>
      </c>
      <c r="B647" s="74" t="n">
        <v>120089</v>
      </c>
      <c r="C647" s="74" t="n">
        <v>1</v>
      </c>
      <c r="D647" s="74" t="inlineStr">
        <is>
          <t>e편한세상디오션시티2차</t>
        </is>
      </c>
      <c r="E647" s="74" t="inlineStr">
        <is>
          <t>2020.05.</t>
        </is>
      </c>
      <c r="F647" s="74" t="n">
        <v>423</v>
      </c>
      <c r="G647" s="74" t="n">
        <v>33.12</v>
      </c>
      <c r="H647" s="74" t="n">
        <v>109.51</v>
      </c>
      <c r="I647" s="74" t="n">
        <v>25.69</v>
      </c>
      <c r="J647" s="74" t="n">
        <v>84.94</v>
      </c>
      <c r="K647" s="74" t="n">
        <v>202</v>
      </c>
      <c r="T647" s="74" t="n">
        <v>3</v>
      </c>
      <c r="U647" s="74" t="n">
        <v>2</v>
      </c>
      <c r="V647" s="74" t="inlineStr">
        <is>
          <t>계단식</t>
        </is>
      </c>
      <c r="W647" s="74" t="inlineStr">
        <is>
          <t>109A</t>
        </is>
      </c>
      <c r="X647" s="74" t="n">
        <v>29</v>
      </c>
      <c r="Y647" s="74" t="n">
        <v>18</v>
      </c>
      <c r="Z647" s="74" t="inlineStr">
        <is>
          <t>https://new.land.naver.com/complexes/120089?tab=detail&amp;rf=Y</t>
        </is>
      </c>
      <c r="AA647" s="74" t="inlineStr">
        <is>
          <t>전라북도 군산시 조촌동 3967</t>
        </is>
      </c>
      <c r="AB647" s="74" t="inlineStr">
        <is>
          <t>전라북도</t>
        </is>
      </c>
      <c r="AC647" s="74" t="inlineStr">
        <is>
          <t>군산시</t>
        </is>
      </c>
      <c r="AD647" s="74" t="inlineStr">
        <is>
          <t>조촌동</t>
        </is>
      </c>
      <c r="AG647" s="74" t="inlineStr">
        <is>
          <t>전라북도 군산시 궁포1로 82</t>
        </is>
      </c>
      <c r="AH647" s="74" t="n">
        <v>0</v>
      </c>
      <c r="AI647" s="74" t="n">
        <v>0</v>
      </c>
      <c r="AJ647" s="74" t="n">
        <v>0</v>
      </c>
      <c r="AK647" s="74" t="n">
        <v>593</v>
      </c>
      <c r="AL647" s="74" t="n">
        <v>1.4</v>
      </c>
    </row>
    <row r="648">
      <c r="A648" s="74" t="inlineStr">
        <is>
          <t>[조촌동]</t>
        </is>
      </c>
      <c r="B648" s="74" t="n">
        <v>120089</v>
      </c>
      <c r="C648" s="74" t="n">
        <v>2</v>
      </c>
      <c r="D648" s="74" t="inlineStr">
        <is>
          <t>e편한세상디오션시티2차</t>
        </is>
      </c>
      <c r="E648" s="74" t="inlineStr">
        <is>
          <t>2020.05.</t>
        </is>
      </c>
      <c r="F648" s="74" t="n">
        <v>423</v>
      </c>
      <c r="G648" s="74" t="n">
        <v>33.6</v>
      </c>
      <c r="H648" s="74" t="n">
        <v>111.1</v>
      </c>
      <c r="I648" s="74" t="n">
        <v>25.69</v>
      </c>
      <c r="J648" s="74" t="n">
        <v>84.95</v>
      </c>
      <c r="K648" s="74" t="n">
        <v>109</v>
      </c>
      <c r="T648" s="74" t="n">
        <v>3</v>
      </c>
      <c r="U648" s="74" t="n">
        <v>2</v>
      </c>
      <c r="V648" s="74" t="inlineStr">
        <is>
          <t>계단식</t>
        </is>
      </c>
      <c r="W648" s="74" t="inlineStr">
        <is>
          <t>111B</t>
        </is>
      </c>
      <c r="X648" s="74" t="n">
        <v>29</v>
      </c>
      <c r="Y648" s="74" t="n">
        <v>18</v>
      </c>
      <c r="Z648" s="74" t="inlineStr">
        <is>
          <t>https://new.land.naver.com/complexes/120089?tab=detail&amp;rf=Y</t>
        </is>
      </c>
      <c r="AA648" s="74" t="inlineStr">
        <is>
          <t>전라북도 군산시 조촌동 3967</t>
        </is>
      </c>
      <c r="AB648" s="74" t="inlineStr">
        <is>
          <t>전라북도</t>
        </is>
      </c>
      <c r="AC648" s="74" t="inlineStr">
        <is>
          <t>군산시</t>
        </is>
      </c>
      <c r="AD648" s="74" t="inlineStr">
        <is>
          <t>조촌동</t>
        </is>
      </c>
      <c r="AG648" s="74" t="inlineStr">
        <is>
          <t>전라북도 군산시 궁포1로 82</t>
        </is>
      </c>
      <c r="AH648" s="74" t="n">
        <v>0</v>
      </c>
      <c r="AI648" s="74" t="n">
        <v>0</v>
      </c>
      <c r="AJ648" s="74" t="n">
        <v>0</v>
      </c>
      <c r="AK648" s="74" t="n">
        <v>593</v>
      </c>
      <c r="AL648" s="74" t="n">
        <v>1.4</v>
      </c>
    </row>
    <row r="649">
      <c r="A649" s="74" t="inlineStr">
        <is>
          <t>[조촌동]</t>
        </is>
      </c>
      <c r="B649" s="74" t="n">
        <v>120089</v>
      </c>
      <c r="C649" s="74" t="n">
        <v>3</v>
      </c>
      <c r="D649" s="74" t="inlineStr">
        <is>
          <t>e편한세상디오션시티2차</t>
        </is>
      </c>
      <c r="E649" s="74" t="inlineStr">
        <is>
          <t>2020.05.</t>
        </is>
      </c>
      <c r="F649" s="74" t="n">
        <v>423</v>
      </c>
      <c r="G649" s="74" t="n">
        <v>44.22</v>
      </c>
      <c r="H649" s="74" t="n">
        <v>146.21</v>
      </c>
      <c r="I649" s="74" t="n">
        <v>34.44</v>
      </c>
      <c r="J649" s="74" t="n">
        <v>113.88</v>
      </c>
      <c r="K649" s="74" t="n">
        <v>110</v>
      </c>
      <c r="T649" s="74" t="n">
        <v>3</v>
      </c>
      <c r="U649" s="74" t="n">
        <v>2</v>
      </c>
      <c r="V649" s="74" t="inlineStr">
        <is>
          <t>계단식</t>
        </is>
      </c>
      <c r="W649" s="74" t="n">
        <v>146</v>
      </c>
      <c r="X649" s="74" t="n">
        <v>29</v>
      </c>
      <c r="Y649" s="74" t="n">
        <v>18</v>
      </c>
      <c r="Z649" s="74" t="inlineStr">
        <is>
          <t>https://new.land.naver.com/complexes/120089?tab=detail&amp;rf=Y</t>
        </is>
      </c>
      <c r="AA649" s="74" t="inlineStr">
        <is>
          <t>전라북도 군산시 조촌동 3967</t>
        </is>
      </c>
      <c r="AB649" s="74" t="inlineStr">
        <is>
          <t>전라북도</t>
        </is>
      </c>
      <c r="AC649" s="74" t="inlineStr">
        <is>
          <t>군산시</t>
        </is>
      </c>
      <c r="AD649" s="74" t="inlineStr">
        <is>
          <t>조촌동</t>
        </is>
      </c>
      <c r="AG649" s="74" t="inlineStr">
        <is>
          <t>전라북도 군산시 궁포1로 82</t>
        </is>
      </c>
      <c r="AH649" s="74" t="n">
        <v>0</v>
      </c>
      <c r="AI649" s="74" t="n">
        <v>0</v>
      </c>
      <c r="AJ649" s="74" t="n">
        <v>0</v>
      </c>
      <c r="AK649" s="74" t="n">
        <v>593</v>
      </c>
      <c r="AL649" s="74" t="n">
        <v>1.4</v>
      </c>
    </row>
    <row r="650">
      <c r="A650" s="74" t="inlineStr">
        <is>
          <t>[조촌동]</t>
        </is>
      </c>
      <c r="B650" s="74" t="n">
        <v>120089</v>
      </c>
      <c r="C650" s="74" t="n">
        <v>4</v>
      </c>
      <c r="D650" s="74" t="inlineStr">
        <is>
          <t>e편한세상디오션시티2차</t>
        </is>
      </c>
      <c r="E650" s="74" t="inlineStr">
        <is>
          <t>2020.05.</t>
        </is>
      </c>
      <c r="F650" s="74" t="n">
        <v>423</v>
      </c>
      <c r="G650" s="74" t="n">
        <v>56.88</v>
      </c>
      <c r="H650" s="74" t="n">
        <v>188.05</v>
      </c>
      <c r="I650" s="74" t="n">
        <v>43.32</v>
      </c>
      <c r="J650" s="74" t="n">
        <v>143.23</v>
      </c>
      <c r="K650" s="74" t="n">
        <v>2</v>
      </c>
      <c r="T650" s="74" t="n">
        <v>4</v>
      </c>
      <c r="U650" s="74" t="n">
        <v>2</v>
      </c>
      <c r="V650" s="74" t="inlineStr">
        <is>
          <t>계단식</t>
        </is>
      </c>
      <c r="W650" s="74" t="inlineStr">
        <is>
          <t>188P</t>
        </is>
      </c>
      <c r="X650" s="74" t="n">
        <v>29</v>
      </c>
      <c r="Y650" s="74" t="n">
        <v>18</v>
      </c>
      <c r="Z650" s="74" t="inlineStr">
        <is>
          <t>https://new.land.naver.com/complexes/120089?tab=detail&amp;rf=Y</t>
        </is>
      </c>
      <c r="AA650" s="74" t="inlineStr">
        <is>
          <t>전라북도 군산시 조촌동 3967</t>
        </is>
      </c>
      <c r="AB650" s="74" t="inlineStr">
        <is>
          <t>전라북도</t>
        </is>
      </c>
      <c r="AC650" s="74" t="inlineStr">
        <is>
          <t>군산시</t>
        </is>
      </c>
      <c r="AD650" s="74" t="inlineStr">
        <is>
          <t>조촌동</t>
        </is>
      </c>
      <c r="AG650" s="74" t="inlineStr">
        <is>
          <t>전라북도 군산시 궁포1로 82</t>
        </is>
      </c>
      <c r="AH650" s="74" t="n">
        <v>0</v>
      </c>
      <c r="AI650" s="74" t="n">
        <v>0</v>
      </c>
      <c r="AJ650" s="74" t="n">
        <v>0</v>
      </c>
      <c r="AK650" s="74" t="n">
        <v>593</v>
      </c>
      <c r="AL650" s="74" t="n">
        <v>1.4</v>
      </c>
    </row>
    <row r="651">
      <c r="A651" s="74" t="inlineStr">
        <is>
          <t>[지곡동]</t>
        </is>
      </c>
      <c r="B651" s="74" t="n">
        <v>141761</v>
      </c>
      <c r="C651" s="74" t="n">
        <v>1</v>
      </c>
      <c r="D651" s="74" t="inlineStr">
        <is>
          <t>군산호수공원아이파크</t>
        </is>
      </c>
      <c r="E651" s="74" t="inlineStr">
        <is>
          <t>2024.01.</t>
        </is>
      </c>
      <c r="F651" s="74" t="n">
        <v>665</v>
      </c>
      <c r="G651" s="74" t="n">
        <v>33.12</v>
      </c>
      <c r="H651" s="74" t="n">
        <v>109.52</v>
      </c>
      <c r="I651" s="74" t="n">
        <v>25.69</v>
      </c>
      <c r="J651" s="74" t="n">
        <v>84.94</v>
      </c>
      <c r="K651" s="74" t="n">
        <v>255</v>
      </c>
      <c r="T651" s="74" t="n">
        <v>3</v>
      </c>
      <c r="U651" s="74" t="n">
        <v>2</v>
      </c>
      <c r="V651" s="74" t="inlineStr">
        <is>
          <t>계단식</t>
        </is>
      </c>
      <c r="W651" s="74" t="inlineStr">
        <is>
          <t>109A</t>
        </is>
      </c>
      <c r="X651" s="74" t="n">
        <v>29</v>
      </c>
      <c r="Y651" s="74" t="n">
        <v>13</v>
      </c>
      <c r="Z651" s="74" t="inlineStr">
        <is>
          <t>https://new.land.naver.com/complexes/141761?tab=detail&amp;rf=Y</t>
        </is>
      </c>
      <c r="AA651" s="74" t="inlineStr">
        <is>
          <t>전라북도 군산시 지곡동 산 66번지 일원</t>
        </is>
      </c>
      <c r="AB651" s="74" t="inlineStr">
        <is>
          <t>전라북도</t>
        </is>
      </c>
      <c r="AC651" s="74" t="inlineStr">
        <is>
          <t>군산시</t>
        </is>
      </c>
      <c r="AD651" s="74" t="inlineStr">
        <is>
          <t>지곡동</t>
        </is>
      </c>
      <c r="AG651" s="74" t="inlineStr">
        <is>
          <t>전라북도 군산시</t>
        </is>
      </c>
      <c r="AH651" s="74" t="n">
        <v>0</v>
      </c>
      <c r="AI651" s="74" t="n">
        <v>0</v>
      </c>
      <c r="AJ651" s="74" t="n">
        <v>0</v>
      </c>
      <c r="AK651" s="74" t="n">
        <v>1175</v>
      </c>
      <c r="AL651" s="74" t="n">
        <v>1.77</v>
      </c>
    </row>
    <row r="652">
      <c r="A652" s="74" t="inlineStr">
        <is>
          <t>[지곡동]</t>
        </is>
      </c>
      <c r="B652" s="74" t="n">
        <v>141761</v>
      </c>
      <c r="C652" s="74" t="n">
        <v>2</v>
      </c>
      <c r="D652" s="74" t="inlineStr">
        <is>
          <t>군산호수공원아이파크</t>
        </is>
      </c>
      <c r="E652" s="74" t="inlineStr">
        <is>
          <t>2024.01.</t>
        </is>
      </c>
      <c r="F652" s="74" t="n">
        <v>665</v>
      </c>
      <c r="G652" s="74" t="n">
        <v>33.35</v>
      </c>
      <c r="H652" s="74" t="n">
        <v>110.25</v>
      </c>
      <c r="I652" s="74" t="n">
        <v>25.67</v>
      </c>
      <c r="J652" s="74" t="n">
        <v>84.88</v>
      </c>
      <c r="K652" s="74" t="n">
        <v>118</v>
      </c>
      <c r="T652" s="74" t="n">
        <v>3</v>
      </c>
      <c r="U652" s="74" t="n">
        <v>2</v>
      </c>
      <c r="V652" s="74" t="inlineStr">
        <is>
          <t>계단식</t>
        </is>
      </c>
      <c r="W652" s="74" t="inlineStr">
        <is>
          <t>110B</t>
        </is>
      </c>
      <c r="X652" s="74" t="n">
        <v>29</v>
      </c>
      <c r="Y652" s="74" t="n">
        <v>13</v>
      </c>
      <c r="Z652" s="74" t="inlineStr">
        <is>
          <t>https://new.land.naver.com/complexes/141761?tab=detail&amp;rf=Y</t>
        </is>
      </c>
      <c r="AA652" s="74" t="inlineStr">
        <is>
          <t>전라북도 군산시 지곡동 산 66번지 일원</t>
        </is>
      </c>
      <c r="AB652" s="74" t="inlineStr">
        <is>
          <t>전라북도</t>
        </is>
      </c>
      <c r="AC652" s="74" t="inlineStr">
        <is>
          <t>군산시</t>
        </is>
      </c>
      <c r="AD652" s="74" t="inlineStr">
        <is>
          <t>지곡동</t>
        </is>
      </c>
      <c r="AG652" s="74" t="inlineStr">
        <is>
          <t>전라북도 군산시</t>
        </is>
      </c>
      <c r="AH652" s="74" t="n">
        <v>0</v>
      </c>
      <c r="AI652" s="74" t="n">
        <v>0</v>
      </c>
      <c r="AJ652" s="74" t="n">
        <v>0</v>
      </c>
      <c r="AK652" s="74" t="n">
        <v>1175</v>
      </c>
      <c r="AL652" s="74" t="n">
        <v>1.77</v>
      </c>
    </row>
    <row r="653">
      <c r="A653" s="74" t="inlineStr">
        <is>
          <t>[지곡동]</t>
        </is>
      </c>
      <c r="B653" s="74" t="n">
        <v>141761</v>
      </c>
      <c r="C653" s="74" t="n">
        <v>3</v>
      </c>
      <c r="D653" s="74" t="inlineStr">
        <is>
          <t>군산호수공원아이파크</t>
        </is>
      </c>
      <c r="E653" s="74" t="inlineStr">
        <is>
          <t>2024.01.</t>
        </is>
      </c>
      <c r="F653" s="74" t="n">
        <v>665</v>
      </c>
      <c r="G653" s="74" t="n">
        <v>46.07</v>
      </c>
      <c r="H653" s="74" t="n">
        <v>152.33</v>
      </c>
      <c r="I653" s="74" t="n">
        <v>35.96</v>
      </c>
      <c r="J653" s="74" t="n">
        <v>118.9</v>
      </c>
      <c r="K653" s="74" t="n">
        <v>157</v>
      </c>
      <c r="T653" s="74" t="n">
        <v>4</v>
      </c>
      <c r="U653" s="74" t="n">
        <v>2</v>
      </c>
      <c r="V653" s="74" t="inlineStr">
        <is>
          <t>계단식</t>
        </is>
      </c>
      <c r="W653" s="74" t="n">
        <v>152</v>
      </c>
      <c r="X653" s="74" t="n">
        <v>29</v>
      </c>
      <c r="Y653" s="74" t="n">
        <v>13</v>
      </c>
      <c r="Z653" s="74" t="inlineStr">
        <is>
          <t>https://new.land.naver.com/complexes/141761?tab=detail&amp;rf=Y</t>
        </is>
      </c>
      <c r="AA653" s="74" t="inlineStr">
        <is>
          <t>전라북도 군산시 지곡동 산 66번지 일원</t>
        </is>
      </c>
      <c r="AB653" s="74" t="inlineStr">
        <is>
          <t>전라북도</t>
        </is>
      </c>
      <c r="AC653" s="74" t="inlineStr">
        <is>
          <t>군산시</t>
        </is>
      </c>
      <c r="AD653" s="74" t="inlineStr">
        <is>
          <t>지곡동</t>
        </is>
      </c>
      <c r="AG653" s="74" t="inlineStr">
        <is>
          <t>전라북도 군산시</t>
        </is>
      </c>
      <c r="AH653" s="74" t="n">
        <v>0</v>
      </c>
      <c r="AI653" s="74" t="n">
        <v>0</v>
      </c>
      <c r="AJ653" s="74" t="n">
        <v>0</v>
      </c>
      <c r="AK653" s="74" t="n">
        <v>1175</v>
      </c>
      <c r="AL653" s="74" t="n">
        <v>1.77</v>
      </c>
    </row>
    <row r="654">
      <c r="A654" s="74" t="inlineStr">
        <is>
          <t>[지곡동]</t>
        </is>
      </c>
      <c r="B654" s="74" t="n">
        <v>141761</v>
      </c>
      <c r="C654" s="74" t="n">
        <v>4</v>
      </c>
      <c r="D654" s="74" t="inlineStr">
        <is>
          <t>군산호수공원아이파크</t>
        </is>
      </c>
      <c r="E654" s="74" t="inlineStr">
        <is>
          <t>2024.01.</t>
        </is>
      </c>
      <c r="F654" s="74" t="n">
        <v>665</v>
      </c>
      <c r="G654" s="74" t="n">
        <v>46.55</v>
      </c>
      <c r="H654" s="74" t="n">
        <v>153.89</v>
      </c>
      <c r="I654" s="74" t="n">
        <v>36.28</v>
      </c>
      <c r="J654" s="74" t="n">
        <v>119.94</v>
      </c>
      <c r="K654" s="74" t="n">
        <v>11</v>
      </c>
      <c r="T654" s="74" t="n">
        <v>4</v>
      </c>
      <c r="U654" s="74" t="n">
        <v>2</v>
      </c>
      <c r="V654" s="74" t="inlineStr">
        <is>
          <t>계단식</t>
        </is>
      </c>
      <c r="W654" s="74" t="n">
        <v>153</v>
      </c>
      <c r="X654" s="74" t="n">
        <v>29</v>
      </c>
      <c r="Y654" s="74" t="n">
        <v>13</v>
      </c>
      <c r="Z654" s="74" t="inlineStr">
        <is>
          <t>https://new.land.naver.com/complexes/141761?tab=detail&amp;rf=Y</t>
        </is>
      </c>
      <c r="AA654" s="74" t="inlineStr">
        <is>
          <t>전라북도 군산시 지곡동 산 66번지 일원</t>
        </is>
      </c>
      <c r="AB654" s="74" t="inlineStr">
        <is>
          <t>전라북도</t>
        </is>
      </c>
      <c r="AC654" s="74" t="inlineStr">
        <is>
          <t>군산시</t>
        </is>
      </c>
      <c r="AD654" s="74" t="inlineStr">
        <is>
          <t>지곡동</t>
        </is>
      </c>
      <c r="AG654" s="74" t="inlineStr">
        <is>
          <t>전라북도 군산시</t>
        </is>
      </c>
      <c r="AH654" s="74" t="n">
        <v>0</v>
      </c>
      <c r="AI654" s="74" t="n">
        <v>0</v>
      </c>
      <c r="AJ654" s="74" t="n">
        <v>0</v>
      </c>
      <c r="AK654" s="74" t="n">
        <v>1175</v>
      </c>
      <c r="AL654" s="74" t="n">
        <v>1.77</v>
      </c>
    </row>
    <row r="655">
      <c r="A655" s="74" t="inlineStr">
        <is>
          <t>[지곡동]</t>
        </is>
      </c>
      <c r="B655" s="74" t="n">
        <v>141761</v>
      </c>
      <c r="C655" s="74" t="n">
        <v>5</v>
      </c>
      <c r="D655" s="74" t="inlineStr">
        <is>
          <t>군산호수공원아이파크</t>
        </is>
      </c>
      <c r="E655" s="74" t="inlineStr">
        <is>
          <t>2024.01.</t>
        </is>
      </c>
      <c r="F655" s="74" t="n">
        <v>665</v>
      </c>
      <c r="G655" s="74" t="n">
        <v>56.36</v>
      </c>
      <c r="H655" s="74" t="n">
        <v>186.33</v>
      </c>
      <c r="I655" s="74" t="n">
        <v>44.44</v>
      </c>
      <c r="J655" s="74" t="n">
        <v>146.91</v>
      </c>
      <c r="K655" s="74" t="n">
        <v>120</v>
      </c>
      <c r="T655" s="74" t="n">
        <v>3</v>
      </c>
      <c r="U655" s="74" t="n">
        <v>3</v>
      </c>
      <c r="V655" s="74" t="inlineStr">
        <is>
          <t>계단식</t>
        </is>
      </c>
      <c r="W655" s="74" t="n">
        <v>186</v>
      </c>
      <c r="X655" s="74" t="n">
        <v>29</v>
      </c>
      <c r="Y655" s="74" t="n">
        <v>13</v>
      </c>
      <c r="Z655" s="74" t="inlineStr">
        <is>
          <t>https://new.land.naver.com/complexes/141761?tab=detail&amp;rf=Y</t>
        </is>
      </c>
      <c r="AA655" s="74" t="inlineStr">
        <is>
          <t>전라북도 군산시 지곡동 산 66번지 일원</t>
        </is>
      </c>
      <c r="AB655" s="74" t="inlineStr">
        <is>
          <t>전라북도</t>
        </is>
      </c>
      <c r="AC655" s="74" t="inlineStr">
        <is>
          <t>군산시</t>
        </is>
      </c>
      <c r="AD655" s="74" t="inlineStr">
        <is>
          <t>지곡동</t>
        </is>
      </c>
      <c r="AG655" s="74" t="inlineStr">
        <is>
          <t>전라북도 군산시</t>
        </is>
      </c>
      <c r="AH655" s="74" t="n">
        <v>0</v>
      </c>
      <c r="AI655" s="74" t="n">
        <v>0</v>
      </c>
      <c r="AJ655" s="74" t="n">
        <v>0</v>
      </c>
      <c r="AK655" s="74" t="n">
        <v>1175</v>
      </c>
      <c r="AL655" s="74" t="n">
        <v>1.77</v>
      </c>
    </row>
    <row r="656">
      <c r="A656" s="74" t="inlineStr">
        <is>
          <t>[지곡동]</t>
        </is>
      </c>
      <c r="B656" s="74" t="n">
        <v>141761</v>
      </c>
      <c r="C656" s="74" t="n">
        <v>6</v>
      </c>
      <c r="D656" s="74" t="inlineStr">
        <is>
          <t>군산호수공원아이파크</t>
        </is>
      </c>
      <c r="E656" s="74" t="inlineStr">
        <is>
          <t>2024.01.</t>
        </is>
      </c>
      <c r="F656" s="74" t="n">
        <v>665</v>
      </c>
      <c r="G656" s="74" t="n">
        <v>70.84</v>
      </c>
      <c r="H656" s="74" t="n">
        <v>234.21</v>
      </c>
      <c r="I656" s="74" t="n">
        <v>54.87</v>
      </c>
      <c r="J656" s="74" t="n">
        <v>181.42</v>
      </c>
      <c r="K656" s="74" t="n">
        <v>2</v>
      </c>
      <c r="T656" s="74" t="n">
        <v>3</v>
      </c>
      <c r="U656" s="74" t="n">
        <v>3</v>
      </c>
      <c r="V656" s="74" t="inlineStr">
        <is>
          <t>계단식</t>
        </is>
      </c>
      <c r="W656" s="74" t="inlineStr">
        <is>
          <t>234P</t>
        </is>
      </c>
      <c r="X656" s="74" t="n">
        <v>29</v>
      </c>
      <c r="Y656" s="74" t="n">
        <v>13</v>
      </c>
      <c r="Z656" s="74" t="inlineStr">
        <is>
          <t>https://new.land.naver.com/complexes/141761?tab=detail&amp;rf=Y</t>
        </is>
      </c>
      <c r="AA656" s="74" t="inlineStr">
        <is>
          <t>전라북도 군산시 지곡동 산 66번지 일원</t>
        </is>
      </c>
      <c r="AB656" s="74" t="inlineStr">
        <is>
          <t>전라북도</t>
        </is>
      </c>
      <c r="AC656" s="74" t="inlineStr">
        <is>
          <t>군산시</t>
        </is>
      </c>
      <c r="AD656" s="74" t="inlineStr">
        <is>
          <t>지곡동</t>
        </is>
      </c>
      <c r="AG656" s="74" t="inlineStr">
        <is>
          <t>전라북도 군산시</t>
        </is>
      </c>
      <c r="AH656" s="74" t="n">
        <v>0</v>
      </c>
      <c r="AI656" s="74" t="n">
        <v>0</v>
      </c>
      <c r="AJ656" s="74" t="n">
        <v>0</v>
      </c>
      <c r="AK656" s="74" t="n">
        <v>1175</v>
      </c>
      <c r="AL656" s="74" t="n">
        <v>1.77</v>
      </c>
    </row>
    <row r="657">
      <c r="A657" s="74" t="inlineStr">
        <is>
          <t>[지곡동]</t>
        </is>
      </c>
      <c r="B657" s="74" t="n">
        <v>141761</v>
      </c>
      <c r="C657" s="74" t="n">
        <v>7</v>
      </c>
      <c r="D657" s="74" t="inlineStr">
        <is>
          <t>군산호수공원아이파크</t>
        </is>
      </c>
      <c r="E657" s="74" t="inlineStr">
        <is>
          <t>2024.01.</t>
        </is>
      </c>
      <c r="F657" s="74" t="n">
        <v>665</v>
      </c>
      <c r="G657" s="74" t="n">
        <v>92.11</v>
      </c>
      <c r="H657" s="74" t="n">
        <v>304.52</v>
      </c>
      <c r="I657" s="74" t="n">
        <v>72.22</v>
      </c>
      <c r="J657" s="74" t="n">
        <v>238.75</v>
      </c>
      <c r="K657" s="74" t="n">
        <v>2</v>
      </c>
      <c r="T657" s="74" t="n">
        <v>5</v>
      </c>
      <c r="U657" s="74" t="n">
        <v>4</v>
      </c>
      <c r="V657" s="74" t="inlineStr">
        <is>
          <t>계단식</t>
        </is>
      </c>
      <c r="W657" s="74" t="inlineStr">
        <is>
          <t>304P</t>
        </is>
      </c>
      <c r="X657" s="74" t="n">
        <v>29</v>
      </c>
      <c r="Y657" s="74" t="n">
        <v>13</v>
      </c>
      <c r="Z657" s="74" t="inlineStr">
        <is>
          <t>https://new.land.naver.com/complexes/141761?tab=detail&amp;rf=Y</t>
        </is>
      </c>
      <c r="AA657" s="74" t="inlineStr">
        <is>
          <t>전라북도 군산시 지곡동 산 66번지 일원</t>
        </is>
      </c>
      <c r="AB657" s="74" t="inlineStr">
        <is>
          <t>전라북도</t>
        </is>
      </c>
      <c r="AC657" s="74" t="inlineStr">
        <is>
          <t>군산시</t>
        </is>
      </c>
      <c r="AD657" s="74" t="inlineStr">
        <is>
          <t>지곡동</t>
        </is>
      </c>
      <c r="AG657" s="74" t="inlineStr">
        <is>
          <t>전라북도 군산시</t>
        </is>
      </c>
      <c r="AH657" s="74" t="n">
        <v>0</v>
      </c>
      <c r="AI657" s="74" t="n">
        <v>0</v>
      </c>
      <c r="AJ657" s="74" t="n">
        <v>0</v>
      </c>
      <c r="AK657" s="74" t="n">
        <v>1175</v>
      </c>
      <c r="AL657" s="74" t="n">
        <v>1.77</v>
      </c>
    </row>
    <row r="658">
      <c r="A658" s="74" t="inlineStr">
        <is>
          <t>[지곡동]</t>
        </is>
      </c>
      <c r="B658" s="74" t="n">
        <v>26913</v>
      </c>
      <c r="C658" s="74" t="n">
        <v>1</v>
      </c>
      <c r="D658" s="74" t="inlineStr">
        <is>
          <t>은파코아루</t>
        </is>
      </c>
      <c r="E658" s="74" t="inlineStr">
        <is>
          <t>2006.12.</t>
        </is>
      </c>
      <c r="F658" s="74" t="n">
        <v>532</v>
      </c>
      <c r="G658" s="74" t="n">
        <v>36.21</v>
      </c>
      <c r="H658" s="74" t="n">
        <v>119.73</v>
      </c>
      <c r="I658" s="74" t="n">
        <v>25.67</v>
      </c>
      <c r="J658" s="74" t="n">
        <v>84.87</v>
      </c>
      <c r="K658" s="74" t="n">
        <v>196</v>
      </c>
      <c r="T658" s="74" t="n">
        <v>3</v>
      </c>
      <c r="U658" s="74" t="n">
        <v>2</v>
      </c>
      <c r="V658" s="74" t="inlineStr">
        <is>
          <t>계단식</t>
        </is>
      </c>
      <c r="W658" s="74" t="n">
        <v>119</v>
      </c>
      <c r="X658" s="74" t="n">
        <v>15</v>
      </c>
      <c r="Y658" s="74" t="n">
        <v>11</v>
      </c>
      <c r="Z658" s="74" t="inlineStr">
        <is>
          <t>https://new.land.naver.com/complexes/26913?tab=detail&amp;rf=Y</t>
        </is>
      </c>
      <c r="AA658" s="74" t="inlineStr">
        <is>
          <t>전라북도 군산시 지곡동 158-1</t>
        </is>
      </c>
      <c r="AB658" s="74" t="inlineStr">
        <is>
          <t>전라북도</t>
        </is>
      </c>
      <c r="AC658" s="74" t="inlineStr">
        <is>
          <t>군산시</t>
        </is>
      </c>
      <c r="AD658" s="74" t="inlineStr">
        <is>
          <t>지곡동</t>
        </is>
      </c>
      <c r="AG658" s="74" t="inlineStr">
        <is>
          <t>전라북도 군산시 동지곡길 53</t>
        </is>
      </c>
      <c r="AH658" s="74" t="n">
        <v>0</v>
      </c>
      <c r="AI658" s="74" t="n">
        <v>233</v>
      </c>
      <c r="AJ658" s="74" t="n">
        <v>20</v>
      </c>
      <c r="AK658" s="74" t="n">
        <v>849</v>
      </c>
      <c r="AL658" s="74" t="n">
        <v>1.6</v>
      </c>
    </row>
    <row r="659">
      <c r="A659" s="74" t="inlineStr">
        <is>
          <t>[지곡동]</t>
        </is>
      </c>
      <c r="B659" s="74" t="n">
        <v>26913</v>
      </c>
      <c r="C659" s="74" t="n">
        <v>2</v>
      </c>
      <c r="D659" s="74" t="inlineStr">
        <is>
          <t>은파코아루</t>
        </is>
      </c>
      <c r="E659" s="74" t="inlineStr">
        <is>
          <t>2006.12.</t>
        </is>
      </c>
      <c r="F659" s="74" t="n">
        <v>532</v>
      </c>
      <c r="G659" s="74" t="n">
        <v>47.05</v>
      </c>
      <c r="H659" s="74" t="n">
        <v>155.55</v>
      </c>
      <c r="I659" s="74" t="n">
        <v>38.99</v>
      </c>
      <c r="J659" s="74" t="n">
        <v>128.9</v>
      </c>
      <c r="K659" s="74" t="n">
        <v>198</v>
      </c>
      <c r="T659" s="74" t="n">
        <v>4</v>
      </c>
      <c r="U659" s="74" t="n">
        <v>2</v>
      </c>
      <c r="V659" s="74" t="inlineStr">
        <is>
          <t>계단식</t>
        </is>
      </c>
      <c r="W659" s="74" t="n">
        <v>155</v>
      </c>
      <c r="X659" s="74" t="n">
        <v>15</v>
      </c>
      <c r="Y659" s="74" t="n">
        <v>11</v>
      </c>
      <c r="Z659" s="74" t="inlineStr">
        <is>
          <t>https://new.land.naver.com/complexes/26913?tab=detail&amp;rf=Y</t>
        </is>
      </c>
      <c r="AA659" s="74" t="inlineStr">
        <is>
          <t>전라북도 군산시 지곡동 158-1</t>
        </is>
      </c>
      <c r="AB659" s="74" t="inlineStr">
        <is>
          <t>전라북도</t>
        </is>
      </c>
      <c r="AC659" s="74" t="inlineStr">
        <is>
          <t>군산시</t>
        </is>
      </c>
      <c r="AD659" s="74" t="inlineStr">
        <is>
          <t>지곡동</t>
        </is>
      </c>
      <c r="AG659" s="74" t="inlineStr">
        <is>
          <t>전라북도 군산시 동지곡길 53</t>
        </is>
      </c>
      <c r="AH659" s="74" t="n">
        <v>0</v>
      </c>
      <c r="AI659" s="74" t="n">
        <v>233</v>
      </c>
      <c r="AJ659" s="74" t="n">
        <v>20</v>
      </c>
      <c r="AK659" s="74" t="n">
        <v>849</v>
      </c>
      <c r="AL659" s="74" t="n">
        <v>1.6</v>
      </c>
    </row>
    <row r="660">
      <c r="A660" s="74" t="inlineStr">
        <is>
          <t>[지곡동]</t>
        </is>
      </c>
      <c r="B660" s="74" t="n">
        <v>26913</v>
      </c>
      <c r="C660" s="74" t="n">
        <v>3</v>
      </c>
      <c r="D660" s="74" t="inlineStr">
        <is>
          <t>은파코아루</t>
        </is>
      </c>
      <c r="E660" s="74" t="inlineStr">
        <is>
          <t>2006.12.</t>
        </is>
      </c>
      <c r="F660" s="74" t="n">
        <v>532</v>
      </c>
      <c r="G660" s="74" t="n">
        <v>55.42</v>
      </c>
      <c r="H660" s="74" t="n">
        <v>183.23</v>
      </c>
      <c r="I660" s="74" t="n">
        <v>46.74</v>
      </c>
      <c r="J660" s="74" t="n">
        <v>154.53</v>
      </c>
      <c r="K660" s="74" t="n">
        <v>108</v>
      </c>
      <c r="T660" s="74" t="n">
        <v>4</v>
      </c>
      <c r="U660" s="74" t="n">
        <v>2</v>
      </c>
      <c r="V660" s="74" t="inlineStr">
        <is>
          <t>계단식</t>
        </is>
      </c>
      <c r="W660" s="74" t="n">
        <v>183</v>
      </c>
      <c r="X660" s="74" t="n">
        <v>15</v>
      </c>
      <c r="Y660" s="74" t="n">
        <v>11</v>
      </c>
      <c r="Z660" s="74" t="inlineStr">
        <is>
          <t>https://new.land.naver.com/complexes/26913?tab=detail&amp;rf=Y</t>
        </is>
      </c>
      <c r="AA660" s="74" t="inlineStr">
        <is>
          <t>전라북도 군산시 지곡동 158-1</t>
        </is>
      </c>
      <c r="AB660" s="74" t="inlineStr">
        <is>
          <t>전라북도</t>
        </is>
      </c>
      <c r="AC660" s="74" t="inlineStr">
        <is>
          <t>군산시</t>
        </is>
      </c>
      <c r="AD660" s="74" t="inlineStr">
        <is>
          <t>지곡동</t>
        </is>
      </c>
      <c r="AG660" s="74" t="inlineStr">
        <is>
          <t>전라북도 군산시 동지곡길 53</t>
        </is>
      </c>
      <c r="AH660" s="74" t="n">
        <v>0</v>
      </c>
      <c r="AI660" s="74" t="n">
        <v>233</v>
      </c>
      <c r="AJ660" s="74" t="n">
        <v>20</v>
      </c>
      <c r="AK660" s="74" t="n">
        <v>849</v>
      </c>
      <c r="AL660" s="74" t="n">
        <v>1.6</v>
      </c>
    </row>
    <row r="661">
      <c r="A661" s="74" t="inlineStr">
        <is>
          <t>[지곡동]</t>
        </is>
      </c>
      <c r="B661" s="74" t="n">
        <v>26913</v>
      </c>
      <c r="C661" s="74" t="n">
        <v>4</v>
      </c>
      <c r="D661" s="74" t="inlineStr">
        <is>
          <t>은파코아루</t>
        </is>
      </c>
      <c r="E661" s="74" t="inlineStr">
        <is>
          <t>2006.12.</t>
        </is>
      </c>
      <c r="F661" s="74" t="n">
        <v>532</v>
      </c>
      <c r="G661" s="74" t="n">
        <v>64.73999999999999</v>
      </c>
      <c r="H661" s="74" t="n">
        <v>214.04</v>
      </c>
      <c r="I661" s="74" t="n">
        <v>54.81</v>
      </c>
      <c r="J661" s="74" t="n">
        <v>181.21</v>
      </c>
      <c r="K661" s="74" t="n">
        <v>30</v>
      </c>
      <c r="T661" s="74" t="n">
        <v>5</v>
      </c>
      <c r="U661" s="74" t="n">
        <v>3</v>
      </c>
      <c r="V661" s="74" t="inlineStr">
        <is>
          <t>계단식</t>
        </is>
      </c>
      <c r="W661" s="74" t="n">
        <v>214</v>
      </c>
      <c r="X661" s="74" t="n">
        <v>15</v>
      </c>
      <c r="Y661" s="74" t="n">
        <v>11</v>
      </c>
      <c r="Z661" s="74" t="inlineStr">
        <is>
          <t>https://new.land.naver.com/complexes/26913?tab=detail&amp;rf=Y</t>
        </is>
      </c>
      <c r="AA661" s="74" t="inlineStr">
        <is>
          <t>전라북도 군산시 지곡동 158-1</t>
        </is>
      </c>
      <c r="AB661" s="74" t="inlineStr">
        <is>
          <t>전라북도</t>
        </is>
      </c>
      <c r="AC661" s="74" t="inlineStr">
        <is>
          <t>군산시</t>
        </is>
      </c>
      <c r="AD661" s="74" t="inlineStr">
        <is>
          <t>지곡동</t>
        </is>
      </c>
      <c r="AG661" s="74" t="inlineStr">
        <is>
          <t>전라북도 군산시 동지곡길 53</t>
        </is>
      </c>
      <c r="AH661" s="74" t="n">
        <v>0</v>
      </c>
      <c r="AI661" s="74" t="n">
        <v>233</v>
      </c>
      <c r="AJ661" s="74" t="n">
        <v>20</v>
      </c>
      <c r="AK661" s="74" t="n">
        <v>849</v>
      </c>
      <c r="AL661" s="74" t="n">
        <v>1.6</v>
      </c>
    </row>
    <row r="662">
      <c r="A662" s="74" t="inlineStr">
        <is>
          <t>[지곡동]</t>
        </is>
      </c>
      <c r="B662" s="74" t="n">
        <v>104620</v>
      </c>
      <c r="C662" s="74" t="n">
        <v>1</v>
      </c>
      <c r="D662" s="74" t="inlineStr">
        <is>
          <t>지곡쌍용예가</t>
        </is>
      </c>
      <c r="E662" s="74" t="inlineStr">
        <is>
          <t>2014.08.</t>
        </is>
      </c>
      <c r="F662" s="74" t="n">
        <v>935</v>
      </c>
      <c r="G662" s="74" t="n">
        <v>25.5</v>
      </c>
      <c r="H662" s="74" t="n">
        <v>84.3</v>
      </c>
      <c r="I662" s="74" t="n">
        <v>18.14</v>
      </c>
      <c r="J662" s="74" t="n">
        <v>59.97</v>
      </c>
      <c r="K662" s="74" t="n">
        <v>133</v>
      </c>
      <c r="T662" s="74" t="n">
        <v>3</v>
      </c>
      <c r="U662" s="74" t="n">
        <v>2</v>
      </c>
      <c r="V662" s="74" t="inlineStr">
        <is>
          <t>계단식</t>
        </is>
      </c>
      <c r="W662" s="74" t="inlineStr">
        <is>
          <t>84A</t>
        </is>
      </c>
      <c r="X662" s="74" t="n">
        <v>25</v>
      </c>
      <c r="Y662" s="74" t="n">
        <v>18</v>
      </c>
      <c r="Z662" s="74" t="inlineStr">
        <is>
          <t>https://new.land.naver.com/complexes/104620?tab=detail&amp;rf=Y</t>
        </is>
      </c>
      <c r="AA662" s="74" t="inlineStr">
        <is>
          <t>전라북도 군산시 지곡동 607</t>
        </is>
      </c>
      <c r="AB662" s="74" t="inlineStr">
        <is>
          <t>전라북도</t>
        </is>
      </c>
      <c r="AC662" s="74" t="inlineStr">
        <is>
          <t>군산시</t>
        </is>
      </c>
      <c r="AD662" s="74" t="inlineStr">
        <is>
          <t>지곡동</t>
        </is>
      </c>
      <c r="AG662" s="74" t="inlineStr">
        <is>
          <t>전라북도 군산시 계산로 71</t>
        </is>
      </c>
      <c r="AH662" s="74" t="n">
        <v>0</v>
      </c>
      <c r="AI662" s="74" t="n">
        <v>245</v>
      </c>
      <c r="AJ662" s="74" t="n">
        <v>18</v>
      </c>
      <c r="AK662" s="74" t="n">
        <v>1135</v>
      </c>
      <c r="AL662" s="74" t="n">
        <v>1.21</v>
      </c>
    </row>
    <row r="663">
      <c r="A663" s="74" t="inlineStr">
        <is>
          <t>[지곡동]</t>
        </is>
      </c>
      <c r="B663" s="74" t="n">
        <v>104620</v>
      </c>
      <c r="C663" s="74" t="n">
        <v>2</v>
      </c>
      <c r="D663" s="74" t="inlineStr">
        <is>
          <t>지곡쌍용예가</t>
        </is>
      </c>
      <c r="E663" s="74" t="inlineStr">
        <is>
          <t>2014.08.</t>
        </is>
      </c>
      <c r="F663" s="74" t="n">
        <v>935</v>
      </c>
      <c r="G663" s="74" t="n">
        <v>25.6</v>
      </c>
      <c r="H663" s="74" t="n">
        <v>84.63</v>
      </c>
      <c r="I663" s="74" t="n">
        <v>18.12</v>
      </c>
      <c r="J663" s="74" t="n">
        <v>59.91</v>
      </c>
      <c r="K663" s="74" t="n">
        <v>48</v>
      </c>
      <c r="T663" s="74" t="n">
        <v>3</v>
      </c>
      <c r="U663" s="74" t="n">
        <v>2</v>
      </c>
      <c r="V663" s="74" t="inlineStr">
        <is>
          <t>계단식</t>
        </is>
      </c>
      <c r="W663" s="74" t="inlineStr">
        <is>
          <t>84B</t>
        </is>
      </c>
      <c r="X663" s="74" t="n">
        <v>25</v>
      </c>
      <c r="Y663" s="74" t="n">
        <v>18</v>
      </c>
      <c r="Z663" s="74" t="inlineStr">
        <is>
          <t>https://new.land.naver.com/complexes/104620?tab=detail&amp;rf=Y</t>
        </is>
      </c>
      <c r="AA663" s="74" t="inlineStr">
        <is>
          <t>전라북도 군산시 지곡동 607</t>
        </is>
      </c>
      <c r="AB663" s="74" t="inlineStr">
        <is>
          <t>전라북도</t>
        </is>
      </c>
      <c r="AC663" s="74" t="inlineStr">
        <is>
          <t>군산시</t>
        </is>
      </c>
      <c r="AD663" s="74" t="inlineStr">
        <is>
          <t>지곡동</t>
        </is>
      </c>
      <c r="AG663" s="74" t="inlineStr">
        <is>
          <t>전라북도 군산시 계산로 71</t>
        </is>
      </c>
      <c r="AH663" s="74" t="n">
        <v>0</v>
      </c>
      <c r="AI663" s="74" t="n">
        <v>245</v>
      </c>
      <c r="AJ663" s="74" t="n">
        <v>18</v>
      </c>
      <c r="AK663" s="74" t="n">
        <v>1135</v>
      </c>
      <c r="AL663" s="74" t="n">
        <v>1.21</v>
      </c>
    </row>
    <row r="664">
      <c r="A664" s="74" t="inlineStr">
        <is>
          <t>[지곡동]</t>
        </is>
      </c>
      <c r="B664" s="74" t="n">
        <v>104620</v>
      </c>
      <c r="C664" s="74" t="n">
        <v>3</v>
      </c>
      <c r="D664" s="74" t="inlineStr">
        <is>
          <t>지곡쌍용예가</t>
        </is>
      </c>
      <c r="E664" s="74" t="inlineStr">
        <is>
          <t>2014.08.</t>
        </is>
      </c>
      <c r="F664" s="74" t="n">
        <v>935</v>
      </c>
      <c r="G664" s="74" t="n">
        <v>31.3</v>
      </c>
      <c r="H664" s="74" t="n">
        <v>103.5</v>
      </c>
      <c r="I664" s="74" t="n">
        <v>22.68</v>
      </c>
      <c r="J664" s="74" t="n">
        <v>74.98999999999999</v>
      </c>
      <c r="K664" s="74" t="n">
        <v>213</v>
      </c>
      <c r="T664" s="74" t="n">
        <v>3</v>
      </c>
      <c r="U664" s="74" t="n">
        <v>2</v>
      </c>
      <c r="V664" s="74" t="inlineStr">
        <is>
          <t>계단식</t>
        </is>
      </c>
      <c r="W664" s="74" t="inlineStr">
        <is>
          <t>103B</t>
        </is>
      </c>
      <c r="X664" s="74" t="n">
        <v>25</v>
      </c>
      <c r="Y664" s="74" t="n">
        <v>18</v>
      </c>
      <c r="Z664" s="74" t="inlineStr">
        <is>
          <t>https://new.land.naver.com/complexes/104620?tab=detail&amp;rf=Y</t>
        </is>
      </c>
      <c r="AA664" s="74" t="inlineStr">
        <is>
          <t>전라북도 군산시 지곡동 607</t>
        </is>
      </c>
      <c r="AB664" s="74" t="inlineStr">
        <is>
          <t>전라북도</t>
        </is>
      </c>
      <c r="AC664" s="74" t="inlineStr">
        <is>
          <t>군산시</t>
        </is>
      </c>
      <c r="AD664" s="74" t="inlineStr">
        <is>
          <t>지곡동</t>
        </is>
      </c>
      <c r="AG664" s="74" t="inlineStr">
        <is>
          <t>전라북도 군산시 계산로 71</t>
        </is>
      </c>
      <c r="AH664" s="74" t="n">
        <v>0</v>
      </c>
      <c r="AI664" s="74" t="n">
        <v>245</v>
      </c>
      <c r="AJ664" s="74" t="n">
        <v>18</v>
      </c>
      <c r="AK664" s="74" t="n">
        <v>1135</v>
      </c>
      <c r="AL664" s="74" t="n">
        <v>1.21</v>
      </c>
    </row>
    <row r="665">
      <c r="A665" s="74" t="inlineStr">
        <is>
          <t>[지곡동]</t>
        </is>
      </c>
      <c r="B665" s="74" t="n">
        <v>104620</v>
      </c>
      <c r="C665" s="74" t="n">
        <v>4</v>
      </c>
      <c r="D665" s="74" t="inlineStr">
        <is>
          <t>지곡쌍용예가</t>
        </is>
      </c>
      <c r="E665" s="74" t="inlineStr">
        <is>
          <t>2014.08.</t>
        </is>
      </c>
      <c r="F665" s="74" t="n">
        <v>935</v>
      </c>
      <c r="G665" s="74" t="n">
        <v>31.42</v>
      </c>
      <c r="H665" s="74" t="n">
        <v>103.87</v>
      </c>
      <c r="I665" s="74" t="n">
        <v>22.67</v>
      </c>
      <c r="J665" s="74" t="n">
        <v>74.97</v>
      </c>
      <c r="K665" s="74" t="n">
        <v>71</v>
      </c>
      <c r="T665" s="74" t="n">
        <v>3</v>
      </c>
      <c r="U665" s="74" t="n">
        <v>2</v>
      </c>
      <c r="V665" s="74" t="inlineStr">
        <is>
          <t>계단식</t>
        </is>
      </c>
      <c r="W665" s="74" t="inlineStr">
        <is>
          <t>103A</t>
        </is>
      </c>
      <c r="X665" s="74" t="n">
        <v>25</v>
      </c>
      <c r="Y665" s="74" t="n">
        <v>18</v>
      </c>
      <c r="Z665" s="74" t="inlineStr">
        <is>
          <t>https://new.land.naver.com/complexes/104620?tab=detail&amp;rf=Y</t>
        </is>
      </c>
      <c r="AA665" s="74" t="inlineStr">
        <is>
          <t>전라북도 군산시 지곡동 607</t>
        </is>
      </c>
      <c r="AB665" s="74" t="inlineStr">
        <is>
          <t>전라북도</t>
        </is>
      </c>
      <c r="AC665" s="74" t="inlineStr">
        <is>
          <t>군산시</t>
        </is>
      </c>
      <c r="AD665" s="74" t="inlineStr">
        <is>
          <t>지곡동</t>
        </is>
      </c>
      <c r="AG665" s="74" t="inlineStr">
        <is>
          <t>전라북도 군산시 계산로 71</t>
        </is>
      </c>
      <c r="AH665" s="74" t="n">
        <v>0</v>
      </c>
      <c r="AI665" s="74" t="n">
        <v>245</v>
      </c>
      <c r="AJ665" s="74" t="n">
        <v>18</v>
      </c>
      <c r="AK665" s="74" t="n">
        <v>1135</v>
      </c>
      <c r="AL665" s="74" t="n">
        <v>1.21</v>
      </c>
    </row>
    <row r="666">
      <c r="A666" s="74" t="inlineStr">
        <is>
          <t>[지곡동]</t>
        </is>
      </c>
      <c r="B666" s="74" t="n">
        <v>104620</v>
      </c>
      <c r="C666" s="74" t="n">
        <v>5</v>
      </c>
      <c r="D666" s="74" t="inlineStr">
        <is>
          <t>지곡쌍용예가</t>
        </is>
      </c>
      <c r="E666" s="74" t="inlineStr">
        <is>
          <t>2014.08.</t>
        </is>
      </c>
      <c r="F666" s="74" t="n">
        <v>935</v>
      </c>
      <c r="G666" s="74" t="n">
        <v>34.68</v>
      </c>
      <c r="H666" s="74" t="n">
        <v>114.66</v>
      </c>
      <c r="I666" s="74" t="n">
        <v>25.7</v>
      </c>
      <c r="J666" s="74" t="n">
        <v>84.98</v>
      </c>
      <c r="K666" s="74" t="n">
        <v>309</v>
      </c>
      <c r="T666" s="74" t="n">
        <v>3</v>
      </c>
      <c r="U666" s="74" t="n">
        <v>2</v>
      </c>
      <c r="V666" s="74" t="inlineStr">
        <is>
          <t>계단식</t>
        </is>
      </c>
      <c r="W666" s="74" t="inlineStr">
        <is>
          <t>114B</t>
        </is>
      </c>
      <c r="X666" s="74" t="n">
        <v>25</v>
      </c>
      <c r="Y666" s="74" t="n">
        <v>18</v>
      </c>
      <c r="Z666" s="74" t="inlineStr">
        <is>
          <t>https://new.land.naver.com/complexes/104620?tab=detail&amp;rf=Y</t>
        </is>
      </c>
      <c r="AA666" s="74" t="inlineStr">
        <is>
          <t>전라북도 군산시 지곡동 607</t>
        </is>
      </c>
      <c r="AB666" s="74" t="inlineStr">
        <is>
          <t>전라북도</t>
        </is>
      </c>
      <c r="AC666" s="74" t="inlineStr">
        <is>
          <t>군산시</t>
        </is>
      </c>
      <c r="AD666" s="74" t="inlineStr">
        <is>
          <t>지곡동</t>
        </is>
      </c>
      <c r="AG666" s="74" t="inlineStr">
        <is>
          <t>전라북도 군산시 계산로 71</t>
        </is>
      </c>
      <c r="AH666" s="74" t="n">
        <v>0</v>
      </c>
      <c r="AI666" s="74" t="n">
        <v>245</v>
      </c>
      <c r="AJ666" s="74" t="n">
        <v>18</v>
      </c>
      <c r="AK666" s="74" t="n">
        <v>1135</v>
      </c>
      <c r="AL666" s="74" t="n">
        <v>1.21</v>
      </c>
    </row>
    <row r="667">
      <c r="A667" s="74" t="inlineStr">
        <is>
          <t>[지곡동]</t>
        </is>
      </c>
      <c r="B667" s="74" t="n">
        <v>104620</v>
      </c>
      <c r="C667" s="74" t="n">
        <v>6</v>
      </c>
      <c r="D667" s="74" t="inlineStr">
        <is>
          <t>지곡쌍용예가</t>
        </is>
      </c>
      <c r="E667" s="74" t="inlineStr">
        <is>
          <t>2014.08.</t>
        </is>
      </c>
      <c r="F667" s="74" t="n">
        <v>935</v>
      </c>
      <c r="G667" s="74" t="n">
        <v>34.48</v>
      </c>
      <c r="H667" s="74" t="n">
        <v>114.01</v>
      </c>
      <c r="I667" s="74" t="n">
        <v>25.7</v>
      </c>
      <c r="J667" s="74" t="n">
        <v>84.98</v>
      </c>
      <c r="K667" s="74" t="n">
        <v>161</v>
      </c>
      <c r="T667" s="74" t="n">
        <v>3</v>
      </c>
      <c r="U667" s="74" t="n">
        <v>2</v>
      </c>
      <c r="V667" s="74" t="inlineStr">
        <is>
          <t>계단식</t>
        </is>
      </c>
      <c r="W667" s="74" t="inlineStr">
        <is>
          <t>114A</t>
        </is>
      </c>
      <c r="X667" s="74" t="n">
        <v>25</v>
      </c>
      <c r="Y667" s="74" t="n">
        <v>18</v>
      </c>
      <c r="Z667" s="74" t="inlineStr">
        <is>
          <t>https://new.land.naver.com/complexes/104620?tab=detail&amp;rf=Y</t>
        </is>
      </c>
      <c r="AA667" s="74" t="inlineStr">
        <is>
          <t>전라북도 군산시 지곡동 607</t>
        </is>
      </c>
      <c r="AB667" s="74" t="inlineStr">
        <is>
          <t>전라북도</t>
        </is>
      </c>
      <c r="AC667" s="74" t="inlineStr">
        <is>
          <t>군산시</t>
        </is>
      </c>
      <c r="AD667" s="74" t="inlineStr">
        <is>
          <t>지곡동</t>
        </is>
      </c>
      <c r="AG667" s="74" t="inlineStr">
        <is>
          <t>전라북도 군산시 계산로 71</t>
        </is>
      </c>
      <c r="AH667" s="74" t="n">
        <v>0</v>
      </c>
      <c r="AI667" s="74" t="n">
        <v>245</v>
      </c>
      <c r="AJ667" s="74" t="n">
        <v>18</v>
      </c>
      <c r="AK667" s="74" t="n">
        <v>1135</v>
      </c>
      <c r="AL667" s="74" t="n">
        <v>1.21</v>
      </c>
    </row>
    <row r="668">
      <c r="A668" s="74" t="inlineStr">
        <is>
          <t>[지곡동]</t>
        </is>
      </c>
      <c r="B668" s="74" t="n">
        <v>109796</v>
      </c>
      <c r="C668" s="74" t="n">
        <v>1</v>
      </c>
      <c r="D668" s="74" t="inlineStr">
        <is>
          <t>지곡엠코타운</t>
        </is>
      </c>
      <c r="E668" s="74" t="inlineStr">
        <is>
          <t>2015.02.</t>
        </is>
      </c>
      <c r="F668" s="74" t="n">
        <v>502</v>
      </c>
      <c r="G668" s="74" t="n">
        <v>24.99</v>
      </c>
      <c r="H668" s="74" t="n">
        <v>82.63</v>
      </c>
      <c r="I668" s="74" t="n">
        <v>18.14</v>
      </c>
      <c r="J668" s="74" t="n">
        <v>59.97</v>
      </c>
      <c r="K668" s="74" t="n">
        <v>120</v>
      </c>
      <c r="T668" s="74" t="n">
        <v>3</v>
      </c>
      <c r="U668" s="74" t="n">
        <v>2</v>
      </c>
      <c r="V668" s="74" t="inlineStr">
        <is>
          <t>계단식</t>
        </is>
      </c>
      <c r="W668" s="74" t="n">
        <v>82</v>
      </c>
      <c r="X668" s="74" t="n">
        <v>20</v>
      </c>
      <c r="Y668" s="74" t="n">
        <v>16</v>
      </c>
      <c r="Z668" s="74" t="inlineStr">
        <is>
          <t>https://new.land.naver.com/complexes/109796?tab=detail&amp;rf=Y</t>
        </is>
      </c>
      <c r="AA668" s="74" t="inlineStr">
        <is>
          <t>전라북도 군산시 지곡동 609</t>
        </is>
      </c>
      <c r="AB668" s="74" t="inlineStr">
        <is>
          <t>전라북도</t>
        </is>
      </c>
      <c r="AC668" s="74" t="inlineStr">
        <is>
          <t>군산시</t>
        </is>
      </c>
      <c r="AD668" s="74" t="inlineStr">
        <is>
          <t>지곡동</t>
        </is>
      </c>
      <c r="AG668" s="74" t="inlineStr">
        <is>
          <t>전라북도 군산시 계산로 90</t>
        </is>
      </c>
      <c r="AH668" s="74" t="n">
        <v>0</v>
      </c>
      <c r="AI668" s="74" t="n">
        <v>249</v>
      </c>
      <c r="AJ668" s="74" t="n">
        <v>21</v>
      </c>
      <c r="AK668" s="74" t="n">
        <v>550</v>
      </c>
      <c r="AL668" s="74" t="n">
        <v>1.1</v>
      </c>
    </row>
    <row r="669">
      <c r="A669" s="74" t="inlineStr">
        <is>
          <t>[지곡동]</t>
        </is>
      </c>
      <c r="B669" s="74" t="n">
        <v>109796</v>
      </c>
      <c r="C669" s="74" t="n">
        <v>2</v>
      </c>
      <c r="D669" s="74" t="inlineStr">
        <is>
          <t>지곡엠코타운</t>
        </is>
      </c>
      <c r="E669" s="74" t="inlineStr">
        <is>
          <t>2015.02.</t>
        </is>
      </c>
      <c r="F669" s="74" t="n">
        <v>502</v>
      </c>
      <c r="G669" s="74" t="n">
        <v>32.8</v>
      </c>
      <c r="H669" s="74" t="n">
        <v>108.45</v>
      </c>
      <c r="I669" s="74" t="n">
        <v>25.69</v>
      </c>
      <c r="J669" s="74" t="n">
        <v>84.95</v>
      </c>
      <c r="K669" s="74" t="n">
        <v>170</v>
      </c>
      <c r="T669" s="74" t="n">
        <v>3</v>
      </c>
      <c r="U669" s="74" t="n">
        <v>2</v>
      </c>
      <c r="V669" s="74" t="inlineStr">
        <is>
          <t>계단식</t>
        </is>
      </c>
      <c r="W669" s="74" t="inlineStr">
        <is>
          <t>108A</t>
        </is>
      </c>
      <c r="X669" s="74" t="n">
        <v>20</v>
      </c>
      <c r="Y669" s="74" t="n">
        <v>16</v>
      </c>
      <c r="Z669" s="74" t="inlineStr">
        <is>
          <t>https://new.land.naver.com/complexes/109796?tab=detail&amp;rf=Y</t>
        </is>
      </c>
      <c r="AA669" s="74" t="inlineStr">
        <is>
          <t>전라북도 군산시 지곡동 609</t>
        </is>
      </c>
      <c r="AB669" s="74" t="inlineStr">
        <is>
          <t>전라북도</t>
        </is>
      </c>
      <c r="AC669" s="74" t="inlineStr">
        <is>
          <t>군산시</t>
        </is>
      </c>
      <c r="AD669" s="74" t="inlineStr">
        <is>
          <t>지곡동</t>
        </is>
      </c>
      <c r="AG669" s="74" t="inlineStr">
        <is>
          <t>전라북도 군산시 계산로 90</t>
        </is>
      </c>
      <c r="AH669" s="74" t="n">
        <v>0</v>
      </c>
      <c r="AI669" s="74" t="n">
        <v>249</v>
      </c>
      <c r="AJ669" s="74" t="n">
        <v>21</v>
      </c>
      <c r="AK669" s="74" t="n">
        <v>550</v>
      </c>
      <c r="AL669" s="74" t="n">
        <v>1.1</v>
      </c>
    </row>
    <row r="670">
      <c r="A670" s="74" t="inlineStr">
        <is>
          <t>[지곡동]</t>
        </is>
      </c>
      <c r="B670" s="74" t="n">
        <v>109796</v>
      </c>
      <c r="C670" s="74" t="n">
        <v>3</v>
      </c>
      <c r="D670" s="74" t="inlineStr">
        <is>
          <t>지곡엠코타운</t>
        </is>
      </c>
      <c r="E670" s="74" t="inlineStr">
        <is>
          <t>2015.02.</t>
        </is>
      </c>
      <c r="F670" s="74" t="n">
        <v>502</v>
      </c>
      <c r="G670" s="74" t="n">
        <v>32.79</v>
      </c>
      <c r="H670" s="74" t="n">
        <v>108.41</v>
      </c>
      <c r="I670" s="74" t="n">
        <v>25.69</v>
      </c>
      <c r="J670" s="74" t="n">
        <v>84.95</v>
      </c>
      <c r="K670" s="74" t="n">
        <v>144</v>
      </c>
      <c r="T670" s="74" t="n">
        <v>3</v>
      </c>
      <c r="U670" s="74" t="n">
        <v>2</v>
      </c>
      <c r="V670" s="74" t="inlineStr">
        <is>
          <t>계단식</t>
        </is>
      </c>
      <c r="W670" s="74" t="inlineStr">
        <is>
          <t>108C</t>
        </is>
      </c>
      <c r="X670" s="74" t="n">
        <v>20</v>
      </c>
      <c r="Y670" s="74" t="n">
        <v>16</v>
      </c>
      <c r="Z670" s="74" t="inlineStr">
        <is>
          <t>https://new.land.naver.com/complexes/109796?tab=detail&amp;rf=Y</t>
        </is>
      </c>
      <c r="AA670" s="74" t="inlineStr">
        <is>
          <t>전라북도 군산시 지곡동 609</t>
        </is>
      </c>
      <c r="AB670" s="74" t="inlineStr">
        <is>
          <t>전라북도</t>
        </is>
      </c>
      <c r="AC670" s="74" t="inlineStr">
        <is>
          <t>군산시</t>
        </is>
      </c>
      <c r="AD670" s="74" t="inlineStr">
        <is>
          <t>지곡동</t>
        </is>
      </c>
      <c r="AG670" s="74" t="inlineStr">
        <is>
          <t>전라북도 군산시 계산로 90</t>
        </is>
      </c>
      <c r="AH670" s="74" t="n">
        <v>0</v>
      </c>
      <c r="AI670" s="74" t="n">
        <v>249</v>
      </c>
      <c r="AJ670" s="74" t="n">
        <v>21</v>
      </c>
      <c r="AK670" s="74" t="n">
        <v>550</v>
      </c>
      <c r="AL670" s="74" t="n">
        <v>1.1</v>
      </c>
    </row>
    <row r="671">
      <c r="A671" s="74" t="inlineStr">
        <is>
          <t>[지곡동]</t>
        </is>
      </c>
      <c r="B671" s="74" t="n">
        <v>109796</v>
      </c>
      <c r="C671" s="74" t="n">
        <v>4</v>
      </c>
      <c r="D671" s="74" t="inlineStr">
        <is>
          <t>지곡엠코타운</t>
        </is>
      </c>
      <c r="E671" s="74" t="inlineStr">
        <is>
          <t>2015.02.</t>
        </is>
      </c>
      <c r="F671" s="74" t="n">
        <v>502</v>
      </c>
      <c r="G671" s="74" t="n">
        <v>32.89</v>
      </c>
      <c r="H671" s="74" t="n">
        <v>108.75</v>
      </c>
      <c r="I671" s="74" t="n">
        <v>25.7</v>
      </c>
      <c r="J671" s="74" t="n">
        <v>84.98</v>
      </c>
      <c r="K671" s="74" t="n">
        <v>68</v>
      </c>
      <c r="T671" s="74" t="n">
        <v>3</v>
      </c>
      <c r="U671" s="74" t="n">
        <v>2</v>
      </c>
      <c r="V671" s="74" t="inlineStr">
        <is>
          <t>계단식</t>
        </is>
      </c>
      <c r="W671" s="74" t="inlineStr">
        <is>
          <t>108B</t>
        </is>
      </c>
      <c r="X671" s="74" t="n">
        <v>20</v>
      </c>
      <c r="Y671" s="74" t="n">
        <v>16</v>
      </c>
      <c r="Z671" s="74" t="inlineStr">
        <is>
          <t>https://new.land.naver.com/complexes/109796?tab=detail&amp;rf=Y</t>
        </is>
      </c>
      <c r="AA671" s="74" t="inlineStr">
        <is>
          <t>전라북도 군산시 지곡동 609</t>
        </is>
      </c>
      <c r="AB671" s="74" t="inlineStr">
        <is>
          <t>전라북도</t>
        </is>
      </c>
      <c r="AC671" s="74" t="inlineStr">
        <is>
          <t>군산시</t>
        </is>
      </c>
      <c r="AD671" s="74" t="inlineStr">
        <is>
          <t>지곡동</t>
        </is>
      </c>
      <c r="AG671" s="74" t="inlineStr">
        <is>
          <t>전라북도 군산시 계산로 90</t>
        </is>
      </c>
      <c r="AH671" s="74" t="n">
        <v>0</v>
      </c>
      <c r="AI671" s="74" t="n">
        <v>249</v>
      </c>
      <c r="AJ671" s="74" t="n">
        <v>21</v>
      </c>
      <c r="AK671" s="74" t="n">
        <v>550</v>
      </c>
      <c r="AL671" s="74" t="n">
        <v>1.1</v>
      </c>
    </row>
    <row r="672">
      <c r="A672" s="74" t="inlineStr">
        <is>
          <t>[지곡동]</t>
        </is>
      </c>
      <c r="B672" s="74" t="n">
        <v>112195</v>
      </c>
      <c r="C672" s="74" t="n">
        <v>1</v>
      </c>
      <c r="D672" s="74" t="inlineStr">
        <is>
          <t>서희스타힐스</t>
        </is>
      </c>
      <c r="E672" s="74" t="inlineStr">
        <is>
          <t>2015.12.</t>
        </is>
      </c>
      <c r="F672" s="74" t="n">
        <v>382</v>
      </c>
      <c r="G672" s="74" t="n">
        <v>23.28</v>
      </c>
      <c r="H672" s="74" t="n">
        <v>76.98</v>
      </c>
      <c r="I672" s="74" t="n">
        <v>18.07</v>
      </c>
      <c r="J672" s="74" t="n">
        <v>59.74</v>
      </c>
      <c r="K672" s="74" t="n">
        <v>41</v>
      </c>
      <c r="T672" s="74" t="n">
        <v>3</v>
      </c>
      <c r="U672" s="74" t="n">
        <v>2</v>
      </c>
      <c r="V672" s="74" t="inlineStr">
        <is>
          <t>계단식</t>
        </is>
      </c>
      <c r="W672" s="74" t="inlineStr">
        <is>
          <t>76B</t>
        </is>
      </c>
      <c r="X672" s="74" t="n">
        <v>19</v>
      </c>
      <c r="Y672" s="74" t="n">
        <v>15</v>
      </c>
      <c r="Z672" s="74" t="inlineStr">
        <is>
          <t>https://new.land.naver.com/complexes/112195?tab=detail&amp;rf=Y</t>
        </is>
      </c>
      <c r="AA672" s="74" t="inlineStr">
        <is>
          <t>전라북도 군산시 지곡동 612</t>
        </is>
      </c>
      <c r="AB672" s="74" t="inlineStr">
        <is>
          <t>전라북도</t>
        </is>
      </c>
      <c r="AC672" s="74" t="inlineStr">
        <is>
          <t>군산시</t>
        </is>
      </c>
      <c r="AD672" s="74" t="inlineStr">
        <is>
          <t>지곡동</t>
        </is>
      </c>
      <c r="AG672" s="74" t="inlineStr">
        <is>
          <t>전라북도 군산시 지곡로 52</t>
        </is>
      </c>
      <c r="AH672" s="74" t="n">
        <v>0</v>
      </c>
      <c r="AI672" s="74" t="n">
        <v>246</v>
      </c>
      <c r="AJ672" s="74" t="n">
        <v>24</v>
      </c>
      <c r="AK672" s="74" t="n">
        <v>425</v>
      </c>
      <c r="AL672" s="74" t="n">
        <v>1.11</v>
      </c>
    </row>
    <row r="673">
      <c r="A673" s="74" t="inlineStr">
        <is>
          <t>[지곡동]</t>
        </is>
      </c>
      <c r="B673" s="74" t="n">
        <v>112195</v>
      </c>
      <c r="C673" s="74" t="n">
        <v>2</v>
      </c>
      <c r="D673" s="74" t="inlineStr">
        <is>
          <t>서희스타힐스</t>
        </is>
      </c>
      <c r="E673" s="74" t="inlineStr">
        <is>
          <t>2015.12.</t>
        </is>
      </c>
      <c r="F673" s="74" t="n">
        <v>382</v>
      </c>
      <c r="G673" s="74" t="n">
        <v>23.37</v>
      </c>
      <c r="H673" s="74" t="n">
        <v>77.26000000000001</v>
      </c>
      <c r="I673" s="74" t="n">
        <v>18.09</v>
      </c>
      <c r="J673" s="74" t="n">
        <v>59.83</v>
      </c>
      <c r="K673" s="74" t="n">
        <v>28</v>
      </c>
      <c r="T673" s="74" t="n">
        <v>3</v>
      </c>
      <c r="U673" s="74" t="n">
        <v>2</v>
      </c>
      <c r="V673" s="74" t="inlineStr">
        <is>
          <t>계단식</t>
        </is>
      </c>
      <c r="W673" s="74" t="inlineStr">
        <is>
          <t>77A</t>
        </is>
      </c>
      <c r="X673" s="74" t="n">
        <v>19</v>
      </c>
      <c r="Y673" s="74" t="n">
        <v>15</v>
      </c>
      <c r="Z673" s="74" t="inlineStr">
        <is>
          <t>https://new.land.naver.com/complexes/112195?tab=detail&amp;rf=Y</t>
        </is>
      </c>
      <c r="AA673" s="74" t="inlineStr">
        <is>
          <t>전라북도 군산시 지곡동 612</t>
        </is>
      </c>
      <c r="AB673" s="74" t="inlineStr">
        <is>
          <t>전라북도</t>
        </is>
      </c>
      <c r="AC673" s="74" t="inlineStr">
        <is>
          <t>군산시</t>
        </is>
      </c>
      <c r="AD673" s="74" t="inlineStr">
        <is>
          <t>지곡동</t>
        </is>
      </c>
      <c r="AG673" s="74" t="inlineStr">
        <is>
          <t>전라북도 군산시 지곡로 52</t>
        </is>
      </c>
      <c r="AH673" s="74" t="n">
        <v>0</v>
      </c>
      <c r="AI673" s="74" t="n">
        <v>246</v>
      </c>
      <c r="AJ673" s="74" t="n">
        <v>24</v>
      </c>
      <c r="AK673" s="74" t="n">
        <v>425</v>
      </c>
      <c r="AL673" s="74" t="n">
        <v>1.11</v>
      </c>
    </row>
    <row r="674">
      <c r="A674" s="74" t="inlineStr">
        <is>
          <t>[지곡동]</t>
        </is>
      </c>
      <c r="B674" s="74" t="n">
        <v>112195</v>
      </c>
      <c r="C674" s="74" t="n">
        <v>3</v>
      </c>
      <c r="D674" s="74" t="inlineStr">
        <is>
          <t>서희스타힐스</t>
        </is>
      </c>
      <c r="E674" s="74" t="inlineStr">
        <is>
          <t>2015.12.</t>
        </is>
      </c>
      <c r="F674" s="74" t="n">
        <v>382</v>
      </c>
      <c r="G674" s="74" t="n">
        <v>28.37</v>
      </c>
      <c r="H674" s="74" t="n">
        <v>93.8</v>
      </c>
      <c r="I674" s="74" t="n">
        <v>22.17</v>
      </c>
      <c r="J674" s="74" t="n">
        <v>73.31</v>
      </c>
      <c r="K674" s="74" t="n">
        <v>14</v>
      </c>
      <c r="T674" s="74" t="n">
        <v>3</v>
      </c>
      <c r="U674" s="74" t="n">
        <v>2</v>
      </c>
      <c r="V674" s="74" t="inlineStr">
        <is>
          <t>계단식</t>
        </is>
      </c>
      <c r="W674" s="74" t="n">
        <v>93</v>
      </c>
      <c r="X674" s="74" t="n">
        <v>19</v>
      </c>
      <c r="Y674" s="74" t="n">
        <v>15</v>
      </c>
      <c r="Z674" s="74" t="inlineStr">
        <is>
          <t>https://new.land.naver.com/complexes/112195?tab=detail&amp;rf=Y</t>
        </is>
      </c>
      <c r="AA674" s="74" t="inlineStr">
        <is>
          <t>전라북도 군산시 지곡동 612</t>
        </is>
      </c>
      <c r="AB674" s="74" t="inlineStr">
        <is>
          <t>전라북도</t>
        </is>
      </c>
      <c r="AC674" s="74" t="inlineStr">
        <is>
          <t>군산시</t>
        </is>
      </c>
      <c r="AD674" s="74" t="inlineStr">
        <is>
          <t>지곡동</t>
        </is>
      </c>
      <c r="AG674" s="74" t="inlineStr">
        <is>
          <t>전라북도 군산시 지곡로 52</t>
        </is>
      </c>
      <c r="AH674" s="74" t="n">
        <v>0</v>
      </c>
      <c r="AI674" s="74" t="n">
        <v>246</v>
      </c>
      <c r="AJ674" s="74" t="n">
        <v>24</v>
      </c>
      <c r="AK674" s="74" t="n">
        <v>425</v>
      </c>
      <c r="AL674" s="74" t="n">
        <v>1.11</v>
      </c>
    </row>
    <row r="675">
      <c r="A675" s="74" t="inlineStr">
        <is>
          <t>[지곡동]</t>
        </is>
      </c>
      <c r="B675" s="74" t="n">
        <v>112195</v>
      </c>
      <c r="C675" s="74" t="n">
        <v>4</v>
      </c>
      <c r="D675" s="74" t="inlineStr">
        <is>
          <t>서희스타힐스</t>
        </is>
      </c>
      <c r="E675" s="74" t="inlineStr">
        <is>
          <t>2015.12.</t>
        </is>
      </c>
      <c r="F675" s="74" t="n">
        <v>382</v>
      </c>
      <c r="G675" s="74" t="n">
        <v>32.63</v>
      </c>
      <c r="H675" s="74" t="n">
        <v>107.89</v>
      </c>
      <c r="I675" s="74" t="n">
        <v>25.5</v>
      </c>
      <c r="J675" s="74" t="n">
        <v>84.31999999999999</v>
      </c>
      <c r="K675" s="74" t="n">
        <v>187</v>
      </c>
      <c r="T675" s="74" t="n">
        <v>3</v>
      </c>
      <c r="U675" s="74" t="n">
        <v>2</v>
      </c>
      <c r="V675" s="74" t="inlineStr">
        <is>
          <t>계단식</t>
        </is>
      </c>
      <c r="W675" s="74" t="inlineStr">
        <is>
          <t>107A</t>
        </is>
      </c>
      <c r="X675" s="74" t="n">
        <v>19</v>
      </c>
      <c r="Y675" s="74" t="n">
        <v>15</v>
      </c>
      <c r="Z675" s="74" t="inlineStr">
        <is>
          <t>https://new.land.naver.com/complexes/112195?tab=detail&amp;rf=Y</t>
        </is>
      </c>
      <c r="AA675" s="74" t="inlineStr">
        <is>
          <t>전라북도 군산시 지곡동 612</t>
        </is>
      </c>
      <c r="AB675" s="74" t="inlineStr">
        <is>
          <t>전라북도</t>
        </is>
      </c>
      <c r="AC675" s="74" t="inlineStr">
        <is>
          <t>군산시</t>
        </is>
      </c>
      <c r="AD675" s="74" t="inlineStr">
        <is>
          <t>지곡동</t>
        </is>
      </c>
      <c r="AG675" s="74" t="inlineStr">
        <is>
          <t>전라북도 군산시 지곡로 52</t>
        </is>
      </c>
      <c r="AH675" s="74" t="n">
        <v>0</v>
      </c>
      <c r="AI675" s="74" t="n">
        <v>246</v>
      </c>
      <c r="AJ675" s="74" t="n">
        <v>24</v>
      </c>
      <c r="AK675" s="74" t="n">
        <v>425</v>
      </c>
      <c r="AL675" s="74" t="n">
        <v>1.11</v>
      </c>
    </row>
    <row r="676">
      <c r="A676" s="74" t="inlineStr">
        <is>
          <t>[지곡동]</t>
        </is>
      </c>
      <c r="B676" s="74" t="n">
        <v>112195</v>
      </c>
      <c r="C676" s="74" t="n">
        <v>5</v>
      </c>
      <c r="D676" s="74" t="inlineStr">
        <is>
          <t>서희스타힐스</t>
        </is>
      </c>
      <c r="E676" s="74" t="inlineStr">
        <is>
          <t>2015.12.</t>
        </is>
      </c>
      <c r="F676" s="74" t="n">
        <v>382</v>
      </c>
      <c r="G676" s="74" t="n">
        <v>32.83</v>
      </c>
      <c r="H676" s="74" t="n">
        <v>108.56</v>
      </c>
      <c r="I676" s="74" t="n">
        <v>25.7</v>
      </c>
      <c r="J676" s="74" t="n">
        <v>84.97</v>
      </c>
      <c r="K676" s="74" t="n">
        <v>74</v>
      </c>
      <c r="T676" s="74" t="n">
        <v>3</v>
      </c>
      <c r="U676" s="74" t="n">
        <v>2</v>
      </c>
      <c r="V676" s="74" t="inlineStr">
        <is>
          <t>계단식</t>
        </is>
      </c>
      <c r="W676" s="74" t="inlineStr">
        <is>
          <t>108B</t>
        </is>
      </c>
      <c r="X676" s="74" t="n">
        <v>19</v>
      </c>
      <c r="Y676" s="74" t="n">
        <v>15</v>
      </c>
      <c r="Z676" s="74" t="inlineStr">
        <is>
          <t>https://new.land.naver.com/complexes/112195?tab=detail&amp;rf=Y</t>
        </is>
      </c>
      <c r="AA676" s="74" t="inlineStr">
        <is>
          <t>전라북도 군산시 지곡동 612</t>
        </is>
      </c>
      <c r="AB676" s="74" t="inlineStr">
        <is>
          <t>전라북도</t>
        </is>
      </c>
      <c r="AC676" s="74" t="inlineStr">
        <is>
          <t>군산시</t>
        </is>
      </c>
      <c r="AD676" s="74" t="inlineStr">
        <is>
          <t>지곡동</t>
        </is>
      </c>
      <c r="AG676" s="74" t="inlineStr">
        <is>
          <t>전라북도 군산시 지곡로 52</t>
        </is>
      </c>
      <c r="AH676" s="74" t="n">
        <v>0</v>
      </c>
      <c r="AI676" s="74" t="n">
        <v>246</v>
      </c>
      <c r="AJ676" s="74" t="n">
        <v>24</v>
      </c>
      <c r="AK676" s="74" t="n">
        <v>425</v>
      </c>
      <c r="AL676" s="74" t="n">
        <v>1.11</v>
      </c>
    </row>
    <row r="677">
      <c r="A677" s="74" t="inlineStr">
        <is>
          <t>[지곡동]</t>
        </is>
      </c>
      <c r="B677" s="74" t="n">
        <v>112195</v>
      </c>
      <c r="C677" s="74" t="n">
        <v>6</v>
      </c>
      <c r="D677" s="74" t="inlineStr">
        <is>
          <t>서희스타힐스</t>
        </is>
      </c>
      <c r="E677" s="74" t="inlineStr">
        <is>
          <t>2015.12.</t>
        </is>
      </c>
      <c r="F677" s="74" t="n">
        <v>382</v>
      </c>
      <c r="G677" s="74" t="n">
        <v>32.71</v>
      </c>
      <c r="H677" s="74" t="n">
        <v>108.15</v>
      </c>
      <c r="I677" s="74" t="n">
        <v>25.64</v>
      </c>
      <c r="J677" s="74" t="n">
        <v>84.78</v>
      </c>
      <c r="K677" s="74" t="n">
        <v>38</v>
      </c>
      <c r="T677" s="74" t="n">
        <v>3</v>
      </c>
      <c r="U677" s="74" t="n">
        <v>2</v>
      </c>
      <c r="V677" s="74" t="inlineStr">
        <is>
          <t>계단식</t>
        </is>
      </c>
      <c r="W677" s="74" t="inlineStr">
        <is>
          <t>108C</t>
        </is>
      </c>
      <c r="X677" s="74" t="n">
        <v>19</v>
      </c>
      <c r="Y677" s="74" t="n">
        <v>15</v>
      </c>
      <c r="Z677" s="74" t="inlineStr">
        <is>
          <t>https://new.land.naver.com/complexes/112195?tab=detail&amp;rf=Y</t>
        </is>
      </c>
      <c r="AA677" s="74" t="inlineStr">
        <is>
          <t>전라북도 군산시 지곡동 612</t>
        </is>
      </c>
      <c r="AB677" s="74" t="inlineStr">
        <is>
          <t>전라북도</t>
        </is>
      </c>
      <c r="AC677" s="74" t="inlineStr">
        <is>
          <t>군산시</t>
        </is>
      </c>
      <c r="AD677" s="74" t="inlineStr">
        <is>
          <t>지곡동</t>
        </is>
      </c>
      <c r="AG677" s="74" t="inlineStr">
        <is>
          <t>전라북도 군산시 지곡로 52</t>
        </is>
      </c>
      <c r="AH677" s="74" t="n">
        <v>0</v>
      </c>
      <c r="AI677" s="74" t="n">
        <v>246</v>
      </c>
      <c r="AJ677" s="74" t="n">
        <v>24</v>
      </c>
      <c r="AK677" s="74" t="n">
        <v>425</v>
      </c>
      <c r="AL677" s="74" t="n">
        <v>1.11</v>
      </c>
    </row>
    <row r="678">
      <c r="A678" s="74" t="inlineStr">
        <is>
          <t>[지곡동]</t>
        </is>
      </c>
      <c r="B678" s="74" t="n">
        <v>26767</v>
      </c>
      <c r="C678" s="74" t="n">
        <v>1</v>
      </c>
      <c r="D678" s="74" t="inlineStr">
        <is>
          <t>도현해나지오</t>
        </is>
      </c>
      <c r="E678" s="74" t="inlineStr">
        <is>
          <t>2004.03.</t>
        </is>
      </c>
      <c r="F678" s="74" t="n">
        <v>472</v>
      </c>
      <c r="G678" s="74" t="n">
        <v>34.36</v>
      </c>
      <c r="H678" s="74" t="n">
        <v>113.61</v>
      </c>
      <c r="I678" s="74" t="n">
        <v>25.63</v>
      </c>
      <c r="J678" s="74" t="n">
        <v>84.73999999999999</v>
      </c>
      <c r="K678" s="74" t="n">
        <v>472</v>
      </c>
      <c r="T678" s="74" t="n">
        <v>3</v>
      </c>
      <c r="U678" s="74" t="n">
        <v>2</v>
      </c>
      <c r="V678" s="74" t="inlineStr">
        <is>
          <t>계단식</t>
        </is>
      </c>
      <c r="W678" s="74" t="n">
        <v>113</v>
      </c>
      <c r="X678" s="74" t="n">
        <v>15</v>
      </c>
      <c r="Y678" s="74" t="n">
        <v>14</v>
      </c>
      <c r="Z678" s="74" t="inlineStr">
        <is>
          <t>https://new.land.naver.com/complexes/26767?tab=detail&amp;rf=Y</t>
        </is>
      </c>
      <c r="AA678" s="74" t="inlineStr">
        <is>
          <t>전라북도 군산시 지곡동 42-5</t>
        </is>
      </c>
      <c r="AB678" s="74" t="inlineStr">
        <is>
          <t>전라북도</t>
        </is>
      </c>
      <c r="AC678" s="74" t="inlineStr">
        <is>
          <t>군산시</t>
        </is>
      </c>
      <c r="AD678" s="74" t="inlineStr">
        <is>
          <t>지곡동</t>
        </is>
      </c>
      <c r="AG678" s="74" t="inlineStr">
        <is>
          <t>전라북도 군산시 계산로 78</t>
        </is>
      </c>
      <c r="AH678" s="74" t="n">
        <v>0</v>
      </c>
      <c r="AI678" s="74" t="n">
        <v>229</v>
      </c>
      <c r="AJ678" s="74" t="n">
        <v>21</v>
      </c>
      <c r="AK678" s="74" t="n">
        <v>478</v>
      </c>
      <c r="AL678" s="74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새한</t>
        </is>
      </c>
      <c r="B6" s="10" t="inlineStr">
        <is>
          <t>'95.06.</t>
        </is>
      </c>
      <c r="C6" s="133" t="n">
        <v>304</v>
      </c>
      <c r="D6" s="131" t="n">
        <v>76.8</v>
      </c>
      <c r="E6" s="132" t="n">
        <v>23</v>
      </c>
      <c r="F6" s="131" t="n">
        <v>59.3</v>
      </c>
      <c r="G6" s="17" t="n">
        <v>18</v>
      </c>
      <c r="H6" s="133" t="n">
        <v>138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3" t="n">
        <v>304</v>
      </c>
      <c r="D7" s="131" t="n">
        <v>91.09999999999999</v>
      </c>
      <c r="E7" s="132" t="n">
        <v>28</v>
      </c>
      <c r="F7" s="131" t="n">
        <v>74.09999999999999</v>
      </c>
      <c r="G7" s="17" t="n">
        <v>22</v>
      </c>
      <c r="H7" s="133" t="n">
        <v>87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3" t="n">
        <v>304</v>
      </c>
      <c r="D8" s="131" t="n">
        <v>105.5</v>
      </c>
      <c r="E8" s="132" t="n">
        <v>32</v>
      </c>
      <c r="F8" s="131" t="n">
        <v>85</v>
      </c>
      <c r="G8" s="17" t="n">
        <v>26</v>
      </c>
      <c r="H8" s="133" t="n">
        <v>79</v>
      </c>
      <c r="I8" s="134" t="n">
        <v>12000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3" t="n">
        <v>352</v>
      </c>
      <c r="D10" s="131" t="n">
        <v>109</v>
      </c>
      <c r="E10" s="132" t="n">
        <v>33</v>
      </c>
      <c r="F10" s="131" t="n">
        <v>83.90000000000001</v>
      </c>
      <c r="G10" s="17" t="n">
        <v>25</v>
      </c>
      <c r="H10" s="133" t="n">
        <v>20</v>
      </c>
      <c r="I10" s="134" t="n">
        <v>29000</v>
      </c>
      <c r="J10" s="134" t="inlineStr">
        <is>
          <t>17</t>
        </is>
      </c>
      <c r="K10" s="134" t="n">
        <v>24000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3" t="n">
        <v>352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104</v>
      </c>
      <c r="I11" s="134" t="n">
        <v>31000</v>
      </c>
      <c r="J11" s="134" t="inlineStr">
        <is>
          <t>16</t>
        </is>
      </c>
      <c r="K11" s="134" t="n">
        <v>23000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3" t="n">
        <v>352</v>
      </c>
      <c r="D12" s="131" t="n">
        <v>110.6</v>
      </c>
      <c r="E12" s="132" t="n">
        <v>33</v>
      </c>
      <c r="F12" s="131" t="n">
        <v>84.5</v>
      </c>
      <c r="G12" s="17" t="n">
        <v>26</v>
      </c>
      <c r="H12" s="133" t="n">
        <v>131</v>
      </c>
      <c r="I12" s="134" t="n">
        <v>28000</v>
      </c>
      <c r="J12" s="134" t="inlineStr">
        <is>
          <t>16</t>
        </is>
      </c>
      <c r="K12" s="134" t="n">
        <v>23000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3" t="n">
        <v>352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97</v>
      </c>
      <c r="I13" s="134" t="n">
        <v>29000</v>
      </c>
      <c r="J13" s="134" t="inlineStr">
        <is>
          <t>5</t>
        </is>
      </c>
      <c r="K13" s="134" t="n">
        <v>24500</v>
      </c>
      <c r="L13" s="134" t="inlineStr">
        <is>
          <t>18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경암부향하나로</t>
        </is>
      </c>
      <c r="B15" s="10" t="inlineStr">
        <is>
          <t>'98.09.</t>
        </is>
      </c>
      <c r="C15" s="133" t="n">
        <v>880</v>
      </c>
      <c r="D15" s="131" t="n">
        <v>55</v>
      </c>
      <c r="E15" s="132" t="n">
        <v>17</v>
      </c>
      <c r="F15" s="131" t="n">
        <v>40</v>
      </c>
      <c r="G15" s="17" t="n">
        <v>12</v>
      </c>
      <c r="H15" s="133" t="n">
        <v>163</v>
      </c>
      <c r="I15" s="134" t="n">
        <v>4300</v>
      </c>
      <c r="J15" s="134" t="inlineStr">
        <is>
          <t>12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54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9">
      <formula>AV7="X"</formula>
    </cfRule>
    <cfRule type="expression" priority="134" dxfId="18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9">
      <formula>AV8="X"</formula>
    </cfRule>
    <cfRule type="expression" priority="116" dxfId="18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9">
      <formula>AV9="X"</formula>
    </cfRule>
    <cfRule type="expression" priority="98" dxfId="18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9">
      <formula>AV10="X"</formula>
    </cfRule>
    <cfRule type="expression" priority="94" dxfId="18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9">
      <formula>AV11="X"</formula>
    </cfRule>
    <cfRule type="expression" priority="76" dxfId="18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9">
      <formula>AV12="X"</formula>
    </cfRule>
    <cfRule type="expression" priority="58" dxfId="18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9">
      <formula>AV13="X"</formula>
    </cfRule>
    <cfRule type="expression" priority="40" dxfId="18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9">
      <formula>AV14="X"</formula>
    </cfRule>
    <cfRule type="expression" priority="22" dxfId="18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</t>
        </is>
      </c>
      <c r="B6" s="10" t="inlineStr">
        <is>
          <t>'94.03.</t>
        </is>
      </c>
      <c r="C6" s="133" t="n">
        <v>1084</v>
      </c>
      <c r="D6" s="131" t="n">
        <v>80.09999999999999</v>
      </c>
      <c r="E6" s="132" t="n">
        <v>24</v>
      </c>
      <c r="F6" s="131" t="n">
        <v>59.9</v>
      </c>
      <c r="G6" s="17" t="n">
        <v>18</v>
      </c>
      <c r="H6" s="133" t="n">
        <v>427</v>
      </c>
      <c r="I6" s="134" t="n">
        <v>7500</v>
      </c>
      <c r="J6" s="134" t="inlineStr">
        <is>
          <t>고</t>
        </is>
      </c>
      <c r="K6" s="134" t="n">
        <v>8500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3" t="n">
        <v>1084</v>
      </c>
      <c r="D7" s="131" t="n">
        <v>102.5</v>
      </c>
      <c r="E7" s="132" t="n">
        <v>31</v>
      </c>
      <c r="F7" s="131" t="n">
        <v>84.90000000000001</v>
      </c>
      <c r="G7" s="17" t="n">
        <v>26</v>
      </c>
      <c r="H7" s="133" t="n">
        <v>537</v>
      </c>
      <c r="I7" s="134" t="n">
        <v>13600</v>
      </c>
      <c r="J7" s="134" t="inlineStr">
        <is>
          <t>10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3" t="n">
        <v>1084</v>
      </c>
      <c r="D8" s="131" t="n">
        <v>146.3</v>
      </c>
      <c r="E8" s="132" t="n">
        <v>44</v>
      </c>
      <c r="F8" s="131" t="n">
        <v>125.9</v>
      </c>
      <c r="G8" s="17" t="n">
        <v>38</v>
      </c>
      <c r="H8" s="133" t="n">
        <v>120</v>
      </c>
      <c r="I8" s="134" t="n">
        <v>22000</v>
      </c>
      <c r="J8" s="134" t="inlineStr">
        <is>
          <t>7</t>
        </is>
      </c>
      <c r="K8" s="134" t="n">
        <v>18000</v>
      </c>
      <c r="L8" s="134" t="inlineStr">
        <is>
          <t>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세풍</t>
        </is>
      </c>
      <c r="B10" s="10" t="inlineStr">
        <is>
          <t>'97.01.</t>
        </is>
      </c>
      <c r="C10" s="133" t="n">
        <v>437</v>
      </c>
      <c r="D10" s="131" t="n">
        <v>74.7</v>
      </c>
      <c r="E10" s="132" t="n">
        <v>23</v>
      </c>
      <c r="F10" s="131" t="n">
        <v>59.9</v>
      </c>
      <c r="G10" s="17" t="n">
        <v>18</v>
      </c>
      <c r="H10" s="133" t="n">
        <v>164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74B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3" t="n">
        <v>437</v>
      </c>
      <c r="D11" s="131" t="n">
        <v>74.2</v>
      </c>
      <c r="E11" s="132" t="n">
        <v>22</v>
      </c>
      <c r="F11" s="131" t="n">
        <v>59.5</v>
      </c>
      <c r="G11" s="17" t="n">
        <v>18</v>
      </c>
      <c r="H11" s="133" t="n">
        <v>11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inlineStr">
        <is>
          <t>74A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3" t="n">
        <v>437</v>
      </c>
      <c r="D12" s="131" t="n">
        <v>106</v>
      </c>
      <c r="E12" s="132" t="n">
        <v>32</v>
      </c>
      <c r="F12" s="131" t="n">
        <v>85</v>
      </c>
      <c r="G12" s="17" t="n">
        <v>26</v>
      </c>
      <c r="H12" s="133" t="n">
        <v>208</v>
      </c>
      <c r="I12" s="134" t="n">
        <v>13000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106B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3" t="n">
        <v>437</v>
      </c>
      <c r="D13" s="131" t="n">
        <v>106</v>
      </c>
      <c r="E13" s="132" t="n">
        <v>32</v>
      </c>
      <c r="F13" s="131" t="n">
        <v>85</v>
      </c>
      <c r="G13" s="17" t="n">
        <v>26</v>
      </c>
      <c r="H13" s="133" t="n">
        <v>32</v>
      </c>
      <c r="I13" s="134" t="n">
        <v>13000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106A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3" t="n">
        <v>437</v>
      </c>
      <c r="D14" s="131" t="n">
        <v>124.8</v>
      </c>
      <c r="E14" s="132" t="n">
        <v>38</v>
      </c>
      <c r="F14" s="131" t="n">
        <v>100.1</v>
      </c>
      <c r="G14" s="17" t="n">
        <v>30</v>
      </c>
      <c r="H14" s="133" t="n">
        <v>22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124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9">
      <formula>AV4="X"</formula>
    </cfRule>
    <cfRule type="expression" priority="150" dxfId="18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9">
      <formula>AV7="X"</formula>
    </cfRule>
    <cfRule type="expression" priority="130" dxfId="18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9">
      <formula>AV8="X"</formula>
    </cfRule>
    <cfRule type="expression" priority="112" dxfId="18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9">
      <formula>AV9="X"</formula>
    </cfRule>
    <cfRule type="expression" priority="94" dxfId="18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9">
      <formula>AV10="X"</formula>
    </cfRule>
    <cfRule type="expression" priority="90" dxfId="18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9">
      <formula>AV11="X"</formula>
    </cfRule>
    <cfRule type="expression" priority="72" dxfId="18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9">
      <formula>AV12="X"</formula>
    </cfRule>
    <cfRule type="expression" priority="54" dxfId="18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9">
      <formula>AV13="X"</formula>
    </cfRule>
    <cfRule type="expression" priority="36" dxfId="18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9">
      <formula>AV14="X"</formula>
    </cfRule>
    <cfRule type="expression" priority="18" dxfId="18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'90.11.</t>
        </is>
      </c>
      <c r="C6" s="133" t="n">
        <v>424</v>
      </c>
      <c r="D6" s="131" t="n">
        <v>106.7</v>
      </c>
      <c r="E6" s="132" t="n">
        <v>32</v>
      </c>
      <c r="F6" s="131" t="n">
        <v>84.90000000000001</v>
      </c>
      <c r="G6" s="17" t="n">
        <v>26</v>
      </c>
      <c r="H6" s="133" t="n">
        <v>192</v>
      </c>
      <c r="I6" s="134" t="n">
        <v>13000</v>
      </c>
      <c r="J6" s="134" t="inlineStr">
        <is>
          <t>11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106B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3" t="n">
        <v>424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66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3" t="n">
        <v>424</v>
      </c>
      <c r="D8" s="131" t="n">
        <v>154.9</v>
      </c>
      <c r="E8" s="132" t="n">
        <v>47</v>
      </c>
      <c r="F8" s="131" t="n">
        <v>127.7</v>
      </c>
      <c r="G8" s="17" t="n">
        <v>39</v>
      </c>
      <c r="H8" s="133" t="n">
        <v>78</v>
      </c>
      <c r="I8" s="134" t="n">
        <v>16000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3" t="n">
        <v>424</v>
      </c>
      <c r="D9" s="131" t="n">
        <v>155.4</v>
      </c>
      <c r="E9" s="132" t="n">
        <v>47</v>
      </c>
      <c r="F9" s="131" t="n">
        <v>128.5</v>
      </c>
      <c r="G9" s="17" t="n">
        <v>39</v>
      </c>
      <c r="H9" s="133" t="n">
        <v>88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복</t>
        </is>
      </c>
      <c r="T9" s="5" t="n">
        <v>155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3" t="n">
        <v>993</v>
      </c>
      <c r="D6" s="131" t="n">
        <v>80.5</v>
      </c>
      <c r="E6" s="132" t="n">
        <v>24</v>
      </c>
      <c r="F6" s="131" t="n">
        <v>59.8</v>
      </c>
      <c r="G6" s="17" t="n">
        <v>18</v>
      </c>
      <c r="H6" s="133" t="n">
        <v>178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3" t="n">
        <v>993</v>
      </c>
      <c r="D7" s="131" t="n">
        <v>80.59999999999999</v>
      </c>
      <c r="E7" s="132" t="n">
        <v>24</v>
      </c>
      <c r="F7" s="131" t="n">
        <v>60</v>
      </c>
      <c r="G7" s="17" t="n">
        <v>18</v>
      </c>
      <c r="H7" s="133" t="n">
        <v>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3" t="n">
        <v>993</v>
      </c>
      <c r="D8" s="131" t="n">
        <v>98.3</v>
      </c>
      <c r="E8" s="132" t="n">
        <v>30</v>
      </c>
      <c r="F8" s="131" t="n">
        <v>73.40000000000001</v>
      </c>
      <c r="G8" s="17" t="n">
        <v>22</v>
      </c>
      <c r="H8" s="133" t="n">
        <v>86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3" t="n">
        <v>993</v>
      </c>
      <c r="D9" s="131" t="n">
        <v>112.4</v>
      </c>
      <c r="E9" s="132" t="n">
        <v>34</v>
      </c>
      <c r="F9" s="131" t="n">
        <v>85</v>
      </c>
      <c r="G9" s="17" t="n">
        <v>26</v>
      </c>
      <c r="H9" s="133" t="n">
        <v>36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3" t="n">
        <v>993</v>
      </c>
      <c r="D10" s="131" t="n">
        <v>113.4</v>
      </c>
      <c r="E10" s="132" t="n">
        <v>34</v>
      </c>
      <c r="F10" s="131" t="n">
        <v>84.90000000000001</v>
      </c>
      <c r="G10" s="17" t="n">
        <v>26</v>
      </c>
      <c r="H10" s="133" t="n">
        <v>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3" t="n">
        <v>993</v>
      </c>
      <c r="D11" s="131" t="n">
        <v>115.3</v>
      </c>
      <c r="E11" s="132" t="n">
        <v>35</v>
      </c>
      <c r="F11" s="131" t="n">
        <v>84.90000000000001</v>
      </c>
      <c r="G11" s="17" t="n">
        <v>26</v>
      </c>
      <c r="H11" s="133" t="n">
        <v>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115C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세경</t>
        </is>
      </c>
      <c r="B13" s="10" t="inlineStr">
        <is>
          <t>'02.12.</t>
        </is>
      </c>
      <c r="C13" s="133" t="n">
        <v>1186</v>
      </c>
      <c r="D13" s="131" t="n">
        <v>51.7</v>
      </c>
      <c r="E13" s="132" t="n">
        <v>16</v>
      </c>
      <c r="F13" s="131" t="n">
        <v>40.3</v>
      </c>
      <c r="G13" s="17" t="n">
        <v>12</v>
      </c>
      <c r="H13" s="133" t="n">
        <v>230</v>
      </c>
      <c r="I13" s="134" t="n">
        <v>5500</v>
      </c>
      <c r="J13" s="134" t="inlineStr">
        <is>
          <t>10</t>
        </is>
      </c>
      <c r="K13" s="134" t="n">
        <v>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51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3" t="n">
        <v>1186</v>
      </c>
      <c r="D14" s="131" t="n">
        <v>69</v>
      </c>
      <c r="E14" s="132" t="n">
        <v>21</v>
      </c>
      <c r="F14" s="131" t="n">
        <v>53.8</v>
      </c>
      <c r="G14" s="17" t="n">
        <v>16</v>
      </c>
      <c r="H14" s="133" t="n">
        <v>941</v>
      </c>
      <c r="I14" s="134" t="n">
        <v>6800</v>
      </c>
      <c r="J14" s="134" t="inlineStr">
        <is>
          <t>15</t>
        </is>
      </c>
      <c r="K14" s="134" t="n">
        <v>7000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68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수송코아루</t>
        </is>
      </c>
      <c r="B16" s="10" t="inlineStr">
        <is>
          <t>'09.03.</t>
        </is>
      </c>
      <c r="C16" s="133" t="n">
        <v>392</v>
      </c>
      <c r="D16" s="131" t="n">
        <v>87.09999999999999</v>
      </c>
      <c r="E16" s="132" t="n">
        <v>26</v>
      </c>
      <c r="F16" s="131" t="n">
        <v>59.6</v>
      </c>
      <c r="G16" s="17" t="n">
        <v>18</v>
      </c>
      <c r="H16" s="133" t="n">
        <v>392</v>
      </c>
      <c r="I16" s="134" t="n">
        <v>20300</v>
      </c>
      <c r="J16" s="134" t="inlineStr">
        <is>
          <t>5</t>
        </is>
      </c>
      <c r="K16" s="134" t="n">
        <v>17800</v>
      </c>
      <c r="L16" s="134" t="inlineStr">
        <is>
          <t>19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87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금호타운2차</t>
        </is>
      </c>
      <c r="B18" s="10" t="inlineStr">
        <is>
          <t>'94.09.</t>
        </is>
      </c>
      <c r="C18" s="133" t="n">
        <v>336</v>
      </c>
      <c r="D18" s="131" t="n">
        <v>83.8</v>
      </c>
      <c r="E18" s="132" t="n">
        <v>25</v>
      </c>
      <c r="F18" s="131" t="n">
        <v>59.9</v>
      </c>
      <c r="G18" s="17" t="n">
        <v>18</v>
      </c>
      <c r="H18" s="133" t="n">
        <v>120</v>
      </c>
      <c r="I18" s="134" t="n">
        <v>10700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계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3" t="n">
        <v>336</v>
      </c>
      <c r="D19" s="131" t="n">
        <v>103</v>
      </c>
      <c r="E19" s="132" t="n">
        <v>31</v>
      </c>
      <c r="F19" s="131" t="n">
        <v>84.8</v>
      </c>
      <c r="G19" s="17" t="n">
        <v>26</v>
      </c>
      <c r="H19" s="133" t="n">
        <v>120</v>
      </c>
      <c r="I19" s="134" t="n">
        <v>17300</v>
      </c>
      <c r="J19" s="134" t="inlineStr">
        <is>
          <t>8</t>
        </is>
      </c>
      <c r="K19" s="134" t="n">
        <v>14000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3" t="n">
        <v>336</v>
      </c>
      <c r="D20" s="131" t="n">
        <v>148.8</v>
      </c>
      <c r="E20" s="132" t="n">
        <v>45</v>
      </c>
      <c r="F20" s="131" t="n">
        <v>126.6</v>
      </c>
      <c r="G20" s="17" t="n">
        <v>38</v>
      </c>
      <c r="H20" s="133" t="n">
        <v>96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나운현대2차</t>
        </is>
      </c>
      <c r="B22" s="10" t="inlineStr">
        <is>
          <t>'93.10.</t>
        </is>
      </c>
      <c r="C22" s="133" t="n">
        <v>899</v>
      </c>
      <c r="D22" s="131" t="n">
        <v>74.2</v>
      </c>
      <c r="E22" s="132" t="n">
        <v>22</v>
      </c>
      <c r="F22" s="131" t="n">
        <v>59.4</v>
      </c>
      <c r="G22" s="17" t="n">
        <v>18</v>
      </c>
      <c r="H22" s="133" t="n">
        <v>344</v>
      </c>
      <c r="I22" s="134" t="n">
        <v>9200</v>
      </c>
      <c r="J22" s="134" t="inlineStr">
        <is>
          <t>8</t>
        </is>
      </c>
      <c r="K22" s="134" t="n">
        <v>8500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3" t="n">
        <v>899</v>
      </c>
      <c r="D23" s="131" t="n">
        <v>94.09999999999999</v>
      </c>
      <c r="E23" s="132" t="n">
        <v>28</v>
      </c>
      <c r="F23" s="131" t="n">
        <v>75.3</v>
      </c>
      <c r="G23" s="17" t="n">
        <v>23</v>
      </c>
      <c r="H23" s="133" t="n">
        <v>119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94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3" t="n">
        <v>899</v>
      </c>
      <c r="D24" s="131" t="n">
        <v>105.9</v>
      </c>
      <c r="E24" s="132" t="n">
        <v>32</v>
      </c>
      <c r="F24" s="131" t="n">
        <v>84.7</v>
      </c>
      <c r="G24" s="17" t="n">
        <v>26</v>
      </c>
      <c r="H24" s="133" t="n">
        <v>377</v>
      </c>
      <c r="I24" s="134" t="n">
        <v>15000</v>
      </c>
      <c r="J24" s="134" t="inlineStr">
        <is>
          <t>7</t>
        </is>
      </c>
      <c r="K24" s="134" t="n">
        <v>12500</v>
      </c>
      <c r="L24" s="134" t="inlineStr">
        <is>
          <t>15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3" t="n">
        <v>899</v>
      </c>
      <c r="D25" s="131" t="n">
        <v>168.1</v>
      </c>
      <c r="E25" s="132" t="n">
        <v>51</v>
      </c>
      <c r="F25" s="131" t="n">
        <v>134.6</v>
      </c>
      <c r="G25" s="17" t="n">
        <v>41</v>
      </c>
      <c r="H25" s="133" t="n">
        <v>59</v>
      </c>
      <c r="I25" s="134" t="n">
        <v>19000</v>
      </c>
      <c r="J25" s="134" t="inlineStr">
        <is>
          <t>5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현대1차</t>
        </is>
      </c>
      <c r="B27" s="10" t="inlineStr">
        <is>
          <t>'90.04.</t>
        </is>
      </c>
      <c r="C27" s="133" t="n">
        <v>498</v>
      </c>
      <c r="D27" s="131" t="n">
        <v>89.5</v>
      </c>
      <c r="E27" s="132" t="n">
        <v>27</v>
      </c>
      <c r="F27" s="131" t="n">
        <v>72.2</v>
      </c>
      <c r="G27" s="17" t="n">
        <v>22</v>
      </c>
      <c r="H27" s="133" t="n">
        <v>112</v>
      </c>
      <c r="I27" s="134" t="n">
        <v>8600</v>
      </c>
      <c r="J27" s="134" t="inlineStr">
        <is>
          <t>5</t>
        </is>
      </c>
      <c r="K27" s="134" t="n">
        <v>10500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n">
        <v>89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3" t="n">
        <v>498</v>
      </c>
      <c r="D28" s="131" t="n">
        <v>104.1</v>
      </c>
      <c r="E28" s="132" t="n">
        <v>31</v>
      </c>
      <c r="F28" s="131" t="n">
        <v>84.7</v>
      </c>
      <c r="G28" s="17" t="n">
        <v>26</v>
      </c>
      <c r="H28" s="133" t="n">
        <v>330</v>
      </c>
      <c r="I28" s="134" t="n">
        <v>9500</v>
      </c>
      <c r="J28" s="134" t="inlineStr">
        <is>
          <t>14</t>
        </is>
      </c>
      <c r="K28" s="134" t="n">
        <v>9000</v>
      </c>
      <c r="L28" s="134" t="inlineStr">
        <is>
          <t>10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n">
        <v>104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3" t="n">
        <v>498</v>
      </c>
      <c r="D29" s="131" t="n">
        <v>149.3</v>
      </c>
      <c r="E29" s="132" t="n">
        <v>45</v>
      </c>
      <c r="F29" s="131" t="n">
        <v>126.2</v>
      </c>
      <c r="G29" s="17" t="n">
        <v>38</v>
      </c>
      <c r="H29" s="133" t="n">
        <v>56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나운청솔</t>
        </is>
      </c>
      <c r="B31" s="10" t="inlineStr">
        <is>
          <t>'02.12.</t>
        </is>
      </c>
      <c r="C31" s="133" t="n">
        <v>495</v>
      </c>
      <c r="D31" s="131" t="n">
        <v>63.7</v>
      </c>
      <c r="E31" s="132" t="n">
        <v>19</v>
      </c>
      <c r="F31" s="131" t="n">
        <v>49.7</v>
      </c>
      <c r="G31" s="17" t="n">
        <v>15</v>
      </c>
      <c r="H31" s="133" t="n">
        <v>495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신일</t>
        </is>
      </c>
      <c r="B33" s="10" t="inlineStr">
        <is>
          <t>'95.12.</t>
        </is>
      </c>
      <c r="C33" s="133" t="n">
        <v>600</v>
      </c>
      <c r="D33" s="131" t="n">
        <v>75.09999999999999</v>
      </c>
      <c r="E33" s="132" t="n">
        <v>23</v>
      </c>
      <c r="F33" s="131" t="n">
        <v>59.9</v>
      </c>
      <c r="G33" s="17" t="n">
        <v>18</v>
      </c>
      <c r="H33" s="133" t="n">
        <v>600</v>
      </c>
      <c r="I33" s="134" t="n">
        <v>12500</v>
      </c>
      <c r="J33" s="134" t="inlineStr">
        <is>
          <t>15</t>
        </is>
      </c>
      <c r="K33" s="134" t="n">
        <v>11000</v>
      </c>
      <c r="L33" s="134" t="inlineStr">
        <is>
          <t>12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롯데4차</t>
        </is>
      </c>
      <c r="B35" s="10" t="inlineStr">
        <is>
          <t>'96.04.</t>
        </is>
      </c>
      <c r="C35" s="133" t="n">
        <v>210</v>
      </c>
      <c r="D35" s="131" t="n">
        <v>122.5</v>
      </c>
      <c r="E35" s="132" t="n">
        <v>37</v>
      </c>
      <c r="F35" s="131" t="n">
        <v>99.90000000000001</v>
      </c>
      <c r="G35" s="17" t="n">
        <v>30</v>
      </c>
      <c r="H35" s="133" t="n">
        <v>90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122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3" t="n">
        <v>210</v>
      </c>
      <c r="D36" s="131" t="n">
        <v>160</v>
      </c>
      <c r="E36" s="132" t="n">
        <v>48</v>
      </c>
      <c r="F36" s="131" t="n">
        <v>134.9</v>
      </c>
      <c r="G36" s="17" t="n">
        <v>41</v>
      </c>
      <c r="H36" s="133" t="n">
        <v>90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160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3" t="n">
        <v>210</v>
      </c>
      <c r="D37" s="131" t="n">
        <v>197.4</v>
      </c>
      <c r="E37" s="132" t="n">
        <v>60</v>
      </c>
      <c r="F37" s="131" t="n">
        <v>164.9</v>
      </c>
      <c r="G37" s="17" t="n">
        <v>50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197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롯데2차</t>
        </is>
      </c>
      <c r="B39" s="10" t="inlineStr">
        <is>
          <t>'92.08.</t>
        </is>
      </c>
      <c r="C39" s="133" t="n">
        <v>460</v>
      </c>
      <c r="D39" s="131" t="n">
        <v>92</v>
      </c>
      <c r="E39" s="132" t="n">
        <v>28</v>
      </c>
      <c r="F39" s="131" t="n">
        <v>74</v>
      </c>
      <c r="G39" s="17" t="n">
        <v>22</v>
      </c>
      <c r="H39" s="133" t="n">
        <v>104</v>
      </c>
      <c r="I39" s="134" t="n">
        <v>13000</v>
      </c>
      <c r="J39" s="134" t="inlineStr">
        <is>
          <t>11</t>
        </is>
      </c>
      <c r="K39" s="134" t="n">
        <v>12500</v>
      </c>
      <c r="L39" s="134" t="inlineStr">
        <is>
          <t>13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3" t="n">
        <v>460</v>
      </c>
      <c r="D40" s="131" t="n">
        <v>106</v>
      </c>
      <c r="E40" s="132" t="n">
        <v>32</v>
      </c>
      <c r="F40" s="131" t="n">
        <v>84.8</v>
      </c>
      <c r="G40" s="17" t="n">
        <v>26</v>
      </c>
      <c r="H40" s="133" t="n">
        <v>278</v>
      </c>
      <c r="I40" s="134" t="n">
        <v>18000</v>
      </c>
      <c r="J40" s="134" t="inlineStr">
        <is>
          <t>13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3" t="n">
        <v>460</v>
      </c>
      <c r="D41" s="131" t="n">
        <v>155.6</v>
      </c>
      <c r="E41" s="132" t="n">
        <v>47</v>
      </c>
      <c r="F41" s="131" t="n">
        <v>131.8</v>
      </c>
      <c r="G41" s="17" t="n">
        <v>40</v>
      </c>
      <c r="H41" s="133" t="n">
        <v>78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155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우성</t>
        </is>
      </c>
      <c r="B43" s="10" t="inlineStr">
        <is>
          <t>'95.06.</t>
        </is>
      </c>
      <c r="C43" s="133" t="n">
        <v>345</v>
      </c>
      <c r="D43" s="131" t="n">
        <v>115.7</v>
      </c>
      <c r="E43" s="132" t="n">
        <v>35</v>
      </c>
      <c r="F43" s="131" t="n">
        <v>93.59999999999999</v>
      </c>
      <c r="G43" s="17" t="n">
        <v>28</v>
      </c>
      <c r="H43" s="133" t="n">
        <v>75</v>
      </c>
      <c r="I43" s="134" t="n">
        <v>18500</v>
      </c>
      <c r="J43" s="134" t="inlineStr">
        <is>
          <t>6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3" t="n">
        <v>345</v>
      </c>
      <c r="D44" s="131" t="n">
        <v>120.2</v>
      </c>
      <c r="E44" s="132" t="n">
        <v>36</v>
      </c>
      <c r="F44" s="131" t="n">
        <v>100</v>
      </c>
      <c r="G44" s="17" t="n">
        <v>30</v>
      </c>
      <c r="H44" s="133" t="n">
        <v>270</v>
      </c>
      <c r="I44" s="134" t="n">
        <v>17900</v>
      </c>
      <c r="J44" s="134" t="inlineStr">
        <is>
          <t>11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금호타운1차</t>
        </is>
      </c>
      <c r="B46" s="10" t="inlineStr">
        <is>
          <t>'91.09.</t>
        </is>
      </c>
      <c r="C46" s="133" t="n">
        <v>930</v>
      </c>
      <c r="D46" s="131" t="n">
        <v>89.09999999999999</v>
      </c>
      <c r="E46" s="132" t="n">
        <v>27</v>
      </c>
      <c r="F46" s="131" t="n">
        <v>73.09999999999999</v>
      </c>
      <c r="G46" s="17" t="n">
        <v>22</v>
      </c>
      <c r="H46" s="133" t="n">
        <v>330</v>
      </c>
      <c r="I46" s="134" t="n">
        <v>13500</v>
      </c>
      <c r="J46" s="134" t="inlineStr">
        <is>
          <t>7</t>
        </is>
      </c>
      <c r="K46" s="134" t="n">
        <v>12000</v>
      </c>
      <c r="L46" s="134" t="inlineStr">
        <is>
          <t>6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89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3" t="n">
        <v>930</v>
      </c>
      <c r="D47" s="131" t="n">
        <v>101.7</v>
      </c>
      <c r="E47" s="132" t="n">
        <v>31</v>
      </c>
      <c r="F47" s="131" t="n">
        <v>84.8</v>
      </c>
      <c r="G47" s="17" t="n">
        <v>26</v>
      </c>
      <c r="H47" s="133" t="n">
        <v>600</v>
      </c>
      <c r="I47" s="134" t="n">
        <v>15000</v>
      </c>
      <c r="J47" s="134" t="inlineStr">
        <is>
          <t>7</t>
        </is>
      </c>
      <c r="K47" s="134" t="n">
        <v>12000</v>
      </c>
      <c r="L47" s="134" t="inlineStr">
        <is>
          <t>15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서호</t>
        </is>
      </c>
      <c r="B49" s="10" t="inlineStr">
        <is>
          <t>'95.06.</t>
        </is>
      </c>
      <c r="C49" s="133" t="n">
        <v>490</v>
      </c>
      <c r="D49" s="131" t="n">
        <v>83.8</v>
      </c>
      <c r="E49" s="132" t="n">
        <v>25</v>
      </c>
      <c r="F49" s="131" t="n">
        <v>67.90000000000001</v>
      </c>
      <c r="G49" s="17" t="n">
        <v>21</v>
      </c>
      <c r="H49" s="133" t="n">
        <v>262</v>
      </c>
      <c r="I49" s="134" t="n">
        <v>11700</v>
      </c>
      <c r="J49" s="134" t="inlineStr">
        <is>
          <t>13</t>
        </is>
      </c>
      <c r="K49" s="134" t="n">
        <v>10500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3" t="n">
        <v>490</v>
      </c>
      <c r="D50" s="131" t="n">
        <v>103.8</v>
      </c>
      <c r="E50" s="132" t="n">
        <v>31</v>
      </c>
      <c r="F50" s="131" t="n">
        <v>85</v>
      </c>
      <c r="G50" s="17" t="n">
        <v>26</v>
      </c>
      <c r="H50" s="133" t="n">
        <v>228</v>
      </c>
      <c r="I50" s="134" t="n">
        <v>15000</v>
      </c>
      <c r="J50" s="134" t="inlineStr">
        <is>
          <t>6</t>
        </is>
      </c>
      <c r="K50" s="134" t="n">
        <v>14800</v>
      </c>
      <c r="L50" s="134" t="inlineStr">
        <is>
          <t>8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주공3단지</t>
        </is>
      </c>
      <c r="B52" s="10" t="inlineStr">
        <is>
          <t>'83.12.</t>
        </is>
      </c>
      <c r="C52" s="133" t="n">
        <v>800</v>
      </c>
      <c r="D52" s="131" t="n">
        <v>47.6</v>
      </c>
      <c r="E52" s="132" t="n">
        <v>14</v>
      </c>
      <c r="F52" s="131" t="n">
        <v>47.6</v>
      </c>
      <c r="G52" s="17" t="n">
        <v>14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1</v>
      </c>
      <c r="R52" s="121" t="n">
        <v>1</v>
      </c>
      <c r="S52" s="121" t="inlineStr">
        <is>
          <t>계</t>
        </is>
      </c>
      <c r="T52" s="5" t="n">
        <v>47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3" t="n">
        <v>800</v>
      </c>
      <c r="D53" s="131" t="n">
        <v>53.6</v>
      </c>
      <c r="E53" s="132" t="n">
        <v>16</v>
      </c>
      <c r="F53" s="131" t="n">
        <v>48.6</v>
      </c>
      <c r="G53" s="17" t="n">
        <v>15</v>
      </c>
      <c r="H53" s="133" t="n">
        <v>136</v>
      </c>
      <c r="I53" s="134" t="n">
        <v>17000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inlineStr">
        <is>
          <t>53A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3" t="n">
        <v>800</v>
      </c>
      <c r="D54" s="131" t="n">
        <v>54.1</v>
      </c>
      <c r="E54" s="132" t="n">
        <v>16</v>
      </c>
      <c r="F54" s="131" t="n">
        <v>54.1</v>
      </c>
      <c r="G54" s="17" t="n">
        <v>16</v>
      </c>
      <c r="H54" s="133" t="n">
        <v>115</v>
      </c>
      <c r="I54" s="134" t="n">
        <v>16500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inlineStr">
        <is>
          <t>54B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3" t="n">
        <v>800</v>
      </c>
      <c r="D55" s="131" t="n">
        <v>54.8</v>
      </c>
      <c r="E55" s="132" t="n">
        <v>17</v>
      </c>
      <c r="F55" s="131" t="n">
        <v>54.8</v>
      </c>
      <c r="G55" s="17" t="n">
        <v>17</v>
      </c>
      <c r="H55" s="133" t="n">
        <v>100</v>
      </c>
      <c r="I55" s="134" t="n">
        <v>17000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계</t>
        </is>
      </c>
      <c r="T55" s="5" t="n">
        <v>54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3" t="n">
        <v>800</v>
      </c>
      <c r="D56" s="131" t="n">
        <v>54.4</v>
      </c>
      <c r="E56" s="132" t="n">
        <v>16</v>
      </c>
      <c r="F56" s="131" t="n">
        <v>54.4</v>
      </c>
      <c r="G56" s="17" t="n">
        <v>16</v>
      </c>
      <c r="H56" s="133" t="n">
        <v>43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inlineStr">
        <is>
          <t>54C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3" t="n">
        <v>800</v>
      </c>
      <c r="D57" s="131" t="n">
        <v>61.6</v>
      </c>
      <c r="E57" s="132" t="n">
        <v>19</v>
      </c>
      <c r="F57" s="131" t="n">
        <v>55.8</v>
      </c>
      <c r="G57" s="17" t="n">
        <v>17</v>
      </c>
      <c r="H57" s="133" t="n">
        <v>112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61A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3" t="n">
        <v>800</v>
      </c>
      <c r="D58" s="131" t="n">
        <v>61.6</v>
      </c>
      <c r="E58" s="132" t="n">
        <v>19</v>
      </c>
      <c r="F58" s="131" t="n">
        <v>61.6</v>
      </c>
      <c r="G58" s="17" t="n">
        <v>19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inlineStr">
        <is>
          <t>61B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3" t="n">
        <v>800</v>
      </c>
      <c r="D59" s="131" t="n">
        <v>62.4</v>
      </c>
      <c r="E59" s="132" t="n">
        <v>19</v>
      </c>
      <c r="F59" s="131" t="n">
        <v>62.4</v>
      </c>
      <c r="G59" s="17" t="n">
        <v>19</v>
      </c>
      <c r="H59" s="133" t="n">
        <v>28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inlineStr">
        <is>
          <t>62C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3" t="n">
        <v>800</v>
      </c>
      <c r="D60" s="131" t="n">
        <v>66</v>
      </c>
      <c r="E60" s="132" t="n">
        <v>20</v>
      </c>
      <c r="F60" s="131" t="n">
        <v>66</v>
      </c>
      <c r="G60" s="17" t="n">
        <v>20</v>
      </c>
      <c r="H60" s="133" t="n">
        <v>125</v>
      </c>
      <c r="I60" s="134" t="n">
        <v>22000</v>
      </c>
      <c r="J60" s="134" t="inlineStr">
        <is>
          <t>고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65B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3" t="n">
        <v>800</v>
      </c>
      <c r="D61" s="131" t="n">
        <v>65.2</v>
      </c>
      <c r="E61" s="132" t="n">
        <v>20</v>
      </c>
      <c r="F61" s="131" t="n">
        <v>65.2</v>
      </c>
      <c r="G61" s="17" t="n">
        <v>20</v>
      </c>
      <c r="H61" s="133" t="n">
        <v>115</v>
      </c>
      <c r="I61" s="134" t="n">
        <v>20000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65A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나운보람더하임</t>
        </is>
      </c>
      <c r="B63" s="10" t="inlineStr">
        <is>
          <t>'10.03.</t>
        </is>
      </c>
      <c r="C63" s="133" t="n">
        <v>437</v>
      </c>
      <c r="D63" s="131" t="n">
        <v>78</v>
      </c>
      <c r="E63" s="132" t="n">
        <v>24</v>
      </c>
      <c r="F63" s="131" t="n">
        <v>59.9</v>
      </c>
      <c r="G63" s="17" t="n">
        <v>18</v>
      </c>
      <c r="H63" s="133" t="n">
        <v>155</v>
      </c>
      <c r="I63" s="134" t="n">
        <v>14200</v>
      </c>
      <c r="J63" s="134" t="inlineStr">
        <is>
          <t>5</t>
        </is>
      </c>
      <c r="K63" s="134" t="n">
        <v>13000</v>
      </c>
      <c r="L63" s="134" t="inlineStr">
        <is>
          <t>9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77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3" t="n">
        <v>437</v>
      </c>
      <c r="D64" s="131" t="n">
        <v>110.6</v>
      </c>
      <c r="E64" s="132" t="n">
        <v>33</v>
      </c>
      <c r="F64" s="131" t="n">
        <v>85</v>
      </c>
      <c r="G64" s="17" t="n">
        <v>26</v>
      </c>
      <c r="H64" s="133" t="n">
        <v>202</v>
      </c>
      <c r="I64" s="134" t="n">
        <v>21000</v>
      </c>
      <c r="J64" s="134" t="inlineStr">
        <is>
          <t>8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110A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3" t="n">
        <v>437</v>
      </c>
      <c r="D65" s="131" t="n">
        <v>110.7</v>
      </c>
      <c r="E65" s="132" t="n">
        <v>33</v>
      </c>
      <c r="F65" s="131" t="n">
        <v>84.90000000000001</v>
      </c>
      <c r="G65" s="17" t="n">
        <v>26</v>
      </c>
      <c r="H65" s="133" t="n">
        <v>14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3" t="n">
        <v>437</v>
      </c>
      <c r="D66" s="131" t="n">
        <v>110.5</v>
      </c>
      <c r="E66" s="132" t="n">
        <v>33</v>
      </c>
      <c r="F66" s="131" t="n">
        <v>84.5</v>
      </c>
      <c r="G66" s="17" t="n">
        <v>26</v>
      </c>
      <c r="H66" s="133" t="n">
        <v>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110C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3" t="n">
        <v>437</v>
      </c>
      <c r="D67" s="131" t="n">
        <v>152.7</v>
      </c>
      <c r="E67" s="132" t="n">
        <v>46</v>
      </c>
      <c r="F67" s="131" t="n">
        <v>118.6</v>
      </c>
      <c r="G67" s="17" t="n">
        <v>36</v>
      </c>
      <c r="H67" s="133" t="n">
        <v>54</v>
      </c>
      <c r="I67" s="134" t="n">
        <v>32000</v>
      </c>
      <c r="J67" s="134" t="inlineStr">
        <is>
          <t>15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152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동신</t>
        </is>
      </c>
      <c r="B69" s="10" t="inlineStr">
        <is>
          <t>'97.12.</t>
        </is>
      </c>
      <c r="C69" s="133" t="n">
        <v>420</v>
      </c>
      <c r="D69" s="131" t="n">
        <v>112.4</v>
      </c>
      <c r="E69" s="132" t="n">
        <v>34</v>
      </c>
      <c r="F69" s="131" t="n">
        <v>92.3</v>
      </c>
      <c r="G69" s="17" t="n">
        <v>28</v>
      </c>
      <c r="H69" s="133" t="n">
        <v>270</v>
      </c>
      <c r="I69" s="134" t="n">
        <v>19000</v>
      </c>
      <c r="J69" s="134" t="inlineStr">
        <is>
          <t>12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3" t="n">
        <v>420</v>
      </c>
      <c r="D70" s="131" t="n">
        <v>136.5</v>
      </c>
      <c r="E70" s="132" t="n">
        <v>41</v>
      </c>
      <c r="F70" s="131" t="n">
        <v>114.6</v>
      </c>
      <c r="G70" s="17" t="n">
        <v>35</v>
      </c>
      <c r="H70" s="133" t="n">
        <v>150</v>
      </c>
      <c r="I70" s="134" t="n">
        <v>22000</v>
      </c>
      <c r="J70" s="134" t="inlineStr">
        <is>
          <t>12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136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대우</t>
        </is>
      </c>
      <c r="B72" s="10" t="inlineStr">
        <is>
          <t>'97.02.</t>
        </is>
      </c>
      <c r="C72" s="133" t="n">
        <v>260</v>
      </c>
      <c r="D72" s="131" t="n">
        <v>105.3</v>
      </c>
      <c r="E72" s="132" t="n">
        <v>32</v>
      </c>
      <c r="F72" s="131" t="n">
        <v>85</v>
      </c>
      <c r="G72" s="17" t="n">
        <v>26</v>
      </c>
      <c r="H72" s="133" t="n">
        <v>230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3" t="n">
        <v>260</v>
      </c>
      <c r="D73" s="131" t="n">
        <v>225.8</v>
      </c>
      <c r="E73" s="132" t="n">
        <v>68</v>
      </c>
      <c r="F73" s="131" t="n">
        <v>187.1</v>
      </c>
      <c r="G73" s="17" t="n">
        <v>57</v>
      </c>
      <c r="H73" s="133" t="n">
        <v>30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5</v>
      </c>
      <c r="R73" s="121" t="n">
        <v>2</v>
      </c>
      <c r="S73" s="121" t="inlineStr">
        <is>
          <t>계</t>
        </is>
      </c>
      <c r="T73" s="5" t="n">
        <v>225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롯데1차</t>
        </is>
      </c>
      <c r="B75" s="10" t="inlineStr">
        <is>
          <t>'91.03.</t>
        </is>
      </c>
      <c r="C75" s="133" t="n">
        <v>420</v>
      </c>
      <c r="D75" s="131" t="n">
        <v>91.90000000000001</v>
      </c>
      <c r="E75" s="132" t="n">
        <v>28</v>
      </c>
      <c r="F75" s="131" t="n">
        <v>74</v>
      </c>
      <c r="G75" s="17" t="n">
        <v>22</v>
      </c>
      <c r="H75" s="133" t="n">
        <v>104</v>
      </c>
      <c r="I75" s="134" t="n">
        <v>12500</v>
      </c>
      <c r="J75" s="134" t="inlineStr">
        <is>
          <t>8</t>
        </is>
      </c>
      <c r="K75" s="134" t="n">
        <v>12500</v>
      </c>
      <c r="L75" s="134" t="inlineStr">
        <is>
          <t>13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3" t="n">
        <v>420</v>
      </c>
      <c r="D76" s="131" t="n">
        <v>105.9</v>
      </c>
      <c r="E76" s="132" t="n">
        <v>32</v>
      </c>
      <c r="F76" s="131" t="n">
        <v>84.8</v>
      </c>
      <c r="G76" s="17" t="n">
        <v>26</v>
      </c>
      <c r="H76" s="133" t="n">
        <v>182</v>
      </c>
      <c r="I76" s="134" t="n">
        <v>15000</v>
      </c>
      <c r="J76" s="134" t="inlineStr">
        <is>
          <t>8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3" t="n">
        <v>420</v>
      </c>
      <c r="D77" s="131" t="n">
        <v>155.4</v>
      </c>
      <c r="E77" s="132" t="n">
        <v>47</v>
      </c>
      <c r="F77" s="131" t="n">
        <v>131.8</v>
      </c>
      <c r="G77" s="17" t="n">
        <v>40</v>
      </c>
      <c r="H77" s="133" t="n">
        <v>78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155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3" t="n">
        <v>420</v>
      </c>
      <c r="D78" s="131" t="n">
        <v>191.8</v>
      </c>
      <c r="E78" s="132" t="n">
        <v>58</v>
      </c>
      <c r="F78" s="131" t="n">
        <v>162.9</v>
      </c>
      <c r="G78" s="17" t="n">
        <v>49</v>
      </c>
      <c r="H78" s="133" t="n">
        <v>56</v>
      </c>
      <c r="I78" s="134" t="n">
        <v>24000</v>
      </c>
      <c r="J78" s="134" t="inlineStr">
        <is>
          <t>5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5</v>
      </c>
      <c r="R78" s="121" t="n">
        <v>2</v>
      </c>
      <c r="S78" s="121" t="inlineStr">
        <is>
          <t>계</t>
        </is>
      </c>
      <c r="T78" s="5" t="n">
        <v>191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한울</t>
        </is>
      </c>
      <c r="B80" s="10" t="inlineStr">
        <is>
          <t>'96.07.</t>
        </is>
      </c>
      <c r="C80" s="133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11000</v>
      </c>
      <c r="J80" s="134" t="inlineStr">
        <is>
          <t>7</t>
        </is>
      </c>
      <c r="K80" s="134" t="n">
        <v>10000</v>
      </c>
      <c r="L80" s="134" t="inlineStr">
        <is>
          <t>7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3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현대3차</t>
        </is>
      </c>
      <c r="B83" s="10" t="inlineStr">
        <is>
          <t>'95.06.</t>
        </is>
      </c>
      <c r="C83" s="133" t="n">
        <v>479</v>
      </c>
      <c r="D83" s="131" t="n">
        <v>70</v>
      </c>
      <c r="E83" s="132" t="n">
        <v>21</v>
      </c>
      <c r="F83" s="131" t="n">
        <v>56.4</v>
      </c>
      <c r="G83" s="17" t="n">
        <v>17</v>
      </c>
      <c r="H83" s="133" t="n">
        <v>20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복</t>
        </is>
      </c>
      <c r="T83" s="5" t="n">
        <v>69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3" t="n">
        <v>479</v>
      </c>
      <c r="D84" s="131" t="n">
        <v>74.3</v>
      </c>
      <c r="E84" s="132" t="n">
        <v>22</v>
      </c>
      <c r="F84" s="131" t="n">
        <v>60</v>
      </c>
      <c r="G84" s="17" t="n">
        <v>18</v>
      </c>
      <c r="H84" s="133" t="n">
        <v>180</v>
      </c>
      <c r="I84" s="134" t="n">
        <v>10800</v>
      </c>
      <c r="J84" s="134" t="inlineStr">
        <is>
          <t>7</t>
        </is>
      </c>
      <c r="K84" s="134" t="n">
        <v>9000</v>
      </c>
      <c r="L84" s="134" t="inlineStr">
        <is>
          <t>12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복</t>
        </is>
      </c>
      <c r="T84" s="5" t="n">
        <v>74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3" t="n">
        <v>479</v>
      </c>
      <c r="D85" s="131" t="n">
        <v>105.3</v>
      </c>
      <c r="E85" s="132" t="n">
        <v>32</v>
      </c>
      <c r="F85" s="131" t="n">
        <v>85</v>
      </c>
      <c r="G85" s="17" t="n">
        <v>26</v>
      </c>
      <c r="H85" s="133" t="n">
        <v>199</v>
      </c>
      <c r="I85" s="134" t="n">
        <v>15000</v>
      </c>
      <c r="J85" s="134" t="inlineStr">
        <is>
          <t>10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3" t="n">
        <v>479</v>
      </c>
      <c r="D86" s="131" t="n">
        <v>167.1</v>
      </c>
      <c r="E86" s="132" t="n">
        <v>51</v>
      </c>
      <c r="F86" s="131" t="n">
        <v>134.8</v>
      </c>
      <c r="G86" s="17" t="n">
        <v>41</v>
      </c>
      <c r="H86" s="133" t="n">
        <v>80</v>
      </c>
      <c r="I86" s="134" t="n">
        <v>20000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167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현대백조</t>
        </is>
      </c>
      <c r="B88" s="10" t="inlineStr">
        <is>
          <t>'92.11.</t>
        </is>
      </c>
      <c r="C88" s="133" t="n">
        <v>498</v>
      </c>
      <c r="D88" s="131" t="n">
        <v>84.40000000000001</v>
      </c>
      <c r="E88" s="132" t="n">
        <v>26</v>
      </c>
      <c r="F88" s="131" t="n">
        <v>73.2</v>
      </c>
      <c r="G88" s="17" t="n">
        <v>22</v>
      </c>
      <c r="H88" s="133" t="n">
        <v>84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3" t="n">
        <v>498</v>
      </c>
      <c r="D89" s="131" t="n">
        <v>95.8</v>
      </c>
      <c r="E89" s="132" t="n">
        <v>29</v>
      </c>
      <c r="F89" s="131" t="n">
        <v>84.59999999999999</v>
      </c>
      <c r="G89" s="17" t="n">
        <v>26</v>
      </c>
      <c r="H89" s="133" t="n">
        <v>384</v>
      </c>
      <c r="I89" s="134" t="n">
        <v>9000</v>
      </c>
      <c r="J89" s="134" t="inlineStr">
        <is>
          <t>5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95B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3" t="n">
        <v>498</v>
      </c>
      <c r="D90" s="131" t="n">
        <v>95.7</v>
      </c>
      <c r="E90" s="132" t="n">
        <v>29</v>
      </c>
      <c r="F90" s="131" t="n">
        <v>84.5</v>
      </c>
      <c r="G90" s="17" t="n">
        <v>26</v>
      </c>
      <c r="H90" s="133" t="n">
        <v>30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n"/>
      <c r="B91" s="121" t="n"/>
      <c r="C91" s="6" t="n"/>
      <c r="D91" s="9" t="n"/>
      <c r="E91" s="14" t="n"/>
      <c r="F91" s="131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6" t="n"/>
      <c r="P91" s="136" t="n"/>
      <c r="Q91" s="132" t="n"/>
      <c r="R91" s="132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6">
        <f>IF(E91="","",E91)</f>
        <v/>
      </c>
      <c r="AJ91" s="121" t="n"/>
      <c r="AK91" s="121" t="n"/>
      <c r="AL91" s="121" t="n"/>
      <c r="AM91" s="121" t="n"/>
      <c r="AN91" s="121" t="n"/>
      <c r="AO91" s="121" t="n"/>
      <c r="AP91" s="121" t="n"/>
      <c r="AQ91" s="121" t="n"/>
      <c r="AR91" s="121" t="n"/>
      <c r="AS91" s="121" t="n"/>
      <c r="AT91" s="121" t="n"/>
      <c r="AU91" s="121" t="n"/>
      <c r="AV91" s="121" t="n"/>
    </row>
    <row r="92">
      <c r="A92" s="9" t="inlineStr">
        <is>
          <t>동신진주</t>
        </is>
      </c>
      <c r="B92" s="10" t="inlineStr">
        <is>
          <t>'93.12.</t>
        </is>
      </c>
      <c r="C92" s="133" t="n">
        <v>246</v>
      </c>
      <c r="D92" s="131" t="n">
        <v>74.40000000000001</v>
      </c>
      <c r="E92" s="132" t="n">
        <v>23</v>
      </c>
      <c r="F92" s="131" t="n">
        <v>59.1</v>
      </c>
      <c r="G92" s="17" t="n">
        <v>18</v>
      </c>
      <c r="H92" s="133" t="n">
        <v>168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n">
        <v>74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3" t="n">
        <v>246</v>
      </c>
      <c r="D93" s="131" t="n">
        <v>81.59999999999999</v>
      </c>
      <c r="E93" s="132" t="n">
        <v>25</v>
      </c>
      <c r="F93" s="131" t="n">
        <v>59.6</v>
      </c>
      <c r="G93" s="17" t="n">
        <v>18</v>
      </c>
      <c r="H93" s="133" t="n">
        <v>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81A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3" t="n">
        <v>246</v>
      </c>
      <c r="D94" s="131" t="n">
        <v>82.2</v>
      </c>
      <c r="E94" s="132" t="n">
        <v>25</v>
      </c>
      <c r="F94" s="131" t="n">
        <v>60</v>
      </c>
      <c r="G94" s="17" t="n">
        <v>18</v>
      </c>
      <c r="H94" s="133" t="n">
        <v>10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inlineStr">
        <is>
          <t>82B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3" t="n">
        <v>246</v>
      </c>
      <c r="D95" s="131" t="n">
        <v>103.7</v>
      </c>
      <c r="E95" s="132" t="n">
        <v>31</v>
      </c>
      <c r="F95" s="131" t="n">
        <v>84.7</v>
      </c>
      <c r="G95" s="17" t="n">
        <v>26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>
      <c r="A96" s="9" t="n"/>
      <c r="B96" s="121" t="n"/>
      <c r="C96" s="6" t="n"/>
      <c r="D96" s="9" t="n"/>
      <c r="E96" s="14" t="n"/>
      <c r="F96" s="131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6" t="n"/>
      <c r="P96" s="136" t="n"/>
      <c r="Q96" s="132" t="n"/>
      <c r="R96" s="132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6">
        <f>IF(E96="","",E96)</f>
        <v/>
      </c>
      <c r="AJ96" s="121" t="n"/>
      <c r="AK96" s="121" t="n"/>
      <c r="AL96" s="121" t="n"/>
      <c r="AM96" s="121" t="n"/>
      <c r="AN96" s="121" t="n"/>
      <c r="AO96" s="121" t="n"/>
      <c r="AP96" s="121" t="n"/>
      <c r="AQ96" s="121" t="n"/>
      <c r="AR96" s="121" t="n"/>
      <c r="AS96" s="121" t="n"/>
      <c r="AT96" s="121" t="n"/>
      <c r="AU96" s="121" t="n"/>
      <c r="AV96" s="121" t="n"/>
    </row>
    <row r="97">
      <c r="A97" s="9" t="inlineStr">
        <is>
          <t>수송금호어울림</t>
        </is>
      </c>
      <c r="B97" s="10" t="inlineStr">
        <is>
          <t>'08.08.</t>
        </is>
      </c>
      <c r="C97" s="133" t="n">
        <v>773</v>
      </c>
      <c r="D97" s="131" t="n">
        <v>110.6</v>
      </c>
      <c r="E97" s="132" t="n">
        <v>33</v>
      </c>
      <c r="F97" s="131" t="n">
        <v>84.90000000000001</v>
      </c>
      <c r="G97" s="17" t="n">
        <v>26</v>
      </c>
      <c r="H97" s="133" t="n">
        <v>336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110A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3" t="n">
        <v>773</v>
      </c>
      <c r="D98" s="131" t="n">
        <v>111.2</v>
      </c>
      <c r="E98" s="132" t="n">
        <v>34</v>
      </c>
      <c r="F98" s="131" t="n">
        <v>85</v>
      </c>
      <c r="G98" s="17" t="n">
        <v>26</v>
      </c>
      <c r="H98" s="133" t="n">
        <v>324</v>
      </c>
      <c r="I98" s="134" t="n">
        <v>26000</v>
      </c>
      <c r="J98" s="134" t="inlineStr">
        <is>
          <t>18</t>
        </is>
      </c>
      <c r="K98" s="134" t="n">
        <v>22500</v>
      </c>
      <c r="L98" s="134" t="inlineStr">
        <is>
          <t>18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3" t="n">
        <v>773</v>
      </c>
      <c r="D99" s="131" t="n">
        <v>111.3</v>
      </c>
      <c r="E99" s="132" t="n">
        <v>34</v>
      </c>
      <c r="F99" s="131" t="n">
        <v>85</v>
      </c>
      <c r="G99" s="17" t="n">
        <v>26</v>
      </c>
      <c r="H99" s="133" t="n">
        <v>37</v>
      </c>
      <c r="I99" s="134" t="n">
        <v>27000</v>
      </c>
      <c r="J99" s="134" t="inlineStr">
        <is>
          <t>13</t>
        </is>
      </c>
      <c r="K99" s="134" t="n">
        <v>27000</v>
      </c>
      <c r="L99" s="134" t="inlineStr">
        <is>
          <t>8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111C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3" t="n">
        <v>773</v>
      </c>
      <c r="D100" s="131" t="n">
        <v>112.4</v>
      </c>
      <c r="E100" s="132" t="n">
        <v>34</v>
      </c>
      <c r="F100" s="131" t="n">
        <v>85</v>
      </c>
      <c r="G100" s="17" t="n">
        <v>26</v>
      </c>
      <c r="H100" s="133" t="n">
        <v>76</v>
      </c>
      <c r="I100" s="134" t="n">
        <v>29500</v>
      </c>
      <c r="J100" s="134" t="inlineStr">
        <is>
          <t>13</t>
        </is>
      </c>
      <c r="K100" s="134" t="n">
        <v>23000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112D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>
      <c r="A101" s="9" t="n"/>
      <c r="B101" s="121" t="n"/>
      <c r="C101" s="6" t="n"/>
      <c r="D101" s="9" t="n"/>
      <c r="E101" s="14" t="n"/>
      <c r="F101" s="131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6" t="n"/>
      <c r="P101" s="136" t="n"/>
      <c r="Q101" s="132" t="n"/>
      <c r="R101" s="132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6">
        <f>IF(E101="","",E101)</f>
        <v/>
      </c>
      <c r="AJ101" s="121" t="n"/>
      <c r="AK101" s="121" t="n"/>
      <c r="AL101" s="121" t="n"/>
      <c r="AM101" s="121" t="n"/>
      <c r="AN101" s="121" t="n"/>
      <c r="AO101" s="121" t="n"/>
      <c r="AP101" s="121" t="n"/>
      <c r="AQ101" s="121" t="n"/>
      <c r="AR101" s="121" t="n"/>
      <c r="AS101" s="121" t="n"/>
      <c r="AT101" s="121" t="n"/>
      <c r="AU101" s="121" t="n"/>
      <c r="AV101" s="121" t="n"/>
    </row>
    <row r="102">
      <c r="A102" s="9" t="inlineStr">
        <is>
          <t>영창</t>
        </is>
      </c>
      <c r="B102" s="10" t="inlineStr">
        <is>
          <t>'95.06.</t>
        </is>
      </c>
      <c r="C102" s="133" t="n">
        <v>765</v>
      </c>
      <c r="D102" s="131" t="n">
        <v>56.5</v>
      </c>
      <c r="E102" s="132" t="n">
        <v>17</v>
      </c>
      <c r="F102" s="131" t="n">
        <v>39.3</v>
      </c>
      <c r="G102" s="17" t="n">
        <v>12</v>
      </c>
      <c r="H102" s="133" t="n">
        <v>60</v>
      </c>
      <c r="I102" s="134" t="n">
        <v>6000</v>
      </c>
      <c r="J102" s="134" t="inlineStr">
        <is>
          <t>6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56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3" t="n">
        <v>765</v>
      </c>
      <c r="D103" s="131" t="n">
        <v>71.5</v>
      </c>
      <c r="E103" s="132" t="n">
        <v>22</v>
      </c>
      <c r="F103" s="131" t="n">
        <v>49.8</v>
      </c>
      <c r="G103" s="17" t="n">
        <v>15</v>
      </c>
      <c r="H103" s="133" t="n">
        <v>120</v>
      </c>
      <c r="I103" s="134" t="n">
        <v>7500</v>
      </c>
      <c r="J103" s="134" t="inlineStr">
        <is>
          <t>12</t>
        </is>
      </c>
      <c r="K103" s="134" t="n">
        <v>7000</v>
      </c>
      <c r="L103" s="134" t="inlineStr">
        <is>
          <t>10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71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3" t="n">
        <v>765</v>
      </c>
      <c r="D104" s="131" t="n">
        <v>74.7</v>
      </c>
      <c r="E104" s="132" t="n">
        <v>23</v>
      </c>
      <c r="F104" s="131" t="n">
        <v>59.9</v>
      </c>
      <c r="G104" s="17" t="n">
        <v>18</v>
      </c>
      <c r="H104" s="133" t="n">
        <v>300</v>
      </c>
      <c r="I104" s="134" t="n">
        <v>12000</v>
      </c>
      <c r="J104" s="134" t="inlineStr">
        <is>
          <t>15</t>
        </is>
      </c>
      <c r="K104" s="134" t="n">
        <v>10500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3" t="n">
        <v>765</v>
      </c>
      <c r="D105" s="131" t="n">
        <v>82.2</v>
      </c>
      <c r="E105" s="132" t="n">
        <v>25</v>
      </c>
      <c r="F105" s="131" t="n">
        <v>59.8</v>
      </c>
      <c r="G105" s="17" t="n">
        <v>18</v>
      </c>
      <c r="H105" s="133" t="n">
        <v>285</v>
      </c>
      <c r="I105" s="134" t="n">
        <v>10300</v>
      </c>
      <c r="J105" s="134" t="inlineStr">
        <is>
          <t>7</t>
        </is>
      </c>
      <c r="K105" s="134" t="n">
        <v>12000</v>
      </c>
      <c r="L105" s="134" t="inlineStr">
        <is>
          <t>13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82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>
      <c r="A106" s="9" t="n"/>
      <c r="B106" s="121" t="n"/>
      <c r="C106" s="6" t="n"/>
      <c r="D106" s="9" t="n"/>
      <c r="E106" s="14" t="n"/>
      <c r="F106" s="131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6" t="n"/>
      <c r="P106" s="136" t="n"/>
      <c r="Q106" s="132" t="n"/>
      <c r="R106" s="132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6">
        <f>IF(E106="","",E106)</f>
        <v/>
      </c>
      <c r="AJ106" s="121" t="n"/>
      <c r="AK106" s="121" t="n"/>
      <c r="AL106" s="121" t="n"/>
      <c r="AM106" s="121" t="n"/>
      <c r="AN106" s="121" t="n"/>
      <c r="AO106" s="121" t="n"/>
      <c r="AP106" s="121" t="n"/>
      <c r="AQ106" s="121" t="n"/>
      <c r="AR106" s="121" t="n"/>
      <c r="AS106" s="121" t="n"/>
      <c r="AT106" s="121" t="n"/>
      <c r="AU106" s="121" t="n"/>
      <c r="AV106" s="121" t="n"/>
    </row>
    <row r="107">
      <c r="A107" s="9" t="inlineStr">
        <is>
          <t>비사벌</t>
        </is>
      </c>
      <c r="B107" s="10" t="inlineStr">
        <is>
          <t>'97.02.</t>
        </is>
      </c>
      <c r="C107" s="133" t="n">
        <v>268</v>
      </c>
      <c r="D107" s="131" t="n">
        <v>78.2</v>
      </c>
      <c r="E107" s="132" t="n">
        <v>24</v>
      </c>
      <c r="F107" s="131" t="n">
        <v>59.9</v>
      </c>
      <c r="G107" s="17" t="n">
        <v>18</v>
      </c>
      <c r="H107" s="133" t="n">
        <v>268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78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>
      <c r="A108" s="9" t="n"/>
      <c r="B108" s="121" t="n"/>
      <c r="C108" s="6" t="n"/>
      <c r="D108" s="9" t="n"/>
      <c r="E108" s="14" t="n"/>
      <c r="F108" s="131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6" t="n"/>
      <c r="P108" s="136" t="n"/>
      <c r="Q108" s="132" t="n"/>
      <c r="R108" s="132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6">
        <f>IF(E108="","",E108)</f>
        <v/>
      </c>
      <c r="AJ108" s="121" t="n"/>
      <c r="AK108" s="121" t="n"/>
      <c r="AL108" s="121" t="n"/>
      <c r="AM108" s="121" t="n"/>
      <c r="AN108" s="121" t="n"/>
      <c r="AO108" s="121" t="n"/>
      <c r="AP108" s="121" t="n"/>
      <c r="AQ108" s="121" t="n"/>
      <c r="AR108" s="121" t="n"/>
      <c r="AS108" s="121" t="n"/>
      <c r="AT108" s="121" t="n"/>
      <c r="AU108" s="121" t="n"/>
      <c r="AV108" s="121" t="n"/>
    </row>
    <row r="109">
      <c r="A109" s="9" t="inlineStr">
        <is>
          <t>나운유원</t>
        </is>
      </c>
      <c r="B109" s="10" t="inlineStr">
        <is>
          <t>'90.11.</t>
        </is>
      </c>
      <c r="C109" s="133" t="n">
        <v>458</v>
      </c>
      <c r="D109" s="131" t="n">
        <v>81.3</v>
      </c>
      <c r="E109" s="132" t="n">
        <v>25</v>
      </c>
      <c r="F109" s="131" t="n">
        <v>65.09999999999999</v>
      </c>
      <c r="G109" s="17" t="n">
        <v>20</v>
      </c>
      <c r="H109" s="133" t="n">
        <v>144</v>
      </c>
      <c r="I109" s="134" t="n">
        <v>8000</v>
      </c>
      <c r="J109" s="134" t="inlineStr">
        <is>
          <t>12</t>
        </is>
      </c>
      <c r="K109" s="134" t="n">
        <v>7000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3" t="n">
        <v>458</v>
      </c>
      <c r="D110" s="131" t="n">
        <v>96.8</v>
      </c>
      <c r="E110" s="132" t="n">
        <v>29</v>
      </c>
      <c r="F110" s="131" t="n">
        <v>78.09999999999999</v>
      </c>
      <c r="G110" s="17" t="n">
        <v>24</v>
      </c>
      <c r="H110" s="133" t="n">
        <v>69</v>
      </c>
      <c r="I110" s="134" t="n">
        <v>9500</v>
      </c>
      <c r="J110" s="134" t="inlineStr">
        <is>
          <t>8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3" t="n">
        <v>458</v>
      </c>
      <c r="D111" s="131" t="n">
        <v>104.1</v>
      </c>
      <c r="E111" s="132" t="n">
        <v>31</v>
      </c>
      <c r="F111" s="131" t="n">
        <v>85</v>
      </c>
      <c r="G111" s="17" t="n">
        <v>26</v>
      </c>
      <c r="H111" s="133" t="n">
        <v>245</v>
      </c>
      <c r="I111" s="134" t="n">
        <v>9500</v>
      </c>
      <c r="J111" s="134" t="inlineStr">
        <is>
          <t>중</t>
        </is>
      </c>
      <c r="K111" s="134" t="n">
        <v>11500</v>
      </c>
      <c r="L111" s="134" t="inlineStr">
        <is>
          <t>14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104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>
      <c r="A112" s="9" t="n"/>
      <c r="B112" s="121" t="n"/>
      <c r="C112" s="6" t="n"/>
      <c r="D112" s="9" t="n"/>
      <c r="E112" s="14" t="n"/>
      <c r="F112" s="131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6" t="n"/>
      <c r="P112" s="136" t="n"/>
      <c r="Q112" s="132" t="n"/>
      <c r="R112" s="132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6">
        <f>IF(E112="","",E112)</f>
        <v/>
      </c>
      <c r="AJ112" s="121" t="n"/>
      <c r="AK112" s="121" t="n"/>
      <c r="AL112" s="121" t="n"/>
      <c r="AM112" s="121" t="n"/>
      <c r="AN112" s="121" t="n"/>
      <c r="AO112" s="121" t="n"/>
      <c r="AP112" s="121" t="n"/>
      <c r="AQ112" s="121" t="n"/>
      <c r="AR112" s="121" t="n"/>
      <c r="AS112" s="121" t="n"/>
      <c r="AT112" s="121" t="n"/>
      <c r="AU112" s="121" t="n"/>
      <c r="AV112" s="121" t="n"/>
    </row>
    <row r="113">
      <c r="A113" s="9" t="inlineStr">
        <is>
          <t>주공5단지</t>
        </is>
      </c>
      <c r="B113" s="10" t="inlineStr">
        <is>
          <t>'95.07.</t>
        </is>
      </c>
      <c r="C113" s="133" t="n">
        <v>1541</v>
      </c>
      <c r="D113" s="131" t="n">
        <v>54.8</v>
      </c>
      <c r="E113" s="132" t="n">
        <v>17</v>
      </c>
      <c r="F113" s="131" t="n">
        <v>37.7</v>
      </c>
      <c r="G113" s="17" t="n">
        <v>11</v>
      </c>
      <c r="H113" s="133" t="n">
        <v>149</v>
      </c>
      <c r="I113" s="134" t="n">
        <v>6500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2</v>
      </c>
      <c r="R113" s="121" t="n">
        <v>1</v>
      </c>
      <c r="S113" s="121" t="inlineStr">
        <is>
          <t>복</t>
        </is>
      </c>
      <c r="T113" s="5" t="n">
        <v>54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3" t="n">
        <v>1541</v>
      </c>
      <c r="D114" s="131" t="n">
        <v>69.8</v>
      </c>
      <c r="E114" s="132" t="n">
        <v>21</v>
      </c>
      <c r="F114" s="131" t="n">
        <v>49.7</v>
      </c>
      <c r="G114" s="17" t="n">
        <v>15</v>
      </c>
      <c r="H114" s="133" t="n">
        <v>149</v>
      </c>
      <c r="I114" s="134" t="n">
        <v>8500</v>
      </c>
      <c r="J114" s="134" t="inlineStr">
        <is>
          <t>고</t>
        </is>
      </c>
      <c r="K114" s="134" t="n">
        <v>7000</v>
      </c>
      <c r="L114" s="134" t="inlineStr">
        <is>
          <t>11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복</t>
        </is>
      </c>
      <c r="T114" s="5" t="n">
        <v>69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3" t="n">
        <v>1541</v>
      </c>
      <c r="D115" s="131" t="n">
        <v>79.2</v>
      </c>
      <c r="E115" s="132" t="n">
        <v>24</v>
      </c>
      <c r="F115" s="131" t="n">
        <v>58.1</v>
      </c>
      <c r="G115" s="17" t="n">
        <v>18</v>
      </c>
      <c r="H115" s="133" t="n">
        <v>1243</v>
      </c>
      <c r="I115" s="134" t="n">
        <v>9000</v>
      </c>
      <c r="J115" s="134" t="inlineStr">
        <is>
          <t>14</t>
        </is>
      </c>
      <c r="K115" s="134" t="n">
        <v>7500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>
      <c r="A116" s="9" t="n"/>
      <c r="B116" s="121" t="n"/>
      <c r="C116" s="6" t="n"/>
      <c r="D116" s="9" t="n"/>
      <c r="E116" s="14" t="n"/>
      <c r="F116" s="131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6" t="n"/>
      <c r="P116" s="136" t="n"/>
      <c r="Q116" s="132" t="n"/>
      <c r="R116" s="132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6">
        <f>IF(E116="","",E116)</f>
        <v/>
      </c>
      <c r="AJ116" s="121" t="n"/>
      <c r="AK116" s="121" t="n"/>
      <c r="AL116" s="121" t="n"/>
      <c r="AM116" s="121" t="n"/>
      <c r="AN116" s="121" t="n"/>
      <c r="AO116" s="121" t="n"/>
      <c r="AP116" s="121" t="n"/>
      <c r="AQ116" s="121" t="n"/>
      <c r="AR116" s="121" t="n"/>
      <c r="AS116" s="121" t="n"/>
      <c r="AT116" s="121" t="n"/>
      <c r="AU116" s="121" t="n"/>
      <c r="AV116" s="121" t="n"/>
    </row>
    <row r="117">
      <c r="A117" s="9" t="inlineStr">
        <is>
          <t>현대4차</t>
        </is>
      </c>
      <c r="B117" s="10" t="inlineStr">
        <is>
          <t>'98.09.</t>
        </is>
      </c>
      <c r="C117" s="133" t="n">
        <v>636</v>
      </c>
      <c r="D117" s="131" t="n">
        <v>74.8</v>
      </c>
      <c r="E117" s="132" t="n">
        <v>23</v>
      </c>
      <c r="F117" s="131" t="n">
        <v>60</v>
      </c>
      <c r="G117" s="17" t="n">
        <v>18</v>
      </c>
      <c r="H117" s="133" t="n">
        <v>64</v>
      </c>
      <c r="I117" s="134" t="n">
        <v>13500</v>
      </c>
      <c r="J117" s="134" t="inlineStr">
        <is>
          <t>13</t>
        </is>
      </c>
      <c r="K117" s="134" t="n">
        <v>12000</v>
      </c>
      <c r="L117" s="134" t="inlineStr">
        <is>
          <t>5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74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3" t="n">
        <v>636</v>
      </c>
      <c r="D118" s="131" t="n">
        <v>93.7</v>
      </c>
      <c r="E118" s="132" t="n">
        <v>28</v>
      </c>
      <c r="F118" s="131" t="n">
        <v>75.2</v>
      </c>
      <c r="G118" s="17" t="n">
        <v>23</v>
      </c>
      <c r="H118" s="133" t="n">
        <v>68</v>
      </c>
      <c r="I118" s="134" t="n">
        <v>18700</v>
      </c>
      <c r="J118" s="134" t="inlineStr">
        <is>
          <t>15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93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3" t="n">
        <v>636</v>
      </c>
      <c r="D119" s="131" t="n">
        <v>105.9</v>
      </c>
      <c r="E119" s="132" t="n">
        <v>32</v>
      </c>
      <c r="F119" s="131" t="n">
        <v>85</v>
      </c>
      <c r="G119" s="17" t="n">
        <v>26</v>
      </c>
      <c r="H119" s="133" t="n">
        <v>386</v>
      </c>
      <c r="I119" s="134" t="n">
        <v>19300</v>
      </c>
      <c r="J119" s="134" t="inlineStr">
        <is>
          <t>10</t>
        </is>
      </c>
      <c r="K119" s="134" t="n">
        <v>19000</v>
      </c>
      <c r="L119" s="134" t="inlineStr">
        <is>
          <t>8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3" t="n">
        <v>636</v>
      </c>
      <c r="D120" s="131" t="n">
        <v>124.6</v>
      </c>
      <c r="E120" s="132" t="n">
        <v>38</v>
      </c>
      <c r="F120" s="131" t="n">
        <v>99.90000000000001</v>
      </c>
      <c r="G120" s="17" t="n">
        <v>30</v>
      </c>
      <c r="H120" s="133" t="n">
        <v>78</v>
      </c>
      <c r="I120" s="134" t="n">
        <v>23000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124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3" t="n">
        <v>636</v>
      </c>
      <c r="D121" s="131" t="n">
        <v>147.3</v>
      </c>
      <c r="E121" s="132" t="n">
        <v>45</v>
      </c>
      <c r="F121" s="131" t="n">
        <v>118.2</v>
      </c>
      <c r="G121" s="17" t="n">
        <v>36</v>
      </c>
      <c r="H121" s="133" t="n">
        <v>40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147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>
      <c r="A122" s="9" t="n"/>
      <c r="B122" s="121" t="n"/>
      <c r="C122" s="6" t="n"/>
      <c r="D122" s="9" t="n"/>
      <c r="E122" s="14" t="n"/>
      <c r="F122" s="131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6" t="n"/>
      <c r="P122" s="136" t="n"/>
      <c r="Q122" s="132" t="n"/>
      <c r="R122" s="132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6">
        <f>IF(E122="","",E122)</f>
        <v/>
      </c>
      <c r="AJ122" s="121" t="n"/>
      <c r="AK122" s="121" t="n"/>
      <c r="AL122" s="121" t="n"/>
      <c r="AM122" s="121" t="n"/>
      <c r="AN122" s="121" t="n"/>
      <c r="AO122" s="121" t="n"/>
      <c r="AP122" s="121" t="n"/>
      <c r="AQ122" s="121" t="n"/>
      <c r="AR122" s="121" t="n"/>
      <c r="AS122" s="121" t="n"/>
      <c r="AT122" s="121" t="n"/>
      <c r="AU122" s="121" t="n"/>
      <c r="AV122" s="121" t="n"/>
    </row>
    <row r="123">
      <c r="A123" s="9" t="inlineStr">
        <is>
          <t>삼성(401)</t>
        </is>
      </c>
      <c r="B123" s="10" t="inlineStr">
        <is>
          <t>'98.05.</t>
        </is>
      </c>
      <c r="C123" s="133" t="n">
        <v>670</v>
      </c>
      <c r="D123" s="131" t="n">
        <v>95.5</v>
      </c>
      <c r="E123" s="132" t="n">
        <v>29</v>
      </c>
      <c r="F123" s="131" t="n">
        <v>73.90000000000001</v>
      </c>
      <c r="G123" s="17" t="n">
        <v>22</v>
      </c>
      <c r="H123" s="133" t="n">
        <v>128</v>
      </c>
      <c r="I123" s="134" t="n">
        <v>16200</v>
      </c>
      <c r="J123" s="134" t="inlineStr">
        <is>
          <t>5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3" t="n">
        <v>670</v>
      </c>
      <c r="D124" s="131" t="n">
        <v>107.4</v>
      </c>
      <c r="E124" s="132" t="n">
        <v>32</v>
      </c>
      <c r="F124" s="131" t="n">
        <v>85</v>
      </c>
      <c r="G124" s="17" t="n">
        <v>26</v>
      </c>
      <c r="H124" s="133" t="n">
        <v>422</v>
      </c>
      <c r="I124" s="134" t="n">
        <v>17200</v>
      </c>
      <c r="J124" s="134" t="inlineStr">
        <is>
          <t>11</t>
        </is>
      </c>
      <c r="K124" s="134" t="n">
        <v>17000</v>
      </c>
      <c r="L124" s="134" t="inlineStr">
        <is>
          <t>17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107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3" t="n">
        <v>670</v>
      </c>
      <c r="D125" s="131" t="n">
        <v>139.7</v>
      </c>
      <c r="E125" s="132" t="n">
        <v>42</v>
      </c>
      <c r="F125" s="131" t="n">
        <v>115</v>
      </c>
      <c r="G125" s="17" t="n">
        <v>35</v>
      </c>
      <c r="H125" s="133" t="n">
        <v>40</v>
      </c>
      <c r="I125" s="134" t="n">
        <v>25300</v>
      </c>
      <c r="J125" s="134" t="inlineStr">
        <is>
          <t>13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139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3" t="n">
        <v>670</v>
      </c>
      <c r="D126" s="131" t="n">
        <v>161.2</v>
      </c>
      <c r="E126" s="132" t="n">
        <v>49</v>
      </c>
      <c r="F126" s="131" t="n">
        <v>135</v>
      </c>
      <c r="G126" s="17" t="n">
        <v>41</v>
      </c>
      <c r="H126" s="133" t="n">
        <v>80</v>
      </c>
      <c r="I126" s="134" t="n">
        <v>24000</v>
      </c>
      <c r="J126" s="134" t="inlineStr">
        <is>
          <t>9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161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>
      <c r="A127" s="9" t="n"/>
      <c r="B127" s="121" t="n"/>
      <c r="C127" s="6" t="n"/>
      <c r="D127" s="9" t="n"/>
      <c r="E127" s="14" t="n"/>
      <c r="F127" s="131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6" t="n"/>
      <c r="P127" s="136" t="n"/>
      <c r="Q127" s="132" t="n"/>
      <c r="R127" s="132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6">
        <f>IF(E127="","",E127)</f>
        <v/>
      </c>
      <c r="AJ127" s="121" t="n"/>
      <c r="AK127" s="121" t="n"/>
      <c r="AL127" s="121" t="n"/>
      <c r="AM127" s="121" t="n"/>
      <c r="AN127" s="121" t="n"/>
      <c r="AO127" s="121" t="n"/>
      <c r="AP127" s="121" t="n"/>
      <c r="AQ127" s="121" t="n"/>
      <c r="AR127" s="121" t="n"/>
      <c r="AS127" s="121" t="n"/>
      <c r="AT127" s="121" t="n"/>
      <c r="AU127" s="121" t="n"/>
      <c r="AV127" s="121" t="n"/>
    </row>
    <row r="128">
      <c r="A128" s="9" t="inlineStr">
        <is>
          <t>롯데3차</t>
        </is>
      </c>
      <c r="B128" s="10" t="inlineStr">
        <is>
          <t>'94.06.</t>
        </is>
      </c>
      <c r="C128" s="133" t="n">
        <v>572</v>
      </c>
      <c r="D128" s="131" t="n">
        <v>90.59999999999999</v>
      </c>
      <c r="E128" s="132" t="n">
        <v>27</v>
      </c>
      <c r="F128" s="131" t="n">
        <v>74</v>
      </c>
      <c r="G128" s="17" t="n">
        <v>22</v>
      </c>
      <c r="H128" s="133" t="n">
        <v>234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90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3" t="n">
        <v>572</v>
      </c>
      <c r="D129" s="131" t="n">
        <v>104.5</v>
      </c>
      <c r="E129" s="132" t="n">
        <v>32</v>
      </c>
      <c r="F129" s="131" t="n">
        <v>84.8</v>
      </c>
      <c r="G129" s="17" t="n">
        <v>26</v>
      </c>
      <c r="H129" s="133" t="n">
        <v>286</v>
      </c>
      <c r="I129" s="134" t="n">
        <v>16000</v>
      </c>
      <c r="J129" s="134" t="inlineStr">
        <is>
          <t>5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3" t="n">
        <v>572</v>
      </c>
      <c r="D130" s="131" t="n">
        <v>153.4</v>
      </c>
      <c r="E130" s="132" t="n">
        <v>46</v>
      </c>
      <c r="F130" s="131" t="n">
        <v>131.8</v>
      </c>
      <c r="G130" s="17" t="n">
        <v>40</v>
      </c>
      <c r="H130" s="133" t="n">
        <v>52</v>
      </c>
      <c r="I130" s="134" t="n">
        <v>24000</v>
      </c>
      <c r="J130" s="134" t="inlineStr">
        <is>
          <t>8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153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>
      <c r="A131" s="9" t="n"/>
      <c r="B131" s="121" t="n"/>
      <c r="C131" s="6" t="n"/>
      <c r="D131" s="9" t="n"/>
      <c r="E131" s="14" t="n"/>
      <c r="F131" s="131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6" t="n"/>
      <c r="P131" s="136" t="n"/>
      <c r="Q131" s="132" t="n"/>
      <c r="R131" s="132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6">
        <f>IF(E131="","",E131)</f>
        <v/>
      </c>
      <c r="AJ131" s="121" t="n"/>
      <c r="AK131" s="121" t="n"/>
      <c r="AL131" s="121" t="n"/>
      <c r="AM131" s="121" t="n"/>
      <c r="AN131" s="121" t="n"/>
      <c r="AO131" s="121" t="n"/>
      <c r="AP131" s="121" t="n"/>
      <c r="AQ131" s="121" t="n"/>
      <c r="AR131" s="121" t="n"/>
      <c r="AS131" s="121" t="n"/>
      <c r="AT131" s="121" t="n"/>
      <c r="AU131" s="121" t="n"/>
      <c r="AV131" s="121" t="n"/>
    </row>
    <row r="132">
      <c r="A132" s="9" t="inlineStr">
        <is>
          <t>우진</t>
        </is>
      </c>
      <c r="B132" s="10" t="inlineStr">
        <is>
          <t>'79.01.</t>
        </is>
      </c>
      <c r="C132" s="133" t="n">
        <v>390</v>
      </c>
      <c r="D132" s="131" t="n">
        <v>60.5</v>
      </c>
      <c r="E132" s="132" t="n">
        <v>18</v>
      </c>
      <c r="F132" s="131" t="n">
        <v>55.5</v>
      </c>
      <c r="G132" s="17" t="n">
        <v>17</v>
      </c>
      <c r="H132" s="133" t="n">
        <v>100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60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3" t="n">
        <v>390</v>
      </c>
      <c r="D133" s="131" t="n">
        <v>61.2</v>
      </c>
      <c r="E133" s="132" t="n">
        <v>19</v>
      </c>
      <c r="F133" s="131" t="n">
        <v>55.4</v>
      </c>
      <c r="G133" s="17" t="n">
        <v>17</v>
      </c>
      <c r="H133" s="133" t="n">
        <v>170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n">
        <v>61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3" t="n">
        <v>390</v>
      </c>
      <c r="D134" s="131" t="n">
        <v>72.7</v>
      </c>
      <c r="E134" s="132" t="n">
        <v>22</v>
      </c>
      <c r="F134" s="131" t="n">
        <v>65.8</v>
      </c>
      <c r="G134" s="17" t="n">
        <v>20</v>
      </c>
      <c r="H134" s="133" t="n">
        <v>120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72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9">
      <formula>AV4="X"</formula>
    </cfRule>
    <cfRule type="expression" priority="1904" dxfId="18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9">
      <formula>AV7="X"</formula>
    </cfRule>
    <cfRule type="expression" priority="1884" dxfId="18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9">
      <formula>AV8="X"</formula>
    </cfRule>
    <cfRule type="expression" priority="1866" dxfId="18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9">
      <formula>AV9="X"</formula>
    </cfRule>
    <cfRule type="expression" priority="1848" dxfId="18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9">
      <formula>AV10="X"</formula>
    </cfRule>
    <cfRule type="expression" priority="1830" dxfId="18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9">
      <formula>AV11="X"</formula>
    </cfRule>
    <cfRule type="expression" priority="1812" dxfId="18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9">
      <formula>AV12="X"</formula>
    </cfRule>
    <cfRule type="expression" priority="1794" dxfId="18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9">
      <formula>AV13="X"</formula>
    </cfRule>
    <cfRule type="expression" priority="1790" dxfId="18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9">
      <formula>AV14="X"</formula>
    </cfRule>
    <cfRule type="expression" priority="1772" dxfId="18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9">
      <formula>AV15="X"</formula>
    </cfRule>
    <cfRule type="expression" priority="1754" dxfId="18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9">
      <formula>AV16="X"</formula>
    </cfRule>
    <cfRule type="expression" priority="1750" dxfId="18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9">
      <formula>AV17="X"</formula>
    </cfRule>
    <cfRule type="expression" priority="1732" dxfId="18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9">
      <formula>AV18="X"</formula>
    </cfRule>
    <cfRule type="expression" priority="1728" dxfId="18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9">
      <formula>AV19="X"</formula>
    </cfRule>
    <cfRule type="expression" priority="1710" dxfId="18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9">
      <formula>AV20="X"</formula>
    </cfRule>
    <cfRule type="expression" priority="1692" dxfId="18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9">
      <formula>AV21="X"</formula>
    </cfRule>
    <cfRule type="expression" priority="1674" dxfId="18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9">
      <formula>AV22="X"</formula>
    </cfRule>
    <cfRule type="expression" priority="1670" dxfId="18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9">
      <formula>AV23="X"</formula>
    </cfRule>
    <cfRule type="expression" priority="1652" dxfId="18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9">
      <formula>AV24="X"</formula>
    </cfRule>
    <cfRule type="expression" priority="1634" dxfId="18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9">
      <formula>AV25="X"</formula>
    </cfRule>
    <cfRule type="expression" priority="1616" dxfId="18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9">
      <formula>AV26="X"</formula>
    </cfRule>
    <cfRule type="expression" priority="1598" dxfId="18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9">
      <formula>AV27="X"</formula>
    </cfRule>
    <cfRule type="expression" priority="1594" dxfId="18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9">
      <formula>AV28="X"</formula>
    </cfRule>
    <cfRule type="expression" priority="1576" dxfId="18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9">
      <formula>AV29="X"</formula>
    </cfRule>
    <cfRule type="expression" priority="1558" dxfId="18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9">
      <formula>AV30="X"</formula>
    </cfRule>
    <cfRule type="expression" priority="1540" dxfId="18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9">
      <formula>AV31="X"</formula>
    </cfRule>
    <cfRule type="expression" priority="1536" dxfId="18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9">
      <formula>AV32="X"</formula>
    </cfRule>
    <cfRule type="expression" priority="1518" dxfId="18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9">
      <formula>AV33="X"</formula>
    </cfRule>
    <cfRule type="expression" priority="1514" dxfId="18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9">
      <formula>AV34="X"</formula>
    </cfRule>
    <cfRule type="expression" priority="1496" dxfId="18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9">
      <formula>AV35="X"</formula>
    </cfRule>
    <cfRule type="expression" priority="1492" dxfId="18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9">
      <formula>AV36="X"</formula>
    </cfRule>
    <cfRule type="expression" priority="1474" dxfId="18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9">
      <formula>AV37="X"</formula>
    </cfRule>
    <cfRule type="expression" priority="1456" dxfId="18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9">
      <formula>AV38="X"</formula>
    </cfRule>
    <cfRule type="expression" priority="1438" dxfId="18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9">
      <formula>AV39="X"</formula>
    </cfRule>
    <cfRule type="expression" priority="1434" dxfId="18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9">
      <formula>AV40="X"</formula>
    </cfRule>
    <cfRule type="expression" priority="1416" dxfId="18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9">
      <formula>AV41="X"</formula>
    </cfRule>
    <cfRule type="expression" priority="1398" dxfId="18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9">
      <formula>AV42="X"</formula>
    </cfRule>
    <cfRule type="expression" priority="1380" dxfId="18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9">
      <formula>AV43="X"</formula>
    </cfRule>
    <cfRule type="expression" priority="1376" dxfId="18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9">
      <formula>AV44="X"</formula>
    </cfRule>
    <cfRule type="expression" priority="1358" dxfId="18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9">
      <formula>AV45="X"</formula>
    </cfRule>
    <cfRule type="expression" priority="1340" dxfId="18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9">
      <formula>AV46="X"</formula>
    </cfRule>
    <cfRule type="expression" priority="1336" dxfId="18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9">
      <formula>AV47="X"</formula>
    </cfRule>
    <cfRule type="expression" priority="1318" dxfId="18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9">
      <formula>AV48="X"</formula>
    </cfRule>
    <cfRule type="expression" priority="1300" dxfId="18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9">
      <formula>AV49="X"</formula>
    </cfRule>
    <cfRule type="expression" priority="1296" dxfId="18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9">
      <formula>AV50="X"</formula>
    </cfRule>
    <cfRule type="expression" priority="1278" dxfId="18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9">
      <formula>AV51="X"</formula>
    </cfRule>
    <cfRule type="expression" priority="1260" dxfId="18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9">
      <formula>AV52="X"</formula>
    </cfRule>
    <cfRule type="expression" priority="1256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9">
      <formula>AV54="X"</formula>
    </cfRule>
    <cfRule type="expression" priority="1220" dxfId="18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9">
      <formula>AV55="X"</formula>
    </cfRule>
    <cfRule type="expression" priority="1202" dxfId="18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9">
      <formula>AV56="X"</formula>
    </cfRule>
    <cfRule type="expression" priority="1184" dxfId="18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9">
      <formula>AV57="X"</formula>
    </cfRule>
    <cfRule type="expression" priority="1166" dxfId="18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9">
      <formula>AV58="X"</formula>
    </cfRule>
    <cfRule type="expression" priority="1148" dxfId="18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9">
      <formula>AV59="X"</formula>
    </cfRule>
    <cfRule type="expression" priority="1130" dxfId="18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9">
      <formula>AV60="X"</formula>
    </cfRule>
    <cfRule type="expression" priority="1112" dxfId="18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9">
      <formula>AV61="X"</formula>
    </cfRule>
    <cfRule type="expression" priority="1094" dxfId="18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9">
      <formula>AV62="X"</formula>
    </cfRule>
    <cfRule type="expression" priority="1076" dxfId="18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9">
      <formula>AV63="X"</formula>
    </cfRule>
    <cfRule type="expression" priority="1072" dxfId="18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9">
      <formula>AV64="X"</formula>
    </cfRule>
    <cfRule type="expression" priority="1054" dxfId="18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9">
      <formula>AV65="X"</formula>
    </cfRule>
    <cfRule type="expression" priority="1036" dxfId="18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9">
      <formula>AV66="X"</formula>
    </cfRule>
    <cfRule type="expression" priority="1018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9">
      <formula>AV68="X"</formula>
    </cfRule>
    <cfRule type="expression" priority="982" dxfId="18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9">
      <formula>AV69="X"</formula>
    </cfRule>
    <cfRule type="expression" priority="978" dxfId="18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9">
      <formula>AV70="X"</formula>
    </cfRule>
    <cfRule type="expression" priority="960" dxfId="18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9">
      <formula>AV71="X"</formula>
    </cfRule>
    <cfRule type="expression" priority="942" dxfId="18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9">
      <formula>AV72="X"</formula>
    </cfRule>
    <cfRule type="expression" priority="938" dxfId="18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9">
      <formula>AV73="X"</formula>
    </cfRule>
    <cfRule type="expression" priority="920" dxfId="18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9">
      <formula>AV74="X"</formula>
    </cfRule>
    <cfRule type="expression" priority="902" dxfId="18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9">
      <formula>AV75="X"</formula>
    </cfRule>
    <cfRule type="expression" priority="898" dxfId="18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9">
      <formula>AV76="X"</formula>
    </cfRule>
    <cfRule type="expression" priority="880" dxfId="18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9">
      <formula>AV77="X"</formula>
    </cfRule>
    <cfRule type="expression" priority="862" dxfId="18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9">
      <formula>AV78="X"</formula>
    </cfRule>
    <cfRule type="expression" priority="844" dxfId="18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9">
      <formula>AV79="X"</formula>
    </cfRule>
    <cfRule type="expression" priority="826" dxfId="18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9">
      <formula>AV80="X"</formula>
    </cfRule>
    <cfRule type="expression" priority="822" dxfId="18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9">
      <formula>AV81="X"</formula>
    </cfRule>
    <cfRule type="expression" priority="804" dxfId="18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9">
      <formula>AV82="X"</formula>
    </cfRule>
    <cfRule type="expression" priority="786" dxfId="18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9">
      <formula>AV83="X"</formula>
    </cfRule>
    <cfRule type="expression" priority="782" dxfId="18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9">
      <formula>AV84="X"</formula>
    </cfRule>
    <cfRule type="expression" priority="764" dxfId="18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9">
      <formula>AV85="X"</formula>
    </cfRule>
    <cfRule type="expression" priority="746" dxfId="18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9">
      <formula>AV86="X"</formula>
    </cfRule>
    <cfRule type="expression" priority="728" dxfId="18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9">
      <formula>AV87="X"</formula>
    </cfRule>
    <cfRule type="expression" priority="710" dxfId="18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9">
      <formula>AV88="X"</formula>
    </cfRule>
    <cfRule type="expression" priority="706" dxfId="18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9">
      <formula>AV89="X"</formula>
    </cfRule>
    <cfRule type="expression" priority="688" dxfId="18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9">
      <formula>AV90="X"</formula>
    </cfRule>
    <cfRule type="expression" priority="670" dxfId="18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9">
      <formula>AV91="X"</formula>
    </cfRule>
    <cfRule type="expression" priority="652" dxfId="18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9">
      <formula>AV92="X"</formula>
    </cfRule>
    <cfRule type="expression" priority="648" dxfId="18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9">
      <formula>AV93="X"</formula>
    </cfRule>
    <cfRule type="expression" priority="630" dxfId="18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9">
      <formula>AV94="X"</formula>
    </cfRule>
    <cfRule type="expression" priority="612" dxfId="18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9">
      <formula>AV95="X"</formula>
    </cfRule>
    <cfRule type="expression" priority="594" dxfId="18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9">
      <formula>AV96="X"</formula>
    </cfRule>
    <cfRule type="expression" priority="576" dxfId="18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9">
      <formula>AV97="X"</formula>
    </cfRule>
    <cfRule type="expression" priority="572" dxfId="18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9">
      <formula>AV98="X"</formula>
    </cfRule>
    <cfRule type="expression" priority="554" dxfId="18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9">
      <formula>AV99="X"</formula>
    </cfRule>
    <cfRule type="expression" priority="536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9">
      <formula>AV101="X"</formula>
    </cfRule>
    <cfRule type="expression" priority="500" dxfId="18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9">
      <formula>AV102="X"</formula>
    </cfRule>
    <cfRule type="expression" priority="496" dxfId="18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9">
      <formula>AV103="X"</formula>
    </cfRule>
    <cfRule type="expression" priority="478" dxfId="18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9">
      <formula>AV104="X"</formula>
    </cfRule>
    <cfRule type="expression" priority="460" dxfId="18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9">
      <formula>AV105="X"</formula>
    </cfRule>
    <cfRule type="expression" priority="442" dxfId="18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9">
      <formula>AV106="X"</formula>
    </cfRule>
    <cfRule type="expression" priority="424" dxfId="18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9">
      <formula>AV107="X"</formula>
    </cfRule>
    <cfRule type="expression" priority="420" dxfId="18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9">
      <formula>AV108="X"</formula>
    </cfRule>
    <cfRule type="expression" priority="402" dxfId="18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9">
      <formula>AV109="X"</formula>
    </cfRule>
    <cfRule type="expression" priority="398" dxfId="18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9">
      <formula>AV110="X"</formula>
    </cfRule>
    <cfRule type="expression" priority="380" dxfId="18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9">
      <formula>AV111="X"</formula>
    </cfRule>
    <cfRule type="expression" priority="362" dxfId="18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9">
      <formula>AV112="X"</formula>
    </cfRule>
    <cfRule type="expression" priority="344" dxfId="18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9">
      <formula>AV113="X"</formula>
    </cfRule>
    <cfRule type="expression" priority="340" dxfId="18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9">
      <formula>AV114="X"</formula>
    </cfRule>
    <cfRule type="expression" priority="322" dxfId="18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9">
      <formula>AV115="X"</formula>
    </cfRule>
    <cfRule type="expression" priority="304" dxfId="18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9">
      <formula>AV116="X"</formula>
    </cfRule>
    <cfRule type="expression" priority="286" dxfId="18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9">
      <formula>AV117="X"</formula>
    </cfRule>
    <cfRule type="expression" priority="282" dxfId="18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9">
      <formula>AV118="X"</formula>
    </cfRule>
    <cfRule type="expression" priority="264" dxfId="18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9">
      <formula>AV119="X"</formula>
    </cfRule>
    <cfRule type="expression" priority="246" dxfId="18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9">
      <formula>AV120="X"</formula>
    </cfRule>
    <cfRule type="expression" priority="228" dxfId="18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9">
      <formula>AV121="X"</formula>
    </cfRule>
    <cfRule type="expression" priority="210" dxfId="18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9">
      <formula>AV122="X"</formula>
    </cfRule>
    <cfRule type="expression" priority="192" dxfId="18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9">
      <formula>AV123="X"</formula>
    </cfRule>
    <cfRule type="expression" priority="188" dxfId="18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9">
      <formula>AV124="X"</formula>
    </cfRule>
    <cfRule type="expression" priority="170" dxfId="18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9">
      <formula>AV125="X"</formula>
    </cfRule>
    <cfRule type="expression" priority="152" dxfId="18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9">
      <formula>AV126="X"</formula>
    </cfRule>
    <cfRule type="expression" priority="134" dxfId="18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9">
      <formula>AV127="X"</formula>
    </cfRule>
    <cfRule type="expression" priority="116" dxfId="18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9">
      <formula>AV128="X"</formula>
    </cfRule>
    <cfRule type="expression" priority="112" dxfId="18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9">
      <formula>AV129="X"</formula>
    </cfRule>
    <cfRule type="expression" priority="94" dxfId="18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9">
      <formula>AV130="X"</formula>
    </cfRule>
    <cfRule type="expression" priority="76" dxfId="18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9">
      <formula>AV131="X"</formula>
    </cfRule>
    <cfRule type="expression" priority="58" dxfId="18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9">
      <formula>AV132="X"</formula>
    </cfRule>
    <cfRule type="expression" priority="54" dxfId="18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9">
      <formula>AV133="X"</formula>
    </cfRule>
    <cfRule type="expression" priority="36" dxfId="18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9">
      <formula>AV134="X"</formula>
    </cfRule>
    <cfRule type="expression" priority="18" dxfId="18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현대메트로타워2차</t>
        </is>
      </c>
      <c r="B6" s="10" t="inlineStr">
        <is>
          <t>'16.04.</t>
        </is>
      </c>
      <c r="C6" s="133" t="n">
        <v>942</v>
      </c>
      <c r="D6" s="131" t="n">
        <v>115.3</v>
      </c>
      <c r="E6" s="132" t="n">
        <v>35</v>
      </c>
      <c r="F6" s="131" t="n">
        <v>84.90000000000001</v>
      </c>
      <c r="G6" s="17" t="n">
        <v>26</v>
      </c>
      <c r="H6" s="133" t="n">
        <v>318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3" t="n">
        <v>942</v>
      </c>
      <c r="D7" s="131" t="n">
        <v>115.5</v>
      </c>
      <c r="E7" s="132" t="n">
        <v>35</v>
      </c>
      <c r="F7" s="131" t="n">
        <v>85</v>
      </c>
      <c r="G7" s="17" t="n">
        <v>26</v>
      </c>
      <c r="H7" s="133" t="n">
        <v>316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115B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3" t="n">
        <v>942</v>
      </c>
      <c r="D8" s="131" t="n">
        <v>115.3</v>
      </c>
      <c r="E8" s="132" t="n">
        <v>35</v>
      </c>
      <c r="F8" s="131" t="n">
        <v>85</v>
      </c>
      <c r="G8" s="17" t="n">
        <v>26</v>
      </c>
      <c r="H8" s="133" t="n">
        <v>308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현대메트로타워</t>
        </is>
      </c>
      <c r="B10" s="10" t="inlineStr">
        <is>
          <t>'11.10.</t>
        </is>
      </c>
      <c r="C10" s="133" t="n">
        <v>614</v>
      </c>
      <c r="D10" s="131" t="n">
        <v>108.7</v>
      </c>
      <c r="E10" s="132" t="n">
        <v>33</v>
      </c>
      <c r="F10" s="131" t="n">
        <v>76.3</v>
      </c>
      <c r="G10" s="17" t="n">
        <v>23</v>
      </c>
      <c r="H10" s="133" t="n">
        <v>248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3" t="n">
        <v>614</v>
      </c>
      <c r="D11" s="131" t="n">
        <v>120.5</v>
      </c>
      <c r="E11" s="132" t="n">
        <v>36</v>
      </c>
      <c r="F11" s="131" t="n">
        <v>84.90000000000001</v>
      </c>
      <c r="G11" s="17" t="n">
        <v>26</v>
      </c>
      <c r="H11" s="133" t="n">
        <v>244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120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3" t="n">
        <v>614</v>
      </c>
      <c r="D12" s="131" t="n">
        <v>120.7</v>
      </c>
      <c r="E12" s="132" t="n">
        <v>37</v>
      </c>
      <c r="F12" s="131" t="n">
        <v>84.90000000000001</v>
      </c>
      <c r="G12" s="17" t="n">
        <v>26</v>
      </c>
      <c r="H12" s="133" t="n">
        <v>122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120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9">
      <formula>AV4="X"</formula>
    </cfRule>
    <cfRule type="expression" priority="114" dxfId="18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9">
      <formula>AV7="X"</formula>
    </cfRule>
    <cfRule type="expression" priority="94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9">
      <formula>AV9="X"</formula>
    </cfRule>
    <cfRule type="expression" priority="58" dxfId="18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9">
      <formula>AV10="X"</formula>
    </cfRule>
    <cfRule type="expression" priority="54" dxfId="18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9">
      <formula>AV11="X"</formula>
    </cfRule>
    <cfRule type="expression" priority="36" dxfId="18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9">
      <formula>AV12="X"</formula>
    </cfRule>
    <cfRule type="expression" priority="18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군산동흥남주공</t>
        </is>
      </c>
      <c r="B6" s="10" t="inlineStr">
        <is>
          <t>'06.02.</t>
        </is>
      </c>
      <c r="C6" s="133" t="n">
        <v>318</v>
      </c>
      <c r="D6" s="131" t="n">
        <v>94.90000000000001</v>
      </c>
      <c r="E6" s="132" t="n">
        <v>29</v>
      </c>
      <c r="F6" s="131" t="n">
        <v>75.3</v>
      </c>
      <c r="G6" s="17" t="n">
        <v>23</v>
      </c>
      <c r="H6" s="133" t="n">
        <v>90</v>
      </c>
      <c r="I6" s="134" t="n">
        <v>16800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3" t="n">
        <v>318</v>
      </c>
      <c r="D7" s="131" t="n">
        <v>107</v>
      </c>
      <c r="E7" s="132" t="n">
        <v>32</v>
      </c>
      <c r="F7" s="131" t="n">
        <v>84.90000000000001</v>
      </c>
      <c r="G7" s="17" t="n">
        <v>26</v>
      </c>
      <c r="H7" s="133" t="n">
        <v>99</v>
      </c>
      <c r="I7" s="134" t="n">
        <v>21000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3" t="n">
        <v>318</v>
      </c>
      <c r="D8" s="131" t="n">
        <v>107.1</v>
      </c>
      <c r="E8" s="132" t="n">
        <v>32</v>
      </c>
      <c r="F8" s="131" t="n">
        <v>85</v>
      </c>
      <c r="G8" s="17" t="n">
        <v>26</v>
      </c>
      <c r="H8" s="133" t="n">
        <v>129</v>
      </c>
      <c r="I8" s="134" t="n">
        <v>18000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'92.08.</t>
        </is>
      </c>
      <c r="C6" s="133" t="n">
        <v>716</v>
      </c>
      <c r="D6" s="131" t="n">
        <v>79.7</v>
      </c>
      <c r="E6" s="132" t="n">
        <v>24</v>
      </c>
      <c r="F6" s="131" t="n">
        <v>65.2</v>
      </c>
      <c r="G6" s="17" t="n">
        <v>20</v>
      </c>
      <c r="H6" s="133" t="n">
        <v>56</v>
      </c>
      <c r="I6" s="134" t="n">
        <v>12500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3" t="n">
        <v>716</v>
      </c>
      <c r="D7" s="131" t="n">
        <v>93.09999999999999</v>
      </c>
      <c r="E7" s="132" t="n">
        <v>28</v>
      </c>
      <c r="F7" s="131" t="n">
        <v>76</v>
      </c>
      <c r="G7" s="17" t="n">
        <v>23</v>
      </c>
      <c r="H7" s="133" t="n">
        <v>198</v>
      </c>
      <c r="I7" s="134" t="n">
        <v>12800</v>
      </c>
      <c r="J7" s="134" t="inlineStr">
        <is>
          <t>6</t>
        </is>
      </c>
      <c r="K7" s="134" t="n">
        <v>11000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계</t>
        </is>
      </c>
      <c r="T7" s="5" t="n">
        <v>93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3" t="n">
        <v>716</v>
      </c>
      <c r="D8" s="131" t="n">
        <v>104</v>
      </c>
      <c r="E8" s="132" t="n">
        <v>31</v>
      </c>
      <c r="F8" s="131" t="n">
        <v>84.90000000000001</v>
      </c>
      <c r="G8" s="17" t="n">
        <v>26</v>
      </c>
      <c r="H8" s="133" t="n">
        <v>462</v>
      </c>
      <c r="I8" s="134" t="n">
        <v>16000</v>
      </c>
      <c r="J8" s="134" t="inlineStr">
        <is>
          <t>8</t>
        </is>
      </c>
      <c r="K8" s="134" t="n">
        <v>14000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미룡대명1차</t>
        </is>
      </c>
      <c r="B6" s="10" t="inlineStr">
        <is>
          <t>'98.06.</t>
        </is>
      </c>
      <c r="C6" s="133" t="n">
        <v>498</v>
      </c>
      <c r="D6" s="131" t="n">
        <v>53.9</v>
      </c>
      <c r="E6" s="132" t="n">
        <v>16</v>
      </c>
      <c r="F6" s="131" t="n">
        <v>40</v>
      </c>
      <c r="G6" s="17" t="n">
        <v>12</v>
      </c>
      <c r="H6" s="133" t="n">
        <v>498</v>
      </c>
      <c r="I6" s="134" t="n">
        <v>3800</v>
      </c>
      <c r="J6" s="134" t="inlineStr">
        <is>
          <t>15</t>
        </is>
      </c>
      <c r="K6" s="134" t="n">
        <v>5000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금광베네스타</t>
        </is>
      </c>
      <c r="B8" s="10" t="inlineStr">
        <is>
          <t>'08.12.</t>
        </is>
      </c>
      <c r="C8" s="133" t="n">
        <v>950</v>
      </c>
      <c r="D8" s="131" t="n">
        <v>110.3</v>
      </c>
      <c r="E8" s="132" t="n">
        <v>33</v>
      </c>
      <c r="F8" s="131" t="n">
        <v>84.7</v>
      </c>
      <c r="G8" s="17" t="n">
        <v>26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3" t="n">
        <v>950</v>
      </c>
      <c r="D9" s="131" t="n">
        <v>110.5</v>
      </c>
      <c r="E9" s="132" t="n">
        <v>33</v>
      </c>
      <c r="F9" s="131" t="n">
        <v>84.8</v>
      </c>
      <c r="G9" s="17" t="n">
        <v>26</v>
      </c>
      <c r="H9" s="133" t="n">
        <v>39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3" t="n">
        <v>950</v>
      </c>
      <c r="D10" s="131" t="n">
        <v>111.7</v>
      </c>
      <c r="E10" s="132" t="n">
        <v>34</v>
      </c>
      <c r="F10" s="131" t="n">
        <v>85</v>
      </c>
      <c r="G10" s="17" t="n">
        <v>26</v>
      </c>
      <c r="H10" s="133" t="n">
        <v>40</v>
      </c>
      <c r="I10" s="134" t="n">
        <v>26500</v>
      </c>
      <c r="J10" s="134" t="inlineStr">
        <is>
          <t>11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복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3" t="n">
        <v>950</v>
      </c>
      <c r="D11" s="131" t="n">
        <v>146.5</v>
      </c>
      <c r="E11" s="132" t="n">
        <v>44</v>
      </c>
      <c r="F11" s="131" t="n">
        <v>113.5</v>
      </c>
      <c r="G11" s="17" t="n">
        <v>34</v>
      </c>
      <c r="H11" s="133" t="n">
        <v>114</v>
      </c>
      <c r="I11" s="134" t="n">
        <v>31000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복</t>
        </is>
      </c>
      <c r="T11" s="5" t="n">
        <v>146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3" t="n">
        <v>950</v>
      </c>
      <c r="D12" s="131" t="n">
        <v>160</v>
      </c>
      <c r="E12" s="132" t="n">
        <v>48</v>
      </c>
      <c r="F12" s="131" t="n">
        <v>130.8</v>
      </c>
      <c r="G12" s="17" t="n">
        <v>40</v>
      </c>
      <c r="H12" s="133" t="n">
        <v>320</v>
      </c>
      <c r="I12" s="134" t="n">
        <v>34000</v>
      </c>
      <c r="J12" s="134" t="inlineStr">
        <is>
          <t>16</t>
        </is>
      </c>
      <c r="K12" s="134" t="n">
        <v>27000</v>
      </c>
      <c r="L12" s="134" t="inlineStr">
        <is>
          <t>16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복</t>
        </is>
      </c>
      <c r="T12" s="5" t="inlineStr">
        <is>
          <t>160A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3" t="n">
        <v>950</v>
      </c>
      <c r="D13" s="131" t="n">
        <v>160</v>
      </c>
      <c r="E13" s="132" t="n">
        <v>48</v>
      </c>
      <c r="F13" s="131" t="n">
        <v>130.8</v>
      </c>
      <c r="G13" s="17" t="n">
        <v>40</v>
      </c>
      <c r="H13" s="133" t="n">
        <v>78</v>
      </c>
      <c r="I13" s="134" t="n">
        <v>34000</v>
      </c>
      <c r="J13" s="134" t="inlineStr">
        <is>
          <t>16</t>
        </is>
      </c>
      <c r="K13" s="134" t="n">
        <v>27000</v>
      </c>
      <c r="L13" s="134" t="inlineStr">
        <is>
          <t>16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160B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3" t="n">
        <v>950</v>
      </c>
      <c r="D14" s="131" t="n">
        <v>176.6</v>
      </c>
      <c r="E14" s="132" t="n">
        <v>53</v>
      </c>
      <c r="F14" s="131" t="n">
        <v>139.8</v>
      </c>
      <c r="G14" s="17" t="n">
        <v>42</v>
      </c>
      <c r="H14" s="133" t="n">
        <v>160</v>
      </c>
      <c r="I14" s="134" t="n">
        <v>35000</v>
      </c>
      <c r="J14" s="134" t="inlineStr">
        <is>
          <t>20</t>
        </is>
      </c>
      <c r="K14" s="134" t="n">
        <v>32000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n">
        <v>176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3" t="n">
        <v>950</v>
      </c>
      <c r="D15" s="131" t="n">
        <v>203.2</v>
      </c>
      <c r="E15" s="132" t="n">
        <v>61</v>
      </c>
      <c r="F15" s="131" t="n">
        <v>172.2</v>
      </c>
      <c r="G15" s="17" t="n">
        <v>52</v>
      </c>
      <c r="H15" s="133" t="n">
        <v>40</v>
      </c>
      <c r="I15" s="134" t="n">
        <v>45000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복</t>
        </is>
      </c>
      <c r="T15" s="5" t="inlineStr">
        <is>
          <t>203B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3" t="n">
        <v>950</v>
      </c>
      <c r="D16" s="131" t="n">
        <v>204.9</v>
      </c>
      <c r="E16" s="132" t="n">
        <v>62</v>
      </c>
      <c r="F16" s="131" t="n">
        <v>170.7</v>
      </c>
      <c r="G16" s="17" t="n">
        <v>52</v>
      </c>
      <c r="H16" s="133" t="n">
        <v>39</v>
      </c>
      <c r="I16" s="134" t="n">
        <v>45000</v>
      </c>
      <c r="J16" s="134" t="inlineStr">
        <is>
          <t>18</t>
        </is>
      </c>
      <c r="K16" s="134" t="n">
        <v>35000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5</v>
      </c>
      <c r="R16" s="121" t="n">
        <v>2</v>
      </c>
      <c r="S16" s="121" t="inlineStr">
        <is>
          <t>복</t>
        </is>
      </c>
      <c r="T16" s="5" t="inlineStr">
        <is>
          <t>204A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은파롯데캐슬</t>
        </is>
      </c>
      <c r="B18" s="10" t="inlineStr">
        <is>
          <t>'07.09.</t>
        </is>
      </c>
      <c r="C18" s="133" t="n">
        <v>307</v>
      </c>
      <c r="D18" s="131" t="n">
        <v>109.8</v>
      </c>
      <c r="E18" s="132" t="n">
        <v>33</v>
      </c>
      <c r="F18" s="131" t="n">
        <v>85</v>
      </c>
      <c r="G18" s="17" t="n">
        <v>26</v>
      </c>
      <c r="H18" s="133" t="n">
        <v>50</v>
      </c>
      <c r="I18" s="134" t="n">
        <v>30500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복</t>
        </is>
      </c>
      <c r="T18" s="5" t="n">
        <v>109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3" t="n">
        <v>307</v>
      </c>
      <c r="D19" s="131" t="n">
        <v>129.9</v>
      </c>
      <c r="E19" s="132" t="n">
        <v>39</v>
      </c>
      <c r="F19" s="131" t="n">
        <v>102.8</v>
      </c>
      <c r="G19" s="17" t="n">
        <v>31</v>
      </c>
      <c r="H19" s="133" t="n">
        <v>52</v>
      </c>
      <c r="I19" s="134" t="n">
        <v>33000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inlineStr">
        <is>
          <t>129B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3" t="n">
        <v>307</v>
      </c>
      <c r="D20" s="131" t="n">
        <v>131.5</v>
      </c>
      <c r="E20" s="132" t="n">
        <v>40</v>
      </c>
      <c r="F20" s="131" t="n">
        <v>104.6</v>
      </c>
      <c r="G20" s="17" t="n">
        <v>32</v>
      </c>
      <c r="H20" s="133" t="n">
        <v>79</v>
      </c>
      <c r="I20" s="134" t="n">
        <v>32000</v>
      </c>
      <c r="J20" s="134" t="inlineStr">
        <is>
          <t>8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복</t>
        </is>
      </c>
      <c r="T20" s="5" t="inlineStr">
        <is>
          <t>131A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3" t="n">
        <v>307</v>
      </c>
      <c r="D21" s="131" t="n">
        <v>158.3</v>
      </c>
      <c r="E21" s="132" t="n">
        <v>48</v>
      </c>
      <c r="F21" s="131" t="n">
        <v>127.2</v>
      </c>
      <c r="G21" s="17" t="n">
        <v>38</v>
      </c>
      <c r="H21" s="133" t="n">
        <v>77</v>
      </c>
      <c r="I21" s="134" t="n">
        <v>35000</v>
      </c>
      <c r="J21" s="134" t="inlineStr">
        <is>
          <t>10</t>
        </is>
      </c>
      <c r="K21" s="134" t="n">
        <v>27000</v>
      </c>
      <c r="L21" s="134" t="inlineStr">
        <is>
          <t>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복</t>
        </is>
      </c>
      <c r="T21" s="5" t="inlineStr">
        <is>
          <t>158B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3" t="n">
        <v>307</v>
      </c>
      <c r="D22" s="131" t="n">
        <v>158.3</v>
      </c>
      <c r="E22" s="132" t="n">
        <v>48</v>
      </c>
      <c r="F22" s="131" t="n">
        <v>125.8</v>
      </c>
      <c r="G22" s="17" t="n">
        <v>38</v>
      </c>
      <c r="H22" s="133" t="n">
        <v>22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복</t>
        </is>
      </c>
      <c r="T22" s="5" t="inlineStr">
        <is>
          <t>158A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3" t="n">
        <v>307</v>
      </c>
      <c r="D23" s="131" t="n">
        <v>189.5</v>
      </c>
      <c r="E23" s="132" t="n">
        <v>57</v>
      </c>
      <c r="F23" s="131" t="n">
        <v>149.5</v>
      </c>
      <c r="G23" s="17" t="n">
        <v>45</v>
      </c>
      <c r="H23" s="133" t="n">
        <v>26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189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3" t="n">
        <v>307</v>
      </c>
      <c r="D24" s="131" t="n">
        <v>241.3</v>
      </c>
      <c r="E24" s="132" t="n">
        <v>73</v>
      </c>
      <c r="F24" s="131" t="n">
        <v>194.7</v>
      </c>
      <c r="G24" s="17" t="n">
        <v>59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복</t>
        </is>
      </c>
      <c r="T24" s="5" t="n">
        <v>241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미룡주공3단지</t>
        </is>
      </c>
      <c r="B26" s="10" t="inlineStr">
        <is>
          <t>'01.06.</t>
        </is>
      </c>
      <c r="C26" s="133" t="n">
        <v>1460</v>
      </c>
      <c r="D26" s="131" t="n">
        <v>64.3</v>
      </c>
      <c r="E26" s="132" t="n">
        <v>19</v>
      </c>
      <c r="F26" s="131" t="n">
        <v>49</v>
      </c>
      <c r="G26" s="17" t="n">
        <v>15</v>
      </c>
      <c r="H26" s="133" t="n">
        <v>36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64A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3" t="n">
        <v>1460</v>
      </c>
      <c r="D27" s="131" t="n">
        <v>65.40000000000001</v>
      </c>
      <c r="E27" s="132" t="n">
        <v>20</v>
      </c>
      <c r="F27" s="131" t="n">
        <v>49.9</v>
      </c>
      <c r="G27" s="17" t="n">
        <v>15</v>
      </c>
      <c r="H27" s="133" t="n">
        <v>529</v>
      </c>
      <c r="I27" s="134" t="n">
        <v>8500</v>
      </c>
      <c r="J27" s="134" t="inlineStr">
        <is>
          <t>17</t>
        </is>
      </c>
      <c r="K27" s="134" t="n">
        <v>8300</v>
      </c>
      <c r="L27" s="134" t="inlineStr">
        <is>
          <t>6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65C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3" t="n">
        <v>1460</v>
      </c>
      <c r="D28" s="131" t="n">
        <v>65</v>
      </c>
      <c r="E28" s="132" t="n">
        <v>20</v>
      </c>
      <c r="F28" s="131" t="n">
        <v>49.6</v>
      </c>
      <c r="G28" s="17" t="n">
        <v>15</v>
      </c>
      <c r="H28" s="133" t="n">
        <v>55</v>
      </c>
      <c r="I28" s="134" t="n">
        <v>8500</v>
      </c>
      <c r="J28" s="134" t="inlineStr">
        <is>
          <t>5</t>
        </is>
      </c>
      <c r="K28" s="134" t="n">
        <v>7800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65B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3" t="n">
        <v>1460</v>
      </c>
      <c r="D29" s="131" t="n">
        <v>77.90000000000001</v>
      </c>
      <c r="E29" s="132" t="n">
        <v>24</v>
      </c>
      <c r="F29" s="131" t="n">
        <v>59.4</v>
      </c>
      <c r="G29" s="17" t="n">
        <v>18</v>
      </c>
      <c r="H29" s="133" t="n">
        <v>759</v>
      </c>
      <c r="I29" s="134" t="n">
        <v>11500</v>
      </c>
      <c r="J29" s="134" t="inlineStr">
        <is>
          <t>19</t>
        </is>
      </c>
      <c r="K29" s="134" t="n">
        <v>11500</v>
      </c>
      <c r="L29" s="134" t="inlineStr">
        <is>
          <t>16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77A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3" t="n">
        <v>1460</v>
      </c>
      <c r="D30" s="131" t="n">
        <v>77.59999999999999</v>
      </c>
      <c r="E30" s="132" t="n">
        <v>23</v>
      </c>
      <c r="F30" s="131" t="n">
        <v>59.2</v>
      </c>
      <c r="G30" s="17" t="n">
        <v>18</v>
      </c>
      <c r="H30" s="133" t="n">
        <v>81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77B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3" t="n">
        <v>346</v>
      </c>
      <c r="D32" s="131" t="n">
        <v>45.2</v>
      </c>
      <c r="E32" s="132" t="n">
        <v>14</v>
      </c>
      <c r="F32" s="131" t="n">
        <v>32.8</v>
      </c>
      <c r="G32" s="17" t="n">
        <v>10</v>
      </c>
      <c r="H32" s="133" t="n">
        <v>12</v>
      </c>
      <c r="I32" s="134" t="n">
        <v>2700</v>
      </c>
      <c r="J32" s="134" t="inlineStr">
        <is>
          <t>15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45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3" t="n">
        <v>346</v>
      </c>
      <c r="D33" s="131" t="n">
        <v>55.1</v>
      </c>
      <c r="E33" s="132" t="n">
        <v>17</v>
      </c>
      <c r="F33" s="131" t="n">
        <v>40</v>
      </c>
      <c r="G33" s="17" t="n">
        <v>12</v>
      </c>
      <c r="H33" s="133" t="n">
        <v>334</v>
      </c>
      <c r="I33" s="134" t="n">
        <v>2500</v>
      </c>
      <c r="J33" s="134" t="inlineStr">
        <is>
          <t>12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3" t="n">
        <v>317</v>
      </c>
      <c r="D35" s="131" t="n">
        <v>115.9</v>
      </c>
      <c r="E35" s="132" t="n">
        <v>35</v>
      </c>
      <c r="F35" s="131" t="n">
        <v>84.90000000000001</v>
      </c>
      <c r="G35" s="17" t="n">
        <v>26</v>
      </c>
      <c r="H35" s="133" t="n">
        <v>233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115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3" t="n">
        <v>317</v>
      </c>
      <c r="D36" s="131" t="n">
        <v>159.7</v>
      </c>
      <c r="E36" s="132" t="n">
        <v>48</v>
      </c>
      <c r="F36" s="131" t="n">
        <v>132.4</v>
      </c>
      <c r="G36" s="17" t="n">
        <v>40</v>
      </c>
      <c r="H36" s="133" t="n">
        <v>84</v>
      </c>
      <c r="I36" s="134" t="n">
        <v>30000</v>
      </c>
      <c r="J36" s="134" t="inlineStr">
        <is>
          <t>7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159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미룡대명2차</t>
        </is>
      </c>
      <c r="B38" s="10" t="inlineStr">
        <is>
          <t>'02.05.</t>
        </is>
      </c>
      <c r="C38" s="133" t="n">
        <v>276</v>
      </c>
      <c r="D38" s="131" t="n">
        <v>68.90000000000001</v>
      </c>
      <c r="E38" s="132" t="n">
        <v>21</v>
      </c>
      <c r="F38" s="131" t="n">
        <v>48.9</v>
      </c>
      <c r="G38" s="17" t="n">
        <v>15</v>
      </c>
      <c r="H38" s="133" t="n">
        <v>78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68B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3" t="n">
        <v>276</v>
      </c>
      <c r="D39" s="131" t="n">
        <v>69.3</v>
      </c>
      <c r="E39" s="132" t="n">
        <v>21</v>
      </c>
      <c r="F39" s="131" t="n">
        <v>49.1</v>
      </c>
      <c r="G39" s="17" t="n">
        <v>15</v>
      </c>
      <c r="H39" s="133" t="n">
        <v>198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inlineStr">
        <is>
          <t>69A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미룡주공2단지</t>
        </is>
      </c>
      <c r="B41" s="10" t="inlineStr">
        <is>
          <t>'01.03.</t>
        </is>
      </c>
      <c r="C41" s="133" t="n">
        <v>874</v>
      </c>
      <c r="D41" s="131" t="n">
        <v>68.3</v>
      </c>
      <c r="E41" s="132" t="n">
        <v>21</v>
      </c>
      <c r="F41" s="131" t="n">
        <v>50.3</v>
      </c>
      <c r="G41" s="17" t="n">
        <v>15</v>
      </c>
      <c r="H41" s="133" t="n">
        <v>288</v>
      </c>
      <c r="I41" s="134" t="n">
        <v>8500</v>
      </c>
      <c r="J41" s="134" t="inlineStr">
        <is>
          <t>5</t>
        </is>
      </c>
      <c r="K41" s="134" t="n">
        <v>9000</v>
      </c>
      <c r="L41" s="134" t="inlineStr">
        <is>
          <t>11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inlineStr">
        <is>
          <t>68A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3" t="n">
        <v>874</v>
      </c>
      <c r="D42" s="131" t="n">
        <v>70.59999999999999</v>
      </c>
      <c r="E42" s="132" t="n">
        <v>21</v>
      </c>
      <c r="F42" s="131" t="n">
        <v>51.9</v>
      </c>
      <c r="G42" s="17" t="n">
        <v>16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70B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3" t="n">
        <v>874</v>
      </c>
      <c r="D43" s="131" t="n">
        <v>80.7</v>
      </c>
      <c r="E43" s="132" t="n">
        <v>24</v>
      </c>
      <c r="F43" s="131" t="n">
        <v>59.4</v>
      </c>
      <c r="G43" s="17" t="n">
        <v>18</v>
      </c>
      <c r="H43" s="133" t="n">
        <v>267</v>
      </c>
      <c r="I43" s="134" t="n">
        <v>13000</v>
      </c>
      <c r="J43" s="134" t="inlineStr">
        <is>
          <t>18</t>
        </is>
      </c>
      <c r="K43" s="134" t="n">
        <v>12000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3" t="n">
        <v>874</v>
      </c>
      <c r="D44" s="131" t="n">
        <v>80.7</v>
      </c>
      <c r="E44" s="132" t="n">
        <v>24</v>
      </c>
      <c r="F44" s="131" t="n">
        <v>59.4</v>
      </c>
      <c r="G44" s="17" t="n">
        <v>18</v>
      </c>
      <c r="H44" s="133" t="n">
        <v>76</v>
      </c>
      <c r="I44" s="134" t="n">
        <v>13000</v>
      </c>
      <c r="J44" s="134" t="inlineStr">
        <is>
          <t>18</t>
        </is>
      </c>
      <c r="K44" s="134" t="n">
        <v>12000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inlineStr">
        <is>
          <t>80C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3" t="n">
        <v>874</v>
      </c>
      <c r="D45" s="131" t="n">
        <v>80.59999999999999</v>
      </c>
      <c r="E45" s="132" t="n">
        <v>24</v>
      </c>
      <c r="F45" s="131" t="n">
        <v>59.3</v>
      </c>
      <c r="G45" s="17" t="n">
        <v>18</v>
      </c>
      <c r="H45" s="133" t="n">
        <v>15</v>
      </c>
      <c r="I45" s="134" t="n">
        <v>13000</v>
      </c>
      <c r="J45" s="134" t="inlineStr">
        <is>
          <t>12</t>
        </is>
      </c>
      <c r="K45" s="134" t="n">
        <v>10900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inlineStr">
        <is>
          <t>80A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3" t="n">
        <v>874</v>
      </c>
      <c r="D46" s="131" t="n">
        <v>114.6</v>
      </c>
      <c r="E46" s="132" t="n">
        <v>35</v>
      </c>
      <c r="F46" s="131" t="n">
        <v>84.3</v>
      </c>
      <c r="G46" s="17" t="n">
        <v>26</v>
      </c>
      <c r="H46" s="133" t="n">
        <v>224</v>
      </c>
      <c r="I46" s="134" t="n">
        <v>17500</v>
      </c>
      <c r="J46" s="134" t="inlineStr">
        <is>
          <t>17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9">
      <formula>AV4="X"</formula>
    </cfRule>
    <cfRule type="expression" priority="642" dxfId="18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9">
      <formula>AV7="X"</formula>
    </cfRule>
    <cfRule type="expression" priority="622" dxfId="18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9">
      <formula>AV8="X"</formula>
    </cfRule>
    <cfRule type="expression" priority="618" dxfId="18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9">
      <formula>AV9="X"</formula>
    </cfRule>
    <cfRule type="expression" priority="600" dxfId="18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9">
      <formula>AV10="X"</formula>
    </cfRule>
    <cfRule type="expression" priority="582" dxfId="18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9">
      <formula>AV11="X"</formula>
    </cfRule>
    <cfRule type="expression" priority="564" dxfId="18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9">
      <formula>AV12="X"</formula>
    </cfRule>
    <cfRule type="expression" priority="546" dxfId="18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9">
      <formula>AV13="X"</formula>
    </cfRule>
    <cfRule type="expression" priority="528" dxfId="18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9">
      <formula>AV14="X"</formula>
    </cfRule>
    <cfRule type="expression" priority="510" dxfId="18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9">
      <formula>AV15="X"</formula>
    </cfRule>
    <cfRule type="expression" priority="492" dxfId="18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9">
      <formula>AV16="X"</formula>
    </cfRule>
    <cfRule type="expression" priority="474" dxfId="18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9">
      <formula>AV17="X"</formula>
    </cfRule>
    <cfRule type="expression" priority="456" dxfId="18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9">
      <formula>AV18="X"</formula>
    </cfRule>
    <cfRule type="expression" priority="452" dxfId="18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9">
      <formula>AV19="X"</formula>
    </cfRule>
    <cfRule type="expression" priority="434" dxfId="18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9">
      <formula>AV20="X"</formula>
    </cfRule>
    <cfRule type="expression" priority="416" dxfId="18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9">
      <formula>AV21="X"</formula>
    </cfRule>
    <cfRule type="expression" priority="398" dxfId="18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9">
      <formula>AV22="X"</formula>
    </cfRule>
    <cfRule type="expression" priority="380" dxfId="18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9">
      <formula>AV23="X"</formula>
    </cfRule>
    <cfRule type="expression" priority="362" dxfId="18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9">
      <formula>AV24="X"</formula>
    </cfRule>
    <cfRule type="expression" priority="344" dxfId="18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9">
      <formula>AV25="X"</formula>
    </cfRule>
    <cfRule type="expression" priority="326" dxfId="18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9">
      <formula>AV26="X"</formula>
    </cfRule>
    <cfRule type="expression" priority="322" dxfId="18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9">
      <formula>AV27="X"</formula>
    </cfRule>
    <cfRule type="expression" priority="304" dxfId="18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9">
      <formula>AV28="X"</formula>
    </cfRule>
    <cfRule type="expression" priority="286" dxfId="18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9">
      <formula>AV29="X"</formula>
    </cfRule>
    <cfRule type="expression" priority="268" dxfId="18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9">
      <formula>AV30="X"</formula>
    </cfRule>
    <cfRule type="expression" priority="250" dxfId="18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9">
      <formula>AV31="X"</formula>
    </cfRule>
    <cfRule type="expression" priority="232" dxfId="18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9">
      <formula>AV32="X"</formula>
    </cfRule>
    <cfRule type="expression" priority="228" dxfId="18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9">
      <formula>AV33="X"</formula>
    </cfRule>
    <cfRule type="expression" priority="210" dxfId="18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9">
      <formula>AV34="X"</formula>
    </cfRule>
    <cfRule type="expression" priority="192" dxfId="18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9">
      <formula>AV35="X"</formula>
    </cfRule>
    <cfRule type="expression" priority="188" dxfId="18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9">
      <formula>AV36="X"</formula>
    </cfRule>
    <cfRule type="expression" priority="170" dxfId="18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9">
      <formula>AV37="X"</formula>
    </cfRule>
    <cfRule type="expression" priority="152" dxfId="18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9">
      <formula>AV38="X"</formula>
    </cfRule>
    <cfRule type="expression" priority="148" dxfId="18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9">
      <formula>AV39="X"</formula>
    </cfRule>
    <cfRule type="expression" priority="130" dxfId="18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9">
      <formula>AV40="X"</formula>
    </cfRule>
    <cfRule type="expression" priority="112" dxfId="18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9">
      <formula>AV41="X"</formula>
    </cfRule>
    <cfRule type="expression" priority="108" dxfId="18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9">
      <formula>AV42="X"</formula>
    </cfRule>
    <cfRule type="expression" priority="90" dxfId="18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9">
      <formula>AV43="X"</formula>
    </cfRule>
    <cfRule type="expression" priority="72" dxfId="18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9">
      <formula>AV44="X"</formula>
    </cfRule>
    <cfRule type="expression" priority="54" dxfId="18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9">
      <formula>AV45="X"</formula>
    </cfRule>
    <cfRule type="expression" priority="36" dxfId="18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9">
      <formula>AV46="X"</formula>
    </cfRule>
    <cfRule type="expression" priority="18" dxfId="18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파인빌2차</t>
        </is>
      </c>
      <c r="B6" s="10" t="inlineStr">
        <is>
          <t>'06.06.</t>
        </is>
      </c>
      <c r="C6" s="133" t="n">
        <v>351</v>
      </c>
      <c r="D6" s="131" t="n">
        <v>80.59999999999999</v>
      </c>
      <c r="E6" s="132" t="n">
        <v>24</v>
      </c>
      <c r="F6" s="131" t="n">
        <v>59.9</v>
      </c>
      <c r="G6" s="17" t="n">
        <v>18</v>
      </c>
      <c r="H6" s="133" t="n">
        <v>149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3" t="n">
        <v>351</v>
      </c>
      <c r="D7" s="131" t="n">
        <v>119.9</v>
      </c>
      <c r="E7" s="132" t="n">
        <v>36</v>
      </c>
      <c r="F7" s="131" t="n">
        <v>85</v>
      </c>
      <c r="G7" s="17" t="n">
        <v>26</v>
      </c>
      <c r="H7" s="133" t="n">
        <v>202</v>
      </c>
      <c r="I7" s="134" t="n">
        <v>21000</v>
      </c>
      <c r="J7" s="134" t="inlineStr">
        <is>
          <t>10</t>
        </is>
      </c>
      <c r="K7" s="134" t="n">
        <v>19000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n">
        <v>119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파인빌1차</t>
        </is>
      </c>
      <c r="B9" s="10" t="inlineStr">
        <is>
          <t>'04.11.</t>
        </is>
      </c>
      <c r="C9" s="133" t="n">
        <v>499</v>
      </c>
      <c r="D9" s="131" t="n">
        <v>80.09999999999999</v>
      </c>
      <c r="E9" s="132" t="n">
        <v>24</v>
      </c>
      <c r="F9" s="131" t="n">
        <v>60</v>
      </c>
      <c r="G9" s="17" t="n">
        <v>18</v>
      </c>
      <c r="H9" s="133" t="n">
        <v>139</v>
      </c>
      <c r="I9" s="134" t="n">
        <v>16500</v>
      </c>
      <c r="J9" s="134" t="inlineStr">
        <is>
          <t>10</t>
        </is>
      </c>
      <c r="K9" s="134" t="n">
        <v>13000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3" t="n">
        <v>499</v>
      </c>
      <c r="D10" s="131" t="n">
        <v>110.9</v>
      </c>
      <c r="E10" s="132" t="n">
        <v>34</v>
      </c>
      <c r="F10" s="131" t="n">
        <v>85</v>
      </c>
      <c r="G10" s="17" t="n">
        <v>26</v>
      </c>
      <c r="H10" s="133" t="n">
        <v>360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110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3" t="n">
        <v>540</v>
      </c>
      <c r="D12" s="131" t="n">
        <v>99.8</v>
      </c>
      <c r="E12" s="132" t="n">
        <v>30</v>
      </c>
      <c r="F12" s="131" t="n">
        <v>75</v>
      </c>
      <c r="G12" s="17" t="n">
        <v>23</v>
      </c>
      <c r="H12" s="133" t="n">
        <v>72</v>
      </c>
      <c r="I12" s="134" t="n">
        <v>39000</v>
      </c>
      <c r="J12" s="134" t="inlineStr">
        <is>
          <t>17</t>
        </is>
      </c>
      <c r="K12" s="134" t="n">
        <v>29000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99C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3" t="n">
        <v>540</v>
      </c>
      <c r="D13" s="131" t="n">
        <v>100</v>
      </c>
      <c r="E13" s="132" t="n">
        <v>30</v>
      </c>
      <c r="F13" s="131" t="n">
        <v>75</v>
      </c>
      <c r="G13" s="17" t="n">
        <v>23</v>
      </c>
      <c r="H13" s="133" t="n">
        <v>49</v>
      </c>
      <c r="I13" s="134" t="n">
        <v>35000</v>
      </c>
      <c r="J13" s="134" t="inlineStr">
        <is>
          <t>중</t>
        </is>
      </c>
      <c r="K13" s="134" t="n">
        <v>32000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99D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3" t="n">
        <v>540</v>
      </c>
      <c r="D14" s="131" t="n">
        <v>100.5</v>
      </c>
      <c r="E14" s="132" t="n">
        <v>30</v>
      </c>
      <c r="F14" s="131" t="n">
        <v>75</v>
      </c>
      <c r="G14" s="17" t="n">
        <v>23</v>
      </c>
      <c r="H14" s="133" t="n">
        <v>188</v>
      </c>
      <c r="I14" s="134" t="n">
        <v>37500</v>
      </c>
      <c r="J14" s="134" t="inlineStr">
        <is>
          <t>중</t>
        </is>
      </c>
      <c r="K14" s="134" t="n">
        <v>30000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3" t="n">
        <v>540</v>
      </c>
      <c r="D15" s="131" t="n">
        <v>100</v>
      </c>
      <c r="E15" s="132" t="n">
        <v>30</v>
      </c>
      <c r="F15" s="131" t="n">
        <v>75</v>
      </c>
      <c r="G15" s="17" t="n">
        <v>23</v>
      </c>
      <c r="H15" s="133" t="n">
        <v>50</v>
      </c>
      <c r="I15" s="134" t="n">
        <v>35000</v>
      </c>
      <c r="J15" s="134" t="inlineStr">
        <is>
          <t>중</t>
        </is>
      </c>
      <c r="K15" s="134" t="n">
        <v>32000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100E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3" t="n">
        <v>540</v>
      </c>
      <c r="D16" s="131" t="n">
        <v>100.8</v>
      </c>
      <c r="E16" s="132" t="n">
        <v>30</v>
      </c>
      <c r="F16" s="131" t="n">
        <v>75</v>
      </c>
      <c r="G16" s="17" t="n">
        <v>23</v>
      </c>
      <c r="H16" s="133" t="n">
        <v>15</v>
      </c>
      <c r="I16" s="134" t="n">
        <v>38500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3" t="n">
        <v>540</v>
      </c>
      <c r="D17" s="131" t="n">
        <v>130.4</v>
      </c>
      <c r="E17" s="132" t="n">
        <v>39</v>
      </c>
      <c r="F17" s="131" t="n">
        <v>101.8</v>
      </c>
      <c r="G17" s="17" t="n">
        <v>31</v>
      </c>
      <c r="H17" s="133" t="n">
        <v>166</v>
      </c>
      <c r="I17" s="134" t="n">
        <v>53500</v>
      </c>
      <c r="J17" s="134" t="inlineStr">
        <is>
          <t>14</t>
        </is>
      </c>
      <c r="K17" s="134" t="n">
        <v>36000</v>
      </c>
      <c r="L17" s="134" t="inlineStr">
        <is>
          <t>12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130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3" t="n">
        <v>1078</v>
      </c>
      <c r="D19" s="131" t="n">
        <v>80.3</v>
      </c>
      <c r="E19" s="132" t="n">
        <v>24</v>
      </c>
      <c r="F19" s="131" t="n">
        <v>60</v>
      </c>
      <c r="G19" s="17" t="n">
        <v>18</v>
      </c>
      <c r="H19" s="133" t="n">
        <v>141</v>
      </c>
      <c r="I19" s="134" t="n">
        <v>26000</v>
      </c>
      <c r="J19" s="134" t="inlineStr">
        <is>
          <t>13</t>
        </is>
      </c>
      <c r="K19" s="134" t="n">
        <v>23000</v>
      </c>
      <c r="L19" s="134" t="inlineStr">
        <is>
          <t>13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3" t="n">
        <v>1078</v>
      </c>
      <c r="D20" s="131" t="n">
        <v>111.3</v>
      </c>
      <c r="E20" s="132" t="n">
        <v>34</v>
      </c>
      <c r="F20" s="131" t="n">
        <v>85</v>
      </c>
      <c r="G20" s="17" t="n">
        <v>26</v>
      </c>
      <c r="H20" s="133" t="n">
        <v>435</v>
      </c>
      <c r="I20" s="134" t="n">
        <v>36000</v>
      </c>
      <c r="J20" s="134" t="inlineStr">
        <is>
          <t>13</t>
        </is>
      </c>
      <c r="K20" s="134" t="n">
        <v>28000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3" t="n">
        <v>1078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40</v>
      </c>
      <c r="I21" s="134" t="n">
        <v>36000</v>
      </c>
      <c r="J21" s="134" t="inlineStr">
        <is>
          <t>13</t>
        </is>
      </c>
      <c r="K21" s="134" t="n">
        <v>28000</v>
      </c>
      <c r="L21" s="134" t="inlineStr">
        <is>
          <t>8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111E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3" t="n">
        <v>1078</v>
      </c>
      <c r="D22" s="131" t="n">
        <v>113</v>
      </c>
      <c r="E22" s="132" t="n">
        <v>34</v>
      </c>
      <c r="F22" s="131" t="n">
        <v>85</v>
      </c>
      <c r="G22" s="17" t="n">
        <v>26</v>
      </c>
      <c r="H22" s="133" t="n">
        <v>200</v>
      </c>
      <c r="I22" s="134" t="n">
        <v>34500</v>
      </c>
      <c r="J22" s="134" t="inlineStr">
        <is>
          <t>10</t>
        </is>
      </c>
      <c r="K22" s="134" t="n">
        <v>29000</v>
      </c>
      <c r="L22" s="134" t="inlineStr">
        <is>
          <t>11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3" t="n">
        <v>1078</v>
      </c>
      <c r="D23" s="131" t="n">
        <v>112.2</v>
      </c>
      <c r="E23" s="132" t="n">
        <v>34</v>
      </c>
      <c r="F23" s="131" t="n">
        <v>85</v>
      </c>
      <c r="G23" s="17" t="n">
        <v>26</v>
      </c>
      <c r="H23" s="133" t="n">
        <v>134</v>
      </c>
      <c r="I23" s="134" t="n">
        <v>36000</v>
      </c>
      <c r="J23" s="134" t="inlineStr">
        <is>
          <t>16</t>
        </is>
      </c>
      <c r="K23" s="134" t="n">
        <v>29000</v>
      </c>
      <c r="L23" s="134" t="inlineStr">
        <is>
          <t>16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3" t="n">
        <v>1078</v>
      </c>
      <c r="D24" s="131" t="n">
        <v>112.6</v>
      </c>
      <c r="E24" s="132" t="n">
        <v>34</v>
      </c>
      <c r="F24" s="131" t="n">
        <v>85</v>
      </c>
      <c r="G24" s="17" t="n">
        <v>26</v>
      </c>
      <c r="H24" s="133" t="n">
        <v>54</v>
      </c>
      <c r="I24" s="134" t="n">
        <v>35500</v>
      </c>
      <c r="J24" s="134" t="inlineStr">
        <is>
          <t>11</t>
        </is>
      </c>
      <c r="K24" s="134" t="n">
        <v>30000</v>
      </c>
      <c r="L24" s="134" t="inlineStr">
        <is>
          <t>11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112D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3" t="n">
        <v>1078</v>
      </c>
      <c r="D25" s="131" t="n">
        <v>131.7</v>
      </c>
      <c r="E25" s="132" t="n">
        <v>40</v>
      </c>
      <c r="F25" s="131" t="n">
        <v>100.4</v>
      </c>
      <c r="G25" s="17" t="n">
        <v>30</v>
      </c>
      <c r="H25" s="133" t="n">
        <v>74</v>
      </c>
      <c r="I25" s="134" t="n">
        <v>39500</v>
      </c>
      <c r="J25" s="134" t="inlineStr">
        <is>
          <t>20</t>
        </is>
      </c>
      <c r="K25" s="134" t="n">
        <v>35000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미장코아루</t>
        </is>
      </c>
      <c r="B27" s="10" t="inlineStr">
        <is>
          <t>'07.06.</t>
        </is>
      </c>
      <c r="C27" s="133" t="n">
        <v>354</v>
      </c>
      <c r="D27" s="131" t="n">
        <v>160.8</v>
      </c>
      <c r="E27" s="132" t="n">
        <v>49</v>
      </c>
      <c r="F27" s="131" t="n">
        <v>129.2</v>
      </c>
      <c r="G27" s="17" t="n">
        <v>39</v>
      </c>
      <c r="H27" s="133" t="n">
        <v>174</v>
      </c>
      <c r="I27" s="134" t="n">
        <v>36000</v>
      </c>
      <c r="J27" s="134" t="inlineStr">
        <is>
          <t>5</t>
        </is>
      </c>
      <c r="K27" s="134" t="n">
        <v>35000</v>
      </c>
      <c r="L27" s="134" t="inlineStr">
        <is>
          <t>15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160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3" t="n">
        <v>354</v>
      </c>
      <c r="D28" s="131" t="n">
        <v>185.7</v>
      </c>
      <c r="E28" s="132" t="n">
        <v>56</v>
      </c>
      <c r="F28" s="131" t="n">
        <v>152.7</v>
      </c>
      <c r="G28" s="17" t="n">
        <v>46</v>
      </c>
      <c r="H28" s="133" t="n">
        <v>120</v>
      </c>
      <c r="I28" s="134" t="n">
        <v>46500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185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3" t="n">
        <v>354</v>
      </c>
      <c r="D29" s="131" t="n">
        <v>215.8</v>
      </c>
      <c r="E29" s="132" t="n">
        <v>65</v>
      </c>
      <c r="F29" s="131" t="n">
        <v>181.1</v>
      </c>
      <c r="G29" s="17" t="n">
        <v>55</v>
      </c>
      <c r="H29" s="133" t="n">
        <v>60</v>
      </c>
      <c r="I29" s="134" t="n">
        <v>54000</v>
      </c>
      <c r="J29" s="134" t="inlineStr">
        <is>
          <t>6</t>
        </is>
      </c>
      <c r="K29" s="134" t="n">
        <v>45000</v>
      </c>
      <c r="L29" s="134" t="inlineStr">
        <is>
          <t>8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5</v>
      </c>
      <c r="R29" s="121" t="n">
        <v>2</v>
      </c>
      <c r="S29" s="121" t="inlineStr">
        <is>
          <t>계</t>
        </is>
      </c>
      <c r="T29" s="5" t="n">
        <v>215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3" t="n">
        <v>654</v>
      </c>
      <c r="D31" s="131" t="n">
        <v>113</v>
      </c>
      <c r="E31" s="132" t="n">
        <v>34</v>
      </c>
      <c r="F31" s="131" t="n">
        <v>84.40000000000001</v>
      </c>
      <c r="G31" s="17" t="n">
        <v>26</v>
      </c>
      <c r="H31" s="133" t="n">
        <v>205</v>
      </c>
      <c r="I31" s="134" t="n">
        <v>31000</v>
      </c>
      <c r="J31" s="134" t="inlineStr">
        <is>
          <t>12</t>
        </is>
      </c>
      <c r="K31" s="134" t="n">
        <v>25000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3" t="n">
        <v>654</v>
      </c>
      <c r="D32" s="131" t="n">
        <v>115.3</v>
      </c>
      <c r="E32" s="132" t="n">
        <v>35</v>
      </c>
      <c r="F32" s="131" t="n">
        <v>84.90000000000001</v>
      </c>
      <c r="G32" s="17" t="n">
        <v>26</v>
      </c>
      <c r="H32" s="133" t="n">
        <v>60</v>
      </c>
      <c r="I32" s="134" t="n">
        <v>29500</v>
      </c>
      <c r="J32" s="134" t="inlineStr">
        <is>
          <t>10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115B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3" t="n">
        <v>654</v>
      </c>
      <c r="D33" s="131" t="n">
        <v>135.3</v>
      </c>
      <c r="E33" s="132" t="n">
        <v>41</v>
      </c>
      <c r="F33" s="131" t="n">
        <v>103.8</v>
      </c>
      <c r="G33" s="17" t="n">
        <v>31</v>
      </c>
      <c r="H33" s="133" t="n">
        <v>163</v>
      </c>
      <c r="I33" s="134" t="n">
        <v>35000</v>
      </c>
      <c r="J33" s="134" t="inlineStr">
        <is>
          <t>9</t>
        </is>
      </c>
      <c r="K33" s="134" t="n">
        <v>27000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135A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3" t="n">
        <v>654</v>
      </c>
      <c r="D34" s="131" t="n">
        <v>135.2</v>
      </c>
      <c r="E34" s="132" t="n">
        <v>41</v>
      </c>
      <c r="F34" s="131" t="n">
        <v>104.2</v>
      </c>
      <c r="G34" s="17" t="n">
        <v>32</v>
      </c>
      <c r="H34" s="133" t="n">
        <v>113</v>
      </c>
      <c r="I34" s="134" t="n">
        <v>36000</v>
      </c>
      <c r="J34" s="134" t="inlineStr">
        <is>
          <t>14</t>
        </is>
      </c>
      <c r="K34" s="134" t="n">
        <v>29000</v>
      </c>
      <c r="L34" s="134" t="inlineStr">
        <is>
          <t>11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135B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3" t="n">
        <v>654</v>
      </c>
      <c r="D35" s="131" t="n">
        <v>152</v>
      </c>
      <c r="E35" s="132" t="n">
        <v>46</v>
      </c>
      <c r="F35" s="131" t="n">
        <v>121.3</v>
      </c>
      <c r="G35" s="17" t="n">
        <v>37</v>
      </c>
      <c r="H35" s="133" t="n">
        <v>52</v>
      </c>
      <c r="I35" s="134" t="n">
        <v>44000</v>
      </c>
      <c r="J35" s="134" t="inlineStr">
        <is>
          <t>13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151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3" t="n">
        <v>654</v>
      </c>
      <c r="D36" s="131" t="n">
        <v>181.8</v>
      </c>
      <c r="E36" s="132" t="n">
        <v>55</v>
      </c>
      <c r="F36" s="131" t="n">
        <v>149.9</v>
      </c>
      <c r="G36" s="17" t="n">
        <v>45</v>
      </c>
      <c r="H36" s="133" t="n">
        <v>57</v>
      </c>
      <c r="I36" s="134" t="n">
        <v>45000</v>
      </c>
      <c r="J36" s="134" t="inlineStr">
        <is>
          <t>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3" t="n">
        <v>654</v>
      </c>
      <c r="D37" s="131" t="n">
        <v>209.2</v>
      </c>
      <c r="E37" s="132" t="n">
        <v>63</v>
      </c>
      <c r="F37" s="131" t="n">
        <v>160.1</v>
      </c>
      <c r="G37" s="17" t="n">
        <v>48</v>
      </c>
      <c r="H37" s="133" t="n">
        <v>4</v>
      </c>
      <c r="I37" s="134" t="n">
        <v>70000</v>
      </c>
      <c r="J37" s="134" t="inlineStr">
        <is>
          <t>15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5</v>
      </c>
      <c r="R37" s="121" t="n">
        <v>2</v>
      </c>
      <c r="S37" s="121" t="inlineStr">
        <is>
          <t>계</t>
        </is>
      </c>
      <c r="T37" s="5" t="n">
        <v>209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미장대원칸타빌</t>
        </is>
      </c>
      <c r="B39" s="10" t="inlineStr">
        <is>
          <t>'18.06.</t>
        </is>
      </c>
      <c r="C39" s="133" t="n">
        <v>805</v>
      </c>
      <c r="D39" s="131" t="n">
        <v>80.3</v>
      </c>
      <c r="E39" s="132" t="n">
        <v>24</v>
      </c>
      <c r="F39" s="131" t="n">
        <v>59.9</v>
      </c>
      <c r="G39" s="17" t="n">
        <v>18</v>
      </c>
      <c r="H39" s="133" t="n">
        <v>78</v>
      </c>
      <c r="I39" s="134" t="n">
        <v>28500</v>
      </c>
      <c r="J39" s="134" t="inlineStr">
        <is>
          <t>19</t>
        </is>
      </c>
      <c r="K39" s="134" t="n">
        <v>21000</v>
      </c>
      <c r="L39" s="134" t="inlineStr">
        <is>
          <t>18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80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3" t="n">
        <v>805</v>
      </c>
      <c r="D40" s="131" t="n">
        <v>87.90000000000001</v>
      </c>
      <c r="E40" s="132" t="n">
        <v>27</v>
      </c>
      <c r="F40" s="131" t="n">
        <v>65.90000000000001</v>
      </c>
      <c r="G40" s="17" t="n">
        <v>20</v>
      </c>
      <c r="H40" s="133" t="n">
        <v>47</v>
      </c>
      <c r="I40" s="134" t="n">
        <v>28500</v>
      </c>
      <c r="J40" s="134" t="inlineStr">
        <is>
          <t>5</t>
        </is>
      </c>
      <c r="K40" s="134" t="n">
        <v>23000</v>
      </c>
      <c r="L40" s="134" t="inlineStr">
        <is>
          <t>21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87B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3" t="n">
        <v>805</v>
      </c>
      <c r="D41" s="131" t="n">
        <v>88.7</v>
      </c>
      <c r="E41" s="132" t="n">
        <v>27</v>
      </c>
      <c r="F41" s="131" t="n">
        <v>65.90000000000001</v>
      </c>
      <c r="G41" s="17" t="n">
        <v>20</v>
      </c>
      <c r="H41" s="133" t="n">
        <v>44</v>
      </c>
      <c r="I41" s="134" t="n">
        <v>28500</v>
      </c>
      <c r="J41" s="134" t="inlineStr">
        <is>
          <t>9</t>
        </is>
      </c>
      <c r="K41" s="134" t="n">
        <v>25000</v>
      </c>
      <c r="L41" s="134" t="inlineStr">
        <is>
          <t>14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3" t="n">
        <v>805</v>
      </c>
      <c r="D42" s="131" t="n">
        <v>100</v>
      </c>
      <c r="E42" s="132" t="n">
        <v>30</v>
      </c>
      <c r="F42" s="131" t="n">
        <v>74.90000000000001</v>
      </c>
      <c r="G42" s="17" t="n">
        <v>23</v>
      </c>
      <c r="H42" s="133" t="n">
        <v>186</v>
      </c>
      <c r="I42" s="134" t="n">
        <v>32000</v>
      </c>
      <c r="J42" s="134" t="inlineStr">
        <is>
          <t>13</t>
        </is>
      </c>
      <c r="K42" s="134" t="n">
        <v>27000</v>
      </c>
      <c r="L42" s="134" t="inlineStr">
        <is>
          <t>5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99A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3" t="n">
        <v>805</v>
      </c>
      <c r="D43" s="131" t="n">
        <v>99.7</v>
      </c>
      <c r="E43" s="132" t="n">
        <v>30</v>
      </c>
      <c r="F43" s="131" t="n">
        <v>74.90000000000001</v>
      </c>
      <c r="G43" s="17" t="n">
        <v>23</v>
      </c>
      <c r="H43" s="133" t="n">
        <v>18</v>
      </c>
      <c r="I43" s="134" t="n">
        <v>34300</v>
      </c>
      <c r="J43" s="134" t="inlineStr">
        <is>
          <t>8</t>
        </is>
      </c>
      <c r="K43" s="134" t="n">
        <v>28000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99D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3" t="n">
        <v>805</v>
      </c>
      <c r="D44" s="131" t="n">
        <v>100.4</v>
      </c>
      <c r="E44" s="132" t="n">
        <v>30</v>
      </c>
      <c r="F44" s="131" t="n">
        <v>74.90000000000001</v>
      </c>
      <c r="G44" s="17" t="n">
        <v>23</v>
      </c>
      <c r="H44" s="133" t="n">
        <v>44</v>
      </c>
      <c r="I44" s="134" t="n">
        <v>32000</v>
      </c>
      <c r="J44" s="134" t="inlineStr">
        <is>
          <t>고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3" t="n">
        <v>805</v>
      </c>
      <c r="D45" s="131" t="n">
        <v>100.1</v>
      </c>
      <c r="E45" s="132" t="n">
        <v>30</v>
      </c>
      <c r="F45" s="131" t="n">
        <v>75</v>
      </c>
      <c r="G45" s="17" t="n">
        <v>23</v>
      </c>
      <c r="H45" s="133" t="n">
        <v>40</v>
      </c>
      <c r="I45" s="134" t="n">
        <v>34000</v>
      </c>
      <c r="J45" s="134" t="inlineStr">
        <is>
          <t>11</t>
        </is>
      </c>
      <c r="K45" s="134" t="n">
        <v>27000</v>
      </c>
      <c r="L45" s="134" t="inlineStr">
        <is>
          <t>중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3" t="n">
        <v>805</v>
      </c>
      <c r="D46" s="131" t="n">
        <v>112.4</v>
      </c>
      <c r="E46" s="132" t="n">
        <v>34</v>
      </c>
      <c r="F46" s="131" t="n">
        <v>84.90000000000001</v>
      </c>
      <c r="G46" s="17" t="n">
        <v>26</v>
      </c>
      <c r="H46" s="133" t="n">
        <v>274</v>
      </c>
      <c r="I46" s="134" t="n">
        <v>38000</v>
      </c>
      <c r="J46" s="134" t="inlineStr">
        <is>
          <t>5</t>
        </is>
      </c>
      <c r="K46" s="134" t="n">
        <v>30000</v>
      </c>
      <c r="L46" s="134" t="inlineStr">
        <is>
          <t>17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3" t="n">
        <v>805</v>
      </c>
      <c r="D47" s="131" t="n">
        <v>134.7</v>
      </c>
      <c r="E47" s="132" t="n">
        <v>41</v>
      </c>
      <c r="F47" s="131" t="n">
        <v>101.8</v>
      </c>
      <c r="G47" s="17" t="n">
        <v>31</v>
      </c>
      <c r="H47" s="133" t="n">
        <v>70</v>
      </c>
      <c r="I47" s="134" t="n">
        <v>50000</v>
      </c>
      <c r="J47" s="134" t="inlineStr">
        <is>
          <t>12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3" t="n">
        <v>805</v>
      </c>
      <c r="D48" s="131" t="n">
        <v>174.2</v>
      </c>
      <c r="E48" s="132" t="n">
        <v>53</v>
      </c>
      <c r="F48" s="131" t="n">
        <v>128.7</v>
      </c>
      <c r="G48" s="17" t="n">
        <v>39</v>
      </c>
      <c r="H48" s="133" t="n">
        <v>4</v>
      </c>
      <c r="I48" s="134" t="n">
        <v>90000</v>
      </c>
      <c r="J48" s="134" t="inlineStr">
        <is>
          <t>25</t>
        </is>
      </c>
      <c r="K48" s="134" t="n">
        <v>50000</v>
      </c>
      <c r="L48" s="134" t="inlineStr">
        <is>
          <t>25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9">
      <formula>AV4="X"</formula>
    </cfRule>
    <cfRule type="expression" priority="692" dxfId="18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9">
      <formula>AV7="X"</formula>
    </cfRule>
    <cfRule type="expression" priority="672" dxfId="18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9">
      <formula>AV8="X"</formula>
    </cfRule>
    <cfRule type="expression" priority="654" dxfId="18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9">
      <formula>AV9="X"</formula>
    </cfRule>
    <cfRule type="expression" priority="650" dxfId="18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9">
      <formula>AV10="X"</formula>
    </cfRule>
    <cfRule type="expression" priority="632" dxfId="18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9">
      <formula>AV11="X"</formula>
    </cfRule>
    <cfRule type="expression" priority="614" dxfId="18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9">
      <formula>AV12="X"</formula>
    </cfRule>
    <cfRule type="expression" priority="610" dxfId="18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9">
      <formula>AV13="X"</formula>
    </cfRule>
    <cfRule type="expression" priority="592" dxfId="18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9">
      <formula>AV14="X"</formula>
    </cfRule>
    <cfRule type="expression" priority="574" dxfId="18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9">
      <formula>AV15="X"</formula>
    </cfRule>
    <cfRule type="expression" priority="556" dxfId="18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9">
      <formula>AV17="X"</formula>
    </cfRule>
    <cfRule type="expression" priority="520" dxfId="18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9">
      <formula>AV18="X"</formula>
    </cfRule>
    <cfRule type="expression" priority="502" dxfId="18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9">
      <formula>AV19="X"</formula>
    </cfRule>
    <cfRule type="expression" priority="498" dxfId="18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9">
      <formula>AV20="X"</formula>
    </cfRule>
    <cfRule type="expression" priority="480" dxfId="18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9">
      <formula>AV21="X"</formula>
    </cfRule>
    <cfRule type="expression" priority="462" dxfId="18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9">
      <formula>AV22="X"</formula>
    </cfRule>
    <cfRule type="expression" priority="444" dxfId="18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9">
      <formula>AV23="X"</formula>
    </cfRule>
    <cfRule type="expression" priority="426" dxfId="18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9">
      <formula>AV24="X"</formula>
    </cfRule>
    <cfRule type="expression" priority="408" dxfId="18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9">
      <formula>AV25="X"</formula>
    </cfRule>
    <cfRule type="expression" priority="390" dxfId="18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9">
      <formula>AV26="X"</formula>
    </cfRule>
    <cfRule type="expression" priority="372" dxfId="18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9">
      <formula>AV27="X"</formula>
    </cfRule>
    <cfRule type="expression" priority="368" dxfId="18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9">
      <formula>AV28="X"</formula>
    </cfRule>
    <cfRule type="expression" priority="350" dxfId="18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9">
      <formula>AV29="X"</formula>
    </cfRule>
    <cfRule type="expression" priority="332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9">
      <formula>AV31="X"</formula>
    </cfRule>
    <cfRule type="expression" priority="310" dxfId="18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9">
      <formula>AV32="X"</formula>
    </cfRule>
    <cfRule type="expression" priority="292" dxfId="18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9">
      <formula>AV33="X"</formula>
    </cfRule>
    <cfRule type="expression" priority="274" dxfId="18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9">
      <formula>AV34="X"</formula>
    </cfRule>
    <cfRule type="expression" priority="256" dxfId="18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9">
      <formula>AV35="X"</formula>
    </cfRule>
    <cfRule type="expression" priority="238" dxfId="18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9">
      <formula>AV36="X"</formula>
    </cfRule>
    <cfRule type="expression" priority="220" dxfId="18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9">
      <formula>AV37="X"</formula>
    </cfRule>
    <cfRule type="expression" priority="202" dxfId="18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9">
      <formula>AV38="X"</formula>
    </cfRule>
    <cfRule type="expression" priority="184" dxfId="18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9">
      <formula>AV39="X"</formula>
    </cfRule>
    <cfRule type="expression" priority="180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9">
      <formula>AV41="X"</formula>
    </cfRule>
    <cfRule type="expression" priority="144" dxfId="18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9">
      <formula>AV42="X"</formula>
    </cfRule>
    <cfRule type="expression" priority="126" dxfId="18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9">
      <formula>AV43="X"</formula>
    </cfRule>
    <cfRule type="expression" priority="108" dxfId="18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9">
      <formula>AV44="X"</formula>
    </cfRule>
    <cfRule type="expression" priority="90" dxfId="18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9">
      <formula>AV45="X"</formula>
    </cfRule>
    <cfRule type="expression" priority="72" dxfId="18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9">
      <formula>AV46="X"</formula>
    </cfRule>
    <cfRule type="expression" priority="54" dxfId="18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9">
      <formula>AV47="X"</formula>
    </cfRule>
    <cfRule type="expression" priority="36" dxfId="18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9">
      <formula>AV48="X"</formula>
    </cfRule>
    <cfRule type="expression" priority="18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금호타운2단지</t>
        </is>
      </c>
      <c r="B6" s="10" t="inlineStr">
        <is>
          <t>'96.11.</t>
        </is>
      </c>
      <c r="C6" s="133" t="n">
        <v>358</v>
      </c>
      <c r="D6" s="131" t="n">
        <v>76.2</v>
      </c>
      <c r="E6" s="132" t="n">
        <v>23</v>
      </c>
      <c r="F6" s="131" t="n">
        <v>59.6</v>
      </c>
      <c r="G6" s="17" t="n">
        <v>18</v>
      </c>
      <c r="H6" s="133" t="n">
        <v>150</v>
      </c>
      <c r="I6" s="134" t="n">
        <v>12000</v>
      </c>
      <c r="J6" s="134" t="inlineStr">
        <is>
          <t>14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3" t="n">
        <v>358</v>
      </c>
      <c r="D7" s="131" t="n">
        <v>103</v>
      </c>
      <c r="E7" s="132" t="n">
        <v>31</v>
      </c>
      <c r="F7" s="131" t="n">
        <v>84.59999999999999</v>
      </c>
      <c r="G7" s="17" t="n">
        <v>26</v>
      </c>
      <c r="H7" s="133" t="n">
        <v>208</v>
      </c>
      <c r="I7" s="134" t="n">
        <v>17000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금호타운1단지</t>
        </is>
      </c>
      <c r="B9" s="10" t="inlineStr">
        <is>
          <t>'93.02.</t>
        </is>
      </c>
      <c r="C9" s="133" t="n">
        <v>342</v>
      </c>
      <c r="D9" s="131" t="n">
        <v>89.40000000000001</v>
      </c>
      <c r="E9" s="132" t="n">
        <v>27</v>
      </c>
      <c r="F9" s="131" t="n">
        <v>73.09999999999999</v>
      </c>
      <c r="G9" s="17" t="n">
        <v>22</v>
      </c>
      <c r="H9" s="133" t="n">
        <v>138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3" t="n">
        <v>342</v>
      </c>
      <c r="D10" s="131" t="n">
        <v>102</v>
      </c>
      <c r="E10" s="132" t="n">
        <v>31</v>
      </c>
      <c r="F10" s="131" t="n">
        <v>84.8</v>
      </c>
      <c r="G10" s="17" t="n">
        <v>26</v>
      </c>
      <c r="H10" s="133" t="n">
        <v>204</v>
      </c>
      <c r="I10" s="134" t="n">
        <v>13000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9">
      <formula>AV8="X"</formula>
    </cfRule>
    <cfRule type="expression" priority="40" dxfId="18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시영1단지</t>
        </is>
      </c>
      <c r="B6" s="10" t="inlineStr">
        <is>
          <t>'90.12.</t>
        </is>
      </c>
      <c r="C6" s="133" t="n">
        <v>280</v>
      </c>
      <c r="D6" s="131" t="n">
        <v>43.9</v>
      </c>
      <c r="E6" s="132" t="n">
        <v>13</v>
      </c>
      <c r="F6" s="131" t="n">
        <v>34.4</v>
      </c>
      <c r="G6" s="17" t="n">
        <v>10</v>
      </c>
      <c r="H6" s="133" t="n">
        <v>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43A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3" t="n">
        <v>280</v>
      </c>
      <c r="D7" s="131" t="n">
        <v>44.1</v>
      </c>
      <c r="E7" s="132" t="n">
        <v>13</v>
      </c>
      <c r="F7" s="131" t="n">
        <v>34.7</v>
      </c>
      <c r="G7" s="17" t="n">
        <v>10</v>
      </c>
      <c r="H7" s="133" t="n">
        <v>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44B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3" t="n">
        <v>280</v>
      </c>
      <c r="D8" s="131" t="n">
        <v>53.4</v>
      </c>
      <c r="E8" s="132" t="n">
        <v>16</v>
      </c>
      <c r="F8" s="131" t="n">
        <v>43.5</v>
      </c>
      <c r="G8" s="17" t="n">
        <v>13</v>
      </c>
      <c r="H8" s="133" t="n">
        <v>150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3" t="n">
        <v>280</v>
      </c>
      <c r="D9" s="131" t="n">
        <v>54</v>
      </c>
      <c r="E9" s="132" t="n">
        <v>16</v>
      </c>
      <c r="F9" s="131" t="n">
        <v>44.1</v>
      </c>
      <c r="G9" s="17" t="n">
        <v>13</v>
      </c>
      <c r="H9" s="133" t="n">
        <v>50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산북대명1차</t>
        </is>
      </c>
      <c r="B11" s="10" t="inlineStr">
        <is>
          <t>'97.09.</t>
        </is>
      </c>
      <c r="C11" s="133" t="n">
        <v>225</v>
      </c>
      <c r="D11" s="131" t="n">
        <v>56.1</v>
      </c>
      <c r="E11" s="132" t="n">
        <v>17</v>
      </c>
      <c r="F11" s="131" t="n">
        <v>40</v>
      </c>
      <c r="G11" s="17" t="n">
        <v>12</v>
      </c>
      <c r="H11" s="133" t="n">
        <v>225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복</t>
        </is>
      </c>
      <c r="T11" s="5" t="n">
        <v>56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시영2단지</t>
        </is>
      </c>
      <c r="B13" s="10" t="inlineStr">
        <is>
          <t>'91.11.</t>
        </is>
      </c>
      <c r="C13" s="133" t="n">
        <v>200</v>
      </c>
      <c r="D13" s="131" t="n">
        <v>44.5</v>
      </c>
      <c r="E13" s="132" t="n">
        <v>13</v>
      </c>
      <c r="F13" s="131" t="n">
        <v>35.4</v>
      </c>
      <c r="G13" s="17" t="n">
        <v>11</v>
      </c>
      <c r="H13" s="133" t="n">
        <v>100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계</t>
        </is>
      </c>
      <c r="T13" s="5" t="n">
        <v>44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3" t="n">
        <v>200</v>
      </c>
      <c r="D14" s="131" t="n">
        <v>59.9</v>
      </c>
      <c r="E14" s="132" t="n">
        <v>18</v>
      </c>
      <c r="F14" s="131" t="n">
        <v>48.5</v>
      </c>
      <c r="G14" s="17" t="n">
        <v>15</v>
      </c>
      <c r="H14" s="133" t="n">
        <v>100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59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코오롱</t>
        </is>
      </c>
      <c r="B16" s="10" t="inlineStr">
        <is>
          <t>'94.11.</t>
        </is>
      </c>
      <c r="C16" s="133" t="n">
        <v>380</v>
      </c>
      <c r="D16" s="131" t="n">
        <v>75.90000000000001</v>
      </c>
      <c r="E16" s="132" t="n">
        <v>23</v>
      </c>
      <c r="F16" s="131" t="n">
        <v>59.4</v>
      </c>
      <c r="G16" s="17" t="n">
        <v>18</v>
      </c>
      <c r="H16" s="133" t="n">
        <v>254</v>
      </c>
      <c r="I16" s="134" t="n">
        <v>9000</v>
      </c>
      <c r="J16" s="134" t="inlineStr">
        <is>
          <t>10</t>
        </is>
      </c>
      <c r="K16" s="134" t="n">
        <v>8000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3" t="n">
        <v>380</v>
      </c>
      <c r="D17" s="131" t="n">
        <v>102.9</v>
      </c>
      <c r="E17" s="132" t="n">
        <v>31</v>
      </c>
      <c r="F17" s="131" t="n">
        <v>84.5</v>
      </c>
      <c r="G17" s="17" t="n">
        <v>26</v>
      </c>
      <c r="H17" s="133" t="n">
        <v>126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산북주공</t>
        </is>
      </c>
      <c r="B19" s="10" t="inlineStr">
        <is>
          <t>'89.04.</t>
        </is>
      </c>
      <c r="C19" s="133" t="n">
        <v>750</v>
      </c>
      <c r="D19" s="131" t="n">
        <v>49.9</v>
      </c>
      <c r="E19" s="132" t="n">
        <v>15</v>
      </c>
      <c r="F19" s="131" t="n">
        <v>39.7</v>
      </c>
      <c r="G19" s="17" t="n">
        <v>12</v>
      </c>
      <c r="H19" s="133" t="n">
        <v>110</v>
      </c>
      <c r="I19" s="134" t="n">
        <v>8000</v>
      </c>
      <c r="J19" s="134" t="inlineStr">
        <is>
          <t>5</t>
        </is>
      </c>
      <c r="K19" s="134" t="n">
        <v>2000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49A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3" t="n">
        <v>750</v>
      </c>
      <c r="D20" s="131" t="n">
        <v>49.5</v>
      </c>
      <c r="E20" s="132" t="n">
        <v>15</v>
      </c>
      <c r="F20" s="131" t="n">
        <v>39.3</v>
      </c>
      <c r="G20" s="17" t="n">
        <v>12</v>
      </c>
      <c r="H20" s="133" t="n">
        <v>110</v>
      </c>
      <c r="I20" s="134" t="n">
        <v>8500</v>
      </c>
      <c r="J20" s="134" t="inlineStr">
        <is>
          <t>5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49B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3" t="n">
        <v>750</v>
      </c>
      <c r="D21" s="131" t="n">
        <v>57.9</v>
      </c>
      <c r="E21" s="132" t="n">
        <v>18</v>
      </c>
      <c r="F21" s="131" t="n">
        <v>47</v>
      </c>
      <c r="G21" s="17" t="n">
        <v>14</v>
      </c>
      <c r="H21" s="133" t="n">
        <v>290</v>
      </c>
      <c r="I21" s="134" t="n">
        <v>8500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57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3" t="n">
        <v>750</v>
      </c>
      <c r="D22" s="131" t="n">
        <v>57.6</v>
      </c>
      <c r="E22" s="132" t="n">
        <v>17</v>
      </c>
      <c r="F22" s="131" t="n">
        <v>46.7</v>
      </c>
      <c r="G22" s="17" t="n">
        <v>14</v>
      </c>
      <c r="H22" s="133" t="n">
        <v>240</v>
      </c>
      <c r="I22" s="134" t="n">
        <v>9000</v>
      </c>
      <c r="J22" s="134" t="inlineStr">
        <is>
          <t>5</t>
        </is>
      </c>
      <c r="K22" s="134" t="n">
        <v>2500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산북하늘가201동</t>
        </is>
      </c>
      <c r="B24" s="10" t="inlineStr">
        <is>
          <t>'07.02.</t>
        </is>
      </c>
      <c r="C24" s="133" t="n">
        <v>220</v>
      </c>
      <c r="D24" s="131" t="n">
        <v>49</v>
      </c>
      <c r="E24" s="132" t="n">
        <v>15</v>
      </c>
      <c r="F24" s="131" t="n">
        <v>35.9</v>
      </c>
      <c r="G24" s="17" t="n">
        <v>11</v>
      </c>
      <c r="H24" s="133" t="n">
        <v>220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n">
        <v>48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하늘가1차</t>
        </is>
      </c>
      <c r="B26" s="10" t="inlineStr">
        <is>
          <t>'01.08.</t>
        </is>
      </c>
      <c r="C26" s="133" t="n">
        <v>221</v>
      </c>
      <c r="D26" s="131" t="n">
        <v>52</v>
      </c>
      <c r="E26" s="132" t="n">
        <v>16</v>
      </c>
      <c r="F26" s="131" t="n">
        <v>40</v>
      </c>
      <c r="G26" s="17" t="n">
        <v>12</v>
      </c>
      <c r="H26" s="133" t="n">
        <v>221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52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3" t="n">
        <v>404</v>
      </c>
      <c r="D28" s="131" t="n">
        <v>40.3</v>
      </c>
      <c r="E28" s="132" t="n">
        <v>12</v>
      </c>
      <c r="F28" s="131" t="n">
        <v>30.3</v>
      </c>
      <c r="G28" s="17" t="n">
        <v>9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n">
        <v>40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3" t="n">
        <v>404</v>
      </c>
      <c r="D29" s="131" t="n">
        <v>52.1</v>
      </c>
      <c r="E29" s="132" t="n">
        <v>16</v>
      </c>
      <c r="F29" s="131" t="n">
        <v>39.1</v>
      </c>
      <c r="G29" s="17" t="n">
        <v>12</v>
      </c>
      <c r="H29" s="133" t="n">
        <v>105</v>
      </c>
      <c r="I29" s="134" t="n">
        <v>2000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계</t>
        </is>
      </c>
      <c r="T29" s="5" t="n">
        <v>52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부향하나로1차</t>
        </is>
      </c>
      <c r="B31" s="10" t="inlineStr">
        <is>
          <t>'97.03.</t>
        </is>
      </c>
      <c r="C31" s="133" t="n">
        <v>349</v>
      </c>
      <c r="D31" s="131" t="n">
        <v>35.6</v>
      </c>
      <c r="E31" s="132" t="n">
        <v>11</v>
      </c>
      <c r="F31" s="131" t="n">
        <v>27</v>
      </c>
      <c r="G31" s="17" t="n">
        <v>8</v>
      </c>
      <c r="H31" s="133" t="n">
        <v>54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35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3" t="n">
        <v>349</v>
      </c>
      <c r="D32" s="131" t="n">
        <v>51.5</v>
      </c>
      <c r="E32" s="132" t="n">
        <v>16</v>
      </c>
      <c r="F32" s="131" t="n">
        <v>39</v>
      </c>
      <c r="G32" s="17" t="n">
        <v>12</v>
      </c>
      <c r="H32" s="133" t="n">
        <v>295</v>
      </c>
      <c r="I32" s="134" t="n">
        <v>2250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9">
      <formula>AV4="X"</formula>
    </cfRule>
    <cfRule type="expression" priority="376" dxfId="18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9">
      <formula>AV7="X"</formula>
    </cfRule>
    <cfRule type="expression" priority="356" dxfId="18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9">
      <formula>AV8="X"</formula>
    </cfRule>
    <cfRule type="expression" priority="338" dxfId="18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9">
      <formula>AV9="X"</formula>
    </cfRule>
    <cfRule type="expression" priority="320" dxfId="18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9">
      <formula>AV10="X"</formula>
    </cfRule>
    <cfRule type="expression" priority="302" dxfId="18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9">
      <formula>AV11="X"</formula>
    </cfRule>
    <cfRule type="expression" priority="298" dxfId="18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9">
      <formula>AV12="X"</formula>
    </cfRule>
    <cfRule type="expression" priority="280" dxfId="18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9">
      <formula>AV13="X"</formula>
    </cfRule>
    <cfRule type="expression" priority="276" dxfId="18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9">
      <formula>AV14="X"</formula>
    </cfRule>
    <cfRule type="expression" priority="258" dxfId="18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9">
      <formula>AV15="X"</formula>
    </cfRule>
    <cfRule type="expression" priority="240" dxfId="18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9">
      <formula>AV16="X"</formula>
    </cfRule>
    <cfRule type="expression" priority="236" dxfId="18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9">
      <formula>AV17="X"</formula>
    </cfRule>
    <cfRule type="expression" priority="218" dxfId="18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9">
      <formula>AV18="X"</formula>
    </cfRule>
    <cfRule type="expression" priority="200" dxfId="18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9">
      <formula>AV19="X"</formula>
    </cfRule>
    <cfRule type="expression" priority="196" dxfId="18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9">
      <formula>AV20="X"</formula>
    </cfRule>
    <cfRule type="expression" priority="178" dxfId="18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9">
      <formula>AV21="X"</formula>
    </cfRule>
    <cfRule type="expression" priority="160" dxfId="18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9">
      <formula>AV22="X"</formula>
    </cfRule>
    <cfRule type="expression" priority="142" dxfId="18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9">
      <formula>AV23="X"</formula>
    </cfRule>
    <cfRule type="expression" priority="124" dxfId="18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9">
      <formula>AV24="X"</formula>
    </cfRule>
    <cfRule type="expression" priority="120" dxfId="18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9">
      <formula>AV25="X"</formula>
    </cfRule>
    <cfRule type="expression" priority="102" dxfId="18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9">
      <formula>AV26="X"</formula>
    </cfRule>
    <cfRule type="expression" priority="98" dxfId="18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9">
      <formula>AV27="X"</formula>
    </cfRule>
    <cfRule type="expression" priority="80" dxfId="18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9">
      <formula>AV28="X"</formula>
    </cfRule>
    <cfRule type="expression" priority="76" dxfId="18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9">
      <formula>AV29="X"</formula>
    </cfRule>
    <cfRule type="expression" priority="58" dxfId="18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9">
      <formula>AV30="X"</formula>
    </cfRule>
    <cfRule type="expression" priority="40" dxfId="18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9">
      <formula>AV31="X"</formula>
    </cfRule>
    <cfRule type="expression" priority="36" dxfId="18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9">
      <formula>AV32="X"</formula>
    </cfRule>
    <cfRule type="expression" priority="18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군산삼학대우</t>
        </is>
      </c>
      <c r="B6" s="10" t="inlineStr">
        <is>
          <t>'96.07.</t>
        </is>
      </c>
      <c r="C6" s="133" t="n">
        <v>381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159</v>
      </c>
      <c r="I6" s="134" t="n">
        <v>8500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81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3" t="n">
        <v>381</v>
      </c>
      <c r="D7" s="131" t="n">
        <v>104.4</v>
      </c>
      <c r="E7" s="132" t="n">
        <v>32</v>
      </c>
      <c r="F7" s="131" t="n">
        <v>84.90000000000001</v>
      </c>
      <c r="G7" s="17" t="n">
        <v>26</v>
      </c>
      <c r="H7" s="133" t="n">
        <v>132</v>
      </c>
      <c r="I7" s="134" t="n">
        <v>16500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3" t="n">
        <v>381</v>
      </c>
      <c r="D8" s="131" t="n">
        <v>155.2</v>
      </c>
      <c r="E8" s="132" t="n">
        <v>47</v>
      </c>
      <c r="F8" s="131" t="n">
        <v>131.4</v>
      </c>
      <c r="G8" s="17" t="n">
        <v>40</v>
      </c>
      <c r="H8" s="133" t="n">
        <v>90</v>
      </c>
      <c r="I8" s="134" t="n">
        <v>17300</v>
      </c>
      <c r="J8" s="134" t="inlineStr">
        <is>
          <t>8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고려타운</t>
        </is>
      </c>
      <c r="B6" s="10" t="inlineStr">
        <is>
          <t>'92.05.</t>
        </is>
      </c>
      <c r="C6" s="133" t="n">
        <v>226</v>
      </c>
      <c r="D6" s="131" t="n">
        <v>56.3</v>
      </c>
      <c r="E6" s="132" t="n">
        <v>17</v>
      </c>
      <c r="F6" s="131" t="n">
        <v>43.1</v>
      </c>
      <c r="G6" s="17" t="n">
        <v>13</v>
      </c>
      <c r="H6" s="133" t="n">
        <v>12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3" t="n">
        <v>226</v>
      </c>
      <c r="D7" s="131" t="n">
        <v>64.8</v>
      </c>
      <c r="E7" s="132" t="n">
        <v>20</v>
      </c>
      <c r="F7" s="131" t="n">
        <v>49</v>
      </c>
      <c r="G7" s="17" t="n">
        <v>15</v>
      </c>
      <c r="H7" s="133" t="n">
        <v>20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3" t="n">
        <v>226</v>
      </c>
      <c r="D8" s="131" t="n">
        <v>74.59999999999999</v>
      </c>
      <c r="E8" s="132" t="n">
        <v>23</v>
      </c>
      <c r="F8" s="131" t="n">
        <v>58.8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74A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3" t="n">
        <v>226</v>
      </c>
      <c r="D9" s="131" t="n">
        <v>76.90000000000001</v>
      </c>
      <c r="E9" s="132" t="n">
        <v>23</v>
      </c>
      <c r="F9" s="131" t="n">
        <v>59.5</v>
      </c>
      <c r="G9" s="17" t="n">
        <v>18</v>
      </c>
      <c r="H9" s="133" t="n">
        <v>56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76C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3" t="n">
        <v>226</v>
      </c>
      <c r="D10" s="131" t="n">
        <v>77.5</v>
      </c>
      <c r="E10" s="132" t="n">
        <v>23</v>
      </c>
      <c r="F10" s="131" t="n">
        <v>59.7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77B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3" t="n">
        <v>226</v>
      </c>
      <c r="D11" s="131" t="n">
        <v>77.5</v>
      </c>
      <c r="E11" s="132" t="n">
        <v>23</v>
      </c>
      <c r="F11" s="131" t="n">
        <v>59.5</v>
      </c>
      <c r="G11" s="17" t="n">
        <v>18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77D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3" t="n">
        <v>226</v>
      </c>
      <c r="D12" s="131" t="n">
        <v>104.9</v>
      </c>
      <c r="E12" s="132" t="n">
        <v>32</v>
      </c>
      <c r="F12" s="131" t="n">
        <v>84.8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3" t="n">
        <v>226</v>
      </c>
      <c r="D13" s="131" t="n">
        <v>105.4</v>
      </c>
      <c r="E13" s="132" t="n">
        <v>32</v>
      </c>
      <c r="F13" s="131" t="n">
        <v>84.59999999999999</v>
      </c>
      <c r="G13" s="17" t="n">
        <v>26</v>
      </c>
      <c r="H13" s="133" t="n">
        <v>24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105A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3" t="n">
        <v>226</v>
      </c>
      <c r="D14" s="131" t="n">
        <v>110</v>
      </c>
      <c r="E14" s="132" t="n">
        <v>33</v>
      </c>
      <c r="F14" s="131" t="n">
        <v>80.59999999999999</v>
      </c>
      <c r="G14" s="17" t="n">
        <v>24</v>
      </c>
      <c r="H14" s="133" t="n">
        <v>5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복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3" t="n">
        <v>226</v>
      </c>
      <c r="D15" s="131" t="n">
        <v>110.8</v>
      </c>
      <c r="E15" s="132" t="n">
        <v>34</v>
      </c>
      <c r="F15" s="131" t="n">
        <v>81.3</v>
      </c>
      <c r="G15" s="17" t="n">
        <v>25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복</t>
        </is>
      </c>
      <c r="T15" s="5" t="n">
        <v>110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9">
      <formula>AV4="X"</formula>
    </cfRule>
    <cfRule type="expression" priority="182" dxfId="18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9">
      <formula>AV7="X"</formula>
    </cfRule>
    <cfRule type="expression" priority="162" dxfId="18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9">
      <formula>AV8="X"</formula>
    </cfRule>
    <cfRule type="expression" priority="144" dxfId="18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9">
      <formula>AV9="X"</formula>
    </cfRule>
    <cfRule type="expression" priority="126" dxfId="18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9">
      <formula>AV10="X"</formula>
    </cfRule>
    <cfRule type="expression" priority="108" dxfId="18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9">
      <formula>AV11="X"</formula>
    </cfRule>
    <cfRule type="expression" priority="90" dxfId="18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9">
      <formula>AV12="X"</formula>
    </cfRule>
    <cfRule type="expression" priority="72" dxfId="18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9">
      <formula>AV13="X"</formula>
    </cfRule>
    <cfRule type="expression" priority="54" dxfId="18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9">
      <formula>AV14="X"</formula>
    </cfRule>
    <cfRule type="expression" priority="36" dxfId="18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군산성원</t>
        </is>
      </c>
      <c r="B6" s="10" t="inlineStr">
        <is>
          <t>'04.07.</t>
        </is>
      </c>
      <c r="C6" s="133" t="n">
        <v>675</v>
      </c>
      <c r="D6" s="131" t="n">
        <v>75</v>
      </c>
      <c r="E6" s="132" t="n">
        <v>23</v>
      </c>
      <c r="F6" s="131" t="n">
        <v>59.7</v>
      </c>
      <c r="G6" s="17" t="n">
        <v>18</v>
      </c>
      <c r="H6" s="133" t="n">
        <v>270</v>
      </c>
      <c r="I6" s="134" t="n">
        <v>8500</v>
      </c>
      <c r="J6" s="134" t="inlineStr">
        <is>
          <t>7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3" t="n">
        <v>675</v>
      </c>
      <c r="D7" s="131" t="n">
        <v>106.8</v>
      </c>
      <c r="E7" s="132" t="n">
        <v>32</v>
      </c>
      <c r="F7" s="131" t="n">
        <v>85</v>
      </c>
      <c r="G7" s="17" t="n">
        <v>26</v>
      </c>
      <c r="H7" s="133" t="n">
        <v>405</v>
      </c>
      <c r="I7" s="134" t="n">
        <v>10500</v>
      </c>
      <c r="J7" s="134" t="inlineStr">
        <is>
          <t>5</t>
        </is>
      </c>
      <c r="K7" s="134" t="n">
        <v>10000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금강골드빌</t>
        </is>
      </c>
      <c r="B9" s="10" t="inlineStr">
        <is>
          <t>'03.02.</t>
        </is>
      </c>
      <c r="C9" s="133" t="n">
        <v>294</v>
      </c>
      <c r="D9" s="131" t="n">
        <v>113.6</v>
      </c>
      <c r="E9" s="132" t="n">
        <v>34</v>
      </c>
      <c r="F9" s="131" t="n">
        <v>84.7</v>
      </c>
      <c r="G9" s="17" t="n">
        <v>26</v>
      </c>
      <c r="H9" s="133" t="n">
        <v>294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그린서해맨션</t>
        </is>
      </c>
      <c r="B11" s="10" t="inlineStr">
        <is>
          <t>'93.12.</t>
        </is>
      </c>
      <c r="C11" s="133" t="n">
        <v>350</v>
      </c>
      <c r="D11" s="131" t="n">
        <v>77.8</v>
      </c>
      <c r="E11" s="132" t="n">
        <v>24</v>
      </c>
      <c r="F11" s="131" t="n">
        <v>59.4</v>
      </c>
      <c r="G11" s="17" t="n">
        <v>18</v>
      </c>
      <c r="H11" s="133" t="n">
        <v>174</v>
      </c>
      <c r="I11" s="134" t="n">
        <v>5000</v>
      </c>
      <c r="J11" s="134" t="inlineStr">
        <is>
          <t>9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복</t>
        </is>
      </c>
      <c r="T11" s="5" t="inlineStr">
        <is>
          <t>77A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3" t="n">
        <v>350</v>
      </c>
      <c r="D12" s="131" t="n">
        <v>79.3</v>
      </c>
      <c r="E12" s="132" t="n">
        <v>24</v>
      </c>
      <c r="F12" s="131" t="n">
        <v>59.4</v>
      </c>
      <c r="G12" s="17" t="n">
        <v>18</v>
      </c>
      <c r="H12" s="133" t="n">
        <v>60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복</t>
        </is>
      </c>
      <c r="T12" s="5" t="inlineStr">
        <is>
          <t>79B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3" t="n">
        <v>350</v>
      </c>
      <c r="D13" s="131" t="n">
        <v>91.40000000000001</v>
      </c>
      <c r="E13" s="132" t="n">
        <v>28</v>
      </c>
      <c r="F13" s="131" t="n">
        <v>75</v>
      </c>
      <c r="G13" s="17" t="n">
        <v>23</v>
      </c>
      <c r="H13" s="133" t="n">
        <v>59</v>
      </c>
      <c r="I13" s="134" t="n">
        <v>8000</v>
      </c>
      <c r="J13" s="134" t="inlineStr">
        <is>
          <t>7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3" t="n">
        <v>350</v>
      </c>
      <c r="D14" s="131" t="n">
        <v>101.3</v>
      </c>
      <c r="E14" s="132" t="n">
        <v>31</v>
      </c>
      <c r="F14" s="131" t="n">
        <v>75</v>
      </c>
      <c r="G14" s="17" t="n">
        <v>23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101A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3" t="n">
        <v>350</v>
      </c>
      <c r="D15" s="131" t="n">
        <v>103.5</v>
      </c>
      <c r="E15" s="132" t="n">
        <v>31</v>
      </c>
      <c r="F15" s="131" t="n">
        <v>84.90000000000001</v>
      </c>
      <c r="G15" s="17" t="n">
        <v>26</v>
      </c>
      <c r="H15" s="133" t="n">
        <v>52</v>
      </c>
      <c r="I15" s="134" t="n">
        <v>9500</v>
      </c>
      <c r="J15" s="134" t="inlineStr">
        <is>
          <t>15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3" t="n">
        <v>350</v>
      </c>
      <c r="D16" s="131" t="n">
        <v>115.2</v>
      </c>
      <c r="E16" s="132" t="n">
        <v>35</v>
      </c>
      <c r="F16" s="131" t="n">
        <v>84.90000000000001</v>
      </c>
      <c r="G16" s="17" t="n">
        <v>26</v>
      </c>
      <c r="H16" s="133" t="n">
        <v>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복</t>
        </is>
      </c>
      <c r="T16" s="5" t="n">
        <v>115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동아</t>
        </is>
      </c>
      <c r="B18" s="10" t="inlineStr">
        <is>
          <t>'90.10.</t>
        </is>
      </c>
      <c r="C18" s="133" t="n">
        <v>702</v>
      </c>
      <c r="D18" s="131" t="n">
        <v>79.5</v>
      </c>
      <c r="E18" s="132" t="n">
        <v>24</v>
      </c>
      <c r="F18" s="131" t="n">
        <v>60.5</v>
      </c>
      <c r="G18" s="17" t="n">
        <v>18</v>
      </c>
      <c r="H18" s="133" t="n">
        <v>251</v>
      </c>
      <c r="I18" s="134" t="n">
        <v>6100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inlineStr">
        <is>
          <t>79A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3" t="n">
        <v>702</v>
      </c>
      <c r="D19" s="131" t="n">
        <v>79.2</v>
      </c>
      <c r="E19" s="132" t="n">
        <v>24</v>
      </c>
      <c r="F19" s="131" t="n">
        <v>60.7</v>
      </c>
      <c r="G19" s="17" t="n">
        <v>18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79B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3" t="n">
        <v>702</v>
      </c>
      <c r="D20" s="131" t="n">
        <v>93.59999999999999</v>
      </c>
      <c r="E20" s="132" t="n">
        <v>28</v>
      </c>
      <c r="F20" s="131" t="n">
        <v>75.59999999999999</v>
      </c>
      <c r="G20" s="17" t="n">
        <v>23</v>
      </c>
      <c r="H20" s="133" t="n">
        <v>240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93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3" t="n">
        <v>702</v>
      </c>
      <c r="D21" s="131" t="n">
        <v>103.9</v>
      </c>
      <c r="E21" s="132" t="n">
        <v>31</v>
      </c>
      <c r="F21" s="131" t="n">
        <v>84.90000000000001</v>
      </c>
      <c r="G21" s="17" t="n">
        <v>26</v>
      </c>
      <c r="H21" s="133" t="n">
        <v>210</v>
      </c>
      <c r="I21" s="134" t="n">
        <v>9800</v>
      </c>
      <c r="J21" s="134" t="inlineStr">
        <is>
          <t>6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소룡진흥</t>
        </is>
      </c>
      <c r="B23" s="10" t="inlineStr">
        <is>
          <t>'91.05.</t>
        </is>
      </c>
      <c r="C23" s="133" t="n">
        <v>499</v>
      </c>
      <c r="D23" s="131" t="n">
        <v>57.5</v>
      </c>
      <c r="E23" s="132" t="n">
        <v>17</v>
      </c>
      <c r="F23" s="131" t="n">
        <v>43.7</v>
      </c>
      <c r="G23" s="17" t="n">
        <v>13</v>
      </c>
      <c r="H23" s="133" t="n">
        <v>123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57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3" t="n">
        <v>499</v>
      </c>
      <c r="D24" s="131" t="n">
        <v>63.4</v>
      </c>
      <c r="E24" s="132" t="n">
        <v>19</v>
      </c>
      <c r="F24" s="131" t="n">
        <v>49.3</v>
      </c>
      <c r="G24" s="17" t="n">
        <v>15</v>
      </c>
      <c r="H24" s="133" t="n">
        <v>50</v>
      </c>
      <c r="I24" s="134" t="n">
        <v>3100</v>
      </c>
      <c r="J24" s="134" t="inlineStr">
        <is>
          <t>12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3" t="n">
        <v>499</v>
      </c>
      <c r="D25" s="131" t="n">
        <v>70.2</v>
      </c>
      <c r="E25" s="132" t="n">
        <v>21</v>
      </c>
      <c r="F25" s="131" t="n">
        <v>59.2</v>
      </c>
      <c r="G25" s="17" t="n">
        <v>18</v>
      </c>
      <c r="H25" s="133" t="n">
        <v>25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n">
        <v>70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3" t="n">
        <v>499</v>
      </c>
      <c r="D26" s="131" t="n">
        <v>78.40000000000001</v>
      </c>
      <c r="E26" s="132" t="n">
        <v>24</v>
      </c>
      <c r="F26" s="131" t="n">
        <v>59.8</v>
      </c>
      <c r="G26" s="17" t="n">
        <v>18</v>
      </c>
      <c r="H26" s="133" t="n">
        <v>48</v>
      </c>
      <c r="I26" s="134" t="n">
        <v>6200</v>
      </c>
      <c r="J26" s="134" t="inlineStr">
        <is>
          <t>9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복</t>
        </is>
      </c>
      <c r="T26" s="5" t="inlineStr">
        <is>
          <t>78A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3" t="n">
        <v>499</v>
      </c>
      <c r="D27" s="131" t="n">
        <v>80.7</v>
      </c>
      <c r="E27" s="132" t="n">
        <v>24</v>
      </c>
      <c r="F27" s="131" t="n">
        <v>68.09999999999999</v>
      </c>
      <c r="G27" s="17" t="n">
        <v>21</v>
      </c>
      <c r="H27" s="133" t="n">
        <v>25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80B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3" t="n">
        <v>499</v>
      </c>
      <c r="D28" s="131" t="n">
        <v>88.3</v>
      </c>
      <c r="E28" s="132" t="n">
        <v>27</v>
      </c>
      <c r="F28" s="131" t="n">
        <v>72</v>
      </c>
      <c r="G28" s="17" t="n">
        <v>22</v>
      </c>
      <c r="H28" s="133" t="n">
        <v>128</v>
      </c>
      <c r="I28" s="134" t="n">
        <v>7500</v>
      </c>
      <c r="J28" s="134" t="inlineStr">
        <is>
          <t>13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88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3" t="n">
        <v>499</v>
      </c>
      <c r="D29" s="131" t="n">
        <v>102.8</v>
      </c>
      <c r="E29" s="132" t="n">
        <v>31</v>
      </c>
      <c r="F29" s="131" t="n">
        <v>85</v>
      </c>
      <c r="G29" s="17" t="n">
        <v>26</v>
      </c>
      <c r="H29" s="133" t="n">
        <v>100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스카이타운</t>
        </is>
      </c>
      <c r="B31" s="10" t="inlineStr">
        <is>
          <t>'08.08.</t>
        </is>
      </c>
      <c r="C31" s="133" t="n">
        <v>398</v>
      </c>
      <c r="D31" s="131" t="n">
        <v>41.3</v>
      </c>
      <c r="E31" s="132" t="n">
        <v>12</v>
      </c>
      <c r="F31" s="131" t="n">
        <v>31.8</v>
      </c>
      <c r="G31" s="17" t="n">
        <v>10</v>
      </c>
      <c r="H31" s="133" t="n">
        <v>390</v>
      </c>
      <c r="I31" s="134" t="n">
        <v>3200</v>
      </c>
      <c r="J31" s="134" t="inlineStr">
        <is>
          <t>10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41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3" t="n">
        <v>398</v>
      </c>
      <c r="D32" s="131" t="n">
        <v>53.8</v>
      </c>
      <c r="E32" s="132" t="n">
        <v>16</v>
      </c>
      <c r="F32" s="131" t="n">
        <v>41.5</v>
      </c>
      <c r="G32" s="17" t="n">
        <v>13</v>
      </c>
      <c r="H32" s="133" t="n">
        <v>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소룡제이파크</t>
        </is>
      </c>
      <c r="B34" s="10" t="inlineStr">
        <is>
          <t>'06.06.</t>
        </is>
      </c>
      <c r="C34" s="133" t="n">
        <v>972</v>
      </c>
      <c r="D34" s="131" t="n">
        <v>77.7</v>
      </c>
      <c r="E34" s="132" t="n">
        <v>23</v>
      </c>
      <c r="F34" s="131" t="n">
        <v>59.6</v>
      </c>
      <c r="G34" s="17" t="n">
        <v>18</v>
      </c>
      <c r="H34" s="133" t="n">
        <v>144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3" t="n">
        <v>972</v>
      </c>
      <c r="D35" s="131" t="n">
        <v>78.8</v>
      </c>
      <c r="E35" s="132" t="n">
        <v>24</v>
      </c>
      <c r="F35" s="131" t="n">
        <v>60</v>
      </c>
      <c r="G35" s="17" t="n">
        <v>18</v>
      </c>
      <c r="H35" s="133" t="n">
        <v>252</v>
      </c>
      <c r="I35" s="134" t="n">
        <v>10200</v>
      </c>
      <c r="J35" s="134" t="inlineStr">
        <is>
          <t>8</t>
        </is>
      </c>
      <c r="K35" s="134" t="n">
        <v>9000</v>
      </c>
      <c r="L35" s="134" t="inlineStr">
        <is>
          <t>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3" t="n">
        <v>972</v>
      </c>
      <c r="D36" s="131" t="n">
        <v>106.3</v>
      </c>
      <c r="E36" s="132" t="n">
        <v>32</v>
      </c>
      <c r="F36" s="131" t="n">
        <v>84.5</v>
      </c>
      <c r="G36" s="17" t="n">
        <v>26</v>
      </c>
      <c r="H36" s="133" t="n">
        <v>576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신도시</t>
        </is>
      </c>
      <c r="B38" s="10" t="inlineStr">
        <is>
          <t>'01.12.</t>
        </is>
      </c>
      <c r="C38" s="133" t="n">
        <v>720</v>
      </c>
      <c r="D38" s="131" t="n">
        <v>63</v>
      </c>
      <c r="E38" s="132" t="n">
        <v>19</v>
      </c>
      <c r="F38" s="131" t="n">
        <v>45.4</v>
      </c>
      <c r="G38" s="17" t="n">
        <v>14</v>
      </c>
      <c r="H38" s="133" t="n">
        <v>416</v>
      </c>
      <c r="I38" s="134" t="n">
        <v>4400</v>
      </c>
      <c r="J38" s="134" t="inlineStr">
        <is>
          <t>18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62A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3" t="n">
        <v>720</v>
      </c>
      <c r="D39" s="131" t="n">
        <v>63.6</v>
      </c>
      <c r="E39" s="132" t="n">
        <v>19</v>
      </c>
      <c r="F39" s="131" t="n">
        <v>46.5</v>
      </c>
      <c r="G39" s="17" t="n">
        <v>14</v>
      </c>
      <c r="H39" s="133" t="n">
        <v>304</v>
      </c>
      <c r="I39" s="134" t="n">
        <v>4700</v>
      </c>
      <c r="J39" s="134" t="inlineStr">
        <is>
          <t>11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63B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이화</t>
        </is>
      </c>
      <c r="B41" s="10" t="inlineStr">
        <is>
          <t>'92.02.</t>
        </is>
      </c>
      <c r="C41" s="133" t="n">
        <v>204</v>
      </c>
      <c r="D41" s="131" t="n">
        <v>58.6</v>
      </c>
      <c r="E41" s="132" t="n">
        <v>18</v>
      </c>
      <c r="F41" s="131" t="n">
        <v>44.8</v>
      </c>
      <c r="G41" s="17" t="n">
        <v>14</v>
      </c>
      <c r="H41" s="133" t="n">
        <v>60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58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3" t="n">
        <v>204</v>
      </c>
      <c r="D42" s="131" t="n">
        <v>69.3</v>
      </c>
      <c r="E42" s="132" t="n">
        <v>21</v>
      </c>
      <c r="F42" s="131" t="n">
        <v>53.9</v>
      </c>
      <c r="G42" s="17" t="n">
        <v>16</v>
      </c>
      <c r="H42" s="133" t="n">
        <v>132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3" t="n">
        <v>204</v>
      </c>
      <c r="D43" s="131" t="n">
        <v>75.09999999999999</v>
      </c>
      <c r="E43" s="132" t="n">
        <v>23</v>
      </c>
      <c r="F43" s="131" t="n">
        <v>58.9</v>
      </c>
      <c r="G43" s="17" t="n">
        <v>18</v>
      </c>
      <c r="H43" s="133" t="n">
        <v>12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9">
      <formula>AV4="X"</formula>
    </cfRule>
    <cfRule type="expression" priority="574" dxfId="18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9">
      <formula>AV7="X"</formula>
    </cfRule>
    <cfRule type="expression" priority="554" dxfId="18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9">
      <formula>AV8="X"</formula>
    </cfRule>
    <cfRule type="expression" priority="536" dxfId="18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9">
      <formula>AV9="X"</formula>
    </cfRule>
    <cfRule type="expression" priority="532" dxfId="18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9">
      <formula>AV10="X"</formula>
    </cfRule>
    <cfRule type="expression" priority="514" dxfId="18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9">
      <formula>AV11="X"</formula>
    </cfRule>
    <cfRule type="expression" priority="510" dxfId="18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9">
      <formula>AV12="X"</formula>
    </cfRule>
    <cfRule type="expression" priority="492" dxfId="18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9">
      <formula>AV13="X"</formula>
    </cfRule>
    <cfRule type="expression" priority="474" dxfId="18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9">
      <formula>AV14="X"</formula>
    </cfRule>
    <cfRule type="expression" priority="456" dxfId="18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9">
      <formula>AV15="X"</formula>
    </cfRule>
    <cfRule type="expression" priority="438" dxfId="18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9">
      <formula>AV16="X"</formula>
    </cfRule>
    <cfRule type="expression" priority="420" dxfId="18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9">
      <formula>AV17="X"</formula>
    </cfRule>
    <cfRule type="expression" priority="402" dxfId="18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9">
      <formula>AV18="X"</formula>
    </cfRule>
    <cfRule type="expression" priority="398" dxfId="18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9">
      <formula>AV19="X"</formula>
    </cfRule>
    <cfRule type="expression" priority="380" dxfId="18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9">
      <formula>AV20="X"</formula>
    </cfRule>
    <cfRule type="expression" priority="362" dxfId="18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9">
      <formula>AV21="X"</formula>
    </cfRule>
    <cfRule type="expression" priority="344" dxfId="18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9">
      <formula>AV22="X"</formula>
    </cfRule>
    <cfRule type="expression" priority="326" dxfId="18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9">
      <formula>AV23="X"</formula>
    </cfRule>
    <cfRule type="expression" priority="322" dxfId="18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9">
      <formula>AV24="X"</formula>
    </cfRule>
    <cfRule type="expression" priority="304" dxfId="18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9">
      <formula>AV25="X"</formula>
    </cfRule>
    <cfRule type="expression" priority="286" dxfId="18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9">
      <formula>AV26="X"</formula>
    </cfRule>
    <cfRule type="expression" priority="268" dxfId="18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9">
      <formula>AV27="X"</formula>
    </cfRule>
    <cfRule type="expression" priority="250" dxfId="18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9">
      <formula>AV28="X"</formula>
    </cfRule>
    <cfRule type="expression" priority="232" dxfId="18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9">
      <formula>AV29="X"</formula>
    </cfRule>
    <cfRule type="expression" priority="214" dxfId="18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9">
      <formula>AV30="X"</formula>
    </cfRule>
    <cfRule type="expression" priority="196" dxfId="18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9">
      <formula>AV31="X"</formula>
    </cfRule>
    <cfRule type="expression" priority="192" dxfId="18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9">
      <formula>AV32="X"</formula>
    </cfRule>
    <cfRule type="expression" priority="174" dxfId="18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9">
      <formula>AV33="X"</formula>
    </cfRule>
    <cfRule type="expression" priority="156" dxfId="18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9">
      <formula>AV34="X"</formula>
    </cfRule>
    <cfRule type="expression" priority="152" dxfId="18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9">
      <formula>AV35="X"</formula>
    </cfRule>
    <cfRule type="expression" priority="134" dxfId="18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9">
      <formula>AV36="X"</formula>
    </cfRule>
    <cfRule type="expression" priority="116" dxfId="18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9">
      <formula>AV37="X"</formula>
    </cfRule>
    <cfRule type="expression" priority="98" dxfId="18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9">
      <formula>AV38="X"</formula>
    </cfRule>
    <cfRule type="expression" priority="94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9">
      <formula>AV40="X"</formula>
    </cfRule>
    <cfRule type="expression" priority="58" dxfId="18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9">
      <formula>AV41="X"</formula>
    </cfRule>
    <cfRule type="expression" priority="54" dxfId="18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9">
      <formula>AV42="X"</formula>
    </cfRule>
    <cfRule type="expression" priority="36" dxfId="18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9">
      <formula>AV43="X"</formula>
    </cfRule>
    <cfRule type="expression" priority="18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한라비발디2단지</t>
        </is>
      </c>
      <c r="B6" s="10" t="inlineStr">
        <is>
          <t>'08.11.</t>
        </is>
      </c>
      <c r="C6" s="133" t="n">
        <v>782</v>
      </c>
      <c r="D6" s="131" t="n">
        <v>113.3</v>
      </c>
      <c r="E6" s="132" t="n">
        <v>34</v>
      </c>
      <c r="F6" s="131" t="n">
        <v>85</v>
      </c>
      <c r="G6" s="17" t="n">
        <v>26</v>
      </c>
      <c r="H6" s="133" t="n">
        <v>480</v>
      </c>
      <c r="I6" s="134" t="n">
        <v>33500</v>
      </c>
      <c r="J6" s="134" t="inlineStr">
        <is>
          <t>12</t>
        </is>
      </c>
      <c r="K6" s="134" t="n">
        <v>28000</v>
      </c>
      <c r="L6" s="134" t="inlineStr">
        <is>
          <t>16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3" t="n">
        <v>782</v>
      </c>
      <c r="D7" s="131" t="n">
        <v>114.2</v>
      </c>
      <c r="E7" s="132" t="n">
        <v>35</v>
      </c>
      <c r="F7" s="131" t="n">
        <v>85</v>
      </c>
      <c r="G7" s="17" t="n">
        <v>26</v>
      </c>
      <c r="H7" s="133" t="n">
        <v>160</v>
      </c>
      <c r="I7" s="134" t="n">
        <v>32000</v>
      </c>
      <c r="J7" s="134" t="inlineStr">
        <is>
          <t>18</t>
        </is>
      </c>
      <c r="K7" s="134" t="n">
        <v>26000</v>
      </c>
      <c r="L7" s="134" t="inlineStr">
        <is>
          <t>10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3" t="n">
        <v>782</v>
      </c>
      <c r="D8" s="131" t="n">
        <v>115.2</v>
      </c>
      <c r="E8" s="132" t="n">
        <v>35</v>
      </c>
      <c r="F8" s="131" t="n">
        <v>85</v>
      </c>
      <c r="G8" s="17" t="n">
        <v>26</v>
      </c>
      <c r="H8" s="133" t="n">
        <v>142</v>
      </c>
      <c r="I8" s="134" t="n">
        <v>31000</v>
      </c>
      <c r="J8" s="134" t="inlineStr">
        <is>
          <t>17</t>
        </is>
      </c>
      <c r="K8" s="134" t="n">
        <v>27000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한라비발디1단지</t>
        </is>
      </c>
      <c r="B10" s="10" t="inlineStr">
        <is>
          <t>'08.11.</t>
        </is>
      </c>
      <c r="C10" s="133" t="n">
        <v>332</v>
      </c>
      <c r="D10" s="131" t="n">
        <v>133</v>
      </c>
      <c r="E10" s="132" t="n">
        <v>40</v>
      </c>
      <c r="F10" s="131" t="n">
        <v>100.4</v>
      </c>
      <c r="G10" s="17" t="n">
        <v>30</v>
      </c>
      <c r="H10" s="133" t="n">
        <v>59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132A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3" t="n">
        <v>332</v>
      </c>
      <c r="D11" s="131" t="n">
        <v>135.3</v>
      </c>
      <c r="E11" s="132" t="n">
        <v>41</v>
      </c>
      <c r="F11" s="131" t="n">
        <v>103.6</v>
      </c>
      <c r="G11" s="17" t="n">
        <v>31</v>
      </c>
      <c r="H11" s="133" t="n">
        <v>39</v>
      </c>
      <c r="I11" s="134" t="n">
        <v>39000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135B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3" t="n">
        <v>332</v>
      </c>
      <c r="D12" s="131" t="n">
        <v>159.2</v>
      </c>
      <c r="E12" s="132" t="n">
        <v>48</v>
      </c>
      <c r="F12" s="131" t="n">
        <v>123.1</v>
      </c>
      <c r="G12" s="17" t="n">
        <v>37</v>
      </c>
      <c r="H12" s="133" t="n">
        <v>80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159A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3" t="n">
        <v>332</v>
      </c>
      <c r="D13" s="131" t="n">
        <v>161.5</v>
      </c>
      <c r="E13" s="132" t="n">
        <v>49</v>
      </c>
      <c r="F13" s="131" t="n">
        <v>132.3</v>
      </c>
      <c r="G13" s="17" t="n">
        <v>40</v>
      </c>
      <c r="H13" s="133" t="n">
        <v>79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161B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3" t="n">
        <v>332</v>
      </c>
      <c r="D14" s="131" t="n">
        <v>189.5</v>
      </c>
      <c r="E14" s="132" t="n">
        <v>57</v>
      </c>
      <c r="F14" s="131" t="n">
        <v>155.9</v>
      </c>
      <c r="G14" s="17" t="n">
        <v>47</v>
      </c>
      <c r="H14" s="133" t="n">
        <v>71</v>
      </c>
      <c r="I14" s="134" t="n">
        <v>56500</v>
      </c>
      <c r="J14" s="134" t="inlineStr">
        <is>
          <t>18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3" t="n">
        <v>332</v>
      </c>
      <c r="D15" s="131" t="n">
        <v>320.9</v>
      </c>
      <c r="E15" s="132" t="n">
        <v>97</v>
      </c>
      <c r="F15" s="131" t="n">
        <v>261.2</v>
      </c>
      <c r="G15" s="17" t="n">
        <v>79</v>
      </c>
      <c r="H15" s="133" t="n">
        <v>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6</v>
      </c>
      <c r="R15" s="121" t="n">
        <v>4</v>
      </c>
      <c r="S15" s="121" t="inlineStr">
        <is>
          <t>계</t>
        </is>
      </c>
      <c r="T15" s="5" t="n">
        <v>320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동신</t>
        </is>
      </c>
      <c r="B17" s="10" t="inlineStr">
        <is>
          <t>'91.09.</t>
        </is>
      </c>
      <c r="C17" s="133" t="n">
        <v>660</v>
      </c>
      <c r="D17" s="131" t="n">
        <v>73.59999999999999</v>
      </c>
      <c r="E17" s="132" t="n">
        <v>22</v>
      </c>
      <c r="F17" s="131" t="n">
        <v>59.5</v>
      </c>
      <c r="G17" s="17" t="n">
        <v>18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3" t="n">
        <v>660</v>
      </c>
      <c r="D18" s="131" t="n">
        <v>83.5</v>
      </c>
      <c r="E18" s="132" t="n">
        <v>25</v>
      </c>
      <c r="F18" s="131" t="n">
        <v>67.40000000000001</v>
      </c>
      <c r="G18" s="17" t="n">
        <v>20</v>
      </c>
      <c r="H18" s="133" t="n">
        <v>120</v>
      </c>
      <c r="I18" s="134" t="n">
        <v>9700</v>
      </c>
      <c r="J18" s="134" t="inlineStr">
        <is>
          <t>5</t>
        </is>
      </c>
      <c r="K18" s="134" t="n">
        <v>9000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3" t="n">
        <v>660</v>
      </c>
      <c r="D19" s="131" t="n">
        <v>94.59999999999999</v>
      </c>
      <c r="E19" s="132" t="n">
        <v>29</v>
      </c>
      <c r="F19" s="131" t="n">
        <v>76.40000000000001</v>
      </c>
      <c r="G19" s="17" t="n">
        <v>23</v>
      </c>
      <c r="H19" s="133" t="n">
        <v>60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n">
        <v>94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3" t="n">
        <v>660</v>
      </c>
      <c r="D20" s="131" t="n">
        <v>97.2</v>
      </c>
      <c r="E20" s="132" t="n">
        <v>29</v>
      </c>
      <c r="F20" s="131" t="n">
        <v>78.5</v>
      </c>
      <c r="G20" s="17" t="n">
        <v>24</v>
      </c>
      <c r="H20" s="133" t="n">
        <v>120</v>
      </c>
      <c r="I20" s="134" t="n">
        <v>10500</v>
      </c>
      <c r="J20" s="134" t="inlineStr">
        <is>
          <t>8</t>
        </is>
      </c>
      <c r="K20" s="134" t="n">
        <v>12500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97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3" t="n">
        <v>660</v>
      </c>
      <c r="D21" s="131" t="n">
        <v>105</v>
      </c>
      <c r="E21" s="132" t="n">
        <v>32</v>
      </c>
      <c r="F21" s="131" t="n">
        <v>84.8</v>
      </c>
      <c r="G21" s="17" t="n">
        <v>26</v>
      </c>
      <c r="H21" s="133" t="n">
        <v>240</v>
      </c>
      <c r="I21" s="134" t="n">
        <v>12500</v>
      </c>
      <c r="J21" s="134" t="inlineStr">
        <is>
          <t>10</t>
        </is>
      </c>
      <c r="K21" s="134" t="n">
        <v>13000</v>
      </c>
      <c r="L21" s="134" t="inlineStr">
        <is>
          <t>15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n">
        <v>105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3" t="n">
        <v>566</v>
      </c>
      <c r="D23" s="131" t="n">
        <v>130.7</v>
      </c>
      <c r="E23" s="132" t="n">
        <v>40</v>
      </c>
      <c r="F23" s="131" t="n">
        <v>100.1</v>
      </c>
      <c r="G23" s="17" t="n">
        <v>30</v>
      </c>
      <c r="H23" s="133" t="n">
        <v>87</v>
      </c>
      <c r="I23" s="134" t="n">
        <v>39000</v>
      </c>
      <c r="J23" s="134" t="inlineStr">
        <is>
          <t>10</t>
        </is>
      </c>
      <c r="K23" s="134" t="n">
        <v>35000</v>
      </c>
      <c r="L23" s="134" t="inlineStr">
        <is>
          <t>13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130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3" t="n">
        <v>566</v>
      </c>
      <c r="D24" s="131" t="n">
        <v>134.3</v>
      </c>
      <c r="E24" s="132" t="n">
        <v>41</v>
      </c>
      <c r="F24" s="131" t="n">
        <v>104.5</v>
      </c>
      <c r="G24" s="17" t="n">
        <v>32</v>
      </c>
      <c r="H24" s="133" t="n">
        <v>54</v>
      </c>
      <c r="I24" s="134" t="n">
        <v>46000</v>
      </c>
      <c r="J24" s="134" t="inlineStr">
        <is>
          <t>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134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3" t="n">
        <v>566</v>
      </c>
      <c r="D25" s="131" t="n">
        <v>153.9</v>
      </c>
      <c r="E25" s="132" t="n">
        <v>47</v>
      </c>
      <c r="F25" s="131" t="n">
        <v>119.9</v>
      </c>
      <c r="G25" s="17" t="n">
        <v>36</v>
      </c>
      <c r="H25" s="133" t="n">
        <v>328</v>
      </c>
      <c r="I25" s="134" t="n">
        <v>46000</v>
      </c>
      <c r="J25" s="134" t="inlineStr">
        <is>
          <t>7</t>
        </is>
      </c>
      <c r="K25" s="134" t="n">
        <v>40000</v>
      </c>
      <c r="L25" s="134" t="inlineStr">
        <is>
          <t>9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3" t="n">
        <v>566</v>
      </c>
      <c r="D26" s="131" t="n">
        <v>178.7</v>
      </c>
      <c r="E26" s="132" t="n">
        <v>54</v>
      </c>
      <c r="F26" s="131" t="n">
        <v>143.8</v>
      </c>
      <c r="G26" s="17" t="n">
        <v>44</v>
      </c>
      <c r="H26" s="133" t="n">
        <v>94</v>
      </c>
      <c r="I26" s="134" t="n">
        <v>55000</v>
      </c>
      <c r="J26" s="134" t="inlineStr">
        <is>
          <t>6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3" t="n">
        <v>566</v>
      </c>
      <c r="D27" s="131" t="n">
        <v>287</v>
      </c>
      <c r="E27" s="132" t="n">
        <v>87</v>
      </c>
      <c r="F27" s="131" t="n">
        <v>232.1</v>
      </c>
      <c r="G27" s="17" t="n">
        <v>70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5</v>
      </c>
      <c r="R27" s="121" t="n">
        <v>4</v>
      </c>
      <c r="S27" s="121" t="inlineStr">
        <is>
          <t>계</t>
        </is>
      </c>
      <c r="T27" s="5" t="n">
        <v>286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3" t="n">
        <v>1041</v>
      </c>
      <c r="D29" s="131" t="n">
        <v>108.9</v>
      </c>
      <c r="E29" s="132" t="n">
        <v>33</v>
      </c>
      <c r="F29" s="131" t="n">
        <v>84.7</v>
      </c>
      <c r="G29" s="17" t="n">
        <v>26</v>
      </c>
      <c r="H29" s="133" t="n">
        <v>160</v>
      </c>
      <c r="I29" s="134" t="n">
        <v>31000</v>
      </c>
      <c r="J29" s="134" t="inlineStr">
        <is>
          <t>10</t>
        </is>
      </c>
      <c r="K29" s="134" t="n">
        <v>26000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3" t="n">
        <v>1041</v>
      </c>
      <c r="D30" s="131" t="n">
        <v>114.2</v>
      </c>
      <c r="E30" s="132" t="n">
        <v>35</v>
      </c>
      <c r="F30" s="131" t="n">
        <v>85</v>
      </c>
      <c r="G30" s="17" t="n">
        <v>26</v>
      </c>
      <c r="H30" s="133" t="n">
        <v>466</v>
      </c>
      <c r="I30" s="134" t="n">
        <v>31000</v>
      </c>
      <c r="J30" s="134" t="inlineStr">
        <is>
          <t>8</t>
        </is>
      </c>
      <c r="K30" s="134" t="n">
        <v>27000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114A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3" t="n">
        <v>1041</v>
      </c>
      <c r="D31" s="131" t="n">
        <v>114.4</v>
      </c>
      <c r="E31" s="132" t="n">
        <v>35</v>
      </c>
      <c r="F31" s="131" t="n">
        <v>84.90000000000001</v>
      </c>
      <c r="G31" s="17" t="n">
        <v>26</v>
      </c>
      <c r="H31" s="133" t="n">
        <v>120</v>
      </c>
      <c r="I31" s="134" t="n">
        <v>32500</v>
      </c>
      <c r="J31" s="134" t="inlineStr">
        <is>
          <t>10</t>
        </is>
      </c>
      <c r="K31" s="134" t="n">
        <v>27500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114B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3" t="n">
        <v>1041</v>
      </c>
      <c r="D32" s="131" t="n">
        <v>119.3</v>
      </c>
      <c r="E32" s="132" t="n">
        <v>36</v>
      </c>
      <c r="F32" s="131" t="n">
        <v>84.90000000000001</v>
      </c>
      <c r="G32" s="17" t="n">
        <v>26</v>
      </c>
      <c r="H32" s="133" t="n">
        <v>295</v>
      </c>
      <c r="I32" s="134" t="n">
        <v>33000</v>
      </c>
      <c r="J32" s="134" t="inlineStr">
        <is>
          <t>19</t>
        </is>
      </c>
      <c r="K32" s="134" t="n">
        <v>26900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119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3" t="n">
        <v>570</v>
      </c>
      <c r="D34" s="131" t="n">
        <v>71.8</v>
      </c>
      <c r="E34" s="132" t="n">
        <v>22</v>
      </c>
      <c r="F34" s="131" t="n">
        <v>49.9</v>
      </c>
      <c r="G34" s="17" t="n">
        <v>15</v>
      </c>
      <c r="H34" s="133" t="n">
        <v>104</v>
      </c>
      <c r="I34" s="134" t="n">
        <v>17900</v>
      </c>
      <c r="J34" s="134" t="inlineStr">
        <is>
          <t>6</t>
        </is>
      </c>
      <c r="K34" s="134" t="n">
        <v>16500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3" t="n">
        <v>570</v>
      </c>
      <c r="D35" s="131" t="n">
        <v>83</v>
      </c>
      <c r="E35" s="132" t="n">
        <v>25</v>
      </c>
      <c r="F35" s="131" t="n">
        <v>60</v>
      </c>
      <c r="G35" s="17" t="n">
        <v>18</v>
      </c>
      <c r="H35" s="133" t="n">
        <v>235</v>
      </c>
      <c r="I35" s="134" t="n">
        <v>21000</v>
      </c>
      <c r="J35" s="134" t="inlineStr">
        <is>
          <t>6</t>
        </is>
      </c>
      <c r="K35" s="134" t="n">
        <v>18500</v>
      </c>
      <c r="L35" s="134" t="inlineStr">
        <is>
          <t>11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82B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3" t="n">
        <v>570</v>
      </c>
      <c r="D36" s="131" t="n">
        <v>82.59999999999999</v>
      </c>
      <c r="E36" s="132" t="n">
        <v>25</v>
      </c>
      <c r="F36" s="131" t="n">
        <v>59.7</v>
      </c>
      <c r="G36" s="17" t="n">
        <v>18</v>
      </c>
      <c r="H36" s="133" t="n">
        <v>231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82A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현대</t>
        </is>
      </c>
      <c r="B38" s="10" t="inlineStr">
        <is>
          <t>'97.06.</t>
        </is>
      </c>
      <c r="C38" s="133" t="n">
        <v>657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272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3" t="n">
        <v>657</v>
      </c>
      <c r="D39" s="131" t="n">
        <v>96.40000000000001</v>
      </c>
      <c r="E39" s="132" t="n">
        <v>29</v>
      </c>
      <c r="F39" s="131" t="n">
        <v>75.2</v>
      </c>
      <c r="G39" s="17" t="n">
        <v>23</v>
      </c>
      <c r="H39" s="133" t="n">
        <v>136</v>
      </c>
      <c r="I39" s="134" t="n">
        <v>17000</v>
      </c>
      <c r="J39" s="134" t="inlineStr">
        <is>
          <t>9</t>
        </is>
      </c>
      <c r="K39" s="134" t="n">
        <v>15500</v>
      </c>
      <c r="L39" s="134" t="inlineStr">
        <is>
          <t>13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96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3" t="n">
        <v>657</v>
      </c>
      <c r="D40" s="131" t="n">
        <v>105.2</v>
      </c>
      <c r="E40" s="132" t="n">
        <v>32</v>
      </c>
      <c r="F40" s="131" t="n">
        <v>85</v>
      </c>
      <c r="G40" s="17" t="n">
        <v>26</v>
      </c>
      <c r="H40" s="133" t="n">
        <v>249</v>
      </c>
      <c r="I40" s="134" t="n">
        <v>19000</v>
      </c>
      <c r="J40" s="134" t="inlineStr">
        <is>
          <t>15</t>
        </is>
      </c>
      <c r="K40" s="134" t="n">
        <v>18000</v>
      </c>
      <c r="L40" s="134" t="inlineStr">
        <is>
          <t>12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수송제일</t>
        </is>
      </c>
      <c r="B42" s="10" t="inlineStr">
        <is>
          <t>'02.03.</t>
        </is>
      </c>
      <c r="C42" s="133" t="n">
        <v>941</v>
      </c>
      <c r="D42" s="131" t="n">
        <v>111.5</v>
      </c>
      <c r="E42" s="132" t="n">
        <v>34</v>
      </c>
      <c r="F42" s="131" t="n">
        <v>84.7</v>
      </c>
      <c r="G42" s="17" t="n">
        <v>26</v>
      </c>
      <c r="H42" s="133" t="n">
        <v>729</v>
      </c>
      <c r="I42" s="134" t="n">
        <v>19000</v>
      </c>
      <c r="J42" s="134" t="inlineStr">
        <is>
          <t>15</t>
        </is>
      </c>
      <c r="K42" s="134" t="n">
        <v>18000</v>
      </c>
      <c r="L42" s="134" t="inlineStr">
        <is>
          <t>11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3" t="n">
        <v>941</v>
      </c>
      <c r="D43" s="131" t="n">
        <v>111</v>
      </c>
      <c r="E43" s="132" t="n">
        <v>34</v>
      </c>
      <c r="F43" s="131" t="n">
        <v>84.8</v>
      </c>
      <c r="G43" s="17" t="n">
        <v>26</v>
      </c>
      <c r="H43" s="133" t="n">
        <v>178</v>
      </c>
      <c r="I43" s="134" t="n">
        <v>18000</v>
      </c>
      <c r="J43" s="134" t="inlineStr">
        <is>
          <t>9</t>
        </is>
      </c>
      <c r="K43" s="134" t="n">
        <v>19100</v>
      </c>
      <c r="L43" s="134" t="inlineStr">
        <is>
          <t>15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111C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3" t="n">
        <v>941</v>
      </c>
      <c r="D44" s="131" t="n">
        <v>111.1</v>
      </c>
      <c r="E44" s="132" t="n">
        <v>34</v>
      </c>
      <c r="F44" s="131" t="n">
        <v>84.8</v>
      </c>
      <c r="G44" s="17" t="n">
        <v>26</v>
      </c>
      <c r="H44" s="133" t="n">
        <v>34</v>
      </c>
      <c r="I44" s="134" t="n">
        <v>21500</v>
      </c>
      <c r="J44" s="134" t="inlineStr">
        <is>
          <t>13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111B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동영</t>
        </is>
      </c>
      <c r="B46" s="10" t="inlineStr">
        <is>
          <t>'98.09.</t>
        </is>
      </c>
      <c r="C46" s="133" t="n">
        <v>360</v>
      </c>
      <c r="D46" s="131" t="n">
        <v>46.9</v>
      </c>
      <c r="E46" s="132" t="n">
        <v>14</v>
      </c>
      <c r="F46" s="131" t="n">
        <v>39.5</v>
      </c>
      <c r="G46" s="17" t="n">
        <v>12</v>
      </c>
      <c r="H46" s="133" t="n">
        <v>205</v>
      </c>
      <c r="I46" s="134" t="n">
        <v>6300</v>
      </c>
      <c r="J46" s="134" t="inlineStr">
        <is>
          <t>11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n">
        <v>46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3" t="n">
        <v>360</v>
      </c>
      <c r="D47" s="131" t="n">
        <v>54.4</v>
      </c>
      <c r="E47" s="132" t="n">
        <v>16</v>
      </c>
      <c r="F47" s="131" t="n">
        <v>39.5</v>
      </c>
      <c r="G47" s="17" t="n">
        <v>12</v>
      </c>
      <c r="H47" s="133" t="n">
        <v>5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54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3" t="n">
        <v>360</v>
      </c>
      <c r="D48" s="131" t="n">
        <v>76</v>
      </c>
      <c r="E48" s="132" t="n">
        <v>23</v>
      </c>
      <c r="F48" s="131" t="n">
        <v>59.9</v>
      </c>
      <c r="G48" s="17" t="n">
        <v>18</v>
      </c>
      <c r="H48" s="133" t="n">
        <v>15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75A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3" t="n">
        <v>360</v>
      </c>
      <c r="D49" s="131" t="n">
        <v>76</v>
      </c>
      <c r="E49" s="132" t="n">
        <v>23</v>
      </c>
      <c r="F49" s="131" t="n">
        <v>59.9</v>
      </c>
      <c r="G49" s="17" t="n">
        <v>18</v>
      </c>
      <c r="H49" s="133" t="n">
        <v>135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76B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3" t="n">
        <v>656</v>
      </c>
      <c r="D51" s="131" t="n">
        <v>117.7</v>
      </c>
      <c r="E51" s="132" t="n">
        <v>36</v>
      </c>
      <c r="F51" s="131" t="n">
        <v>91.3</v>
      </c>
      <c r="G51" s="17" t="n">
        <v>28</v>
      </c>
      <c r="H51" s="133" t="n">
        <v>114</v>
      </c>
      <c r="I51" s="134" t="n">
        <v>32500</v>
      </c>
      <c r="J51" s="134" t="inlineStr">
        <is>
          <t>6</t>
        </is>
      </c>
      <c r="K51" s="134" t="n">
        <v>27000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117A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3" t="n">
        <v>656</v>
      </c>
      <c r="D52" s="131" t="n">
        <v>118.8</v>
      </c>
      <c r="E52" s="132" t="n">
        <v>36</v>
      </c>
      <c r="F52" s="131" t="n">
        <v>91.2</v>
      </c>
      <c r="G52" s="17" t="n">
        <v>28</v>
      </c>
      <c r="H52" s="133" t="n">
        <v>136</v>
      </c>
      <c r="I52" s="134" t="n">
        <v>33600</v>
      </c>
      <c r="J52" s="134" t="inlineStr">
        <is>
          <t>8</t>
        </is>
      </c>
      <c r="K52" s="134" t="n">
        <v>27500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3" t="n">
        <v>656</v>
      </c>
      <c r="D53" s="131" t="n">
        <v>125.6</v>
      </c>
      <c r="E53" s="132" t="n">
        <v>38</v>
      </c>
      <c r="F53" s="131" t="n">
        <v>92.7</v>
      </c>
      <c r="G53" s="17" t="n">
        <v>28</v>
      </c>
      <c r="H53" s="133" t="n">
        <v>274</v>
      </c>
      <c r="I53" s="134" t="n">
        <v>33000</v>
      </c>
      <c r="J53" s="134" t="inlineStr">
        <is>
          <t>5</t>
        </is>
      </c>
      <c r="K53" s="134" t="n">
        <v>29000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125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3" t="n">
        <v>656</v>
      </c>
      <c r="D54" s="131" t="n">
        <v>140.7</v>
      </c>
      <c r="E54" s="132" t="n">
        <v>43</v>
      </c>
      <c r="F54" s="131" t="n">
        <v>110.2</v>
      </c>
      <c r="G54" s="17" t="n">
        <v>33</v>
      </c>
      <c r="H54" s="133" t="n">
        <v>132</v>
      </c>
      <c r="I54" s="134" t="n">
        <v>42000</v>
      </c>
      <c r="J54" s="134" t="inlineStr">
        <is>
          <t>14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3" t="n">
        <v>724</v>
      </c>
      <c r="D56" s="131" t="n">
        <v>99</v>
      </c>
      <c r="E56" s="132" t="n">
        <v>30</v>
      </c>
      <c r="F56" s="131" t="n">
        <v>69</v>
      </c>
      <c r="G56" s="17" t="n">
        <v>21</v>
      </c>
      <c r="H56" s="133" t="n">
        <v>212</v>
      </c>
      <c r="I56" s="134" t="n">
        <v>26000</v>
      </c>
      <c r="J56" s="134" t="inlineStr">
        <is>
          <t>11</t>
        </is>
      </c>
      <c r="K56" s="134" t="n">
        <v>24000</v>
      </c>
      <c r="L56" s="134" t="inlineStr">
        <is>
          <t>15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99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3" t="n">
        <v>724</v>
      </c>
      <c r="D57" s="131" t="n">
        <v>115.6</v>
      </c>
      <c r="E57" s="132" t="n">
        <v>35</v>
      </c>
      <c r="F57" s="131" t="n">
        <v>84.90000000000001</v>
      </c>
      <c r="G57" s="17" t="n">
        <v>26</v>
      </c>
      <c r="H57" s="133" t="n">
        <v>206</v>
      </c>
      <c r="I57" s="134" t="n">
        <v>30000</v>
      </c>
      <c r="J57" s="134" t="inlineStr">
        <is>
          <t>5</t>
        </is>
      </c>
      <c r="K57" s="134" t="n">
        <v>26000</v>
      </c>
      <c r="L57" s="134" t="inlineStr">
        <is>
          <t>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3" t="n">
        <v>724</v>
      </c>
      <c r="D58" s="131" t="n">
        <v>115.7</v>
      </c>
      <c r="E58" s="132" t="n">
        <v>35</v>
      </c>
      <c r="F58" s="131" t="n">
        <v>84.90000000000001</v>
      </c>
      <c r="G58" s="17" t="n">
        <v>26</v>
      </c>
      <c r="H58" s="133" t="n">
        <v>160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3" t="n">
        <v>724</v>
      </c>
      <c r="D59" s="131" t="n">
        <v>115.6</v>
      </c>
      <c r="E59" s="132" t="n">
        <v>35</v>
      </c>
      <c r="F59" s="131" t="n">
        <v>84.90000000000001</v>
      </c>
      <c r="G59" s="17" t="n">
        <v>26</v>
      </c>
      <c r="H59" s="133" t="n">
        <v>146</v>
      </c>
      <c r="I59" s="134" t="n">
        <v>30000</v>
      </c>
      <c r="J59" s="134" t="inlineStr">
        <is>
          <t>5</t>
        </is>
      </c>
      <c r="K59" s="134" t="n">
        <v>26000</v>
      </c>
      <c r="L59" s="134" t="inlineStr">
        <is>
          <t>5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115B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9">
      <formula>AV4="X"</formula>
    </cfRule>
    <cfRule type="expression" priority="834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9">
      <formula>AV8="X"</formula>
    </cfRule>
    <cfRule type="expression" priority="796" dxfId="18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9">
      <formula>AV10="X"</formula>
    </cfRule>
    <cfRule type="expression" priority="774" dxfId="18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9">
      <formula>AV11="X"</formula>
    </cfRule>
    <cfRule type="expression" priority="756" dxfId="18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9">
      <formula>AV12="X"</formula>
    </cfRule>
    <cfRule type="expression" priority="738" dxfId="18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9">
      <formula>AV13="X"</formula>
    </cfRule>
    <cfRule type="expression" priority="720" dxfId="18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9">
      <formula>AV14="X"</formula>
    </cfRule>
    <cfRule type="expression" priority="702" dxfId="18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9">
      <formula>AV15="X"</formula>
    </cfRule>
    <cfRule type="expression" priority="684" dxfId="18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9">
      <formula>AV16="X"</formula>
    </cfRule>
    <cfRule type="expression" priority="666" dxfId="18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9">
      <formula>AV17="X"</formula>
    </cfRule>
    <cfRule type="expression" priority="662" dxfId="18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9">
      <formula>AV18="X"</formula>
    </cfRule>
    <cfRule type="expression" priority="644" dxfId="18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9">
      <formula>AV19="X"</formula>
    </cfRule>
    <cfRule type="expression" priority="626" dxfId="18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9">
      <formula>AV20="X"</formula>
    </cfRule>
    <cfRule type="expression" priority="608" dxfId="18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9">
      <formula>AV22="X"</formula>
    </cfRule>
    <cfRule type="expression" priority="572" dxfId="18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9">
      <formula>AV24="X"</formula>
    </cfRule>
    <cfRule type="expression" priority="550" dxfId="18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9">
      <formula>AV25="X"</formula>
    </cfRule>
    <cfRule type="expression" priority="532" dxfId="18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9">
      <formula>AV27="X"</formula>
    </cfRule>
    <cfRule type="expression" priority="496" dxfId="18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9">
      <formula>AV28="X"</formula>
    </cfRule>
    <cfRule type="expression" priority="478" dxfId="18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9">
      <formula>AV29="X"</formula>
    </cfRule>
    <cfRule type="expression" priority="474" dxfId="18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9">
      <formula>AV30="X"</formula>
    </cfRule>
    <cfRule type="expression" priority="456" dxfId="18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9">
      <formula>AV31="X"</formula>
    </cfRule>
    <cfRule type="expression" priority="438" dxfId="18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9">
      <formula>AV32="X"</formula>
    </cfRule>
    <cfRule type="expression" priority="420" dxfId="18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9">
      <formula>AV33="X"</formula>
    </cfRule>
    <cfRule type="expression" priority="402" dxfId="18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9">
      <formula>AV34="X"</formula>
    </cfRule>
    <cfRule type="expression" priority="398" dxfId="18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9">
      <formula>AV35="X"</formula>
    </cfRule>
    <cfRule type="expression" priority="380" dxfId="18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9">
      <formula>AV36="X"</formula>
    </cfRule>
    <cfRule type="expression" priority="362" dxfId="18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9">
      <formula>AV37="X"</formula>
    </cfRule>
    <cfRule type="expression" priority="344" dxfId="18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9">
      <formula>AV38="X"</formula>
    </cfRule>
    <cfRule type="expression" priority="340" dxfId="18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9">
      <formula>AV39="X"</formula>
    </cfRule>
    <cfRule type="expression" priority="322" dxfId="18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9">
      <formula>AV40="X"</formula>
    </cfRule>
    <cfRule type="expression" priority="304" dxfId="18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9">
      <formula>AV41="X"</formula>
    </cfRule>
    <cfRule type="expression" priority="286" dxfId="18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9">
      <formula>AV42="X"</formula>
    </cfRule>
    <cfRule type="expression" priority="282" dxfId="18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9">
      <formula>AV43="X"</formula>
    </cfRule>
    <cfRule type="expression" priority="264" dxfId="18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9">
      <formula>AV44="X"</formula>
    </cfRule>
    <cfRule type="expression" priority="246" dxfId="18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9">
      <formula>AV45="X"</formula>
    </cfRule>
    <cfRule type="expression" priority="228" dxfId="18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9">
      <formula>AV47="X"</formula>
    </cfRule>
    <cfRule type="expression" priority="206" dxfId="18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9">
      <formula>AV48="X"</formula>
    </cfRule>
    <cfRule type="expression" priority="188" dxfId="18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9">
      <formula>AV49="X"</formula>
    </cfRule>
    <cfRule type="expression" priority="170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9">
      <formula>AV51="X"</formula>
    </cfRule>
    <cfRule type="expression" priority="148" dxfId="18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9">
      <formula>AV52="X"</formula>
    </cfRule>
    <cfRule type="expression" priority="130" dxfId="18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9">
      <formula>AV53="X"</formula>
    </cfRule>
    <cfRule type="expression" priority="112" dxfId="18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9">
      <formula>AV54="X"</formula>
    </cfRule>
    <cfRule type="expression" priority="94" dxfId="18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9">
      <formula>AV55="X"</formula>
    </cfRule>
    <cfRule type="expression" priority="76" dxfId="18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9">
      <formula>AV56="X"</formula>
    </cfRule>
    <cfRule type="expression" priority="72" dxfId="18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9">
      <formula>AV57="X"</formula>
    </cfRule>
    <cfRule type="expression" priority="54" dxfId="18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9">
      <formula>AV58="X"</formula>
    </cfRule>
    <cfRule type="expression" priority="36" dxfId="18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9">
      <formula>AV59="X"</formula>
    </cfRule>
    <cfRule type="expression" priority="18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월명</t>
        </is>
      </c>
      <c r="B6" s="10" t="inlineStr">
        <is>
          <t>'79.05.</t>
        </is>
      </c>
      <c r="C6" s="133" t="n">
        <v>240</v>
      </c>
      <c r="D6" s="131" t="n">
        <v>62</v>
      </c>
      <c r="E6" s="132" t="n">
        <v>19</v>
      </c>
      <c r="F6" s="131" t="n">
        <v>62</v>
      </c>
      <c r="G6" s="17" t="n">
        <v>19</v>
      </c>
      <c r="H6" s="133" t="n">
        <v>30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3" t="n">
        <v>240</v>
      </c>
      <c r="D7" s="131" t="n">
        <v>70.7</v>
      </c>
      <c r="E7" s="132" t="n">
        <v>21</v>
      </c>
      <c r="F7" s="131" t="n">
        <v>70.7</v>
      </c>
      <c r="G7" s="17" t="n">
        <v>21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70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3" t="n">
        <v>240</v>
      </c>
      <c r="D8" s="131" t="n">
        <v>76.09999999999999</v>
      </c>
      <c r="E8" s="132" t="n">
        <v>23</v>
      </c>
      <c r="F8" s="131" t="n">
        <v>76.09999999999999</v>
      </c>
      <c r="G8" s="17" t="n">
        <v>23</v>
      </c>
      <c r="H8" s="133" t="n">
        <v>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3" t="n">
        <v>240</v>
      </c>
      <c r="D9" s="131" t="n">
        <v>78.5</v>
      </c>
      <c r="E9" s="132" t="n">
        <v>24</v>
      </c>
      <c r="F9" s="131" t="n">
        <v>78.5</v>
      </c>
      <c r="G9" s="17" t="n">
        <v>24</v>
      </c>
      <c r="H9" s="133" t="n">
        <v>60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3" t="n">
        <v>240</v>
      </c>
      <c r="D10" s="131" t="n">
        <v>81.2</v>
      </c>
      <c r="E10" s="132" t="n">
        <v>25</v>
      </c>
      <c r="F10" s="131" t="n">
        <v>81.2</v>
      </c>
      <c r="G10" s="17" t="n">
        <v>25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3" t="n">
        <v>240</v>
      </c>
      <c r="D11" s="131" t="n">
        <v>83.59999999999999</v>
      </c>
      <c r="E11" s="132" t="n">
        <v>25</v>
      </c>
      <c r="F11" s="131" t="n">
        <v>83.59999999999999</v>
      </c>
      <c r="G11" s="17" t="n">
        <v>25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83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9">
      <formula>AV4="X"</formula>
    </cfRule>
    <cfRule type="expression" priority="110" dxfId="18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9">
      <formula>AV7="X"</formula>
    </cfRule>
    <cfRule type="expression" priority="90" dxfId="18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9">
      <formula>AV8="X"</formula>
    </cfRule>
    <cfRule type="expression" priority="72" dxfId="18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9">
      <formula>AV9="X"</formula>
    </cfRule>
    <cfRule type="expression" priority="54" dxfId="18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9">
      <formula>AV10="X"</formula>
    </cfRule>
    <cfRule type="expression" priority="36" dxfId="18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9">
      <formula>AV11="X"</formula>
    </cfRule>
    <cfRule type="expression" priority="18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한성필하우스</t>
        </is>
      </c>
      <c r="B6" s="10" t="inlineStr">
        <is>
          <t>'12.08.</t>
        </is>
      </c>
      <c r="C6" s="133" t="n">
        <v>892</v>
      </c>
      <c r="D6" s="131" t="n">
        <v>50.2</v>
      </c>
      <c r="E6" s="132" t="n">
        <v>15</v>
      </c>
      <c r="F6" s="131" t="n">
        <v>35.4</v>
      </c>
      <c r="G6" s="17" t="n">
        <v>11</v>
      </c>
      <c r="H6" s="133" t="n">
        <v>4</v>
      </c>
      <c r="I6" s="134" t="n">
        <v>7500</v>
      </c>
      <c r="J6" s="134" t="inlineStr">
        <is>
          <t>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3" t="n">
        <v>892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17</v>
      </c>
      <c r="I7" s="134" t="n">
        <v>12900</v>
      </c>
      <c r="J7" s="134" t="inlineStr">
        <is>
          <t>20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3" t="n">
        <v>892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51</v>
      </c>
      <c r="I8" s="134" t="n">
        <v>12700</v>
      </c>
      <c r="J8" s="134" t="inlineStr">
        <is>
          <t>22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83C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3" t="n">
        <v>892</v>
      </c>
      <c r="D9" s="131" t="n">
        <v>84.40000000000001</v>
      </c>
      <c r="E9" s="132" t="n">
        <v>26</v>
      </c>
      <c r="F9" s="131" t="n">
        <v>59.9</v>
      </c>
      <c r="G9" s="17" t="n">
        <v>18</v>
      </c>
      <c r="H9" s="133" t="n">
        <v>465</v>
      </c>
      <c r="I9" s="134" t="n">
        <v>11000</v>
      </c>
      <c r="J9" s="134" t="inlineStr">
        <is>
          <t>11</t>
        </is>
      </c>
      <c r="K9" s="134" t="n">
        <v>10000</v>
      </c>
      <c r="L9" s="134" t="inlineStr">
        <is>
          <t>12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힐스테이트은파</t>
        </is>
      </c>
      <c r="B6" s="10" t="inlineStr">
        <is>
          <t>'15.09.</t>
        </is>
      </c>
      <c r="C6" s="133" t="n">
        <v>449</v>
      </c>
      <c r="D6" s="131" t="n">
        <v>110.9</v>
      </c>
      <c r="E6" s="132" t="n">
        <v>34</v>
      </c>
      <c r="F6" s="131" t="n">
        <v>85</v>
      </c>
      <c r="G6" s="17" t="n">
        <v>26</v>
      </c>
      <c r="H6" s="133" t="n">
        <v>449</v>
      </c>
      <c r="I6" s="134" t="n">
        <v>26800</v>
      </c>
      <c r="J6" s="134" t="inlineStr">
        <is>
          <t>11</t>
        </is>
      </c>
      <c r="K6" s="134" t="n">
        <v>23500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군산대광로제비앙</t>
        </is>
      </c>
      <c r="B8" s="10" t="inlineStr">
        <is>
          <t>'17.12.</t>
        </is>
      </c>
      <c r="C8" s="133" t="n">
        <v>469</v>
      </c>
      <c r="D8" s="131" t="n">
        <v>109.8</v>
      </c>
      <c r="E8" s="132" t="n">
        <v>33</v>
      </c>
      <c r="F8" s="131" t="n">
        <v>85</v>
      </c>
      <c r="G8" s="17" t="n">
        <v>26</v>
      </c>
      <c r="H8" s="133" t="n">
        <v>380</v>
      </c>
      <c r="I8" s="134" t="n">
        <v>31000</v>
      </c>
      <c r="J8" s="134" t="inlineStr">
        <is>
          <t>20</t>
        </is>
      </c>
      <c r="K8" s="134" t="n">
        <v>25000</v>
      </c>
      <c r="L8" s="134" t="inlineStr">
        <is>
          <t>20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3" t="n">
        <v>469</v>
      </c>
      <c r="D9" s="131" t="n">
        <v>111.4</v>
      </c>
      <c r="E9" s="132" t="n">
        <v>34</v>
      </c>
      <c r="F9" s="131" t="n">
        <v>85</v>
      </c>
      <c r="G9" s="17" t="n">
        <v>26</v>
      </c>
      <c r="H9" s="133" t="n">
        <v>46</v>
      </c>
      <c r="I9" s="134" t="n">
        <v>31000</v>
      </c>
      <c r="J9" s="134" t="inlineStr">
        <is>
          <t>8</t>
        </is>
      </c>
      <c r="K9" s="134" t="n">
        <v>26000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3" t="n">
        <v>469</v>
      </c>
      <c r="D10" s="131" t="n">
        <v>111.6</v>
      </c>
      <c r="E10" s="132" t="n">
        <v>34</v>
      </c>
      <c r="F10" s="131" t="n">
        <v>85</v>
      </c>
      <c r="G10" s="17" t="n">
        <v>26</v>
      </c>
      <c r="H10" s="133" t="n">
        <v>43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9">
      <formula>AV8="X"</formula>
    </cfRule>
    <cfRule type="expression" priority="54" dxfId="18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클래시움</t>
        </is>
      </c>
      <c r="B6" s="10" t="inlineStr">
        <is>
          <t>'04.05.</t>
        </is>
      </c>
      <c r="C6" s="133" t="n">
        <v>210</v>
      </c>
      <c r="D6" s="131" t="n">
        <v>126.8</v>
      </c>
      <c r="E6" s="132" t="n">
        <v>38</v>
      </c>
      <c r="F6" s="131" t="n">
        <v>101.7</v>
      </c>
      <c r="G6" s="17" t="n">
        <v>31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3" t="n">
        <v>210</v>
      </c>
      <c r="D7" s="131" t="n">
        <v>165</v>
      </c>
      <c r="E7" s="132" t="n">
        <v>50</v>
      </c>
      <c r="F7" s="131" t="n">
        <v>142.1</v>
      </c>
      <c r="G7" s="17" t="n">
        <v>43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3" t="n">
        <v>210</v>
      </c>
      <c r="D8" s="131" t="n">
        <v>189.9</v>
      </c>
      <c r="E8" s="132" t="n">
        <v>57</v>
      </c>
      <c r="F8" s="131" t="n">
        <v>166.5</v>
      </c>
      <c r="G8" s="17" t="n">
        <v>50</v>
      </c>
      <c r="H8" s="133" t="n">
        <v>45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3" t="n">
        <v>210</v>
      </c>
      <c r="D9" s="131" t="n">
        <v>193.8</v>
      </c>
      <c r="E9" s="132" t="n">
        <v>59</v>
      </c>
      <c r="F9" s="131" t="n">
        <v>170.4</v>
      </c>
      <c r="G9" s="17" t="n">
        <v>52</v>
      </c>
      <c r="H9" s="133" t="n">
        <v>15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193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현대세솔</t>
        </is>
      </c>
      <c r="B6" s="10" t="inlineStr">
        <is>
          <t>'02.03.</t>
        </is>
      </c>
      <c r="C6" s="133" t="n">
        <v>547</v>
      </c>
      <c r="D6" s="131" t="n">
        <v>76.5</v>
      </c>
      <c r="E6" s="132" t="n">
        <v>23</v>
      </c>
      <c r="F6" s="131" t="n">
        <v>59.7</v>
      </c>
      <c r="G6" s="17" t="n">
        <v>18</v>
      </c>
      <c r="H6" s="133" t="n">
        <v>48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3" t="n">
        <v>547</v>
      </c>
      <c r="D7" s="131" t="n">
        <v>82.5</v>
      </c>
      <c r="E7" s="132" t="n">
        <v>25</v>
      </c>
      <c r="F7" s="131" t="n">
        <v>60</v>
      </c>
      <c r="G7" s="17" t="n">
        <v>18</v>
      </c>
      <c r="H7" s="133" t="n">
        <v>259</v>
      </c>
      <c r="I7" s="134" t="n">
        <v>9500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82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3" t="n">
        <v>547</v>
      </c>
      <c r="D8" s="131" t="n">
        <v>103.1</v>
      </c>
      <c r="E8" s="132" t="n">
        <v>31</v>
      </c>
      <c r="F8" s="131" t="n">
        <v>85</v>
      </c>
      <c r="G8" s="17" t="n">
        <v>26</v>
      </c>
      <c r="H8" s="133" t="n">
        <v>210</v>
      </c>
      <c r="I8" s="134" t="n">
        <v>16500</v>
      </c>
      <c r="J8" s="134" t="inlineStr">
        <is>
          <t>13</t>
        </is>
      </c>
      <c r="K8" s="134" t="n">
        <v>15000</v>
      </c>
      <c r="L8" s="134" t="inlineStr">
        <is>
          <t>13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103A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3" t="n">
        <v>547</v>
      </c>
      <c r="D9" s="131" t="n">
        <v>103.1</v>
      </c>
      <c r="E9" s="132" t="n">
        <v>31</v>
      </c>
      <c r="F9" s="131" t="n">
        <v>85</v>
      </c>
      <c r="G9" s="17" t="n">
        <v>26</v>
      </c>
      <c r="H9" s="133" t="n">
        <v>30</v>
      </c>
      <c r="I9" s="134" t="n">
        <v>16500</v>
      </c>
      <c r="J9" s="134" t="inlineStr">
        <is>
          <t>13</t>
        </is>
      </c>
      <c r="K9" s="134" t="n">
        <v>15000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103B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3" t="n">
        <v>1400</v>
      </c>
      <c r="D6" s="131" t="n">
        <v>82</v>
      </c>
      <c r="E6" s="132" t="n">
        <v>25</v>
      </c>
      <c r="F6" s="131" t="n">
        <v>60</v>
      </c>
      <c r="G6" s="17" t="n">
        <v>18</v>
      </c>
      <c r="H6" s="133" t="n">
        <v>189</v>
      </c>
      <c r="I6" s="134" t="n">
        <v>32000</v>
      </c>
      <c r="J6" s="134" t="inlineStr">
        <is>
          <t>23</t>
        </is>
      </c>
      <c r="K6" s="134" t="n">
        <v>25000</v>
      </c>
      <c r="L6" s="134" t="inlineStr">
        <is>
          <t>28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3" t="n">
        <v>1400</v>
      </c>
      <c r="D7" s="131" t="n">
        <v>82.40000000000001</v>
      </c>
      <c r="E7" s="132" t="n">
        <v>25</v>
      </c>
      <c r="F7" s="131" t="n">
        <v>59.2</v>
      </c>
      <c r="G7" s="17" t="n">
        <v>18</v>
      </c>
      <c r="H7" s="133" t="n">
        <v>55</v>
      </c>
      <c r="I7" s="134" t="n">
        <v>32000</v>
      </c>
      <c r="J7" s="134" t="inlineStr">
        <is>
          <t>17</t>
        </is>
      </c>
      <c r="K7" s="134" t="n">
        <v>27000</v>
      </c>
      <c r="L7" s="134" t="inlineStr">
        <is>
          <t>26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3" t="n">
        <v>1400</v>
      </c>
      <c r="D8" s="131" t="n">
        <v>101.7</v>
      </c>
      <c r="E8" s="132" t="n">
        <v>31</v>
      </c>
      <c r="F8" s="131" t="n">
        <v>74.90000000000001</v>
      </c>
      <c r="G8" s="17" t="n">
        <v>23</v>
      </c>
      <c r="H8" s="133" t="n">
        <v>279</v>
      </c>
      <c r="I8" s="134" t="n">
        <v>39800</v>
      </c>
      <c r="J8" s="134" t="inlineStr">
        <is>
          <t>9</t>
        </is>
      </c>
      <c r="K8" s="134" t="n">
        <v>31000</v>
      </c>
      <c r="L8" s="134" t="inlineStr">
        <is>
          <t>22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3" t="n">
        <v>1400</v>
      </c>
      <c r="D9" s="131" t="n">
        <v>102.3</v>
      </c>
      <c r="E9" s="132" t="n">
        <v>31</v>
      </c>
      <c r="F9" s="131" t="n">
        <v>74.8</v>
      </c>
      <c r="G9" s="17" t="n">
        <v>23</v>
      </c>
      <c r="H9" s="133" t="n">
        <v>113</v>
      </c>
      <c r="I9" s="134" t="n">
        <v>38000</v>
      </c>
      <c r="J9" s="134" t="inlineStr">
        <is>
          <t>24</t>
        </is>
      </c>
      <c r="K9" s="134" t="n">
        <v>29000</v>
      </c>
      <c r="L9" s="134" t="inlineStr">
        <is>
          <t>19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102C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3" t="n">
        <v>1400</v>
      </c>
      <c r="D10" s="131" t="n">
        <v>102.3</v>
      </c>
      <c r="E10" s="132" t="n">
        <v>31</v>
      </c>
      <c r="F10" s="131" t="n">
        <v>74.8</v>
      </c>
      <c r="G10" s="17" t="n">
        <v>23</v>
      </c>
      <c r="H10" s="133" t="n">
        <v>110</v>
      </c>
      <c r="I10" s="134" t="n">
        <v>38000</v>
      </c>
      <c r="J10" s="134" t="inlineStr">
        <is>
          <t>24</t>
        </is>
      </c>
      <c r="K10" s="134" t="n">
        <v>29000</v>
      </c>
      <c r="L10" s="134" t="inlineStr">
        <is>
          <t>19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3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50500</v>
      </c>
      <c r="J11" s="134" t="inlineStr">
        <is>
          <t>10</t>
        </is>
      </c>
      <c r="K11" s="134" t="n">
        <v>33000</v>
      </c>
      <c r="L11" s="134" t="inlineStr">
        <is>
          <t>23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3" t="n">
        <v>1400</v>
      </c>
      <c r="D12" s="131" t="n">
        <v>114.3</v>
      </c>
      <c r="E12" s="132" t="n">
        <v>35</v>
      </c>
      <c r="F12" s="131" t="n">
        <v>84.59999999999999</v>
      </c>
      <c r="G12" s="17" t="n">
        <v>26</v>
      </c>
      <c r="H12" s="133" t="n">
        <v>128</v>
      </c>
      <c r="I12" s="134" t="n">
        <v>48800</v>
      </c>
      <c r="J12" s="134" t="inlineStr">
        <is>
          <t>21</t>
        </is>
      </c>
      <c r="K12" s="134" t="n">
        <v>31000</v>
      </c>
      <c r="L12" s="134" t="inlineStr">
        <is>
          <t>8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3" t="n">
        <v>1400</v>
      </c>
      <c r="D13" s="131" t="n">
        <v>115.4</v>
      </c>
      <c r="E13" s="132" t="n">
        <v>35</v>
      </c>
      <c r="F13" s="131" t="n">
        <v>84.59999999999999</v>
      </c>
      <c r="G13" s="17" t="n">
        <v>26</v>
      </c>
      <c r="H13" s="133" t="n">
        <v>135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3" t="n">
        <v>1400</v>
      </c>
      <c r="D14" s="131" t="n">
        <v>115.6</v>
      </c>
      <c r="E14" s="132" t="n">
        <v>35</v>
      </c>
      <c r="F14" s="131" t="n">
        <v>84</v>
      </c>
      <c r="G14" s="17" t="n">
        <v>25</v>
      </c>
      <c r="H14" s="133" t="n">
        <v>127</v>
      </c>
      <c r="I14" s="134" t="n">
        <v>45000</v>
      </c>
      <c r="J14" s="134" t="inlineStr">
        <is>
          <t>7</t>
        </is>
      </c>
      <c r="K14" s="134" t="n">
        <v>30000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3" t="n">
        <v>1400</v>
      </c>
      <c r="D15" s="131" t="n">
        <v>134.7</v>
      </c>
      <c r="E15" s="132" t="n">
        <v>41</v>
      </c>
      <c r="F15" s="131" t="n">
        <v>99.5</v>
      </c>
      <c r="G15" s="17" t="n">
        <v>30</v>
      </c>
      <c r="H15" s="133" t="n">
        <v>49</v>
      </c>
      <c r="I15" s="134" t="n">
        <v>69000</v>
      </c>
      <c r="J15" s="134" t="inlineStr">
        <is>
          <t>9</t>
        </is>
      </c>
      <c r="K15" s="134" t="n">
        <v>34000</v>
      </c>
      <c r="L15" s="134" t="inlineStr">
        <is>
          <t>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타워써미트</t>
        </is>
      </c>
      <c r="B17" s="10" t="inlineStr">
        <is>
          <t>'12.06.</t>
        </is>
      </c>
      <c r="C17" s="133" t="n">
        <v>770</v>
      </c>
      <c r="D17" s="131" t="n">
        <v>79.09999999999999</v>
      </c>
      <c r="E17" s="132" t="n">
        <v>24</v>
      </c>
      <c r="F17" s="131" t="n">
        <v>59.9</v>
      </c>
      <c r="G17" s="17" t="n">
        <v>18</v>
      </c>
      <c r="H17" s="133" t="n">
        <v>129</v>
      </c>
      <c r="I17" s="134" t="n">
        <v>19900</v>
      </c>
      <c r="J17" s="134" t="inlineStr">
        <is>
          <t>15</t>
        </is>
      </c>
      <c r="K17" s="134" t="n">
        <v>19000</v>
      </c>
      <c r="L17" s="134" t="inlineStr">
        <is>
          <t>15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3" t="n">
        <v>770</v>
      </c>
      <c r="D18" s="131" t="n">
        <v>112.1</v>
      </c>
      <c r="E18" s="132" t="n">
        <v>34</v>
      </c>
      <c r="F18" s="131" t="n">
        <v>85</v>
      </c>
      <c r="G18" s="17" t="n">
        <v>26</v>
      </c>
      <c r="H18" s="133" t="n">
        <v>277</v>
      </c>
      <c r="I18" s="134" t="n">
        <v>26000</v>
      </c>
      <c r="J18" s="134" t="inlineStr">
        <is>
          <t>23</t>
        </is>
      </c>
      <c r="K18" s="134" t="n">
        <v>23000</v>
      </c>
      <c r="L18" s="134" t="inlineStr">
        <is>
          <t>7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3" t="n">
        <v>770</v>
      </c>
      <c r="D19" s="131" t="n">
        <v>112</v>
      </c>
      <c r="E19" s="132" t="n">
        <v>34</v>
      </c>
      <c r="F19" s="131" t="n">
        <v>84.90000000000001</v>
      </c>
      <c r="G19" s="17" t="n">
        <v>26</v>
      </c>
      <c r="H19" s="133" t="n">
        <v>191</v>
      </c>
      <c r="I19" s="134" t="n">
        <v>26500</v>
      </c>
      <c r="J19" s="134" t="inlineStr">
        <is>
          <t>16</t>
        </is>
      </c>
      <c r="K19" s="134" t="n">
        <v>21500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3" t="n">
        <v>770</v>
      </c>
      <c r="D20" s="131" t="n">
        <v>112.1</v>
      </c>
      <c r="E20" s="132" t="n">
        <v>34</v>
      </c>
      <c r="F20" s="131" t="n">
        <v>85</v>
      </c>
      <c r="G20" s="17" t="n">
        <v>26</v>
      </c>
      <c r="H20" s="133" t="n">
        <v>173</v>
      </c>
      <c r="I20" s="134" t="n">
        <v>26000</v>
      </c>
      <c r="J20" s="134" t="inlineStr">
        <is>
          <t>23</t>
        </is>
      </c>
      <c r="K20" s="134" t="n">
        <v>23000</v>
      </c>
      <c r="L20" s="134" t="inlineStr">
        <is>
          <t>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'92.10.</t>
        </is>
      </c>
      <c r="C22" s="133" t="n">
        <v>306</v>
      </c>
      <c r="D22" s="131" t="n">
        <v>92.3</v>
      </c>
      <c r="E22" s="132" t="n">
        <v>28</v>
      </c>
      <c r="F22" s="131" t="n">
        <v>73.8</v>
      </c>
      <c r="G22" s="17" t="n">
        <v>22</v>
      </c>
      <c r="H22" s="133" t="n">
        <v>72</v>
      </c>
      <c r="I22" s="134" t="n">
        <v>14500</v>
      </c>
      <c r="J22" s="134" t="inlineStr">
        <is>
          <t>12</t>
        </is>
      </c>
      <c r="K22" s="134" t="n">
        <v>12000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92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3" t="n">
        <v>306</v>
      </c>
      <c r="D23" s="131" t="n">
        <v>92.2</v>
      </c>
      <c r="E23" s="132" t="n">
        <v>28</v>
      </c>
      <c r="F23" s="131" t="n">
        <v>73.5</v>
      </c>
      <c r="G23" s="17" t="n">
        <v>22</v>
      </c>
      <c r="H23" s="133" t="n">
        <v>72</v>
      </c>
      <c r="I23" s="134" t="n">
        <v>15000</v>
      </c>
      <c r="J23" s="134" t="inlineStr">
        <is>
          <t>6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92S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3" t="n">
        <v>306</v>
      </c>
      <c r="D24" s="131" t="n">
        <v>104.6</v>
      </c>
      <c r="E24" s="132" t="n">
        <v>32</v>
      </c>
      <c r="F24" s="131" t="n">
        <v>85</v>
      </c>
      <c r="G24" s="17" t="n">
        <v>26</v>
      </c>
      <c r="H24" s="133" t="n">
        <v>132</v>
      </c>
      <c r="I24" s="134" t="n">
        <v>16500</v>
      </c>
      <c r="J24" s="134" t="inlineStr">
        <is>
          <t>11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3" t="n">
        <v>306</v>
      </c>
      <c r="D25" s="131" t="n">
        <v>104.5</v>
      </c>
      <c r="E25" s="132" t="n">
        <v>32</v>
      </c>
      <c r="F25" s="131" t="n">
        <v>84.90000000000001</v>
      </c>
      <c r="G25" s="17" t="n">
        <v>26</v>
      </c>
      <c r="H25" s="133" t="n">
        <v>30</v>
      </c>
      <c r="I25" s="134" t="n">
        <v>16500</v>
      </c>
      <c r="J25" s="134" t="inlineStr">
        <is>
          <t>10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104S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부향하나로</t>
        </is>
      </c>
      <c r="B27" s="10" t="inlineStr">
        <is>
          <t>'96.09.</t>
        </is>
      </c>
      <c r="C27" s="133" t="n">
        <v>402</v>
      </c>
      <c r="D27" s="131" t="n">
        <v>53.7</v>
      </c>
      <c r="E27" s="132" t="n">
        <v>16</v>
      </c>
      <c r="F27" s="131" t="n">
        <v>40</v>
      </c>
      <c r="G27" s="17" t="n">
        <v>12</v>
      </c>
      <c r="H27" s="133" t="n">
        <v>402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n">
        <v>53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3" t="n">
        <v>854</v>
      </c>
      <c r="D29" s="131" t="n">
        <v>80.5</v>
      </c>
      <c r="E29" s="132" t="n">
        <v>24</v>
      </c>
      <c r="F29" s="131" t="n">
        <v>59.9</v>
      </c>
      <c r="G29" s="17" t="n">
        <v>18</v>
      </c>
      <c r="H29" s="133" t="n">
        <v>174</v>
      </c>
      <c r="I29" s="134" t="n">
        <v>32000</v>
      </c>
      <c r="J29" s="134" t="inlineStr">
        <is>
          <t>25</t>
        </is>
      </c>
      <c r="K29" s="134" t="n">
        <v>26000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80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3" t="n">
        <v>854</v>
      </c>
      <c r="D30" s="131" t="n">
        <v>100.4</v>
      </c>
      <c r="E30" s="132" t="n">
        <v>30</v>
      </c>
      <c r="F30" s="131" t="n">
        <v>75</v>
      </c>
      <c r="G30" s="17" t="n">
        <v>23</v>
      </c>
      <c r="H30" s="133" t="n">
        <v>174</v>
      </c>
      <c r="I30" s="134" t="n">
        <v>40000</v>
      </c>
      <c r="J30" s="134" t="inlineStr">
        <is>
          <t>10</t>
        </is>
      </c>
      <c r="K30" s="134" t="n">
        <v>28000</v>
      </c>
      <c r="L30" s="134" t="inlineStr">
        <is>
          <t>10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100B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3" t="n">
        <v>854</v>
      </c>
      <c r="D31" s="131" t="n">
        <v>100.1</v>
      </c>
      <c r="E31" s="132" t="n">
        <v>30</v>
      </c>
      <c r="F31" s="131" t="n">
        <v>75</v>
      </c>
      <c r="G31" s="17" t="n">
        <v>23</v>
      </c>
      <c r="H31" s="133" t="n">
        <v>84</v>
      </c>
      <c r="I31" s="134" t="n">
        <v>43000</v>
      </c>
      <c r="J31" s="134" t="inlineStr">
        <is>
          <t>고</t>
        </is>
      </c>
      <c r="K31" s="134" t="n">
        <v>30000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100A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3" t="n">
        <v>854</v>
      </c>
      <c r="D32" s="131" t="n">
        <v>113.2</v>
      </c>
      <c r="E32" s="132" t="n">
        <v>34</v>
      </c>
      <c r="F32" s="131" t="n">
        <v>85</v>
      </c>
      <c r="G32" s="17" t="n">
        <v>26</v>
      </c>
      <c r="H32" s="133" t="n">
        <v>253</v>
      </c>
      <c r="I32" s="134" t="n">
        <v>47000</v>
      </c>
      <c r="J32" s="134" t="inlineStr">
        <is>
          <t>25</t>
        </is>
      </c>
      <c r="K32" s="134" t="n">
        <v>32000</v>
      </c>
      <c r="L32" s="134" t="inlineStr">
        <is>
          <t>11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3" t="n">
        <v>854</v>
      </c>
      <c r="D33" s="131" t="n">
        <v>113.9</v>
      </c>
      <c r="E33" s="132" t="n">
        <v>34</v>
      </c>
      <c r="F33" s="131" t="n">
        <v>84.8</v>
      </c>
      <c r="G33" s="17" t="n">
        <v>26</v>
      </c>
      <c r="H33" s="133" t="n">
        <v>82</v>
      </c>
      <c r="I33" s="134" t="n">
        <v>47000</v>
      </c>
      <c r="J33" s="134" t="inlineStr">
        <is>
          <t>19</t>
        </is>
      </c>
      <c r="K33" s="134" t="n">
        <v>32000</v>
      </c>
      <c r="L33" s="134" t="inlineStr">
        <is>
          <t>23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3" t="n">
        <v>854</v>
      </c>
      <c r="D34" s="131" t="n">
        <v>140.3</v>
      </c>
      <c r="E34" s="132" t="n">
        <v>42</v>
      </c>
      <c r="F34" s="131" t="n">
        <v>106.4</v>
      </c>
      <c r="G34" s="17" t="n">
        <v>32</v>
      </c>
      <c r="H34" s="133" t="n">
        <v>87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140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'93.12.</t>
        </is>
      </c>
      <c r="C36" s="133" t="n">
        <v>270</v>
      </c>
      <c r="D36" s="131" t="n">
        <v>66.59999999999999</v>
      </c>
      <c r="E36" s="132" t="n">
        <v>20</v>
      </c>
      <c r="F36" s="131" t="n">
        <v>49.1</v>
      </c>
      <c r="G36" s="17" t="n">
        <v>15</v>
      </c>
      <c r="H36" s="133" t="n">
        <v>150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3" t="n">
        <v>270</v>
      </c>
      <c r="D37" s="131" t="n">
        <v>79.40000000000001</v>
      </c>
      <c r="E37" s="132" t="n">
        <v>24</v>
      </c>
      <c r="F37" s="131" t="n">
        <v>59.4</v>
      </c>
      <c r="G37" s="17" t="n">
        <v>18</v>
      </c>
      <c r="H37" s="133" t="n">
        <v>120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3" t="n">
        <v>771</v>
      </c>
      <c r="D39" s="131" t="n">
        <v>109.6</v>
      </c>
      <c r="E39" s="132" t="n">
        <v>33</v>
      </c>
      <c r="F39" s="131" t="n">
        <v>85</v>
      </c>
      <c r="G39" s="17" t="n">
        <v>26</v>
      </c>
      <c r="H39" s="133" t="n">
        <v>442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3" t="n">
        <v>771</v>
      </c>
      <c r="D40" s="131" t="n">
        <v>109.7</v>
      </c>
      <c r="E40" s="132" t="n">
        <v>33</v>
      </c>
      <c r="F40" s="131" t="n">
        <v>85</v>
      </c>
      <c r="G40" s="17" t="n">
        <v>26</v>
      </c>
      <c r="H40" s="133" t="n">
        <v>111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3" t="n">
        <v>771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36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109C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3" t="n">
        <v>771</v>
      </c>
      <c r="D42" s="131" t="n">
        <v>135.4</v>
      </c>
      <c r="E42" s="132" t="n">
        <v>41</v>
      </c>
      <c r="F42" s="131" t="n">
        <v>107</v>
      </c>
      <c r="G42" s="17" t="n">
        <v>32</v>
      </c>
      <c r="H42" s="133" t="n">
        <v>125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3" t="n">
        <v>771</v>
      </c>
      <c r="D43" s="131" t="n">
        <v>158</v>
      </c>
      <c r="E43" s="132" t="n">
        <v>48</v>
      </c>
      <c r="F43" s="131" t="n">
        <v>124.9</v>
      </c>
      <c r="G43" s="17" t="n">
        <v>38</v>
      </c>
      <c r="H43" s="133" t="n">
        <v>54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3" t="n">
        <v>771</v>
      </c>
      <c r="D44" s="131" t="n">
        <v>184.4</v>
      </c>
      <c r="E44" s="132" t="n">
        <v>56</v>
      </c>
      <c r="F44" s="131" t="n">
        <v>143.1</v>
      </c>
      <c r="G44" s="17" t="n">
        <v>43</v>
      </c>
      <c r="H44" s="133" t="n">
        <v>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3</v>
      </c>
      <c r="S44" s="121" t="inlineStr">
        <is>
          <t>계</t>
        </is>
      </c>
      <c r="T44" s="5" t="n">
        <v>184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3" t="n">
        <v>771</v>
      </c>
      <c r="D45" s="131" t="n">
        <v>197.5</v>
      </c>
      <c r="E45" s="132" t="n">
        <v>60</v>
      </c>
      <c r="F45" s="131" t="n">
        <v>155</v>
      </c>
      <c r="G45" s="17" t="n">
        <v>47</v>
      </c>
      <c r="H45" s="133" t="n">
        <v>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5</v>
      </c>
      <c r="R45" s="121" t="n">
        <v>3</v>
      </c>
      <c r="S45" s="121" t="inlineStr">
        <is>
          <t>계</t>
        </is>
      </c>
      <c r="T45" s="5" t="n">
        <v>197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동신개나리</t>
        </is>
      </c>
      <c r="B47" s="10" t="inlineStr">
        <is>
          <t>'95.12.</t>
        </is>
      </c>
      <c r="C47" s="133" t="n">
        <v>383</v>
      </c>
      <c r="D47" s="131" t="n">
        <v>60.5</v>
      </c>
      <c r="E47" s="132" t="n">
        <v>18</v>
      </c>
      <c r="F47" s="131" t="n">
        <v>47.6</v>
      </c>
      <c r="G47" s="17" t="n">
        <v>14</v>
      </c>
      <c r="H47" s="133" t="n">
        <v>120</v>
      </c>
      <c r="I47" s="134" t="n">
        <v>6400</v>
      </c>
      <c r="J47" s="134" t="inlineStr">
        <is>
          <t>13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60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3" t="n">
        <v>383</v>
      </c>
      <c r="D48" s="131" t="n">
        <v>76</v>
      </c>
      <c r="E48" s="132" t="n">
        <v>23</v>
      </c>
      <c r="F48" s="131" t="n">
        <v>59.8</v>
      </c>
      <c r="G48" s="17" t="n">
        <v>18</v>
      </c>
      <c r="H48" s="133" t="n">
        <v>263</v>
      </c>
      <c r="I48" s="134" t="n">
        <v>6500</v>
      </c>
      <c r="J48" s="134" t="inlineStr">
        <is>
          <t>5</t>
        </is>
      </c>
      <c r="K48" s="134" t="n">
        <v>7500</v>
      </c>
      <c r="L48" s="134" t="inlineStr">
        <is>
          <t>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76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센트럴파크</t>
        </is>
      </c>
      <c r="B50" s="10" t="inlineStr">
        <is>
          <t>'17.10.</t>
        </is>
      </c>
      <c r="C50" s="133" t="n">
        <v>480</v>
      </c>
      <c r="D50" s="131" t="n">
        <v>110.7</v>
      </c>
      <c r="E50" s="132" t="n">
        <v>33</v>
      </c>
      <c r="F50" s="131" t="n">
        <v>84.90000000000001</v>
      </c>
      <c r="G50" s="17" t="n">
        <v>26</v>
      </c>
      <c r="H50" s="133" t="n">
        <v>251</v>
      </c>
      <c r="I50" s="134" t="n">
        <v>27000</v>
      </c>
      <c r="J50" s="134" t="inlineStr">
        <is>
          <t>24</t>
        </is>
      </c>
      <c r="K50" s="134" t="n">
        <v>23000</v>
      </c>
      <c r="L50" s="134" t="inlineStr">
        <is>
          <t>9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110A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3" t="n">
        <v>480</v>
      </c>
      <c r="D51" s="131" t="n">
        <v>110.2</v>
      </c>
      <c r="E51" s="132" t="n">
        <v>33</v>
      </c>
      <c r="F51" s="131" t="n">
        <v>85</v>
      </c>
      <c r="G51" s="17" t="n">
        <v>26</v>
      </c>
      <c r="H51" s="133" t="n">
        <v>229</v>
      </c>
      <c r="I51" s="134" t="n">
        <v>27000</v>
      </c>
      <c r="J51" s="134" t="inlineStr">
        <is>
          <t>6</t>
        </is>
      </c>
      <c r="K51" s="134" t="n">
        <v>23000</v>
      </c>
      <c r="L51" s="134" t="inlineStr">
        <is>
          <t>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현대</t>
        </is>
      </c>
      <c r="B53" s="10" t="inlineStr">
        <is>
          <t>'95.09.</t>
        </is>
      </c>
      <c r="C53" s="133" t="n">
        <v>560</v>
      </c>
      <c r="D53" s="131" t="n">
        <v>91.90000000000001</v>
      </c>
      <c r="E53" s="132" t="n">
        <v>28</v>
      </c>
      <c r="F53" s="131" t="n">
        <v>75.09999999999999</v>
      </c>
      <c r="G53" s="17" t="n">
        <v>23</v>
      </c>
      <c r="H53" s="133" t="n">
        <v>112</v>
      </c>
      <c r="I53" s="134" t="n">
        <v>14000</v>
      </c>
      <c r="J53" s="134" t="inlineStr">
        <is>
          <t>5</t>
        </is>
      </c>
      <c r="K53" s="134" t="n">
        <v>13500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91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3" t="n">
        <v>560</v>
      </c>
      <c r="D54" s="131" t="n">
        <v>91.8</v>
      </c>
      <c r="E54" s="132" t="n">
        <v>28</v>
      </c>
      <c r="F54" s="131" t="n">
        <v>75</v>
      </c>
      <c r="G54" s="17" t="n">
        <v>23</v>
      </c>
      <c r="H54" s="133" t="n">
        <v>28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91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3" t="n">
        <v>560</v>
      </c>
      <c r="D55" s="131" t="n">
        <v>103.9</v>
      </c>
      <c r="E55" s="132" t="n">
        <v>31</v>
      </c>
      <c r="F55" s="131" t="n">
        <v>85</v>
      </c>
      <c r="G55" s="17" t="n">
        <v>26</v>
      </c>
      <c r="H55" s="133" t="n">
        <v>420</v>
      </c>
      <c r="I55" s="134" t="n">
        <v>18000</v>
      </c>
      <c r="J55" s="134" t="inlineStr">
        <is>
          <t>5</t>
        </is>
      </c>
      <c r="K55" s="134" t="n">
        <v>16000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더샵디오션시티</t>
        </is>
      </c>
      <c r="B57" s="10" t="inlineStr">
        <is>
          <t>'21.10.</t>
        </is>
      </c>
      <c r="C57" s="133" t="n">
        <v>973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171</v>
      </c>
      <c r="I57" s="134" t="n">
        <v>34500</v>
      </c>
      <c r="J57" s="134" t="inlineStr">
        <is>
          <t>7</t>
        </is>
      </c>
      <c r="K57" s="134" t="n">
        <v>27000</v>
      </c>
      <c r="L57" s="134" t="inlineStr">
        <is>
          <t>13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79A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3" t="n">
        <v>973</v>
      </c>
      <c r="D58" s="131" t="n">
        <v>79.5</v>
      </c>
      <c r="E58" s="132" t="n">
        <v>24</v>
      </c>
      <c r="F58" s="131" t="n">
        <v>60</v>
      </c>
      <c r="G58" s="17" t="n">
        <v>18</v>
      </c>
      <c r="H58" s="133" t="n">
        <v>58</v>
      </c>
      <c r="I58" s="134" t="n">
        <v>34500</v>
      </c>
      <c r="J58" s="134" t="inlineStr">
        <is>
          <t>7</t>
        </is>
      </c>
      <c r="K58" s="134" t="n">
        <v>27000</v>
      </c>
      <c r="L58" s="134" t="inlineStr">
        <is>
          <t>13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79B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3" t="n">
        <v>973</v>
      </c>
      <c r="D59" s="131" t="n">
        <v>110.7</v>
      </c>
      <c r="E59" s="132" t="n">
        <v>33</v>
      </c>
      <c r="F59" s="131" t="n">
        <v>85</v>
      </c>
      <c r="G59" s="17" t="n">
        <v>26</v>
      </c>
      <c r="H59" s="133" t="n">
        <v>492</v>
      </c>
      <c r="I59" s="134" t="n"/>
      <c r="J59" s="134" t="n"/>
      <c r="K59" s="134" t="n">
        <v>35000</v>
      </c>
      <c r="L59" s="134" t="inlineStr">
        <is>
          <t>12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110A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3" t="n">
        <v>973</v>
      </c>
      <c r="D60" s="131" t="n">
        <v>111</v>
      </c>
      <c r="E60" s="132" t="n">
        <v>34</v>
      </c>
      <c r="F60" s="131" t="n">
        <v>85</v>
      </c>
      <c r="G60" s="17" t="n">
        <v>26</v>
      </c>
      <c r="H60" s="133" t="n">
        <v>81</v>
      </c>
      <c r="I60" s="134" t="n"/>
      <c r="J60" s="134" t="n"/>
      <c r="K60" s="134" t="n">
        <v>33000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3" t="n">
        <v>973</v>
      </c>
      <c r="D61" s="131" t="n">
        <v>134.2</v>
      </c>
      <c r="E61" s="132" t="n">
        <v>41</v>
      </c>
      <c r="F61" s="131" t="n">
        <v>104</v>
      </c>
      <c r="G61" s="17" t="n">
        <v>31</v>
      </c>
      <c r="H61" s="133" t="n">
        <v>112</v>
      </c>
      <c r="I61" s="134" t="n"/>
      <c r="J61" s="134" t="n"/>
      <c r="K61" s="134" t="n">
        <v>43000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n">
        <v>134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3" t="n">
        <v>973</v>
      </c>
      <c r="D62" s="131" t="n">
        <v>153.2</v>
      </c>
      <c r="E62" s="132" t="n">
        <v>46</v>
      </c>
      <c r="F62" s="131" t="n">
        <v>119</v>
      </c>
      <c r="G62" s="17" t="n">
        <v>36</v>
      </c>
      <c r="H62" s="133" t="n">
        <v>56</v>
      </c>
      <c r="I62" s="134" t="n"/>
      <c r="J62" s="134" t="n"/>
      <c r="K62" s="134" t="n">
        <v>52000</v>
      </c>
      <c r="L62" s="134" t="inlineStr">
        <is>
          <t>5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153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3" t="n">
        <v>973</v>
      </c>
      <c r="D63" s="131" t="n">
        <v>192.2</v>
      </c>
      <c r="E63" s="132" t="n">
        <v>58</v>
      </c>
      <c r="F63" s="131" t="n">
        <v>146</v>
      </c>
      <c r="G63" s="17" t="n">
        <v>44</v>
      </c>
      <c r="H63" s="133" t="n">
        <v>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3</v>
      </c>
      <c r="S63" s="121" t="inlineStr">
        <is>
          <t>계</t>
        </is>
      </c>
      <c r="T63" s="5" t="n">
        <v>192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세경</t>
        </is>
      </c>
      <c r="B65" s="10" t="inlineStr">
        <is>
          <t>'18.03.</t>
        </is>
      </c>
      <c r="C65" s="133" t="n">
        <v>1400</v>
      </c>
      <c r="D65" s="131" t="n">
        <v>82</v>
      </c>
      <c r="E65" s="132" t="n">
        <v>25</v>
      </c>
      <c r="F65" s="131" t="n">
        <v>60</v>
      </c>
      <c r="G65" s="17" t="n">
        <v>18</v>
      </c>
      <c r="H65" s="133" t="n">
        <v>189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81A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9">
      <formula>AV4="X"</formula>
    </cfRule>
    <cfRule type="expression" priority="928" dxfId="18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9">
      <formula>AV7="X"</formula>
    </cfRule>
    <cfRule type="expression" priority="908" dxfId="18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9">
      <formula>AV8="X"</formula>
    </cfRule>
    <cfRule type="expression" priority="890" dxfId="18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9">
      <formula>AV9="X"</formula>
    </cfRule>
    <cfRule type="expression" priority="872" dxfId="18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9">
      <formula>AV10="X"</formula>
    </cfRule>
    <cfRule type="expression" priority="854" dxfId="18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9">
      <formula>AV11="X"</formula>
    </cfRule>
    <cfRule type="expression" priority="836" dxfId="18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9">
      <formula>AV12="X"</formula>
    </cfRule>
    <cfRule type="expression" priority="818" dxfId="18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9">
      <formula>AV13="X"</formula>
    </cfRule>
    <cfRule type="expression" priority="800" dxfId="18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9">
      <formula>AV14="X"</formula>
    </cfRule>
    <cfRule type="expression" priority="782" dxfId="18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9">
      <formula>AV15="X"</formula>
    </cfRule>
    <cfRule type="expression" priority="764" dxfId="18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9">
      <formula>AV16="X"</formula>
    </cfRule>
    <cfRule type="expression" priority="746" dxfId="18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9">
      <formula>AV17="X"</formula>
    </cfRule>
    <cfRule type="expression" priority="742" dxfId="18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9">
      <formula>AV18="X"</formula>
    </cfRule>
    <cfRule type="expression" priority="724" dxfId="18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9">
      <formula>AV19="X"</formula>
    </cfRule>
    <cfRule type="expression" priority="706" dxfId="18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9">
      <formula>AV20="X"</formula>
    </cfRule>
    <cfRule type="expression" priority="688" dxfId="18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9">
      <formula>AV21="X"</formula>
    </cfRule>
    <cfRule type="expression" priority="670" dxfId="18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9">
      <formula>AV22="X"</formula>
    </cfRule>
    <cfRule type="expression" priority="666" dxfId="18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9">
      <formula>AV23="X"</formula>
    </cfRule>
    <cfRule type="expression" priority="648" dxfId="18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9">
      <formula>AV24="X"</formula>
    </cfRule>
    <cfRule type="expression" priority="630" dxfId="18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9">
      <formula>AV25="X"</formula>
    </cfRule>
    <cfRule type="expression" priority="612" dxfId="18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9">
      <formula>AV26="X"</formula>
    </cfRule>
    <cfRule type="expression" priority="594" dxfId="18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9">
      <formula>AV27="X"</formula>
    </cfRule>
    <cfRule type="expression" priority="590" dxfId="18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9">
      <formula>AV28="X"</formula>
    </cfRule>
    <cfRule type="expression" priority="572" dxfId="18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9">
      <formula>AV29="X"</formula>
    </cfRule>
    <cfRule type="expression" priority="568" dxfId="18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9">
      <formula>AV30="X"</formula>
    </cfRule>
    <cfRule type="expression" priority="550" dxfId="18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9">
      <formula>AV31="X"</formula>
    </cfRule>
    <cfRule type="expression" priority="532" dxfId="18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9">
      <formula>AV32="X"</formula>
    </cfRule>
    <cfRule type="expression" priority="514" dxfId="18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9">
      <formula>AV33="X"</formula>
    </cfRule>
    <cfRule type="expression" priority="496" dxfId="18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9">
      <formula>AV34="X"</formula>
    </cfRule>
    <cfRule type="expression" priority="478" dxfId="18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9">
      <formula>AV35="X"</formula>
    </cfRule>
    <cfRule type="expression" priority="460" dxfId="18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9">
      <formula>AV36="X"</formula>
    </cfRule>
    <cfRule type="expression" priority="456" dxfId="18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9">
      <formula>AV37="X"</formula>
    </cfRule>
    <cfRule type="expression" priority="438" dxfId="18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9">
      <formula>AV38="X"</formula>
    </cfRule>
    <cfRule type="expression" priority="420" dxfId="18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9">
      <formula>AV39="X"</formula>
    </cfRule>
    <cfRule type="expression" priority="416" dxfId="18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9">
      <formula>AV40="X"</formula>
    </cfRule>
    <cfRule type="expression" priority="398" dxfId="18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9">
      <formula>AV41="X"</formula>
    </cfRule>
    <cfRule type="expression" priority="380" dxfId="18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9">
      <formula>AV42="X"</formula>
    </cfRule>
    <cfRule type="expression" priority="362" dxfId="18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9">
      <formula>AV43="X"</formula>
    </cfRule>
    <cfRule type="expression" priority="344" dxfId="18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9">
      <formula>AV44="X"</formula>
    </cfRule>
    <cfRule type="expression" priority="326" dxfId="18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9">
      <formula>AV45="X"</formula>
    </cfRule>
    <cfRule type="expression" priority="308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9">
      <formula>AV47="X"</formula>
    </cfRule>
    <cfRule type="expression" priority="286" dxfId="18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9">
      <formula>AV48="X"</formula>
    </cfRule>
    <cfRule type="expression" priority="268" dxfId="18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9">
      <formula>AV49="X"</formula>
    </cfRule>
    <cfRule type="expression" priority="250" dxfId="18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9">
      <formula>AV50="X"</formula>
    </cfRule>
    <cfRule type="expression" priority="246" dxfId="18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9">
      <formula>AV51="X"</formula>
    </cfRule>
    <cfRule type="expression" priority="228" dxfId="18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9">
      <formula>AV52="X"</formula>
    </cfRule>
    <cfRule type="expression" priority="210" dxfId="18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9">
      <formula>AV53="X"</formula>
    </cfRule>
    <cfRule type="expression" priority="206" dxfId="18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9">
      <formula>AV54="X"</formula>
    </cfRule>
    <cfRule type="expression" priority="188" dxfId="18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9">
      <formula>AV55="X"</formula>
    </cfRule>
    <cfRule type="expression" priority="170" dxfId="18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9">
      <formula>AV56="X"</formula>
    </cfRule>
    <cfRule type="expression" priority="152" dxfId="18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9">
      <formula>AV57="X"</formula>
    </cfRule>
    <cfRule type="expression" priority="148" dxfId="18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9">
      <formula>AV58="X"</formula>
    </cfRule>
    <cfRule type="expression" priority="130" dxfId="18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9">
      <formula>AV59="X"</formula>
    </cfRule>
    <cfRule type="expression" priority="112" dxfId="18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9">
      <formula>AV60="X"</formula>
    </cfRule>
    <cfRule type="expression" priority="94" dxfId="18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9">
      <formula>AV61="X"</formula>
    </cfRule>
    <cfRule type="expression" priority="76" dxfId="18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9">
      <formula>AV62="X"</formula>
    </cfRule>
    <cfRule type="expression" priority="58" dxfId="18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9">
      <formula>AV63="X"</formula>
    </cfRule>
    <cfRule type="expression" priority="40" dxfId="18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9">
      <formula>AV64="X"</formula>
    </cfRule>
    <cfRule type="expression" priority="22" dxfId="18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9">
      <formula>AV65="X"</formula>
    </cfRule>
    <cfRule type="expression" priority="18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2022-06-27T14:49:14Z</dcterms:modified>
  <cp:lastModifiedBy>MinsuKwon</cp:lastModifiedBy>
  <cp:lastPrinted>2018-04-28T10:52:41Z</cp:lastPrinted>
</cp:coreProperties>
</file>